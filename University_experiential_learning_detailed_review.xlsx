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EL dashboard" sheetId="2" state="visible" r:id="rId2"/>
    <sheet xmlns:r="http://schemas.openxmlformats.org/officeDocument/2006/relationships" name="EL institution summary" sheetId="3" state="visible" r:id="rId3"/>
    <sheet xmlns:r="http://schemas.openxmlformats.org/officeDocument/2006/relationships" name="EL scheme register" sheetId="4" state="visible" r:id="rId4"/>
    <sheet xmlns:r="http://schemas.openxmlformats.org/officeDocument/2006/relationships" name="EL exclusions &amp; gaps" sheetId="5" state="visible" r:id="rId5"/>
    <sheet xmlns:r="http://schemas.openxmlformats.org/officeDocument/2006/relationships" name="EL sources" sheetId="6" state="visible" r:id="rId6"/>
    <sheet xmlns:r="http://schemas.openxmlformats.org/officeDocument/2006/relationships" name="EL search log" sheetId="7" state="visible" r:id="rId7"/>
    <sheet xmlns:r="http://schemas.openxmlformats.org/officeDocument/2006/relationships" name="EL method &amp; QC" sheetId="8" state="visible" r:id="rId8"/>
    <sheet xmlns:r="http://schemas.openxmlformats.org/officeDocument/2006/relationships" name="Institution index" sheetId="9" state="visible" r:id="rId9"/>
    <sheet xmlns:r="http://schemas.openxmlformats.org/officeDocument/2006/relationships" name="Legacy schemes (v3)" sheetId="10" state="visible" r:id="rId10"/>
    <sheet xmlns:r="http://schemas.openxmlformats.org/officeDocument/2006/relationships" name="UK providers" sheetId="11" state="visible" r:id="rId11"/>
    <sheet xmlns:r="http://schemas.openxmlformats.org/officeDocument/2006/relationships" name="Revenue evide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 mmm yyyy"/>
    <numFmt numFmtId="165" formatCode="#,##0.000"/>
    <numFmt numFmtId="166" formatCode="0.0%"/>
    <numFmt numFmtId="167" formatCode="&quot;£&quot;#,##0.0&quot;m&quot;"/>
    <numFmt numFmtId="168" formatCode="#,##0.0"/>
  </numFmts>
  <fonts count="15">
    <font>
      <name val="Carlito"/>
      <sz val="11"/>
    </font>
    <font>
      <name val="Arial"/>
      <color rgb="FF172B4D"/>
      <sz val="10"/>
    </font>
    <font>
      <name val="Arial"/>
      <b val="1"/>
      <color rgb="FF203B60"/>
      <sz val="15"/>
    </font>
    <font>
      <name val="Arial"/>
      <color rgb="FF526277"/>
      <sz val="10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b val="1"/>
      <color rgb="FF203B60"/>
      <sz val="13"/>
    </font>
    <font>
      <name val="Arial"/>
      <color rgb="FF172B4D"/>
      <sz val="10"/>
    </font>
    <font>
      <name val="Arial"/>
      <b val="1"/>
      <color rgb="FF203B60"/>
      <sz val="20"/>
    </font>
    <font>
      <name val="Arial"/>
      <color rgb="FF526277"/>
      <sz val="11"/>
    </font>
    <font>
      <name val="Arial"/>
      <b val="1"/>
      <color rgb="FF526277"/>
      <sz val="10"/>
    </font>
    <font>
      <name val="Arial"/>
      <b val="1"/>
      <color rgb="FF203B60"/>
      <sz val="25"/>
    </font>
    <font>
      <name val="Arial"/>
      <b val="1"/>
      <color rgb="FF203B60"/>
      <sz val="12"/>
    </font>
    <font>
      <name val="Arial"/>
      <b val="1"/>
      <color rgb="FF203B60"/>
      <sz val="18"/>
    </font>
    <font>
      <name val="Arial"/>
      <i val="1"/>
      <color rgb="FF526277"/>
      <sz val="8"/>
    </font>
  </fonts>
  <fills count="5">
    <fill>
      <patternFill/>
    </fill>
    <fill>
      <patternFill patternType="gray125"/>
    </fill>
    <fill>
      <patternFill patternType="solid">
        <fgColor rgb="FF203B60"/>
      </patternFill>
    </fill>
    <fill>
      <patternFill patternType="solid">
        <fgColor rgb="FFF3F6FA"/>
      </patternFill>
    </fill>
    <fill>
      <patternFill patternType="solid">
        <fgColor rgb="FFEE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3" fontId="0" fillId="0" borderId="0" pivotButton="0" quotePrefix="0" xfId="0"/>
    <xf numFmtId="165" fontId="1" fillId="0" borderId="0" applyAlignment="1" pivotButton="0" quotePrefix="0" xfId="0">
      <alignment vertical="center" wrapText="1"/>
    </xf>
    <xf numFmtId="165" fontId="0" fillId="0" borderId="0" pivotButton="0" quotePrefix="0" xfId="0"/>
    <xf numFmtId="166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horizontal="right" vertical="center" wrapText="1"/>
    </xf>
    <xf numFmtId="165" fontId="1" fillId="0" borderId="0" applyAlignment="1" pivotButton="0" quotePrefix="0" xfId="0">
      <alignment horizontal="right" vertical="center" wrapText="1"/>
    </xf>
    <xf numFmtId="166" fontId="1" fillId="0" borderId="0" applyAlignment="1" pivotButton="0" quotePrefix="0" xfId="0">
      <alignment horizontal="right" vertical="center" wrapText="1"/>
    </xf>
    <xf numFmtId="3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3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1" fontId="1" fillId="0" borderId="0" applyAlignment="1" pivotButton="0" quotePrefix="0" xfId="0">
      <alignment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5" fillId="3" borderId="0" applyAlignment="1" pivotButton="0" quotePrefix="0" xfId="0">
      <alignment wrapText="1"/>
    </xf>
    <xf numFmtId="0" fontId="7" fillId="3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68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6" fontId="1" fillId="3" borderId="0" applyAlignment="1" pivotButton="0" quotePrefix="0" xfId="0">
      <alignment vertical="center" wrapText="1"/>
    </xf>
    <xf numFmtId="167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8" fontId="4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 wrapText="1"/>
    </xf>
    <xf numFmtId="166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 wrapText="1"/>
    </xf>
    <xf numFmtId="0" fontId="13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4" borderId="0" applyAlignment="1" pivotButton="0" quotePrefix="0" xfId="0">
      <alignment horizontal="left"/>
    </xf>
    <xf numFmtId="0" fontId="14" fillId="0" borderId="0" pivotButton="0" quotePrefix="0" xfId="0"/>
    <xf numFmtId="0" fontId="12" fillId="0" borderId="0" pivotButton="0" quotePrefix="0" xfId="0"/>
    <xf numFmtId="0" fontId="4" fillId="2" borderId="0" applyAlignment="1" pivotButton="0" quotePrefix="0" xfId="0">
      <alignment vertical="top" wrapText="1"/>
    </xf>
    <xf numFmtId="9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horizontal="right" vertical="center" wrapText="1"/>
    </xf>
    <xf numFmtId="165" fontId="1" fillId="0" borderId="0" applyAlignment="1" pivotButton="0" quotePrefix="0" xfId="0">
      <alignment horizontal="right" vertical="center" wrapText="1"/>
    </xf>
    <xf numFmtId="166" fontId="1" fillId="0" borderId="0" applyAlignment="1" pivotButton="0" quotePrefix="0" xfId="0">
      <alignment horizontal="right" vertical="center" wrapText="1"/>
    </xf>
    <xf numFmtId="3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</cellXfs>
  <cellStyles count="1">
    <cellStyle name="Normal" xfId="0"/>
  </cellStyles>
  <dxfs count="7">
    <dxf>
      <font>
        <color rgb="FF956600"/>
      </font>
    </dxf>
    <dxf>
      <font>
        <b val="1"/>
        <color rgb="FFB42318"/>
      </font>
    </dxf>
    <dxf>
      <font>
        <b val="1"/>
        <color rgb="FFB42318"/>
      </font>
    </dxf>
    <dxf>
      <font>
        <color rgb="FFB42318"/>
      </font>
    </dxf>
    <dxf>
      <fill>
        <patternFill patternType="solid">
          <fgColor rgb="FFD9EAD3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Top 10 UK providers: CPD/CE income (£m)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CPD/CE (£m)</v>
          </tx>
          <spPr>
            <a:solidFill xmlns:a="http://schemas.openxmlformats.org/drawingml/2006/main">
              <a:srgbClr val="376C99"/>
            </a:solidFill>
            <a:ln xmlns:a="http://schemas.openxmlformats.org/drawingml/2006/main">
              <a:prstDash val="solid"/>
            </a:ln>
          </spPr>
          <cat>
            <strRef>
              <f>'Dashboard'!$Q$6:$Q$15</f>
              <strCache>
                <ptCount val="0"/>
              </strCache>
            </strRef>
          </cat>
          <val>
            <numRef>
              <f>'Dashboard'!$R$6:$R$15</f>
              <numCache>
                <formatCode>#,##0.0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72768"/>
        <lblOffset val="10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UK income by customer (£m)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CPD/CE (£m)</v>
          </tx>
          <spPr>
            <a:solidFill xmlns:a="http://schemas.openxmlformats.org/drawingml/2006/main">
              <a:srgbClr val="237E83"/>
            </a:solidFill>
            <a:ln xmlns:a="http://schemas.openxmlformats.org/drawingml/2006/main">
              <a:prstDash val="solid"/>
            </a:ln>
          </spPr>
          <cat>
            <strRef>
              <f>'Dashboard'!$Q$19:$Q$22</f>
              <strCache>
                <ptCount val="0"/>
              </strCache>
            </strRef>
          </cat>
          <val>
            <numRef>
              <f>'Dashboard'!$R$19:$R$22</f>
              <numCache>
                <formatCode>#,##0.0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72768"/>
        <lblOffset val="10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21</row>
      <rowOff>0</rowOff>
    </from>
    <to>
      <col>7</col>
      <colOff>0</colOff>
      <row>40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0</colOff>
      <row>21</row>
      <rowOff>0</rowOff>
    </from>
    <to>
      <col>14</col>
      <colOff>0</colOff>
      <row>40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nstitutionSummary" displayName="InstitutionSummary" ref="A6:X130" headerRowCount="1">
  <autoFilter ref="A6:X130"/>
  <tableColumns count="24">
    <tableColumn id="1" name="Institution ID"/>
    <tableColumn id="2" name="Institution"/>
    <tableColumn id="3" name="Country"/>
    <tableColumn id="4" name="Sample group"/>
    <tableColumn id="5" name="Region group"/>
    <tableColumn id="6" name="QS edition"/>
    <tableColumn id="7" name="QS rank"/>
    <tableColumn id="8" name="Review completeness"/>
    <tableColumn id="9" name="Qualifying current: University-wide"/>
    <tableColumn id="10" name="Qualifying current: Cross-faculty"/>
    <tableColumn id="11" name="Qualifying current: Faculty/school"/>
    <tableColumn id="12" name="Qualifying current: Programme/course"/>
    <tableColumn id="13" name="Qualifying current: Unclear reach"/>
    <tableColumn id="14" name="Qualifying current: total"/>
    <tableColumn id="15" name="Evidence-incomplete records"/>
    <tableColumn id="16" name="Outside-definition records in register"/>
    <tableColumn id="17" name="Exclusions / near-misses"/>
    <tableColumn id="18" name="University-wide access evidenced (qualifying current scheme)"/>
    <tableColumn id="19" name="Compulsory university-wide provision evidenced"/>
    <tableColumn id="20" name="Main qualifying schemes"/>
    <tableColumn id="21" name="Distribution across faculty areas (qualifying current)"/>
    <tableColumn id="22" name="How embedded the provision appears"/>
    <tableColumn id="23" name="Concise assessment"/>
    <tableColumn id="24" name="Material gaps and unresolved questions"/>
  </tableColumns>
  <tableStyleInfo name="TableStyleMedium2" showRowStripes="1"/>
</table>
</file>

<file path=xl/tables/table2.xml><?xml version="1.0" encoding="utf-8"?>
<table xmlns="http://schemas.openxmlformats.org/spreadsheetml/2006/main" id="2" name="InstitutionindexTable" displayName="InstitutionindexTable" ref="A6:O130" headerRowCount="1" totalsRowCount="0" totalsRowShown="0">
  <autoFilter ref="A6:M130"/>
  <tableColumns count="15">
    <tableColumn id="1" name="Country"/>
    <tableColumn id="2" name="University"/>
    <tableColumn id="3" name="Cohort"/>
    <tableColumn id="4" name="QS edition"/>
    <tableColumn id="5" name="QS rank"/>
    <tableColumn id="6" name="Tied rank?"/>
    <tableColumn id="7" name="Official ranking source"/>
    <tableColumn id="8" name="UKPRN"/>
    <tableColumn id="9" name="Scheme examples"/>
    <tableColumn id="10" name="University-wide examples"/>
    <tableColumn id="11" name="Narrower examples"/>
    <tableColumn id="12" name="Unconfirmed reach examples"/>
    <tableColumn id="13" name="Broadest documented reach"/>
    <tableColumn id="14" name="EL review ID"/>
    <tableColumn id="15" name="Sample / QS note (Oct 2026 reconciliation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chemesTable" displayName="SchemesTable" ref="A6:Q158" headerRowCount="1" totalsRowCount="0" totalsRowShown="0">
  <autoFilter ref="A6:P158"/>
  <tableColumns count="17">
    <tableColumn id="1" name="Country"/>
    <tableColumn id="2" name="University"/>
    <tableColumn id="3" name="Academic reach"/>
    <tableColumn id="4" name="Learning model"/>
    <tableColumn id="5" name="Scheme / framework"/>
    <tableColumn id="6" name="Administrative home"/>
    <tableColumn id="7" name="Participation"/>
    <tableColumn id="8" name="Eligibility / restrictions"/>
    <tableColumn id="9" name="Delivery / credit / practical activity"/>
    <tableColumn id="10" name="Basis for reach classification"/>
    <tableColumn id="11" name="Latest dated / current evidence"/>
    <tableColumn id="12" name="Cohort"/>
    <tableColumn id="13" name="Primary sources"/>
    <tableColumn id="14" name="Scope evidence basis"/>
    <tableColumn id="15" name="Evidence currency"/>
    <tableColumn id="16" name="Research date"/>
    <tableColumn id="17" name="Disposition in detailed review (Oct 2026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UKprovidersTable" displayName="UKprovidersTable" ref="A6:Q212" headerRowCount="1" totalsRowCount="0" totalsRowShown="0">
  <autoFilter ref="A6:Q212"/>
  <tableColumns count="17">
    <tableColumn id="1" name="UKPRN"/>
    <tableColumn id="2" name="HESA provider name"/>
    <tableColumn id="3" name="Research cohort"/>
    <tableColumn id="4" name="Academic year"/>
    <tableColumn id="5" name="SMEs (£000)"/>
    <tableColumn id="6" name="Other commercial (£000)"/>
    <tableColumn id="7" name="Non-commercial (£000)"/>
    <tableColumn id="8" name="Individuals (£000)"/>
    <tableColumn id="9" name="Total CPD/CE (£000)"/>
    <tableColumn id="10" name="Learner days"/>
    <tableColumn id="11" name="Total income (£m)"/>
    <tableColumn id="12" name="Organisations (£m)"/>
    <tableColumn id="13" name="Individuals share"/>
    <tableColumn id="14" name="Income per learner day (£)"/>
    <tableColumn id="15" name="Components − total (£000)"/>
    <tableColumn id="16" name="Revenue rank"/>
    <tableColumn id="17" name="Chart lab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venueevidenceTable" displayName="RevenueevidenceTable" ref="A6:N95" headerRowCount="1" totalsRowCount="0" totalsRowShown="0">
  <autoFilter ref="A6:N95"/>
  <tableColumns count="14">
    <tableColumn id="1" name="Country"/>
    <tableColumn id="2" name="University"/>
    <tableColumn id="3" name="Evidence type"/>
    <tableColumn id="4" name="Reported metric"/>
    <tableColumn id="5" name="Unit"/>
    <tableColumn id="6" name="Prior period"/>
    <tableColumn id="7" name="Prior value"/>
    <tableColumn id="8" name="Current period"/>
    <tableColumn id="9" name="Current value"/>
    <tableColumn id="10" name="Growth"/>
    <tableColumn id="11" name="Reporting coverage"/>
    <tableColumn id="12" name="Interpretation / limitation"/>
    <tableColumn id="13" name="Primary source"/>
    <tableColumn id="14" name="HESA UKP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237E83"/>
    <outlinePr summaryBelow="1" summaryRight="1"/>
    <pageSetUpPr/>
  </sheetPr>
  <dimension ref="A1:S64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2" customWidth="1" min="17" max="17"/>
    <col width="22" customWidth="1" min="18" max="18"/>
    <col width="22" customWidth="1" min="19" max="19"/>
  </cols>
  <sheetData>
    <row r="1"/>
    <row r="2" ht="35" customHeight="1">
      <c r="A2" s="37" t="inlineStr">
        <is>
          <t>Lifelong learning income dashboard</t>
        </is>
      </c>
      <c r="O2" s="2" t="n"/>
      <c r="P2" s="2" t="n"/>
      <c r="Q2" s="2" t="n"/>
      <c r="R2" s="2" t="n"/>
      <c r="S2" s="2" t="n"/>
    </row>
    <row r="3" ht="26" customHeight="1">
      <c r="A3" s="39" t="inlineStr">
        <is>
          <t>UK comparable CPD/CE income | 2024/25 | HESA HE-BCI provider returns</t>
        </is>
      </c>
      <c r="O3" s="2" t="n"/>
      <c r="P3" s="2" t="n"/>
      <c r="Q3" s="2" t="n"/>
      <c r="R3" s="2" t="n"/>
      <c r="S3" s="2" t="n"/>
    </row>
    <row r="4" ht="23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40" customHeight="1">
      <c r="A5" s="41" t="inlineStr">
        <is>
          <t>UK income (£m)</t>
        </is>
      </c>
      <c r="E5" s="2" t="n"/>
      <c r="F5" s="41" t="inlineStr">
        <is>
          <t>HE providers</t>
        </is>
      </c>
      <c r="J5" s="2" t="n"/>
      <c r="K5" s="41" t="inlineStr">
        <is>
          <t>Learner days</t>
        </is>
      </c>
      <c r="O5" s="2" t="n"/>
      <c r="P5" s="2" t="n"/>
      <c r="Q5" s="9" t="inlineStr">
        <is>
          <t>Top provider</t>
        </is>
      </c>
      <c r="R5" s="9" t="inlineStr">
        <is>
          <t>CPD/CE (£m)</t>
        </is>
      </c>
      <c r="S5" s="2" t="n"/>
    </row>
    <row r="6" ht="23" customHeight="1">
      <c r="A6" s="59">
        <f>SUM('UK providers'!I7:I212)/1000</f>
        <v/>
      </c>
      <c r="E6" s="2" t="n"/>
      <c r="F6" s="60">
        <f>COUNTA('UK providers'!A7:A212)</f>
        <v/>
      </c>
      <c r="J6" s="2" t="n"/>
      <c r="K6" s="60">
        <f>SUM('UK providers'!J7:J212)</f>
        <v/>
      </c>
      <c r="O6" s="2" t="n"/>
      <c r="P6" s="2" t="n"/>
      <c r="Q6" s="2">
        <f>INDEX('UK providers'!$Q$7:$Q$212,MATCH(1,'UK providers'!$P$7:$P$212,0))</f>
        <v/>
      </c>
      <c r="R6" s="61">
        <f>INDEX('UK providers'!$K$7:$K$212,MATCH(1,'UK providers'!$P$7:$P$212,0))</f>
        <v/>
      </c>
      <c r="S6" s="2" t="n"/>
    </row>
    <row r="7" ht="23" customHeight="1">
      <c r="E7" s="2" t="n"/>
      <c r="J7" s="2" t="n"/>
      <c r="O7" s="2" t="n"/>
      <c r="P7" s="2" t="n"/>
      <c r="Q7" s="2">
        <f>INDEX('UK providers'!$Q$7:$Q$212,MATCH(2,'UK providers'!$P$7:$P$212,0))</f>
        <v/>
      </c>
      <c r="R7" s="61">
        <f>INDEX('UK providers'!$K$7:$K$212,MATCH(2,'UK providers'!$P$7:$P$212,0))</f>
        <v/>
      </c>
      <c r="S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INDEX('UK providers'!$Q$7:$Q$212,MATCH(3,'UK providers'!$P$7:$P$212,0))</f>
        <v/>
      </c>
      <c r="R8" s="61">
        <f>INDEX('UK providers'!$K$7:$K$212,MATCH(3,'UK providers'!$P$7:$P$212,0))</f>
        <v/>
      </c>
      <c r="S8" s="2" t="n"/>
    </row>
    <row r="9" ht="23" customHeight="1">
      <c r="A9" s="6" t="inlineStr">
        <is>
          <t>CPD/CE is a defined part of lifelong learning. These HE providers extend beyond universities. The supplied file contains one year, so a UK HESA income growth trend is unavailable.</t>
        </is>
      </c>
      <c r="O9" s="2" t="n"/>
      <c r="P9" s="2" t="n"/>
      <c r="Q9" s="2">
        <f>INDEX('UK providers'!$Q$7:$Q$212,MATCH(4,'UK providers'!$P$7:$P$212,0))</f>
        <v/>
      </c>
      <c r="R9" s="61">
        <f>INDEX('UK providers'!$K$7:$K$212,MATCH(4,'UK providers'!$P$7:$P$212,0))</f>
        <v/>
      </c>
      <c r="S9" s="2" t="n"/>
    </row>
    <row r="10" ht="23" customHeight="1">
      <c r="O10" s="2" t="n"/>
      <c r="P10" s="2" t="n"/>
      <c r="Q10" s="2">
        <f>INDEX('UK providers'!$Q$7:$Q$212,MATCH(5,'UK providers'!$P$7:$P$212,0))</f>
        <v/>
      </c>
      <c r="R10" s="61">
        <f>INDEX('UK providers'!$K$7:$K$212,MATCH(5,'UK providers'!$P$7:$P$212,0))</f>
        <v/>
      </c>
      <c r="S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INDEX('UK providers'!$Q$7:$Q$212,MATCH(6,'UK providers'!$P$7:$P$212,0))</f>
        <v/>
      </c>
      <c r="R11" s="61">
        <f>INDEX('UK providers'!$K$7:$K$212,MATCH(6,'UK providers'!$P$7:$P$212,0))</f>
        <v/>
      </c>
      <c r="S11" s="2" t="n"/>
    </row>
    <row r="12" ht="23" customHeight="1">
      <c r="A12" s="47" t="inlineStr">
        <is>
          <t>UK income by research cohort</t>
        </is>
      </c>
      <c r="H12" s="2" t="n"/>
      <c r="I12" s="47" t="inlineStr">
        <is>
          <t>Customer mix</t>
        </is>
      </c>
      <c r="O12" s="2" t="n"/>
      <c r="P12" s="2" t="n"/>
      <c r="Q12" s="2">
        <f>INDEX('UK providers'!$Q$7:$Q$212,MATCH(7,'UK providers'!$P$7:$P$212,0))</f>
        <v/>
      </c>
      <c r="R12" s="61">
        <f>INDEX('UK providers'!$K$7:$K$212,MATCH(7,'UK providers'!$P$7:$P$212,0))</f>
        <v/>
      </c>
      <c r="S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INDEX('UK providers'!$Q$7:$Q$212,MATCH(8,'UK providers'!$P$7:$P$212,0))</f>
        <v/>
      </c>
      <c r="R13" s="61">
        <f>INDEX('UK providers'!$K$7:$K$212,MATCH(8,'UK providers'!$P$7:$P$212,0))</f>
        <v/>
      </c>
      <c r="S13" s="2" t="n"/>
    </row>
    <row r="14" ht="23" customHeight="1">
      <c r="A14" s="9" t="inlineStr">
        <is>
          <t>Cohort</t>
        </is>
      </c>
      <c r="D14" s="9" t="inlineStr">
        <is>
          <t>Providers</t>
        </is>
      </c>
      <c r="F14" s="9" t="inlineStr">
        <is>
          <t>Income (£m)</t>
        </is>
      </c>
      <c r="H14" s="2" t="n"/>
      <c r="I14" s="9" t="inlineStr">
        <is>
          <t>Customer</t>
        </is>
      </c>
      <c r="M14" s="9" t="inlineStr">
        <is>
          <t>Income (£m)</t>
        </is>
      </c>
      <c r="O14" s="2" t="n"/>
      <c r="P14" s="2" t="n"/>
      <c r="Q14" s="2">
        <f>INDEX('UK providers'!$Q$7:$Q$212,MATCH(9,'UK providers'!$P$7:$P$212,0))</f>
        <v/>
      </c>
      <c r="R14" s="61">
        <f>INDEX('UK providers'!$K$7:$K$212,MATCH(9,'UK providers'!$P$7:$P$212,0))</f>
        <v/>
      </c>
      <c r="S14" s="2" t="n"/>
    </row>
    <row r="15" ht="23" customHeight="1">
      <c r="A15" s="51" t="inlineStr">
        <is>
          <t>Russell Group</t>
        </is>
      </c>
      <c r="D15" s="62">
        <f>COUNTIF('UK providers'!$C$7:$C$212,A15)</f>
        <v/>
      </c>
      <c r="F15" s="61">
        <f>SUMIF('UK providers'!$C$7:$C$212,A15,'UK providers'!$K$7:$K$212)</f>
        <v/>
      </c>
      <c r="H15" s="2" t="n"/>
      <c r="I15" s="51" t="inlineStr">
        <is>
          <t>Individuals</t>
        </is>
      </c>
      <c r="M15" s="61">
        <f>SUM('UK providers'!H7:H212)/1000</f>
        <v/>
      </c>
      <c r="O15" s="2" t="n"/>
      <c r="P15" s="2" t="n"/>
      <c r="Q15" s="2">
        <f>INDEX('UK providers'!$Q$7:$Q$212,MATCH(10,'UK providers'!$P$7:$P$212,0))</f>
        <v/>
      </c>
      <c r="R15" s="61">
        <f>INDEX('UK providers'!$K$7:$K$212,MATCH(10,'UK providers'!$P$7:$P$212,0))</f>
        <v/>
      </c>
      <c r="S15" s="2" t="n"/>
    </row>
    <row r="16" ht="23" customHeight="1">
      <c r="A16" s="51" t="inlineStr">
        <is>
          <t>Additional UK sample</t>
        </is>
      </c>
      <c r="D16" s="62">
        <f>COUNTIF('UK providers'!$C$7:$C$212,A16)</f>
        <v/>
      </c>
      <c r="F16" s="61">
        <f>SUMIF('UK providers'!$C$7:$C$212,A16,'UK providers'!$K$7:$K$212)</f>
        <v/>
      </c>
      <c r="H16" s="2" t="n"/>
      <c r="I16" s="51" t="inlineStr">
        <is>
          <t>Non-commercial</t>
        </is>
      </c>
      <c r="M16" s="61">
        <f>SUM('UK providers'!G7:G212)/1000</f>
        <v/>
      </c>
      <c r="O16" s="2" t="n"/>
      <c r="P16" s="2" t="n"/>
      <c r="Q16" s="2" t="n"/>
      <c r="R16" s="61" t="n"/>
      <c r="S16" s="2" t="n"/>
    </row>
    <row r="17" ht="23" customHeight="1">
      <c r="A17" s="51" t="inlineStr">
        <is>
          <t>Other HE provider</t>
        </is>
      </c>
      <c r="D17" s="62">
        <f>COUNTIF('UK providers'!$C$7:$C$212,A17)</f>
        <v/>
      </c>
      <c r="F17" s="61">
        <f>SUMIF('UK providers'!$C$7:$C$212,A17,'UK providers'!$K$7:$K$212)</f>
        <v/>
      </c>
      <c r="H17" s="2" t="n"/>
      <c r="I17" s="51" t="inlineStr">
        <is>
          <t>Other commercial</t>
        </is>
      </c>
      <c r="M17" s="61">
        <f>SUM('UK providers'!F7:F212)/1000</f>
        <v/>
      </c>
      <c r="O17" s="2" t="n"/>
      <c r="P17" s="2" t="n"/>
      <c r="Q17" s="2" t="n"/>
      <c r="R17" s="61" t="n"/>
      <c r="S17" s="2" t="n"/>
    </row>
    <row r="18" ht="40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51" t="inlineStr">
        <is>
          <t>SMEs</t>
        </is>
      </c>
      <c r="M18" s="61">
        <f>SUM('UK providers'!E7:E212)/1000</f>
        <v/>
      </c>
      <c r="O18" s="2" t="n"/>
      <c r="P18" s="2" t="n"/>
      <c r="Q18" s="9" t="inlineStr">
        <is>
          <t>Customer</t>
        </is>
      </c>
      <c r="R18" s="63" t="inlineStr">
        <is>
          <t>CPD/CE (£m)</t>
        </is>
      </c>
      <c r="S18" s="2" t="n"/>
    </row>
    <row r="19" ht="23" customHeight="1">
      <c r="A19" s="51" t="inlineStr">
        <is>
          <t>Share from individual learners</t>
        </is>
      </c>
      <c r="F19" s="64">
        <f>SUM('UK providers'!H7:H212)/SUM('UK providers'!I7:I212)</f>
        <v/>
      </c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>
        <f>I15</f>
        <v/>
      </c>
      <c r="R19" s="61">
        <f>M15</f>
        <v/>
      </c>
      <c r="S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>
        <f>I16</f>
        <v/>
      </c>
      <c r="R20" s="61">
        <f>M16</f>
        <v/>
      </c>
      <c r="S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>
        <f>I17</f>
        <v/>
      </c>
      <c r="R21" s="61">
        <f>M17</f>
        <v/>
      </c>
      <c r="S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>
        <f>I18</f>
        <v/>
      </c>
      <c r="R22" s="61">
        <f>M18</f>
        <v/>
      </c>
      <c r="S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 ht="23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 ht="23" customHeight="1">
      <c r="A42" s="47" t="inlineStr">
        <is>
          <t>Australian revenue and growth: seven of the top 10 institutions</t>
        </is>
      </c>
      <c r="O42" s="2" t="n"/>
      <c r="P42" s="2" t="n"/>
      <c r="Q42" s="2" t="n"/>
      <c r="R42" s="2" t="n"/>
      <c r="S42" s="2" t="n"/>
    </row>
    <row r="43" ht="23" customHeight="1">
      <c r="A43" s="6" t="inlineStr">
        <is>
          <t>Separate measures in AUD millions. Melbourne is the Business School entity. Periods and definitions differ; amounts must not be aggregated. Three institutions have no comparable numeric row.</t>
        </is>
      </c>
      <c r="O43" s="2" t="n"/>
      <c r="P43" s="2" t="n"/>
      <c r="Q43" s="2" t="n"/>
      <c r="R43" s="2" t="n"/>
      <c r="S43" s="2" t="n"/>
    </row>
    <row r="44" ht="23" customHeight="1">
      <c r="O44" s="2" t="n"/>
      <c r="P44" s="2" t="n"/>
      <c r="Q44" s="2" t="n"/>
      <c r="R44" s="2" t="n"/>
      <c r="S44" s="2" t="n"/>
    </row>
    <row r="45" ht="23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 ht="23" customHeight="1">
      <c r="A46" s="9" t="inlineStr">
        <is>
          <t>Institution</t>
        </is>
      </c>
      <c r="D46" s="9" t="inlineStr">
        <is>
          <t>Reported metric</t>
        </is>
      </c>
      <c r="I46" s="9" t="inlineStr">
        <is>
          <t>Current period</t>
        </is>
      </c>
      <c r="K46" s="9" t="inlineStr">
        <is>
          <t>AUD m</t>
        </is>
      </c>
      <c r="M46" s="9" t="inlineStr">
        <is>
          <t>Growth</t>
        </is>
      </c>
      <c r="O46" s="2" t="n"/>
      <c r="P46" s="2" t="n"/>
      <c r="Q46" s="2" t="n"/>
      <c r="R46" s="2" t="n"/>
      <c r="S46" s="2" t="n"/>
    </row>
    <row r="47" ht="34" customHeight="1">
      <c r="A47" s="56">
        <f>'Revenue evidence'!B32</f>
        <v/>
      </c>
      <c r="D47" s="56">
        <f>'Revenue evidence'!D32</f>
        <v/>
      </c>
      <c r="I47" s="56">
        <f>'Revenue evidence'!H32</f>
        <v/>
      </c>
      <c r="K47" s="65">
        <f>'Revenue evidence'!I32</f>
        <v/>
      </c>
      <c r="M47" s="66">
        <f>'Revenue evidence'!J32</f>
        <v/>
      </c>
      <c r="O47" s="2" t="n"/>
      <c r="P47" s="2" t="n"/>
      <c r="Q47" s="2" t="n"/>
      <c r="R47" s="2" t="n"/>
      <c r="S47" s="2" t="n"/>
    </row>
    <row r="48" ht="34" customHeight="1">
      <c r="A48" s="10">
        <f>'Revenue evidence'!B33</f>
        <v/>
      </c>
      <c r="D48" s="10">
        <f>'Revenue evidence'!D33</f>
        <v/>
      </c>
      <c r="I48" s="10">
        <f>'Revenue evidence'!H33</f>
        <v/>
      </c>
      <c r="K48" s="67">
        <f>'Revenue evidence'!I33</f>
        <v/>
      </c>
      <c r="M48" s="68">
        <f>'Revenue evidence'!J33</f>
        <v/>
      </c>
      <c r="O48" s="2" t="n"/>
      <c r="P48" s="2" t="n"/>
      <c r="Q48" s="2" t="n"/>
      <c r="R48" s="2" t="n"/>
      <c r="S48" s="2" t="n"/>
    </row>
    <row r="49" ht="34" customHeight="1">
      <c r="A49" s="56">
        <f>'Revenue evidence'!B34</f>
        <v/>
      </c>
      <c r="D49" s="56">
        <f>'Revenue evidence'!D34</f>
        <v/>
      </c>
      <c r="I49" s="56">
        <f>'Revenue evidence'!H34</f>
        <v/>
      </c>
      <c r="K49" s="65">
        <f>'Revenue evidence'!I34</f>
        <v/>
      </c>
      <c r="M49" s="66">
        <f>'Revenue evidence'!J34</f>
        <v/>
      </c>
      <c r="O49" s="2" t="n"/>
      <c r="P49" s="2" t="n"/>
      <c r="Q49" s="2" t="n"/>
      <c r="R49" s="2" t="n"/>
      <c r="S49" s="2" t="n"/>
    </row>
    <row r="50" ht="34" customHeight="1">
      <c r="A50" s="10">
        <f>'Revenue evidence'!B37</f>
        <v/>
      </c>
      <c r="D50" s="10">
        <f>'Revenue evidence'!D37</f>
        <v/>
      </c>
      <c r="I50" s="10">
        <f>'Revenue evidence'!H37</f>
        <v/>
      </c>
      <c r="K50" s="67">
        <f>'Revenue evidence'!I37</f>
        <v/>
      </c>
      <c r="M50" s="68">
        <f>'Revenue evidence'!J37</f>
        <v/>
      </c>
      <c r="O50" s="2" t="n"/>
      <c r="P50" s="2" t="n"/>
      <c r="Q50" s="2" t="n"/>
      <c r="R50" s="2" t="n"/>
      <c r="S50" s="2" t="n"/>
    </row>
    <row r="51" ht="34" customHeight="1">
      <c r="A51" s="56">
        <f>'Revenue evidence'!B38</f>
        <v/>
      </c>
      <c r="D51" s="56">
        <f>'Revenue evidence'!D38</f>
        <v/>
      </c>
      <c r="I51" s="56">
        <f>'Revenue evidence'!H38</f>
        <v/>
      </c>
      <c r="K51" s="65">
        <f>'Revenue evidence'!I38</f>
        <v/>
      </c>
      <c r="M51" s="66">
        <f>'Revenue evidence'!J38</f>
        <v/>
      </c>
      <c r="O51" s="2" t="n"/>
      <c r="P51" s="2" t="n"/>
      <c r="Q51" s="2" t="n"/>
      <c r="R51" s="2" t="n"/>
      <c r="S51" s="2" t="n"/>
    </row>
    <row r="52" ht="34" customHeight="1">
      <c r="A52" s="10">
        <f>'Revenue evidence'!B40</f>
        <v/>
      </c>
      <c r="D52" s="10">
        <f>'Revenue evidence'!D40</f>
        <v/>
      </c>
      <c r="I52" s="10">
        <f>'Revenue evidence'!H40</f>
        <v/>
      </c>
      <c r="K52" s="67">
        <f>'Revenue evidence'!I40</f>
        <v/>
      </c>
      <c r="M52" s="68">
        <f>'Revenue evidence'!J40</f>
        <v/>
      </c>
      <c r="O52" s="2" t="n"/>
      <c r="P52" s="2" t="n"/>
      <c r="Q52" s="2" t="n"/>
      <c r="R52" s="2" t="n"/>
      <c r="S52" s="2" t="n"/>
    </row>
    <row r="53" ht="34" customHeight="1">
      <c r="A53" s="56">
        <f>'Revenue evidence'!B41</f>
        <v/>
      </c>
      <c r="D53" s="56">
        <f>'Revenue evidence'!D41</f>
        <v/>
      </c>
      <c r="I53" s="56">
        <f>'Revenue evidence'!H41</f>
        <v/>
      </c>
      <c r="K53" s="65">
        <f>'Revenue evidence'!I41</f>
        <v/>
      </c>
      <c r="M53" s="66">
        <f>'Revenue evidence'!J41</f>
        <v/>
      </c>
      <c r="O53" s="2" t="n"/>
      <c r="P53" s="2" t="n"/>
      <c r="Q53" s="2" t="n"/>
      <c r="R53" s="2" t="n"/>
      <c r="S53" s="2" t="n"/>
    </row>
    <row r="54" ht="23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 ht="23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 ht="23" customHeight="1">
      <c r="A56" s="47" t="inlineStr">
        <is>
          <t>Experiential-learning research coverage (strict-definition review; detail in 'EL dashboard')</t>
        </is>
      </c>
      <c r="O56" s="2" t="n"/>
      <c r="P56" s="2" t="n"/>
      <c r="Q56" s="2" t="n"/>
      <c r="R56" s="2" t="n"/>
      <c r="S56" s="2" t="n"/>
    </row>
    <row r="57" ht="23" customHeight="1">
      <c r="A57" s="51" t="inlineStr">
        <is>
          <t>Institutions in scope / reviewed</t>
        </is>
      </c>
      <c r="F57" s="62">
        <f>COUNTA('EL institution summary'!$A$7:$A$130)</f>
        <v/>
      </c>
      <c r="H57" s="2" t="n"/>
      <c r="I57" s="51" t="inlineStr">
        <is>
          <t>Current qualifying schemes</t>
        </is>
      </c>
      <c r="M57" s="62">
        <f>COUNTIF('EL scheme register'!$AJ$7:$AJ$7,"Yes")</f>
        <v/>
      </c>
      <c r="O57" s="2" t="n"/>
      <c r="P57" s="2" t="n"/>
      <c r="Q57" s="2" t="n"/>
      <c r="R57" s="2" t="n"/>
      <c r="S57" s="2" t="n"/>
    </row>
    <row r="58" ht="34" customHeight="1">
      <c r="A58" s="51" t="inlineStr">
        <is>
          <t>With ≥1 current qualifying scheme</t>
        </is>
      </c>
      <c r="F58" s="62">
        <f>COUNTIF('EL institution summary'!$N$7:$N$130,"&gt;0")</f>
        <v/>
      </c>
      <c r="H58" s="2" t="n"/>
      <c r="I58" s="51" t="inlineStr">
        <is>
          <t>Institutions fully reviewed</t>
        </is>
      </c>
      <c r="M58" s="62">
        <f>COUNTIF('EL institution summary'!$H$7:$H$130,"Complete")</f>
        <v/>
      </c>
      <c r="O58" s="2" t="n"/>
      <c r="P58" s="2" t="n"/>
      <c r="Q58" s="2" t="n"/>
      <c r="R58" s="2" t="n"/>
      <c r="S58" s="2" t="n"/>
    </row>
    <row r="59" ht="23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  <row r="60" ht="23" customHeight="1">
      <c r="A60" s="6" t="inlineStr">
        <is>
          <t>Qualifying = project-based, group working and connected to a real external organisation on the same route, with current delivery confirmed. The legacy scheme sample (152 frameworks/examples) is retained in 'Legacy schemes (v3)'. Lifelong-learning revenue above is NOT revenue from these schemes.</t>
        </is>
      </c>
      <c r="O60" s="2" t="n"/>
      <c r="P60" s="2" t="n"/>
      <c r="Q60" s="2" t="n"/>
      <c r="R60" s="2" t="n"/>
      <c r="S60" s="2" t="n"/>
    </row>
    <row r="61" ht="23" customHeight="1">
      <c r="O61" s="2" t="n"/>
      <c r="P61" s="2" t="n"/>
      <c r="Q61" s="2" t="n"/>
      <c r="R61" s="2" t="n"/>
      <c r="S61" s="2" t="n"/>
    </row>
    <row r="62" ht="23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</row>
    <row r="63" ht="23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</row>
    <row r="64" ht="23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</row>
  </sheetData>
  <mergeCells count="87">
    <mergeCell ref="A5:D5"/>
    <mergeCell ref="I14:L14"/>
    <mergeCell ref="K49:L49"/>
    <mergeCell ref="A46:C46"/>
    <mergeCell ref="F16:G16"/>
    <mergeCell ref="I12:N12"/>
    <mergeCell ref="D52:H52"/>
    <mergeCell ref="F15:G15"/>
    <mergeCell ref="K50:L50"/>
    <mergeCell ref="A52:C52"/>
    <mergeCell ref="M16:N16"/>
    <mergeCell ref="K52:L52"/>
    <mergeCell ref="D53:H53"/>
    <mergeCell ref="D47:H47"/>
    <mergeCell ref="A57:E57"/>
    <mergeCell ref="I16:L16"/>
    <mergeCell ref="M18:N18"/>
    <mergeCell ref="I52:J52"/>
    <mergeCell ref="M17:N17"/>
    <mergeCell ref="K53:L53"/>
    <mergeCell ref="A49:C49"/>
    <mergeCell ref="I18:L18"/>
    <mergeCell ref="I58:L58"/>
    <mergeCell ref="M47:N47"/>
    <mergeCell ref="A60:N61"/>
    <mergeCell ref="M50:N50"/>
    <mergeCell ref="F57:G57"/>
    <mergeCell ref="I46:J46"/>
    <mergeCell ref="F19:G19"/>
    <mergeCell ref="A6:D7"/>
    <mergeCell ref="K51:L51"/>
    <mergeCell ref="M51:N51"/>
    <mergeCell ref="A14:C14"/>
    <mergeCell ref="D49:H49"/>
    <mergeCell ref="I15:L15"/>
    <mergeCell ref="F17:G17"/>
    <mergeCell ref="A3:N3"/>
    <mergeCell ref="I57:L57"/>
    <mergeCell ref="F5:I5"/>
    <mergeCell ref="A15:C15"/>
    <mergeCell ref="A51:C51"/>
    <mergeCell ref="D15:E15"/>
    <mergeCell ref="A12:G12"/>
    <mergeCell ref="M53:N53"/>
    <mergeCell ref="A58:E58"/>
    <mergeCell ref="A16:C16"/>
    <mergeCell ref="F6:I7"/>
    <mergeCell ref="I17:L17"/>
    <mergeCell ref="M52:N52"/>
    <mergeCell ref="M49:N49"/>
    <mergeCell ref="D46:H46"/>
    <mergeCell ref="A50:C50"/>
    <mergeCell ref="M48:N48"/>
    <mergeCell ref="A47:C47"/>
    <mergeCell ref="I47:J47"/>
    <mergeCell ref="K47:L47"/>
    <mergeCell ref="K46:L46"/>
    <mergeCell ref="D17:E17"/>
    <mergeCell ref="K5:N5"/>
    <mergeCell ref="A9:N10"/>
    <mergeCell ref="M15:N15"/>
    <mergeCell ref="A2:N2"/>
    <mergeCell ref="I51:J51"/>
    <mergeCell ref="D14:E14"/>
    <mergeCell ref="F14:G14"/>
    <mergeCell ref="I50:J50"/>
    <mergeCell ref="D50:H50"/>
    <mergeCell ref="M58:N58"/>
    <mergeCell ref="I49:J49"/>
    <mergeCell ref="A17:C17"/>
    <mergeCell ref="A53:C53"/>
    <mergeCell ref="I53:J53"/>
    <mergeCell ref="D48:H48"/>
    <mergeCell ref="A56:N56"/>
    <mergeCell ref="D16:E16"/>
    <mergeCell ref="A43:N44"/>
    <mergeCell ref="M46:N46"/>
    <mergeCell ref="A42:N42"/>
    <mergeCell ref="A48:C48"/>
    <mergeCell ref="I48:J48"/>
    <mergeCell ref="F58:G58"/>
    <mergeCell ref="K48:L48"/>
    <mergeCell ref="M57:N57"/>
    <mergeCell ref="M14:N14"/>
    <mergeCell ref="A19:E19"/>
    <mergeCell ref="D51:H51"/>
    <mergeCell ref="K6:N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A2" s="69" t="inlineStr">
        <is>
          <t>Experiential learning dashboard: collaborative employer-connected projects</t>
        </is>
      </c>
    </row>
    <row r="3">
      <c r="A3" s="70" t="inlineStr">
        <is>
          <t>Findings within the researched 124-institution sample (purposive, not random) — not estimates of national prevalence. A qualifying scheme = project-based AND group working AND connected to a real external organisation (all Yes on the same route) with current delivery confirmed; umbrellas with counted children are not double-counted.</t>
        </is>
      </c>
    </row>
    <row r="4"/>
    <row r="6">
      <c r="A6" s="71" t="inlineStr">
        <is>
          <t>Institutions in scope</t>
        </is>
      </c>
      <c r="C6" s="71" t="inlineStr">
        <is>
          <t>Fully reviewed</t>
        </is>
      </c>
      <c r="E6" s="71" t="inlineStr">
        <is>
          <t>Partially reviewed</t>
        </is>
      </c>
      <c r="H6" s="71" t="inlineStr">
        <is>
          <t>Not yet reviewed</t>
        </is>
      </c>
      <c r="J6" s="71" t="inlineStr">
        <is>
          <t>With ≥1 current qualifying scheme</t>
        </is>
      </c>
    </row>
    <row r="7">
      <c r="A7" s="72">
        <f>COUNTA('EL institution summary'!$A$7:$A$130)</f>
        <v/>
      </c>
      <c r="C7" s="72">
        <f>COUNTIF('EL institution summary'!$H$7:$H$130,"Complete")</f>
        <v/>
      </c>
      <c r="E7" s="72">
        <f>COUNTIF('EL institution summary'!$H$7:$H$130,"Partial")</f>
        <v/>
      </c>
      <c r="H7" s="72">
        <f>COUNTIF('EL institution summary'!$H$7:$H$130,"Not started")</f>
        <v/>
      </c>
      <c r="J7" s="72">
        <f>COUNTIF('EL institution summary'!$N$7:$N$130,"&gt;0")</f>
        <v/>
      </c>
    </row>
    <row r="8">
      <c r="J8" s="73" t="inlineStr">
        <is>
          <t>denominator = reviewed (full + partial)</t>
        </is>
      </c>
    </row>
    <row r="10">
      <c r="A10" s="71" t="inlineStr">
        <is>
          <t>Distinct current qualifying schemes</t>
        </is>
      </c>
      <c r="C10" s="71" t="inlineStr">
        <is>
          <t>Records in scheme register</t>
        </is>
      </c>
      <c r="E10" s="71" t="inlineStr">
        <is>
          <t>Exclusion / near-miss records</t>
        </is>
      </c>
      <c r="H10" s="71" t="inlineStr">
        <is>
          <t>Source rows (claim-level)</t>
        </is>
      </c>
      <c r="J10" s="71" t="inlineStr">
        <is>
          <t>Reviewed institutions with none verified</t>
        </is>
      </c>
    </row>
    <row r="11">
      <c r="A11" s="72">
        <f>COUNTIF('EL scheme register'!$AJ$7:$AJ$7,"Yes")</f>
        <v/>
      </c>
      <c r="C11" s="72">
        <f>COUNTA('EL scheme register'!$D$7:$D$7)</f>
        <v/>
      </c>
      <c r="E11" s="72">
        <f>COUNTA('EL exclusions &amp; gaps'!$A$7:$A$5000)</f>
        <v/>
      </c>
      <c r="H11" s="72">
        <f>COUNTA('EL sources'!$A$7:$A$20000)</f>
        <v/>
      </c>
      <c r="J11" s="72">
        <f>COUNTIFS('EL institution summary'!$H$7:$H$130,"&lt;&gt;Not started",'EL institution summary'!$N$7:$N$130,0)</f>
        <v/>
      </c>
    </row>
    <row r="12">
      <c r="J12" s="73" t="inlineStr">
        <is>
          <t>"no qualifying scheme verified through the documented search"</t>
        </is>
      </c>
    </row>
    <row r="15">
      <c r="A15" s="74" t="inlineStr">
        <is>
          <t>Current qualifying schemes by academic reach</t>
        </is>
      </c>
      <c r="H15" s="74" t="inlineStr">
        <is>
          <t>Breakdown by country / region group</t>
        </is>
      </c>
    </row>
    <row r="16">
      <c r="A16" s="75" t="inlineStr">
        <is>
          <t>Academic reach</t>
        </is>
      </c>
      <c r="B16" s="75" t="inlineStr">
        <is>
          <t>Schemes</t>
        </is>
      </c>
      <c r="C16" s="75" t="inlineStr">
        <is>
          <t>Institutions with ≥1</t>
        </is>
      </c>
      <c r="D16" s="75" t="inlineStr">
        <is>
          <t>Share of qualifying schemes</t>
        </is>
      </c>
      <c r="H16" s="75" t="inlineStr">
        <is>
          <t>Region group</t>
        </is>
      </c>
      <c r="I16" s="75" t="inlineStr">
        <is>
          <t>In scope</t>
        </is>
      </c>
      <c r="J16" s="75" t="inlineStr">
        <is>
          <t>Reviewed (full+partial)</t>
        </is>
      </c>
      <c r="K16" s="75" t="inlineStr">
        <is>
          <t>With ≥1 qualifying</t>
        </is>
      </c>
      <c r="L16" s="75" t="inlineStr">
        <is>
          <t>Qualifying schemes</t>
        </is>
      </c>
      <c r="M16" s="75" t="inlineStr">
        <is>
          <t>University-wide qualifying</t>
        </is>
      </c>
    </row>
    <row r="17">
      <c r="A17" s="24" t="inlineStr">
        <is>
          <t>University-wide</t>
        </is>
      </c>
      <c r="B17" s="32">
        <f>COUNTIFS('EL scheme register'!$C$7:$C$7,A17,'EL scheme register'!$AJ$7:$AJ$7,"Yes")</f>
        <v/>
      </c>
      <c r="C17" s="32">
        <f>COUNTIF('EL institution summary'!$I$7:$I$130,"&gt;0")</f>
        <v/>
      </c>
      <c r="D17" s="76">
        <f>IF(SUM($B$17:$B$21)=0,"n/a",B17/SUM($B$17:$B$21))</f>
        <v/>
      </c>
      <c r="H17" s="24" t="inlineStr">
        <is>
          <t>UK – Russell Group</t>
        </is>
      </c>
      <c r="I17">
        <f>COUNTIF('EL institution summary'!$E$7:$E$130,H17)</f>
        <v/>
      </c>
      <c r="J17">
        <f>COUNTIFS('EL institution summary'!$E$7:$E$130,H17,'EL institution summary'!$H$7:$H$130,"&lt;&gt;Not started")</f>
        <v/>
      </c>
      <c r="K17">
        <f>COUNTIFS('EL institution summary'!$E$7:$E$130,H17,'EL institution summary'!$N$7:$N$130,"&gt;0")</f>
        <v/>
      </c>
      <c r="L17">
        <f>COUNTIFS('EL scheme register'!$AP$7:$AP$7,H17,'EL scheme register'!$AJ$7:$AJ$7,"Yes")</f>
        <v/>
      </c>
      <c r="M17">
        <f>COUNTIFS('EL scheme register'!$AP$7:$AP$7,H17,'EL scheme register'!$AJ$7:$AJ$7,"Yes",'EL scheme register'!$C$7:$C$7,"University-wide")</f>
        <v/>
      </c>
    </row>
    <row r="18">
      <c r="A18" s="24" t="inlineStr">
        <is>
          <t>Cross-faculty</t>
        </is>
      </c>
      <c r="B18" s="32">
        <f>COUNTIFS('EL scheme register'!$C$7:$C$7,A18,'EL scheme register'!$AJ$7:$AJ$7,"Yes")</f>
        <v/>
      </c>
      <c r="C18" s="32">
        <f>COUNTIF('EL institution summary'!$J$7:$J$130,"&gt;0")</f>
        <v/>
      </c>
      <c r="D18" s="76">
        <f>IF(SUM($B$17:$B$21)=0,"n/a",B18/SUM($B$17:$B$21))</f>
        <v/>
      </c>
      <c r="H18" s="24" t="inlineStr">
        <is>
          <t>UK – additional</t>
        </is>
      </c>
      <c r="I18">
        <f>COUNTIF('EL institution summary'!$E$7:$E$130,H18)</f>
        <v/>
      </c>
      <c r="J18">
        <f>COUNTIFS('EL institution summary'!$E$7:$E$130,H18,'EL institution summary'!$H$7:$H$130,"&lt;&gt;Not started")</f>
        <v/>
      </c>
      <c r="K18">
        <f>COUNTIFS('EL institution summary'!$E$7:$E$130,H18,'EL institution summary'!$N$7:$N$130,"&gt;0")</f>
        <v/>
      </c>
      <c r="L18">
        <f>COUNTIFS('EL scheme register'!$AP$7:$AP$7,H18,'EL scheme register'!$AJ$7:$AJ$7,"Yes")</f>
        <v/>
      </c>
      <c r="M18">
        <f>COUNTIFS('EL scheme register'!$AP$7:$AP$7,H18,'EL scheme register'!$AJ$7:$AJ$7,"Yes",'EL scheme register'!$C$7:$C$7,"University-wide")</f>
        <v/>
      </c>
    </row>
    <row r="19">
      <c r="A19" s="24" t="inlineStr">
        <is>
          <t>Faculty/school</t>
        </is>
      </c>
      <c r="B19" s="32">
        <f>COUNTIFS('EL scheme register'!$C$7:$C$7,A19,'EL scheme register'!$AJ$7:$AJ$7,"Yes")</f>
        <v/>
      </c>
      <c r="C19" s="32">
        <f>COUNTIF('EL institution summary'!$K$7:$K$130,"&gt;0")</f>
        <v/>
      </c>
      <c r="D19" s="76">
        <f>IF(SUM($B$17:$B$21)=0,"n/a",B19/SUM($B$17:$B$21))</f>
        <v/>
      </c>
      <c r="H19" s="24" t="inlineStr">
        <is>
          <t>Australia</t>
        </is>
      </c>
      <c r="I19">
        <f>COUNTIF('EL institution summary'!$E$7:$E$130,H19)</f>
        <v/>
      </c>
      <c r="J19">
        <f>COUNTIFS('EL institution summary'!$E$7:$E$130,H19,'EL institution summary'!$H$7:$H$130,"&lt;&gt;Not started")</f>
        <v/>
      </c>
      <c r="K19">
        <f>COUNTIFS('EL institution summary'!$E$7:$E$130,H19,'EL institution summary'!$N$7:$N$130,"&gt;0")</f>
        <v/>
      </c>
      <c r="L19">
        <f>COUNTIFS('EL scheme register'!$AP$7:$AP$7,H19,'EL scheme register'!$AJ$7:$AJ$7,"Yes")</f>
        <v/>
      </c>
      <c r="M19">
        <f>COUNTIFS('EL scheme register'!$AP$7:$AP$7,H19,'EL scheme register'!$AJ$7:$AJ$7,"Yes",'EL scheme register'!$C$7:$C$7,"University-wide")</f>
        <v/>
      </c>
    </row>
    <row r="20">
      <c r="A20" s="24" t="inlineStr">
        <is>
          <t>Programme/course</t>
        </is>
      </c>
      <c r="B20" s="32">
        <f>COUNTIFS('EL scheme register'!$C$7:$C$7,A20,'EL scheme register'!$AJ$7:$AJ$7,"Yes")</f>
        <v/>
      </c>
      <c r="C20" s="32">
        <f>COUNTIF('EL institution summary'!$L$7:$L$130,"&gt;0")</f>
        <v/>
      </c>
      <c r="D20" s="76">
        <f>IF(SUM($B$17:$B$21)=0,"n/a",B20/SUM($B$17:$B$21))</f>
        <v/>
      </c>
      <c r="H20" s="24" t="inlineStr">
        <is>
          <t>US</t>
        </is>
      </c>
      <c r="I20">
        <f>COUNTIF('EL institution summary'!$E$7:$E$130,H20)</f>
        <v/>
      </c>
      <c r="J20">
        <f>COUNTIFS('EL institution summary'!$E$7:$E$130,H20,'EL institution summary'!$H$7:$H$130,"&lt;&gt;Not started")</f>
        <v/>
      </c>
      <c r="K20">
        <f>COUNTIFS('EL institution summary'!$E$7:$E$130,H20,'EL institution summary'!$N$7:$N$130,"&gt;0")</f>
        <v/>
      </c>
      <c r="L20">
        <f>COUNTIFS('EL scheme register'!$AP$7:$AP$7,H20,'EL scheme register'!$AJ$7:$AJ$7,"Yes")</f>
        <v/>
      </c>
      <c r="M20">
        <f>COUNTIFS('EL scheme register'!$AP$7:$AP$7,H20,'EL scheme register'!$AJ$7:$AJ$7,"Yes",'EL scheme register'!$C$7:$C$7,"University-wide")</f>
        <v/>
      </c>
    </row>
    <row r="21">
      <c r="A21" s="24" t="inlineStr">
        <is>
          <t>Unclear</t>
        </is>
      </c>
      <c r="B21" s="32">
        <f>COUNTIFS('EL scheme register'!$C$7:$C$7,A21,'EL scheme register'!$AJ$7:$AJ$7,"Yes")</f>
        <v/>
      </c>
      <c r="C21" s="32">
        <f>COUNTIF('EL institution summary'!$M$7:$M$130,"&gt;0")</f>
        <v/>
      </c>
      <c r="D21" s="76">
        <f>IF(SUM($B$17:$B$21)=0,"n/a",B21/SUM($B$17:$B$21))</f>
        <v/>
      </c>
      <c r="H21" s="24" t="inlineStr">
        <is>
          <t>EU</t>
        </is>
      </c>
      <c r="I21">
        <f>COUNTIF('EL institution summary'!$E$7:$E$130,H21)</f>
        <v/>
      </c>
      <c r="J21">
        <f>COUNTIFS('EL institution summary'!$E$7:$E$130,H21,'EL institution summary'!$H$7:$H$130,"&lt;&gt;Not started")</f>
        <v/>
      </c>
      <c r="K21">
        <f>COUNTIFS('EL institution summary'!$E$7:$E$130,H21,'EL institution summary'!$N$7:$N$130,"&gt;0")</f>
        <v/>
      </c>
      <c r="L21">
        <f>COUNTIFS('EL scheme register'!$AP$7:$AP$7,H21,'EL scheme register'!$AJ$7:$AJ$7,"Yes")</f>
        <v/>
      </c>
      <c r="M21">
        <f>COUNTIFS('EL scheme register'!$AP$7:$AP$7,H21,'EL scheme register'!$AJ$7:$AJ$7,"Yes",'EL scheme register'!$C$7:$C$7,"University-wide")</f>
        <v/>
      </c>
    </row>
    <row r="22">
      <c r="A22" s="24" t="inlineStr">
        <is>
          <t>Total</t>
        </is>
      </c>
      <c r="B22" s="32">
        <f>SUM(B17:B21)</f>
        <v/>
      </c>
      <c r="C22" s="32">
        <f>COUNTIF('EL institution summary'!$N$7:$N$130,"&gt;0")</f>
        <v/>
      </c>
      <c r="D22" s="76" t="inlineStr"/>
      <c r="H22" s="24" t="inlineStr">
        <is>
          <t>Total</t>
        </is>
      </c>
      <c r="I22" s="24">
        <f>SUM(I17:I21)</f>
        <v/>
      </c>
      <c r="J22" s="24">
        <f>SUM(J17:J21)</f>
        <v/>
      </c>
      <c r="K22" s="24">
        <f>SUM(K17:K21)</f>
        <v/>
      </c>
      <c r="L22" s="24">
        <f>SUM(L17:L21)</f>
        <v/>
      </c>
      <c r="M22" s="24">
        <f>SUM(M17:M21)</f>
        <v/>
      </c>
    </row>
    <row r="24">
      <c r="A24" s="74" t="inlineStr">
        <is>
          <t>University-wide qualifying schemes: optional access vs compulsory provision</t>
        </is>
      </c>
    </row>
    <row r="25">
      <c r="A25" s="75" t="inlineStr">
        <is>
          <t>Participation requirement</t>
        </is>
      </c>
      <c r="B25" s="75" t="inlineStr">
        <is>
          <t>Schemes</t>
        </is>
      </c>
      <c r="C25" s="75" t="inlineStr">
        <is>
          <t>Institutions</t>
        </is>
      </c>
      <c r="H25" s="74" t="inlineStr">
        <is>
          <t>By country</t>
        </is>
      </c>
    </row>
    <row r="26">
      <c r="A26" s="24" t="inlineStr">
        <is>
          <t>Compulsory for all students</t>
        </is>
      </c>
      <c r="B26" s="32">
        <f>COUNTIFS('EL scheme register'!$C$7:$C$7,"University-wide",'EL scheme register'!$Q$7:$Q$7,A26,'EL scheme register'!$AJ$7:$AJ$7,"Yes")</f>
        <v/>
      </c>
      <c r="C26" s="32">
        <f>SUMPRODUCT(('EL institution summary'!$A$7:$A$130&lt;&gt;"")/COUNTIF('EL institution summary'!$A$7:$A$130,'EL institution summary'!$A$7:$A$130&amp;"")*(COUNTIFS('EL scheme register'!$A$7:$A$7,'EL institution summary'!$A$7:$A$130,'EL scheme register'!$C$7:$C$7,"University-wide",'EL scheme register'!$Q$7:$Q$7,A26,'EL scheme register'!$AJ$7:$AJ$7,"Yes")&gt;0))</f>
        <v/>
      </c>
      <c r="H26" s="75" t="inlineStr">
        <is>
          <t>Country</t>
        </is>
      </c>
      <c r="I26" s="75" t="inlineStr">
        <is>
          <t>In scope</t>
        </is>
      </c>
      <c r="J26" s="75" t="inlineStr">
        <is>
          <t>Reviewed</t>
        </is>
      </c>
      <c r="K26" s="75" t="inlineStr">
        <is>
          <t>With ≥1 qualifying</t>
        </is>
      </c>
      <c r="L26" s="75" t="inlineStr">
        <is>
          <t>Qualifying schemes</t>
        </is>
      </c>
    </row>
    <row r="27">
      <c r="A27" s="24" t="inlineStr">
        <is>
          <t>Compulsory within specified programmes</t>
        </is>
      </c>
      <c r="B27" s="32">
        <f>COUNTIFS('EL scheme register'!$C$7:$C$7,"University-wide",'EL scheme register'!$Q$7:$Q$7,A27,'EL scheme register'!$AJ$7:$AJ$7,"Yes")</f>
        <v/>
      </c>
      <c r="C27" s="32">
        <f>SUMPRODUCT(('EL institution summary'!$A$7:$A$130&lt;&gt;"")/COUNTIF('EL institution summary'!$A$7:$A$130,'EL institution summary'!$A$7:$A$130&amp;"")*(COUNTIFS('EL scheme register'!$A$7:$A$7,'EL institution summary'!$A$7:$A$130,'EL scheme register'!$C$7:$C$7,"University-wide",'EL scheme register'!$Q$7:$Q$7,A27,'EL scheme register'!$AJ$7:$AJ$7,"Yes")&gt;0))</f>
        <v/>
      </c>
      <c r="H27" s="24" t="inlineStr">
        <is>
          <t>Australia</t>
        </is>
      </c>
      <c r="I27">
        <f>COUNTIF('EL institution summary'!$C$7:$C$130,H27)</f>
        <v/>
      </c>
      <c r="J27">
        <f>COUNTIFS('EL institution summary'!$C$7:$C$130,H27,'EL institution summary'!$H$7:$H$130,"&lt;&gt;Not started")</f>
        <v/>
      </c>
      <c r="K27">
        <f>COUNTIFS('EL institution summary'!$C$7:$C$130,H27,'EL institution summary'!$N$7:$N$130,"&gt;0")</f>
        <v/>
      </c>
      <c r="L27">
        <f>COUNTIFS('EL scheme register'!$AO$7:$AO$7,H27,'EL scheme register'!$AJ$7:$AJ$7,"Yes")</f>
        <v/>
      </c>
    </row>
    <row r="28">
      <c r="A28" s="24" t="inlineStr">
        <is>
          <t>Optional/elective</t>
        </is>
      </c>
      <c r="B28" s="32">
        <f>COUNTIFS('EL scheme register'!$C$7:$C$7,"University-wide",'EL scheme register'!$Q$7:$Q$7,A28,'EL scheme register'!$AJ$7:$AJ$7,"Yes")</f>
        <v/>
      </c>
      <c r="C28" s="32">
        <f>SUMPRODUCT(('EL institution summary'!$A$7:$A$130&lt;&gt;"")/COUNTIF('EL institution summary'!$A$7:$A$130,'EL institution summary'!$A$7:$A$130&amp;"")*(COUNTIFS('EL scheme register'!$A$7:$A$7,'EL institution summary'!$A$7:$A$130,'EL scheme register'!$C$7:$C$7,"University-wide",'EL scheme register'!$Q$7:$Q$7,A28,'EL scheme register'!$AJ$7:$AJ$7,"Yes")&gt;0))</f>
        <v/>
      </c>
      <c r="H28" s="24" t="inlineStr">
        <is>
          <t>UK</t>
        </is>
      </c>
      <c r="I28">
        <f>COUNTIF('EL institution summary'!$C$7:$C$130,H28)</f>
        <v/>
      </c>
      <c r="J28">
        <f>COUNTIFS('EL institution summary'!$C$7:$C$130,H28,'EL institution summary'!$H$7:$H$130,"&lt;&gt;Not started")</f>
        <v/>
      </c>
      <c r="K28">
        <f>COUNTIFS('EL institution summary'!$C$7:$C$130,H28,'EL institution summary'!$N$7:$N$130,"&gt;0")</f>
        <v/>
      </c>
      <c r="L28">
        <f>COUNTIFS('EL scheme register'!$AO$7:$AO$7,H28,'EL scheme register'!$AJ$7:$AJ$7,"Yes")</f>
        <v/>
      </c>
    </row>
    <row r="29">
      <c r="A29" s="24" t="inlineStr">
        <is>
          <t>Selective/competitive</t>
        </is>
      </c>
      <c r="B29" s="32">
        <f>COUNTIFS('EL scheme register'!$C$7:$C$7,"University-wide",'EL scheme register'!$Q$7:$Q$7,A29,'EL scheme register'!$AJ$7:$AJ$7,"Yes")</f>
        <v/>
      </c>
      <c r="C29" s="32">
        <f>SUMPRODUCT(('EL institution summary'!$A$7:$A$130&lt;&gt;"")/COUNTIF('EL institution summary'!$A$7:$A$130,'EL institution summary'!$A$7:$A$130&amp;"")*(COUNTIFS('EL scheme register'!$A$7:$A$7,'EL institution summary'!$A$7:$A$130,'EL scheme register'!$C$7:$C$7,"University-wide",'EL scheme register'!$Q$7:$Q$7,A29,'EL scheme register'!$AJ$7:$AJ$7,"Yes")&gt;0))</f>
        <v/>
      </c>
      <c r="H29" s="24" t="inlineStr">
        <is>
          <t>US</t>
        </is>
      </c>
      <c r="I29">
        <f>COUNTIF('EL institution summary'!$C$7:$C$130,H29)</f>
        <v/>
      </c>
      <c r="J29">
        <f>COUNTIFS('EL institution summary'!$C$7:$C$130,H29,'EL institution summary'!$H$7:$H$130,"&lt;&gt;Not started")</f>
        <v/>
      </c>
      <c r="K29">
        <f>COUNTIFS('EL institution summary'!$C$7:$C$130,H29,'EL institution summary'!$N$7:$N$130,"&gt;0")</f>
        <v/>
      </c>
      <c r="L29">
        <f>COUNTIFS('EL scheme register'!$AO$7:$AO$7,H29,'EL scheme register'!$AJ$7:$AJ$7,"Yes")</f>
        <v/>
      </c>
    </row>
    <row r="30">
      <c r="A30" s="24" t="inlineStr">
        <is>
          <t>Unclear</t>
        </is>
      </c>
      <c r="B30" s="32">
        <f>COUNTIFS('EL scheme register'!$C$7:$C$7,"University-wide",'EL scheme register'!$Q$7:$Q$7,A30,'EL scheme register'!$AJ$7:$AJ$7,"Yes")</f>
        <v/>
      </c>
      <c r="C30" s="32">
        <f>SUMPRODUCT(('EL institution summary'!$A$7:$A$130&lt;&gt;"")/COUNTIF('EL institution summary'!$A$7:$A$130,'EL institution summary'!$A$7:$A$130&amp;"")*(COUNTIFS('EL scheme register'!$A$7:$A$7,'EL institution summary'!$A$7:$A$130,'EL scheme register'!$C$7:$C$7,"University-wide",'EL scheme register'!$Q$7:$Q$7,A30,'EL scheme register'!$AJ$7:$AJ$7,"Yes")&gt;0))</f>
        <v/>
      </c>
      <c r="H30" s="24" t="inlineStr">
        <is>
          <t>Belgium</t>
        </is>
      </c>
      <c r="I30">
        <f>COUNTIF('EL institution summary'!$C$7:$C$130,H30)</f>
        <v/>
      </c>
      <c r="J30">
        <f>COUNTIFS('EL institution summary'!$C$7:$C$130,H30,'EL institution summary'!$H$7:$H$130,"&lt;&gt;Not started")</f>
        <v/>
      </c>
      <c r="K30">
        <f>COUNTIFS('EL institution summary'!$C$7:$C$130,H30,'EL institution summary'!$N$7:$N$130,"&gt;0")</f>
        <v/>
      </c>
      <c r="L30">
        <f>COUNTIFS('EL scheme register'!$AO$7:$AO$7,H30,'EL scheme register'!$AJ$7:$AJ$7,"Yes")</f>
        <v/>
      </c>
    </row>
    <row r="31">
      <c r="H31" s="24" t="inlineStr">
        <is>
          <t>Denmark</t>
        </is>
      </c>
      <c r="I31">
        <f>COUNTIF('EL institution summary'!$C$7:$C$130,H31)</f>
        <v/>
      </c>
      <c r="J31">
        <f>COUNTIFS('EL institution summary'!$C$7:$C$130,H31,'EL institution summary'!$H$7:$H$130,"&lt;&gt;Not started")</f>
        <v/>
      </c>
      <c r="K31">
        <f>COUNTIFS('EL institution summary'!$C$7:$C$130,H31,'EL institution summary'!$N$7:$N$130,"&gt;0")</f>
        <v/>
      </c>
      <c r="L31">
        <f>COUNTIFS('EL scheme register'!$AO$7:$AO$7,H31,'EL scheme register'!$AJ$7:$AJ$7,"Yes")</f>
        <v/>
      </c>
    </row>
    <row r="32">
      <c r="A32" s="74" t="inlineStr">
        <is>
          <t>Current qualifying schemes by external partner type (business-linked vs public/community)</t>
        </is>
      </c>
      <c r="H32" s="24" t="inlineStr">
        <is>
          <t>Finland</t>
        </is>
      </c>
      <c r="I32">
        <f>COUNTIF('EL institution summary'!$C$7:$C$130,H32)</f>
        <v/>
      </c>
      <c r="J32">
        <f>COUNTIFS('EL institution summary'!$C$7:$C$130,H32,'EL institution summary'!$H$7:$H$130,"&lt;&gt;Not started")</f>
        <v/>
      </c>
      <c r="K32">
        <f>COUNTIFS('EL institution summary'!$C$7:$C$130,H32,'EL institution summary'!$N$7:$N$130,"&gt;0")</f>
        <v/>
      </c>
      <c r="L32">
        <f>COUNTIFS('EL scheme register'!$AO$7:$AO$7,H32,'EL scheme register'!$AJ$7:$AJ$7,"Yes")</f>
        <v/>
      </c>
    </row>
    <row r="33">
      <c r="A33" s="75" t="inlineStr">
        <is>
          <t>Partner type</t>
        </is>
      </c>
      <c r="B33" s="75" t="inlineStr">
        <is>
          <t>Schemes</t>
        </is>
      </c>
      <c r="C33" s="75" t="inlineStr">
        <is>
          <t>Institutions</t>
        </is>
      </c>
      <c r="H33" s="24" t="inlineStr">
        <is>
          <t>France</t>
        </is>
      </c>
      <c r="I33">
        <f>COUNTIF('EL institution summary'!$C$7:$C$130,H33)</f>
        <v/>
      </c>
      <c r="J33">
        <f>COUNTIFS('EL institution summary'!$C$7:$C$130,H33,'EL institution summary'!$H$7:$H$130,"&lt;&gt;Not started")</f>
        <v/>
      </c>
      <c r="K33">
        <f>COUNTIFS('EL institution summary'!$C$7:$C$130,H33,'EL institution summary'!$N$7:$N$130,"&gt;0")</f>
        <v/>
      </c>
      <c r="L33">
        <f>COUNTIFS('EL scheme register'!$AO$7:$AO$7,H33,'EL scheme register'!$AJ$7:$AJ$7,"Yes")</f>
        <v/>
      </c>
    </row>
    <row r="34">
      <c r="A34" s="24" t="inlineStr">
        <is>
          <t>Business/commercial</t>
        </is>
      </c>
      <c r="B34" s="32">
        <f>COUNTIFS('EL scheme register'!$AB$7:$AB$7,A34,'EL scheme register'!$AJ$7:$AJ$7,"Yes")</f>
        <v/>
      </c>
      <c r="C34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register'!$AB$7:$AB$7,A34,'EL scheme register'!$AJ$7:$AJ$7,"Yes")&gt;0))</f>
        <v/>
      </c>
      <c r="H34" s="24" t="inlineStr">
        <is>
          <t>Germany</t>
        </is>
      </c>
      <c r="I34">
        <f>COUNTIF('EL institution summary'!$C$7:$C$130,H34)</f>
        <v/>
      </c>
      <c r="J34">
        <f>COUNTIFS('EL institution summary'!$C$7:$C$130,H34,'EL institution summary'!$H$7:$H$130,"&lt;&gt;Not started")</f>
        <v/>
      </c>
      <c r="K34">
        <f>COUNTIFS('EL institution summary'!$C$7:$C$130,H34,'EL institution summary'!$N$7:$N$130,"&gt;0")</f>
        <v/>
      </c>
      <c r="L34">
        <f>COUNTIFS('EL scheme register'!$AO$7:$AO$7,H34,'EL scheme register'!$AJ$7:$AJ$7,"Yes")</f>
        <v/>
      </c>
    </row>
    <row r="35">
      <c r="A35" s="24" t="inlineStr">
        <is>
          <t>Public sector</t>
        </is>
      </c>
      <c r="B35" s="32">
        <f>COUNTIFS('EL scheme register'!$AB$7:$AB$7,A35,'EL scheme register'!$AJ$7:$AJ$7,"Yes")</f>
        <v/>
      </c>
      <c r="C35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register'!$AB$7:$AB$7,A35,'EL scheme register'!$AJ$7:$AJ$7,"Yes")&gt;0))</f>
        <v/>
      </c>
      <c r="H35" s="24" t="inlineStr">
        <is>
          <t>Ireland</t>
        </is>
      </c>
      <c r="I35">
        <f>COUNTIF('EL institution summary'!$C$7:$C$130,H35)</f>
        <v/>
      </c>
      <c r="J35">
        <f>COUNTIFS('EL institution summary'!$C$7:$C$130,H35,'EL institution summary'!$H$7:$H$130,"&lt;&gt;Not started")</f>
        <v/>
      </c>
      <c r="K35">
        <f>COUNTIFS('EL institution summary'!$C$7:$C$130,H35,'EL institution summary'!$N$7:$N$130,"&gt;0")</f>
        <v/>
      </c>
      <c r="L35">
        <f>COUNTIFS('EL scheme register'!$AO$7:$AO$7,H35,'EL scheme register'!$AJ$7:$AJ$7,"Yes")</f>
        <v/>
      </c>
    </row>
    <row r="36">
      <c r="A36" s="24" t="inlineStr">
        <is>
          <t>Charity/community</t>
        </is>
      </c>
      <c r="B36" s="32">
        <f>COUNTIFS('EL scheme register'!$AB$7:$AB$7,A36,'EL scheme register'!$AJ$7:$AJ$7,"Yes")</f>
        <v/>
      </c>
      <c r="C36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register'!$AB$7:$AB$7,A36,'EL scheme register'!$AJ$7:$AJ$7,"Yes")&gt;0))</f>
        <v/>
      </c>
      <c r="H36" s="24" t="inlineStr">
        <is>
          <t>Italy</t>
        </is>
      </c>
      <c r="I36">
        <f>COUNTIF('EL institution summary'!$C$7:$C$130,H36)</f>
        <v/>
      </c>
      <c r="J36">
        <f>COUNTIFS('EL institution summary'!$C$7:$C$130,H36,'EL institution summary'!$H$7:$H$130,"&lt;&gt;Not started")</f>
        <v/>
      </c>
      <c r="K36">
        <f>COUNTIFS('EL institution summary'!$C$7:$C$130,H36,'EL institution summary'!$N$7:$N$130,"&gt;0")</f>
        <v/>
      </c>
      <c r="L36">
        <f>COUNTIFS('EL scheme register'!$AO$7:$AO$7,H36,'EL scheme register'!$AJ$7:$AJ$7,"Yes")</f>
        <v/>
      </c>
    </row>
    <row r="37">
      <c r="A37" s="24" t="inlineStr">
        <is>
          <t>Mixed</t>
        </is>
      </c>
      <c r="B37" s="32">
        <f>COUNTIFS('EL scheme register'!$AB$7:$AB$7,A37,'EL scheme register'!$AJ$7:$AJ$7,"Yes")</f>
        <v/>
      </c>
      <c r="C37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register'!$AB$7:$AB$7,A37,'EL scheme register'!$AJ$7:$AJ$7,"Yes")&gt;0))</f>
        <v/>
      </c>
      <c r="H37" s="24" t="inlineStr">
        <is>
          <t>Netherlands</t>
        </is>
      </c>
      <c r="I37">
        <f>COUNTIF('EL institution summary'!$C$7:$C$130,H37)</f>
        <v/>
      </c>
      <c r="J37">
        <f>COUNTIFS('EL institution summary'!$C$7:$C$130,H37,'EL institution summary'!$H$7:$H$130,"&lt;&gt;Not started")</f>
        <v/>
      </c>
      <c r="K37">
        <f>COUNTIFS('EL institution summary'!$C$7:$C$130,H37,'EL institution summary'!$N$7:$N$130,"&gt;0")</f>
        <v/>
      </c>
      <c r="L37">
        <f>COUNTIFS('EL scheme register'!$AO$7:$AO$7,H37,'EL scheme register'!$AJ$7:$AJ$7,"Yes")</f>
        <v/>
      </c>
    </row>
    <row r="38">
      <c r="A38" s="24" t="inlineStr">
        <is>
          <t>Other</t>
        </is>
      </c>
      <c r="B38" s="32">
        <f>COUNTIFS('EL scheme register'!$AB$7:$AB$7,A38,'EL scheme register'!$AJ$7:$AJ$7,"Yes")</f>
        <v/>
      </c>
      <c r="C38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register'!$AB$7:$AB$7,A38,'EL scheme register'!$AJ$7:$AJ$7,"Yes")&gt;0))</f>
        <v/>
      </c>
      <c r="H38" s="24" t="inlineStr">
        <is>
          <t>Spain</t>
        </is>
      </c>
      <c r="I38">
        <f>COUNTIF('EL institution summary'!$C$7:$C$130,H38)</f>
        <v/>
      </c>
      <c r="J38">
        <f>COUNTIFS('EL institution summary'!$C$7:$C$130,H38,'EL institution summary'!$H$7:$H$130,"&lt;&gt;Not started")</f>
        <v/>
      </c>
      <c r="K38">
        <f>COUNTIFS('EL institution summary'!$C$7:$C$130,H38,'EL institution summary'!$N$7:$N$130,"&gt;0")</f>
        <v/>
      </c>
      <c r="L38">
        <f>COUNTIFS('EL scheme register'!$AO$7:$AO$7,H38,'EL scheme register'!$AJ$7:$AJ$7,"Yes")</f>
        <v/>
      </c>
    </row>
    <row r="39">
      <c r="A39" s="24" t="inlineStr">
        <is>
          <t>Unclear</t>
        </is>
      </c>
      <c r="B39" s="32">
        <f>COUNTIFS('EL scheme register'!$AB$7:$AB$7,A39,'EL scheme register'!$AJ$7:$AJ$7,"Yes")</f>
        <v/>
      </c>
      <c r="C39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register'!$AB$7:$AB$7,A39,'EL scheme register'!$AJ$7:$AJ$7,"Yes")&gt;0))</f>
        <v/>
      </c>
      <c r="H39" s="24" t="inlineStr">
        <is>
          <t>Sweden</t>
        </is>
      </c>
      <c r="I39">
        <f>COUNTIF('EL institution summary'!$C$7:$C$130,H39)</f>
        <v/>
      </c>
      <c r="J39">
        <f>COUNTIFS('EL institution summary'!$C$7:$C$130,H39,'EL institution summary'!$H$7:$H$130,"&lt;&gt;Not started")</f>
        <v/>
      </c>
      <c r="K39">
        <f>COUNTIFS('EL institution summary'!$C$7:$C$130,H39,'EL institution summary'!$N$7:$N$130,"&gt;0")</f>
        <v/>
      </c>
      <c r="L39">
        <f>COUNTIFS('EL scheme register'!$AO$7:$AO$7,H39,'EL scheme register'!$AJ$7:$AJ$7,"Yes")</f>
        <v/>
      </c>
    </row>
    <row r="40">
      <c r="A40" s="24" t="inlineStr">
        <is>
          <t>None</t>
        </is>
      </c>
      <c r="B40" s="32">
        <f>COUNTIFS('EL scheme register'!$AB$7:$AB$7,A40,'EL scheme register'!$AJ$7:$AJ$7,"Yes")</f>
        <v/>
      </c>
      <c r="C40" s="32">
        <f>SUMPRODUCT(('EL institution summary'!$A$7:$A$130&lt;&gt;"")/COUNTIF('EL institution summary'!$A$7:$A$130,'EL institution summary'!$A$7:$A$130&amp;"")*(COUNTIFS('EL scheme register'!$A$7:$A$7,'EL institution summary'!$A$7:$A$130,'EL scheme register'!$AB$7:$AB$7,A40,'EL scheme register'!$AJ$7:$AJ$7,"Yes")&gt;0))</f>
        <v/>
      </c>
    </row>
    <row r="42">
      <c r="A42" s="74" t="inlineStr">
        <is>
          <t>Evidence status of all register records (counted schemes only; umbrellas excluded)</t>
        </is>
      </c>
    </row>
    <row r="43">
      <c r="A43" s="75" t="inlineStr">
        <is>
          <t>Category</t>
        </is>
      </c>
      <c r="B43" s="75" t="inlineStr">
        <is>
          <t>Records</t>
        </is>
      </c>
    </row>
    <row r="44">
      <c r="A44" s="24" t="inlineStr">
        <is>
          <t>Meets all three; current delivery confirmed</t>
        </is>
      </c>
      <c r="B44" s="32">
        <f>COUNTIFS('EL scheme register'!$AF$7:$AF$7,"Meets all three",'EL scheme register'!$AG$7:$AG$7,"Current delivery confirmed",'EL scheme register'!$AI$7:$AI$7,"Yes")</f>
        <v/>
      </c>
    </row>
    <row r="45">
      <c r="A45" s="24" t="inlineStr">
        <is>
          <t>Meets all three; current status unclear</t>
        </is>
      </c>
      <c r="B45" s="32">
        <f>COUNTIFS('EL scheme register'!$AF$7:$AF$7,"Meets all three",'EL scheme register'!$AG$7:$AG$7,"Current status unclear",'EL scheme register'!$AI$7:$AI$7,"Yes")</f>
        <v/>
      </c>
    </row>
    <row r="46">
      <c r="A46" s="24" t="inlineStr">
        <is>
          <t>Meets all three; historical / paused only</t>
        </is>
      </c>
      <c r="B46" s="32">
        <f>COUNTIFS('EL scheme register'!$AF$7:$AF$7,"Meets all three",'EL scheme register'!$AG$7:$AG$7,"Historical delivery only",'EL scheme register'!$AI$7:$AI$7,"Yes")+COUNTIFS('EL scheme register'!$AF$7:$AF$7,"Meets all three",'EL scheme register'!$AG$7:$AG$7,"Paused/discontinued",'EL scheme register'!$AI$7:$AI$7,"Yes")</f>
        <v/>
      </c>
    </row>
    <row r="47">
      <c r="A47" s="24" t="inlineStr">
        <is>
          <t>Meets all three; announced / forthcoming</t>
        </is>
      </c>
      <c r="B47" s="32">
        <f>COUNTIFS('EL scheme register'!$AF$7:$AF$7,"Meets all three",'EL scheme register'!$AG$7:$AG$7,"Announced/forthcoming",'EL scheme register'!$AI$7:$AI$7,"Yes")</f>
        <v/>
      </c>
    </row>
    <row r="48">
      <c r="A48" s="24" t="inlineStr">
        <is>
          <t>Potentially relevant; evidence incomplete</t>
        </is>
      </c>
      <c r="B48" s="32">
        <f>COUNTIFS('EL scheme register'!$AF$7:$AF$7,"Potentially relevant; evidence incomplete",'EL scheme register'!$AI$7:$AI$7,"Yes")</f>
        <v/>
      </c>
    </row>
    <row r="49">
      <c r="A49" s="24" t="inlineStr">
        <is>
          <t>Outside strict definition (kept in register as near-miss)</t>
        </is>
      </c>
      <c r="B49" s="32">
        <f>COUNTIFS('EL scheme register'!$AF$7:$AF$7,"Outside strict definition",'EL scheme register'!$AI$7:$AI$7,"Yes")</f>
        <v/>
      </c>
    </row>
    <row r="50">
      <c r="A50" s="24" t="inlineStr">
        <is>
          <t>Excluded / near-miss / evidence-gap records (exclusions tab)</t>
        </is>
      </c>
      <c r="B50" s="32">
        <f>COUNTA('EL exclusions &amp; gaps'!$A$7:$A$5000)</f>
        <v/>
      </c>
    </row>
    <row r="51">
      <c r="A51" s="24" t="inlineStr">
        <is>
          <t xml:space="preserve">  of which from legacy research</t>
        </is>
      </c>
      <c r="B51" s="32">
        <f>COUNTIF('EL exclusions &amp; gaps'!$F$7:$F$5000,"Yes")</f>
        <v/>
      </c>
    </row>
    <row r="54">
      <c r="A54" s="74" t="inlineStr">
        <is>
          <t>Reading the dashboard</t>
        </is>
      </c>
    </row>
    <row r="55" ht="28" customHeight="1">
      <c r="A55" s="77" t="inlineStr">
        <is>
          <t>• Denominators are shown; 'with ≥1 qualifying' should be read against reviewed institutions, not the full 124 if any remain unreviewed.</t>
        </is>
      </c>
    </row>
    <row r="56" ht="28" customHeight="1">
      <c r="A56" s="77" t="inlineStr">
        <is>
          <t>• University-wide = published eligibility open across the institution (subject to stated restrictions). It does not mean every student participates; compulsory university-wide provision is counted separately.</t>
        </is>
      </c>
    </row>
    <row r="57" ht="28" customHeight="1">
      <c r="A57" s="77" t="inlineStr">
        <is>
          <t>• Business-linked schemes are those whose external partners are Business/commercial; Mixed schemes include business and public/charity clients. Public-sector and charity-only schemes are shown separately.</t>
        </is>
      </c>
    </row>
    <row r="58" ht="28" customHeight="1">
      <c r="A58" s="77" t="inlineStr">
        <is>
          <t>• 'Evidence incomplete' = no criterion failed, but at least one is Unclear. These are not negative findings.</t>
        </is>
      </c>
    </row>
    <row r="59" ht="28" customHeight="1">
      <c r="A59" s="77" t="inlineStr">
        <is>
          <t>• Evidence was gathered from search-index extracts of official pages (direct page fetching was blocked); see EL method &amp; QC.</t>
        </is>
      </c>
    </row>
  </sheetData>
  <mergeCells count="6">
    <mergeCell ref="A57:L57"/>
    <mergeCell ref="A58:L58"/>
    <mergeCell ref="A56:L56"/>
    <mergeCell ref="A3:L4"/>
    <mergeCell ref="A55:L55"/>
    <mergeCell ref="A59:L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X13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2" customWidth="1" min="3" max="3"/>
    <col width="18" customWidth="1" min="4" max="4"/>
    <col width="18" customWidth="1" min="5" max="5"/>
    <col width="8" customWidth="1" min="6" max="6"/>
    <col width="8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4" customWidth="1" min="18" max="18"/>
    <col width="14" customWidth="1" min="19" max="19"/>
    <col width="46" customWidth="1" min="20" max="20"/>
    <col width="34" customWidth="1" min="21" max="21"/>
    <col width="22" customWidth="1" min="22" max="22"/>
    <col width="70" customWidth="1" min="23" max="23"/>
    <col width="60" customWidth="1" min="24" max="24"/>
  </cols>
  <sheetData>
    <row r="2">
      <c r="A2" s="78" t="inlineStr">
        <is>
          <t>Experiential learning: institution summary</t>
        </is>
      </c>
    </row>
    <row r="3">
      <c r="A3" s="71" t="inlineStr">
        <is>
          <t>One row per institution in the 124-institution sample. Counts are live formulas over 'EL scheme register' (column AJ = counted, meets all three, current).</t>
        </is>
      </c>
    </row>
    <row r="4">
      <c r="A4" s="71" t="inlineStr">
        <is>
          <t>Findings within the researched sample, not national prevalence estimates. 'Not started' / 'Partial' institutions must not be read as negative findings. No composite score is used.</t>
        </is>
      </c>
    </row>
    <row r="6">
      <c r="A6" s="75" t="inlineStr">
        <is>
          <t>Institution ID</t>
        </is>
      </c>
      <c r="B6" s="75" t="inlineStr">
        <is>
          <t>Institution</t>
        </is>
      </c>
      <c r="C6" s="75" t="inlineStr">
        <is>
          <t>Country</t>
        </is>
      </c>
      <c r="D6" s="75" t="inlineStr">
        <is>
          <t>Sample group</t>
        </is>
      </c>
      <c r="E6" s="75" t="inlineStr">
        <is>
          <t>Region group</t>
        </is>
      </c>
      <c r="F6" s="75" t="inlineStr">
        <is>
          <t>QS edition</t>
        </is>
      </c>
      <c r="G6" s="75" t="inlineStr">
        <is>
          <t>QS rank</t>
        </is>
      </c>
      <c r="H6" s="75" t="inlineStr">
        <is>
          <t>Review completeness</t>
        </is>
      </c>
      <c r="I6" s="75" t="inlineStr">
        <is>
          <t>Qualifying current: University-wide</t>
        </is>
      </c>
      <c r="J6" s="75" t="inlineStr">
        <is>
          <t>Qualifying current: Cross-faculty</t>
        </is>
      </c>
      <c r="K6" s="75" t="inlineStr">
        <is>
          <t>Qualifying current: Faculty/school</t>
        </is>
      </c>
      <c r="L6" s="75" t="inlineStr">
        <is>
          <t>Qualifying current: Programme/course</t>
        </is>
      </c>
      <c r="M6" s="75" t="inlineStr">
        <is>
          <t>Qualifying current: Unclear reach</t>
        </is>
      </c>
      <c r="N6" s="75" t="inlineStr">
        <is>
          <t>Qualifying current: total</t>
        </is>
      </c>
      <c r="O6" s="75" t="inlineStr">
        <is>
          <t>Evidence-incomplete records</t>
        </is>
      </c>
      <c r="P6" s="75" t="inlineStr">
        <is>
          <t>Outside-definition records in register</t>
        </is>
      </c>
      <c r="Q6" s="75" t="inlineStr">
        <is>
          <t>Exclusions / near-misses</t>
        </is>
      </c>
      <c r="R6" s="75" t="inlineStr">
        <is>
          <t>University-wide access evidenced (qualifying current scheme)</t>
        </is>
      </c>
      <c r="S6" s="75" t="inlineStr">
        <is>
          <t>Compulsory university-wide provision evidenced</t>
        </is>
      </c>
      <c r="T6" s="75" t="inlineStr">
        <is>
          <t>Main qualifying schemes</t>
        </is>
      </c>
      <c r="U6" s="75" t="inlineStr">
        <is>
          <t>Distribution across faculty areas (qualifying current)</t>
        </is>
      </c>
      <c r="V6" s="75" t="inlineStr">
        <is>
          <t>How embedded the provision appears</t>
        </is>
      </c>
      <c r="W6" s="75" t="inlineStr">
        <is>
          <t>Concise assessment</t>
        </is>
      </c>
      <c r="X6" s="75" t="inlineStr">
        <is>
          <t>Material gaps and unresolved questions</t>
        </is>
      </c>
    </row>
    <row r="7">
      <c r="A7" s="77" t="inlineStr">
        <is>
          <t>RG01</t>
        </is>
      </c>
      <c r="B7" s="79" t="inlineStr">
        <is>
          <t>Birmingham</t>
        </is>
      </c>
      <c r="C7" s="77" t="inlineStr">
        <is>
          <t>UK</t>
        </is>
      </c>
      <c r="D7" s="77" t="inlineStr">
        <is>
          <t>Russell Group</t>
        </is>
      </c>
      <c r="E7" s="77" t="inlineStr">
        <is>
          <t>UK – Russell Group</t>
        </is>
      </c>
      <c r="F7" s="77" t="n">
        <v>2027</v>
      </c>
      <c r="G7" s="77" t="n">
        <v>68</v>
      </c>
      <c r="H7" s="77" t="inlineStr">
        <is>
          <t>Not started</t>
        </is>
      </c>
      <c r="I7" s="77">
        <f>COUNTIFS('EL scheme register'!$A$7:$A$7,$A7,'EL scheme register'!$C$7:$C$7,"University-wide",'EL scheme register'!$AJ$7:$AJ$7,"Yes")</f>
        <v/>
      </c>
      <c r="J7" s="77">
        <f>COUNTIFS('EL scheme register'!$A$7:$A$7,$A7,'EL scheme register'!$C$7:$C$7,"Cross-faculty",'EL scheme register'!$AJ$7:$AJ$7,"Yes")</f>
        <v/>
      </c>
      <c r="K7" s="77">
        <f>COUNTIFS('EL scheme register'!$A$7:$A$7,$A7,'EL scheme register'!$C$7:$C$7,"Faculty/school",'EL scheme register'!$AJ$7:$AJ$7,"Yes")</f>
        <v/>
      </c>
      <c r="L7" s="77">
        <f>COUNTIFS('EL scheme register'!$A$7:$A$7,$A7,'EL scheme register'!$C$7:$C$7,"Programme/course",'EL scheme register'!$AJ$7:$AJ$7,"Yes")</f>
        <v/>
      </c>
      <c r="M7" s="77">
        <f>COUNTIFS('EL scheme register'!$A$7:$A$7,$A7,'EL scheme register'!$C$7:$C$7,"Unclear",'EL scheme register'!$AJ$7:$AJ$7,"Yes")</f>
        <v/>
      </c>
      <c r="N7" s="77">
        <f>SUM(I7:M7)</f>
        <v/>
      </c>
      <c r="O7" s="77">
        <f>COUNTIFS('EL scheme register'!$A$7:$A$7,$A7,'EL scheme register'!$AF$7:$AF$7,"Potentially relevant; evidence incomplete",'EL scheme register'!$AI$7:$AI$7,"Yes")</f>
        <v/>
      </c>
      <c r="P7" s="77">
        <f>COUNTIFS('EL scheme register'!$A$7:$A$7,$A7,'EL scheme register'!$AF$7:$AF$7,"Outside strict definition")</f>
        <v/>
      </c>
      <c r="Q7" s="77">
        <f>COUNTIF('EL exclusions &amp; gaps'!$B$7:$B$5000,$A7)</f>
        <v/>
      </c>
      <c r="R7" s="77" t="inlineStr">
        <is>
          <t>Not reviewed</t>
        </is>
      </c>
      <c r="S7" s="77" t="inlineStr">
        <is>
          <t>Not reviewed</t>
        </is>
      </c>
      <c r="T7" s="77" t="inlineStr"/>
      <c r="U7" s="77" t="inlineStr"/>
      <c r="V7" s="77" t="inlineStr">
        <is>
          <t>Not reviewed</t>
        </is>
      </c>
      <c r="W7" s="77" t="inlineStr"/>
      <c r="X7" s="77" t="inlineStr"/>
    </row>
    <row r="8">
      <c r="A8" s="77" t="inlineStr">
        <is>
          <t>RG02</t>
        </is>
      </c>
      <c r="B8" s="79" t="inlineStr">
        <is>
          <t>Bristol</t>
        </is>
      </c>
      <c r="C8" s="77" t="inlineStr">
        <is>
          <t>UK</t>
        </is>
      </c>
      <c r="D8" s="77" t="inlineStr">
        <is>
          <t>Russell Group</t>
        </is>
      </c>
      <c r="E8" s="77" t="inlineStr">
        <is>
          <t>UK – Russell Group</t>
        </is>
      </c>
      <c r="F8" s="77" t="n">
        <v>2027</v>
      </c>
      <c r="G8" s="77" t="n">
        <v>57</v>
      </c>
      <c r="H8" s="77" t="inlineStr">
        <is>
          <t>Not started</t>
        </is>
      </c>
      <c r="I8" s="77">
        <f>COUNTIFS('EL scheme register'!$A$7:$A$7,$A8,'EL scheme register'!$C$7:$C$7,"University-wide",'EL scheme register'!$AJ$7:$AJ$7,"Yes")</f>
        <v/>
      </c>
      <c r="J8" s="77">
        <f>COUNTIFS('EL scheme register'!$A$7:$A$7,$A8,'EL scheme register'!$C$7:$C$7,"Cross-faculty",'EL scheme register'!$AJ$7:$AJ$7,"Yes")</f>
        <v/>
      </c>
      <c r="K8" s="77">
        <f>COUNTIFS('EL scheme register'!$A$7:$A$7,$A8,'EL scheme register'!$C$7:$C$7,"Faculty/school",'EL scheme register'!$AJ$7:$AJ$7,"Yes")</f>
        <v/>
      </c>
      <c r="L8" s="77">
        <f>COUNTIFS('EL scheme register'!$A$7:$A$7,$A8,'EL scheme register'!$C$7:$C$7,"Programme/course",'EL scheme register'!$AJ$7:$AJ$7,"Yes")</f>
        <v/>
      </c>
      <c r="M8" s="77">
        <f>COUNTIFS('EL scheme register'!$A$7:$A$7,$A8,'EL scheme register'!$C$7:$C$7,"Unclear",'EL scheme register'!$AJ$7:$AJ$7,"Yes")</f>
        <v/>
      </c>
      <c r="N8" s="77">
        <f>SUM(I8:M8)</f>
        <v/>
      </c>
      <c r="O8" s="77">
        <f>COUNTIFS('EL scheme register'!$A$7:$A$7,$A8,'EL scheme register'!$AF$7:$AF$7,"Potentially relevant; evidence incomplete",'EL scheme register'!$AI$7:$AI$7,"Yes")</f>
        <v/>
      </c>
      <c r="P8" s="77">
        <f>COUNTIFS('EL scheme register'!$A$7:$A$7,$A8,'EL scheme register'!$AF$7:$AF$7,"Outside strict definition")</f>
        <v/>
      </c>
      <c r="Q8" s="77">
        <f>COUNTIF('EL exclusions &amp; gaps'!$B$7:$B$5000,$A8)</f>
        <v/>
      </c>
      <c r="R8" s="77" t="inlineStr">
        <is>
          <t>Not reviewed</t>
        </is>
      </c>
      <c r="S8" s="77" t="inlineStr">
        <is>
          <t>Not reviewed</t>
        </is>
      </c>
      <c r="T8" s="77" t="inlineStr"/>
      <c r="U8" s="77" t="inlineStr"/>
      <c r="V8" s="77" t="inlineStr">
        <is>
          <t>Not reviewed</t>
        </is>
      </c>
      <c r="W8" s="77" t="inlineStr"/>
      <c r="X8" s="77" t="inlineStr"/>
    </row>
    <row r="9">
      <c r="A9" s="77" t="inlineStr">
        <is>
          <t>RG03</t>
        </is>
      </c>
      <c r="B9" s="79" t="inlineStr">
        <is>
          <t>Cambridge</t>
        </is>
      </c>
      <c r="C9" s="77" t="inlineStr">
        <is>
          <t>UK</t>
        </is>
      </c>
      <c r="D9" s="77" t="inlineStr">
        <is>
          <t>Russell Group</t>
        </is>
      </c>
      <c r="E9" s="77" t="inlineStr">
        <is>
          <t>UK – Russell Group</t>
        </is>
      </c>
      <c r="F9" s="77" t="n">
        <v>2027</v>
      </c>
      <c r="G9" s="77" t="n">
        <v>6</v>
      </c>
      <c r="H9" s="77" t="inlineStr">
        <is>
          <t>Not started</t>
        </is>
      </c>
      <c r="I9" s="77">
        <f>COUNTIFS('EL scheme register'!$A$7:$A$7,$A9,'EL scheme register'!$C$7:$C$7,"University-wide",'EL scheme register'!$AJ$7:$AJ$7,"Yes")</f>
        <v/>
      </c>
      <c r="J9" s="77">
        <f>COUNTIFS('EL scheme register'!$A$7:$A$7,$A9,'EL scheme register'!$C$7:$C$7,"Cross-faculty",'EL scheme register'!$AJ$7:$AJ$7,"Yes")</f>
        <v/>
      </c>
      <c r="K9" s="77">
        <f>COUNTIFS('EL scheme register'!$A$7:$A$7,$A9,'EL scheme register'!$C$7:$C$7,"Faculty/school",'EL scheme register'!$AJ$7:$AJ$7,"Yes")</f>
        <v/>
      </c>
      <c r="L9" s="77">
        <f>COUNTIFS('EL scheme register'!$A$7:$A$7,$A9,'EL scheme register'!$C$7:$C$7,"Programme/course",'EL scheme register'!$AJ$7:$AJ$7,"Yes")</f>
        <v/>
      </c>
      <c r="M9" s="77">
        <f>COUNTIFS('EL scheme register'!$A$7:$A$7,$A9,'EL scheme register'!$C$7:$C$7,"Unclear",'EL scheme register'!$AJ$7:$AJ$7,"Yes")</f>
        <v/>
      </c>
      <c r="N9" s="77">
        <f>SUM(I9:M9)</f>
        <v/>
      </c>
      <c r="O9" s="77">
        <f>COUNTIFS('EL scheme register'!$A$7:$A$7,$A9,'EL scheme register'!$AF$7:$AF$7,"Potentially relevant; evidence incomplete",'EL scheme register'!$AI$7:$AI$7,"Yes")</f>
        <v/>
      </c>
      <c r="P9" s="77">
        <f>COUNTIFS('EL scheme register'!$A$7:$A$7,$A9,'EL scheme register'!$AF$7:$AF$7,"Outside strict definition")</f>
        <v/>
      </c>
      <c r="Q9" s="77">
        <f>COUNTIF('EL exclusions &amp; gaps'!$B$7:$B$5000,$A9)</f>
        <v/>
      </c>
      <c r="R9" s="77" t="inlineStr">
        <is>
          <t>Not reviewed</t>
        </is>
      </c>
      <c r="S9" s="77" t="inlineStr">
        <is>
          <t>Not reviewed</t>
        </is>
      </c>
      <c r="T9" s="77" t="inlineStr"/>
      <c r="U9" s="77" t="inlineStr"/>
      <c r="V9" s="77" t="inlineStr">
        <is>
          <t>Not reviewed</t>
        </is>
      </c>
      <c r="W9" s="77" t="inlineStr"/>
      <c r="X9" s="77" t="inlineStr"/>
    </row>
    <row r="10">
      <c r="A10" s="77" t="inlineStr">
        <is>
          <t>RG04</t>
        </is>
      </c>
      <c r="B10" s="79" t="inlineStr">
        <is>
          <t>Cardiff</t>
        </is>
      </c>
      <c r="C10" s="77" t="inlineStr">
        <is>
          <t>UK</t>
        </is>
      </c>
      <c r="D10" s="77" t="inlineStr">
        <is>
          <t>Russell Group</t>
        </is>
      </c>
      <c r="E10" s="77" t="inlineStr">
        <is>
          <t>UK – Russell Group</t>
        </is>
      </c>
      <c r="F10" s="77" t="n">
        <v>2027</v>
      </c>
      <c r="G10" s="77" t="n">
        <v>179</v>
      </c>
      <c r="H10" s="77" t="inlineStr">
        <is>
          <t>Not started</t>
        </is>
      </c>
      <c r="I10" s="77">
        <f>COUNTIFS('EL scheme register'!$A$7:$A$7,$A10,'EL scheme register'!$C$7:$C$7,"University-wide",'EL scheme register'!$AJ$7:$AJ$7,"Yes")</f>
        <v/>
      </c>
      <c r="J10" s="77">
        <f>COUNTIFS('EL scheme register'!$A$7:$A$7,$A10,'EL scheme register'!$C$7:$C$7,"Cross-faculty",'EL scheme register'!$AJ$7:$AJ$7,"Yes")</f>
        <v/>
      </c>
      <c r="K10" s="77">
        <f>COUNTIFS('EL scheme register'!$A$7:$A$7,$A10,'EL scheme register'!$C$7:$C$7,"Faculty/school",'EL scheme register'!$AJ$7:$AJ$7,"Yes")</f>
        <v/>
      </c>
      <c r="L10" s="77">
        <f>COUNTIFS('EL scheme register'!$A$7:$A$7,$A10,'EL scheme register'!$C$7:$C$7,"Programme/course",'EL scheme register'!$AJ$7:$AJ$7,"Yes")</f>
        <v/>
      </c>
      <c r="M10" s="77">
        <f>COUNTIFS('EL scheme register'!$A$7:$A$7,$A10,'EL scheme register'!$C$7:$C$7,"Unclear",'EL scheme register'!$AJ$7:$AJ$7,"Yes")</f>
        <v/>
      </c>
      <c r="N10" s="77">
        <f>SUM(I10:M10)</f>
        <v/>
      </c>
      <c r="O10" s="77">
        <f>COUNTIFS('EL scheme register'!$A$7:$A$7,$A10,'EL scheme register'!$AF$7:$AF$7,"Potentially relevant; evidence incomplete",'EL scheme register'!$AI$7:$AI$7,"Yes")</f>
        <v/>
      </c>
      <c r="P10" s="77">
        <f>COUNTIFS('EL scheme register'!$A$7:$A$7,$A10,'EL scheme register'!$AF$7:$AF$7,"Outside strict definition")</f>
        <v/>
      </c>
      <c r="Q10" s="77">
        <f>COUNTIF('EL exclusions &amp; gaps'!$B$7:$B$5000,$A10)</f>
        <v/>
      </c>
      <c r="R10" s="77" t="inlineStr">
        <is>
          <t>Not reviewed</t>
        </is>
      </c>
      <c r="S10" s="77" t="inlineStr">
        <is>
          <t>Not reviewed</t>
        </is>
      </c>
      <c r="T10" s="77" t="inlineStr"/>
      <c r="U10" s="77" t="inlineStr"/>
      <c r="V10" s="77" t="inlineStr">
        <is>
          <t>Not reviewed</t>
        </is>
      </c>
      <c r="W10" s="77" t="inlineStr"/>
      <c r="X10" s="77" t="inlineStr"/>
    </row>
    <row r="11">
      <c r="A11" s="77" t="inlineStr">
        <is>
          <t>RG05</t>
        </is>
      </c>
      <c r="B11" s="79" t="inlineStr">
        <is>
          <t>Durham</t>
        </is>
      </c>
      <c r="C11" s="77" t="inlineStr">
        <is>
          <t>UK</t>
        </is>
      </c>
      <c r="D11" s="77" t="inlineStr">
        <is>
          <t>Russell Group</t>
        </is>
      </c>
      <c r="E11" s="77" t="inlineStr">
        <is>
          <t>UK – Russell Group</t>
        </is>
      </c>
      <c r="F11" s="77" t="n">
        <v>2027</v>
      </c>
      <c r="G11" s="77" t="n">
        <v>85</v>
      </c>
      <c r="H11" s="77" t="inlineStr">
        <is>
          <t>Not started</t>
        </is>
      </c>
      <c r="I11" s="77">
        <f>COUNTIFS('EL scheme register'!$A$7:$A$7,$A11,'EL scheme register'!$C$7:$C$7,"University-wide",'EL scheme register'!$AJ$7:$AJ$7,"Yes")</f>
        <v/>
      </c>
      <c r="J11" s="77">
        <f>COUNTIFS('EL scheme register'!$A$7:$A$7,$A11,'EL scheme register'!$C$7:$C$7,"Cross-faculty",'EL scheme register'!$AJ$7:$AJ$7,"Yes")</f>
        <v/>
      </c>
      <c r="K11" s="77">
        <f>COUNTIFS('EL scheme register'!$A$7:$A$7,$A11,'EL scheme register'!$C$7:$C$7,"Faculty/school",'EL scheme register'!$AJ$7:$AJ$7,"Yes")</f>
        <v/>
      </c>
      <c r="L11" s="77">
        <f>COUNTIFS('EL scheme register'!$A$7:$A$7,$A11,'EL scheme register'!$C$7:$C$7,"Programme/course",'EL scheme register'!$AJ$7:$AJ$7,"Yes")</f>
        <v/>
      </c>
      <c r="M11" s="77">
        <f>COUNTIFS('EL scheme register'!$A$7:$A$7,$A11,'EL scheme register'!$C$7:$C$7,"Unclear",'EL scheme register'!$AJ$7:$AJ$7,"Yes")</f>
        <v/>
      </c>
      <c r="N11" s="77">
        <f>SUM(I11:M11)</f>
        <v/>
      </c>
      <c r="O11" s="77">
        <f>COUNTIFS('EL scheme register'!$A$7:$A$7,$A11,'EL scheme register'!$AF$7:$AF$7,"Potentially relevant; evidence incomplete",'EL scheme register'!$AI$7:$AI$7,"Yes")</f>
        <v/>
      </c>
      <c r="P11" s="77">
        <f>COUNTIFS('EL scheme register'!$A$7:$A$7,$A11,'EL scheme register'!$AF$7:$AF$7,"Outside strict definition")</f>
        <v/>
      </c>
      <c r="Q11" s="77">
        <f>COUNTIF('EL exclusions &amp; gaps'!$B$7:$B$5000,$A11)</f>
        <v/>
      </c>
      <c r="R11" s="77" t="inlineStr">
        <is>
          <t>Not reviewed</t>
        </is>
      </c>
      <c r="S11" s="77" t="inlineStr">
        <is>
          <t>Not reviewed</t>
        </is>
      </c>
      <c r="T11" s="77" t="inlineStr"/>
      <c r="U11" s="77" t="inlineStr"/>
      <c r="V11" s="77" t="inlineStr">
        <is>
          <t>Not reviewed</t>
        </is>
      </c>
      <c r="W11" s="77" t="inlineStr"/>
      <c r="X11" s="77" t="inlineStr"/>
    </row>
    <row r="12">
      <c r="A12" s="77" t="inlineStr">
        <is>
          <t>RG06</t>
        </is>
      </c>
      <c r="B12" s="79" t="inlineStr">
        <is>
          <t>Edinburgh</t>
        </is>
      </c>
      <c r="C12" s="77" t="inlineStr">
        <is>
          <t>UK</t>
        </is>
      </c>
      <c r="D12" s="77" t="inlineStr">
        <is>
          <t>Russell Group</t>
        </is>
      </c>
      <c r="E12" s="77" t="inlineStr">
        <is>
          <t>UK – Russell Group</t>
        </is>
      </c>
      <c r="F12" s="77" t="n">
        <v>2027</v>
      </c>
      <c r="G12" s="77" t="n">
        <v>35</v>
      </c>
      <c r="H12" s="77" t="inlineStr">
        <is>
          <t>Not started</t>
        </is>
      </c>
      <c r="I12" s="77">
        <f>COUNTIFS('EL scheme register'!$A$7:$A$7,$A12,'EL scheme register'!$C$7:$C$7,"University-wide",'EL scheme register'!$AJ$7:$AJ$7,"Yes")</f>
        <v/>
      </c>
      <c r="J12" s="77">
        <f>COUNTIFS('EL scheme register'!$A$7:$A$7,$A12,'EL scheme register'!$C$7:$C$7,"Cross-faculty",'EL scheme register'!$AJ$7:$AJ$7,"Yes")</f>
        <v/>
      </c>
      <c r="K12" s="77">
        <f>COUNTIFS('EL scheme register'!$A$7:$A$7,$A12,'EL scheme register'!$C$7:$C$7,"Faculty/school",'EL scheme register'!$AJ$7:$AJ$7,"Yes")</f>
        <v/>
      </c>
      <c r="L12" s="77">
        <f>COUNTIFS('EL scheme register'!$A$7:$A$7,$A12,'EL scheme register'!$C$7:$C$7,"Programme/course",'EL scheme register'!$AJ$7:$AJ$7,"Yes")</f>
        <v/>
      </c>
      <c r="M12" s="77">
        <f>COUNTIFS('EL scheme register'!$A$7:$A$7,$A12,'EL scheme register'!$C$7:$C$7,"Unclear",'EL scheme register'!$AJ$7:$AJ$7,"Yes")</f>
        <v/>
      </c>
      <c r="N12" s="77">
        <f>SUM(I12:M12)</f>
        <v/>
      </c>
      <c r="O12" s="77">
        <f>COUNTIFS('EL scheme register'!$A$7:$A$7,$A12,'EL scheme register'!$AF$7:$AF$7,"Potentially relevant; evidence incomplete",'EL scheme register'!$AI$7:$AI$7,"Yes")</f>
        <v/>
      </c>
      <c r="P12" s="77">
        <f>COUNTIFS('EL scheme register'!$A$7:$A$7,$A12,'EL scheme register'!$AF$7:$AF$7,"Outside strict definition")</f>
        <v/>
      </c>
      <c r="Q12" s="77">
        <f>COUNTIF('EL exclusions &amp; gaps'!$B$7:$B$5000,$A12)</f>
        <v/>
      </c>
      <c r="R12" s="77" t="inlineStr">
        <is>
          <t>Not reviewed</t>
        </is>
      </c>
      <c r="S12" s="77" t="inlineStr">
        <is>
          <t>Not reviewed</t>
        </is>
      </c>
      <c r="T12" s="77" t="inlineStr"/>
      <c r="U12" s="77" t="inlineStr"/>
      <c r="V12" s="77" t="inlineStr">
        <is>
          <t>Not reviewed</t>
        </is>
      </c>
      <c r="W12" s="77" t="inlineStr"/>
      <c r="X12" s="77" t="inlineStr"/>
    </row>
    <row r="13">
      <c r="A13" s="77" t="inlineStr">
        <is>
          <t>RG07</t>
        </is>
      </c>
      <c r="B13" s="79" t="inlineStr">
        <is>
          <t>Exeter</t>
        </is>
      </c>
      <c r="C13" s="77" t="inlineStr">
        <is>
          <t>UK</t>
        </is>
      </c>
      <c r="D13" s="77" t="inlineStr">
        <is>
          <t>Russell Group</t>
        </is>
      </c>
      <c r="E13" s="77" t="inlineStr">
        <is>
          <t>UK – Russell Group</t>
        </is>
      </c>
      <c r="F13" s="77" t="n">
        <v>2027</v>
      </c>
      <c r="G13" s="77" t="n">
        <v>136</v>
      </c>
      <c r="H13" s="77" t="inlineStr">
        <is>
          <t>Not started</t>
        </is>
      </c>
      <c r="I13" s="77">
        <f>COUNTIFS('EL scheme register'!$A$7:$A$7,$A13,'EL scheme register'!$C$7:$C$7,"University-wide",'EL scheme register'!$AJ$7:$AJ$7,"Yes")</f>
        <v/>
      </c>
      <c r="J13" s="77">
        <f>COUNTIFS('EL scheme register'!$A$7:$A$7,$A13,'EL scheme register'!$C$7:$C$7,"Cross-faculty",'EL scheme register'!$AJ$7:$AJ$7,"Yes")</f>
        <v/>
      </c>
      <c r="K13" s="77">
        <f>COUNTIFS('EL scheme register'!$A$7:$A$7,$A13,'EL scheme register'!$C$7:$C$7,"Faculty/school",'EL scheme register'!$AJ$7:$AJ$7,"Yes")</f>
        <v/>
      </c>
      <c r="L13" s="77">
        <f>COUNTIFS('EL scheme register'!$A$7:$A$7,$A13,'EL scheme register'!$C$7:$C$7,"Programme/course",'EL scheme register'!$AJ$7:$AJ$7,"Yes")</f>
        <v/>
      </c>
      <c r="M13" s="77">
        <f>COUNTIFS('EL scheme register'!$A$7:$A$7,$A13,'EL scheme register'!$C$7:$C$7,"Unclear",'EL scheme register'!$AJ$7:$AJ$7,"Yes")</f>
        <v/>
      </c>
      <c r="N13" s="77">
        <f>SUM(I13:M13)</f>
        <v/>
      </c>
      <c r="O13" s="77">
        <f>COUNTIFS('EL scheme register'!$A$7:$A$7,$A13,'EL scheme register'!$AF$7:$AF$7,"Potentially relevant; evidence incomplete",'EL scheme register'!$AI$7:$AI$7,"Yes")</f>
        <v/>
      </c>
      <c r="P13" s="77">
        <f>COUNTIFS('EL scheme register'!$A$7:$A$7,$A13,'EL scheme register'!$AF$7:$AF$7,"Outside strict definition")</f>
        <v/>
      </c>
      <c r="Q13" s="77">
        <f>COUNTIF('EL exclusions &amp; gaps'!$B$7:$B$5000,$A13)</f>
        <v/>
      </c>
      <c r="R13" s="77" t="inlineStr">
        <is>
          <t>Not reviewed</t>
        </is>
      </c>
      <c r="S13" s="77" t="inlineStr">
        <is>
          <t>Not reviewed</t>
        </is>
      </c>
      <c r="T13" s="77" t="inlineStr"/>
      <c r="U13" s="77" t="inlineStr"/>
      <c r="V13" s="77" t="inlineStr">
        <is>
          <t>Not reviewed</t>
        </is>
      </c>
      <c r="W13" s="77" t="inlineStr"/>
      <c r="X13" s="77" t="inlineStr"/>
    </row>
    <row r="14">
      <c r="A14" s="77" t="inlineStr">
        <is>
          <t>RG08</t>
        </is>
      </c>
      <c r="B14" s="79" t="inlineStr">
        <is>
          <t>Glasgow</t>
        </is>
      </c>
      <c r="C14" s="77" t="inlineStr">
        <is>
          <t>UK</t>
        </is>
      </c>
      <c r="D14" s="77" t="inlineStr">
        <is>
          <t>Russell Group</t>
        </is>
      </c>
      <c r="E14" s="77" t="inlineStr">
        <is>
          <t>UK – Russell Group</t>
        </is>
      </c>
      <c r="F14" s="77" t="n">
        <v>2027</v>
      </c>
      <c r="G14" s="77" t="n">
        <v>80</v>
      </c>
      <c r="H14" s="77" t="inlineStr">
        <is>
          <t>Not started</t>
        </is>
      </c>
      <c r="I14" s="77">
        <f>COUNTIFS('EL scheme register'!$A$7:$A$7,$A14,'EL scheme register'!$C$7:$C$7,"University-wide",'EL scheme register'!$AJ$7:$AJ$7,"Yes")</f>
        <v/>
      </c>
      <c r="J14" s="77">
        <f>COUNTIFS('EL scheme register'!$A$7:$A$7,$A14,'EL scheme register'!$C$7:$C$7,"Cross-faculty",'EL scheme register'!$AJ$7:$AJ$7,"Yes")</f>
        <v/>
      </c>
      <c r="K14" s="77">
        <f>COUNTIFS('EL scheme register'!$A$7:$A$7,$A14,'EL scheme register'!$C$7:$C$7,"Faculty/school",'EL scheme register'!$AJ$7:$AJ$7,"Yes")</f>
        <v/>
      </c>
      <c r="L14" s="77">
        <f>COUNTIFS('EL scheme register'!$A$7:$A$7,$A14,'EL scheme register'!$C$7:$C$7,"Programme/course",'EL scheme register'!$AJ$7:$AJ$7,"Yes")</f>
        <v/>
      </c>
      <c r="M14" s="77">
        <f>COUNTIFS('EL scheme register'!$A$7:$A$7,$A14,'EL scheme register'!$C$7:$C$7,"Unclear",'EL scheme register'!$AJ$7:$AJ$7,"Yes")</f>
        <v/>
      </c>
      <c r="N14" s="77">
        <f>SUM(I14:M14)</f>
        <v/>
      </c>
      <c r="O14" s="77">
        <f>COUNTIFS('EL scheme register'!$A$7:$A$7,$A14,'EL scheme register'!$AF$7:$AF$7,"Potentially relevant; evidence incomplete",'EL scheme register'!$AI$7:$AI$7,"Yes")</f>
        <v/>
      </c>
      <c r="P14" s="77">
        <f>COUNTIFS('EL scheme register'!$A$7:$A$7,$A14,'EL scheme register'!$AF$7:$AF$7,"Outside strict definition")</f>
        <v/>
      </c>
      <c r="Q14" s="77">
        <f>COUNTIF('EL exclusions &amp; gaps'!$B$7:$B$5000,$A14)</f>
        <v/>
      </c>
      <c r="R14" s="77" t="inlineStr">
        <is>
          <t>Not reviewed</t>
        </is>
      </c>
      <c r="S14" s="77" t="inlineStr">
        <is>
          <t>Not reviewed</t>
        </is>
      </c>
      <c r="T14" s="77" t="inlineStr"/>
      <c r="U14" s="77" t="inlineStr"/>
      <c r="V14" s="77" t="inlineStr">
        <is>
          <t>Not reviewed</t>
        </is>
      </c>
      <c r="W14" s="77" t="inlineStr"/>
      <c r="X14" s="77" t="inlineStr"/>
    </row>
    <row r="15">
      <c r="A15" s="77" t="inlineStr">
        <is>
          <t>RG09</t>
        </is>
      </c>
      <c r="B15" s="79" t="inlineStr">
        <is>
          <t>Imperial College London</t>
        </is>
      </c>
      <c r="C15" s="77" t="inlineStr">
        <is>
          <t>UK</t>
        </is>
      </c>
      <c r="D15" s="77" t="inlineStr">
        <is>
          <t>Russell Group</t>
        </is>
      </c>
      <c r="E15" s="77" t="inlineStr">
        <is>
          <t>UK – Russell Group</t>
        </is>
      </c>
      <c r="F15" s="77" t="n">
        <v>2027</v>
      </c>
      <c r="G15" s="77" t="n">
        <v>2</v>
      </c>
      <c r="H15" s="77" t="inlineStr">
        <is>
          <t>Not started</t>
        </is>
      </c>
      <c r="I15" s="77">
        <f>COUNTIFS('EL scheme register'!$A$7:$A$7,$A15,'EL scheme register'!$C$7:$C$7,"University-wide",'EL scheme register'!$AJ$7:$AJ$7,"Yes")</f>
        <v/>
      </c>
      <c r="J15" s="77">
        <f>COUNTIFS('EL scheme register'!$A$7:$A$7,$A15,'EL scheme register'!$C$7:$C$7,"Cross-faculty",'EL scheme register'!$AJ$7:$AJ$7,"Yes")</f>
        <v/>
      </c>
      <c r="K15" s="77">
        <f>COUNTIFS('EL scheme register'!$A$7:$A$7,$A15,'EL scheme register'!$C$7:$C$7,"Faculty/school",'EL scheme register'!$AJ$7:$AJ$7,"Yes")</f>
        <v/>
      </c>
      <c r="L15" s="77">
        <f>COUNTIFS('EL scheme register'!$A$7:$A$7,$A15,'EL scheme register'!$C$7:$C$7,"Programme/course",'EL scheme register'!$AJ$7:$AJ$7,"Yes")</f>
        <v/>
      </c>
      <c r="M15" s="77">
        <f>COUNTIFS('EL scheme register'!$A$7:$A$7,$A15,'EL scheme register'!$C$7:$C$7,"Unclear",'EL scheme register'!$AJ$7:$AJ$7,"Yes")</f>
        <v/>
      </c>
      <c r="N15" s="77">
        <f>SUM(I15:M15)</f>
        <v/>
      </c>
      <c r="O15" s="77">
        <f>COUNTIFS('EL scheme register'!$A$7:$A$7,$A15,'EL scheme register'!$AF$7:$AF$7,"Potentially relevant; evidence incomplete",'EL scheme register'!$AI$7:$AI$7,"Yes")</f>
        <v/>
      </c>
      <c r="P15" s="77">
        <f>COUNTIFS('EL scheme register'!$A$7:$A$7,$A15,'EL scheme register'!$AF$7:$AF$7,"Outside strict definition")</f>
        <v/>
      </c>
      <c r="Q15" s="77">
        <f>COUNTIF('EL exclusions &amp; gaps'!$B$7:$B$5000,$A15)</f>
        <v/>
      </c>
      <c r="R15" s="77" t="inlineStr">
        <is>
          <t>Not reviewed</t>
        </is>
      </c>
      <c r="S15" s="77" t="inlineStr">
        <is>
          <t>Not reviewed</t>
        </is>
      </c>
      <c r="T15" s="77" t="inlineStr"/>
      <c r="U15" s="77" t="inlineStr"/>
      <c r="V15" s="77" t="inlineStr">
        <is>
          <t>Not reviewed</t>
        </is>
      </c>
      <c r="W15" s="77" t="inlineStr"/>
      <c r="X15" s="77" t="inlineStr"/>
    </row>
    <row r="16">
      <c r="A16" s="77" t="inlineStr">
        <is>
          <t>RG10</t>
        </is>
      </c>
      <c r="B16" s="79" t="inlineStr">
        <is>
          <t>King’s College London</t>
        </is>
      </c>
      <c r="C16" s="77" t="inlineStr">
        <is>
          <t>UK</t>
        </is>
      </c>
      <c r="D16" s="77" t="inlineStr">
        <is>
          <t>Russell Group</t>
        </is>
      </c>
      <c r="E16" s="77" t="inlineStr">
        <is>
          <t>UK – Russell Group</t>
        </is>
      </c>
      <c r="F16" s="77" t="n">
        <v>2027</v>
      </c>
      <c r="G16" s="77" t="n">
        <v>37</v>
      </c>
      <c r="H16" s="77" t="inlineStr">
        <is>
          <t>Not started</t>
        </is>
      </c>
      <c r="I16" s="77">
        <f>COUNTIFS('EL scheme register'!$A$7:$A$7,$A16,'EL scheme register'!$C$7:$C$7,"University-wide",'EL scheme register'!$AJ$7:$AJ$7,"Yes")</f>
        <v/>
      </c>
      <c r="J16" s="77">
        <f>COUNTIFS('EL scheme register'!$A$7:$A$7,$A16,'EL scheme register'!$C$7:$C$7,"Cross-faculty",'EL scheme register'!$AJ$7:$AJ$7,"Yes")</f>
        <v/>
      </c>
      <c r="K16" s="77">
        <f>COUNTIFS('EL scheme register'!$A$7:$A$7,$A16,'EL scheme register'!$C$7:$C$7,"Faculty/school",'EL scheme register'!$AJ$7:$AJ$7,"Yes")</f>
        <v/>
      </c>
      <c r="L16" s="77">
        <f>COUNTIFS('EL scheme register'!$A$7:$A$7,$A16,'EL scheme register'!$C$7:$C$7,"Programme/course",'EL scheme register'!$AJ$7:$AJ$7,"Yes")</f>
        <v/>
      </c>
      <c r="M16" s="77">
        <f>COUNTIFS('EL scheme register'!$A$7:$A$7,$A16,'EL scheme register'!$C$7:$C$7,"Unclear",'EL scheme register'!$AJ$7:$AJ$7,"Yes")</f>
        <v/>
      </c>
      <c r="N16" s="77">
        <f>SUM(I16:M16)</f>
        <v/>
      </c>
      <c r="O16" s="77">
        <f>COUNTIFS('EL scheme register'!$A$7:$A$7,$A16,'EL scheme register'!$AF$7:$AF$7,"Potentially relevant; evidence incomplete",'EL scheme register'!$AI$7:$AI$7,"Yes")</f>
        <v/>
      </c>
      <c r="P16" s="77">
        <f>COUNTIFS('EL scheme register'!$A$7:$A$7,$A16,'EL scheme register'!$AF$7:$AF$7,"Outside strict definition")</f>
        <v/>
      </c>
      <c r="Q16" s="77">
        <f>COUNTIF('EL exclusions &amp; gaps'!$B$7:$B$5000,$A16)</f>
        <v/>
      </c>
      <c r="R16" s="77" t="inlineStr">
        <is>
          <t>Not reviewed</t>
        </is>
      </c>
      <c r="S16" s="77" t="inlineStr">
        <is>
          <t>Not reviewed</t>
        </is>
      </c>
      <c r="T16" s="77" t="inlineStr"/>
      <c r="U16" s="77" t="inlineStr"/>
      <c r="V16" s="77" t="inlineStr">
        <is>
          <t>Not reviewed</t>
        </is>
      </c>
      <c r="W16" s="77" t="inlineStr"/>
      <c r="X16" s="77" t="inlineStr"/>
    </row>
    <row r="17">
      <c r="A17" s="77" t="inlineStr">
        <is>
          <t>RG11</t>
        </is>
      </c>
      <c r="B17" s="79" t="inlineStr">
        <is>
          <t>Leeds</t>
        </is>
      </c>
      <c r="C17" s="77" t="inlineStr">
        <is>
          <t>UK</t>
        </is>
      </c>
      <c r="D17" s="77" t="inlineStr">
        <is>
          <t>Russell Group</t>
        </is>
      </c>
      <c r="E17" s="77" t="inlineStr">
        <is>
          <t>UK – Russell Group</t>
        </is>
      </c>
      <c r="F17" s="77" t="n">
        <v>2027</v>
      </c>
      <c r="G17" s="77" t="n">
        <v>77</v>
      </c>
      <c r="H17" s="77" t="inlineStr">
        <is>
          <t>Not started</t>
        </is>
      </c>
      <c r="I17" s="77">
        <f>COUNTIFS('EL scheme register'!$A$7:$A$7,$A17,'EL scheme register'!$C$7:$C$7,"University-wide",'EL scheme register'!$AJ$7:$AJ$7,"Yes")</f>
        <v/>
      </c>
      <c r="J17" s="77">
        <f>COUNTIFS('EL scheme register'!$A$7:$A$7,$A17,'EL scheme register'!$C$7:$C$7,"Cross-faculty",'EL scheme register'!$AJ$7:$AJ$7,"Yes")</f>
        <v/>
      </c>
      <c r="K17" s="77">
        <f>COUNTIFS('EL scheme register'!$A$7:$A$7,$A17,'EL scheme register'!$C$7:$C$7,"Faculty/school",'EL scheme register'!$AJ$7:$AJ$7,"Yes")</f>
        <v/>
      </c>
      <c r="L17" s="77">
        <f>COUNTIFS('EL scheme register'!$A$7:$A$7,$A17,'EL scheme register'!$C$7:$C$7,"Programme/course",'EL scheme register'!$AJ$7:$AJ$7,"Yes")</f>
        <v/>
      </c>
      <c r="M17" s="77">
        <f>COUNTIFS('EL scheme register'!$A$7:$A$7,$A17,'EL scheme register'!$C$7:$C$7,"Unclear",'EL scheme register'!$AJ$7:$AJ$7,"Yes")</f>
        <v/>
      </c>
      <c r="N17" s="77">
        <f>SUM(I17:M17)</f>
        <v/>
      </c>
      <c r="O17" s="77">
        <f>COUNTIFS('EL scheme register'!$A$7:$A$7,$A17,'EL scheme register'!$AF$7:$AF$7,"Potentially relevant; evidence incomplete",'EL scheme register'!$AI$7:$AI$7,"Yes")</f>
        <v/>
      </c>
      <c r="P17" s="77">
        <f>COUNTIFS('EL scheme register'!$A$7:$A$7,$A17,'EL scheme register'!$AF$7:$AF$7,"Outside strict definition")</f>
        <v/>
      </c>
      <c r="Q17" s="77">
        <f>COUNTIF('EL exclusions &amp; gaps'!$B$7:$B$5000,$A17)</f>
        <v/>
      </c>
      <c r="R17" s="77" t="inlineStr">
        <is>
          <t>Not reviewed</t>
        </is>
      </c>
      <c r="S17" s="77" t="inlineStr">
        <is>
          <t>Not reviewed</t>
        </is>
      </c>
      <c r="T17" s="77" t="inlineStr"/>
      <c r="U17" s="77" t="inlineStr"/>
      <c r="V17" s="77" t="inlineStr">
        <is>
          <t>Not reviewed</t>
        </is>
      </c>
      <c r="W17" s="77" t="inlineStr"/>
      <c r="X17" s="77" t="inlineStr"/>
    </row>
    <row r="18">
      <c r="A18" s="77" t="inlineStr">
        <is>
          <t>RG12</t>
        </is>
      </c>
      <c r="B18" s="79" t="inlineStr">
        <is>
          <t>Liverpool</t>
        </is>
      </c>
      <c r="C18" s="77" t="inlineStr">
        <is>
          <t>UK</t>
        </is>
      </c>
      <c r="D18" s="77" t="inlineStr">
        <is>
          <t>Russell Group</t>
        </is>
      </c>
      <c r="E18" s="77" t="inlineStr">
        <is>
          <t>UK – Russell Group</t>
        </is>
      </c>
      <c r="F18" s="77" t="n">
        <v>2027</v>
      </c>
      <c r="G18" s="77" t="n">
        <v>139</v>
      </c>
      <c r="H18" s="77" t="inlineStr">
        <is>
          <t>Not started</t>
        </is>
      </c>
      <c r="I18" s="77">
        <f>COUNTIFS('EL scheme register'!$A$7:$A$7,$A18,'EL scheme register'!$C$7:$C$7,"University-wide",'EL scheme register'!$AJ$7:$AJ$7,"Yes")</f>
        <v/>
      </c>
      <c r="J18" s="77">
        <f>COUNTIFS('EL scheme register'!$A$7:$A$7,$A18,'EL scheme register'!$C$7:$C$7,"Cross-faculty",'EL scheme register'!$AJ$7:$AJ$7,"Yes")</f>
        <v/>
      </c>
      <c r="K18" s="77">
        <f>COUNTIFS('EL scheme register'!$A$7:$A$7,$A18,'EL scheme register'!$C$7:$C$7,"Faculty/school",'EL scheme register'!$AJ$7:$AJ$7,"Yes")</f>
        <v/>
      </c>
      <c r="L18" s="77">
        <f>COUNTIFS('EL scheme register'!$A$7:$A$7,$A18,'EL scheme register'!$C$7:$C$7,"Programme/course",'EL scheme register'!$AJ$7:$AJ$7,"Yes")</f>
        <v/>
      </c>
      <c r="M18" s="77">
        <f>COUNTIFS('EL scheme register'!$A$7:$A$7,$A18,'EL scheme register'!$C$7:$C$7,"Unclear",'EL scheme register'!$AJ$7:$AJ$7,"Yes")</f>
        <v/>
      </c>
      <c r="N18" s="77">
        <f>SUM(I18:M18)</f>
        <v/>
      </c>
      <c r="O18" s="77">
        <f>COUNTIFS('EL scheme register'!$A$7:$A$7,$A18,'EL scheme register'!$AF$7:$AF$7,"Potentially relevant; evidence incomplete",'EL scheme register'!$AI$7:$AI$7,"Yes")</f>
        <v/>
      </c>
      <c r="P18" s="77">
        <f>COUNTIFS('EL scheme register'!$A$7:$A$7,$A18,'EL scheme register'!$AF$7:$AF$7,"Outside strict definition")</f>
        <v/>
      </c>
      <c r="Q18" s="77">
        <f>COUNTIF('EL exclusions &amp; gaps'!$B$7:$B$5000,$A18)</f>
        <v/>
      </c>
      <c r="R18" s="77" t="inlineStr">
        <is>
          <t>Not reviewed</t>
        </is>
      </c>
      <c r="S18" s="77" t="inlineStr">
        <is>
          <t>Not reviewed</t>
        </is>
      </c>
      <c r="T18" s="77" t="inlineStr"/>
      <c r="U18" s="77" t="inlineStr"/>
      <c r="V18" s="77" t="inlineStr">
        <is>
          <t>Not reviewed</t>
        </is>
      </c>
      <c r="W18" s="77" t="inlineStr"/>
      <c r="X18" s="77" t="inlineStr"/>
    </row>
    <row r="19">
      <c r="A19" s="77" t="inlineStr">
        <is>
          <t>RG13</t>
        </is>
      </c>
      <c r="B19" s="79" t="inlineStr">
        <is>
          <t>London School of Economics</t>
        </is>
      </c>
      <c r="C19" s="77" t="inlineStr">
        <is>
          <t>UK</t>
        </is>
      </c>
      <c r="D19" s="77" t="inlineStr">
        <is>
          <t>Russell Group</t>
        </is>
      </c>
      <c r="E19" s="77" t="inlineStr">
        <is>
          <t>UK – Russell Group</t>
        </is>
      </c>
      <c r="F19" s="77" t="n">
        <v>2027</v>
      </c>
      <c r="G19" s="77" t="n">
        <v>62</v>
      </c>
      <c r="H19" s="77" t="inlineStr">
        <is>
          <t>Not started</t>
        </is>
      </c>
      <c r="I19" s="77">
        <f>COUNTIFS('EL scheme register'!$A$7:$A$7,$A19,'EL scheme register'!$C$7:$C$7,"University-wide",'EL scheme register'!$AJ$7:$AJ$7,"Yes")</f>
        <v/>
      </c>
      <c r="J19" s="77">
        <f>COUNTIFS('EL scheme register'!$A$7:$A$7,$A19,'EL scheme register'!$C$7:$C$7,"Cross-faculty",'EL scheme register'!$AJ$7:$AJ$7,"Yes")</f>
        <v/>
      </c>
      <c r="K19" s="77">
        <f>COUNTIFS('EL scheme register'!$A$7:$A$7,$A19,'EL scheme register'!$C$7:$C$7,"Faculty/school",'EL scheme register'!$AJ$7:$AJ$7,"Yes")</f>
        <v/>
      </c>
      <c r="L19" s="77">
        <f>COUNTIFS('EL scheme register'!$A$7:$A$7,$A19,'EL scheme register'!$C$7:$C$7,"Programme/course",'EL scheme register'!$AJ$7:$AJ$7,"Yes")</f>
        <v/>
      </c>
      <c r="M19" s="77">
        <f>COUNTIFS('EL scheme register'!$A$7:$A$7,$A19,'EL scheme register'!$C$7:$C$7,"Unclear",'EL scheme register'!$AJ$7:$AJ$7,"Yes")</f>
        <v/>
      </c>
      <c r="N19" s="77">
        <f>SUM(I19:M19)</f>
        <v/>
      </c>
      <c r="O19" s="77">
        <f>COUNTIFS('EL scheme register'!$A$7:$A$7,$A19,'EL scheme register'!$AF$7:$AF$7,"Potentially relevant; evidence incomplete",'EL scheme register'!$AI$7:$AI$7,"Yes")</f>
        <v/>
      </c>
      <c r="P19" s="77">
        <f>COUNTIFS('EL scheme register'!$A$7:$A$7,$A19,'EL scheme register'!$AF$7:$AF$7,"Outside strict definition")</f>
        <v/>
      </c>
      <c r="Q19" s="77">
        <f>COUNTIF('EL exclusions &amp; gaps'!$B$7:$B$5000,$A19)</f>
        <v/>
      </c>
      <c r="R19" s="77" t="inlineStr">
        <is>
          <t>Not reviewed</t>
        </is>
      </c>
      <c r="S19" s="77" t="inlineStr">
        <is>
          <t>Not reviewed</t>
        </is>
      </c>
      <c r="T19" s="77" t="inlineStr"/>
      <c r="U19" s="77" t="inlineStr"/>
      <c r="V19" s="77" t="inlineStr">
        <is>
          <t>Not reviewed</t>
        </is>
      </c>
      <c r="W19" s="77" t="inlineStr"/>
      <c r="X19" s="77" t="inlineStr"/>
    </row>
    <row r="20">
      <c r="A20" s="77" t="inlineStr">
        <is>
          <t>RG14</t>
        </is>
      </c>
      <c r="B20" s="79" t="inlineStr">
        <is>
          <t>Manchester</t>
        </is>
      </c>
      <c r="C20" s="77" t="inlineStr">
        <is>
          <t>UK</t>
        </is>
      </c>
      <c r="D20" s="77" t="inlineStr">
        <is>
          <t>Russell Group</t>
        </is>
      </c>
      <c r="E20" s="77" t="inlineStr">
        <is>
          <t>UK – Russell Group</t>
        </is>
      </c>
      <c r="F20" s="77" t="n">
        <v>2027</v>
      </c>
      <c r="G20" s="77" t="n">
        <v>40</v>
      </c>
      <c r="H20" s="77" t="inlineStr">
        <is>
          <t>Not started</t>
        </is>
      </c>
      <c r="I20" s="77">
        <f>COUNTIFS('EL scheme register'!$A$7:$A$7,$A20,'EL scheme register'!$C$7:$C$7,"University-wide",'EL scheme register'!$AJ$7:$AJ$7,"Yes")</f>
        <v/>
      </c>
      <c r="J20" s="77">
        <f>COUNTIFS('EL scheme register'!$A$7:$A$7,$A20,'EL scheme register'!$C$7:$C$7,"Cross-faculty",'EL scheme register'!$AJ$7:$AJ$7,"Yes")</f>
        <v/>
      </c>
      <c r="K20" s="77">
        <f>COUNTIFS('EL scheme register'!$A$7:$A$7,$A20,'EL scheme register'!$C$7:$C$7,"Faculty/school",'EL scheme register'!$AJ$7:$AJ$7,"Yes")</f>
        <v/>
      </c>
      <c r="L20" s="77">
        <f>COUNTIFS('EL scheme register'!$A$7:$A$7,$A20,'EL scheme register'!$C$7:$C$7,"Programme/course",'EL scheme register'!$AJ$7:$AJ$7,"Yes")</f>
        <v/>
      </c>
      <c r="M20" s="77">
        <f>COUNTIFS('EL scheme register'!$A$7:$A$7,$A20,'EL scheme register'!$C$7:$C$7,"Unclear",'EL scheme register'!$AJ$7:$AJ$7,"Yes")</f>
        <v/>
      </c>
      <c r="N20" s="77">
        <f>SUM(I20:M20)</f>
        <v/>
      </c>
      <c r="O20" s="77">
        <f>COUNTIFS('EL scheme register'!$A$7:$A$7,$A20,'EL scheme register'!$AF$7:$AF$7,"Potentially relevant; evidence incomplete",'EL scheme register'!$AI$7:$AI$7,"Yes")</f>
        <v/>
      </c>
      <c r="P20" s="77">
        <f>COUNTIFS('EL scheme register'!$A$7:$A$7,$A20,'EL scheme register'!$AF$7:$AF$7,"Outside strict definition")</f>
        <v/>
      </c>
      <c r="Q20" s="77">
        <f>COUNTIF('EL exclusions &amp; gaps'!$B$7:$B$5000,$A20)</f>
        <v/>
      </c>
      <c r="R20" s="77" t="inlineStr">
        <is>
          <t>Not reviewed</t>
        </is>
      </c>
      <c r="S20" s="77" t="inlineStr">
        <is>
          <t>Not reviewed</t>
        </is>
      </c>
      <c r="T20" s="77" t="inlineStr"/>
      <c r="U20" s="77" t="inlineStr"/>
      <c r="V20" s="77" t="inlineStr">
        <is>
          <t>Not reviewed</t>
        </is>
      </c>
      <c r="W20" s="77" t="inlineStr"/>
      <c r="X20" s="77" t="inlineStr"/>
    </row>
    <row r="21">
      <c r="A21" s="77" t="inlineStr">
        <is>
          <t>RG15</t>
        </is>
      </c>
      <c r="B21" s="79" t="inlineStr">
        <is>
          <t>Newcastle</t>
        </is>
      </c>
      <c r="C21" s="77" t="inlineStr">
        <is>
          <t>UK</t>
        </is>
      </c>
      <c r="D21" s="77" t="inlineStr">
        <is>
          <t>Russell Group</t>
        </is>
      </c>
      <c r="E21" s="77" t="inlineStr">
        <is>
          <t>UK – Russell Group</t>
        </is>
      </c>
      <c r="F21" s="77" t="n">
        <v>2027</v>
      </c>
      <c r="G21" s="77" t="n">
        <v>149</v>
      </c>
      <c r="H21" s="77" t="inlineStr">
        <is>
          <t>Not started</t>
        </is>
      </c>
      <c r="I21" s="77">
        <f>COUNTIFS('EL scheme register'!$A$7:$A$7,$A21,'EL scheme register'!$C$7:$C$7,"University-wide",'EL scheme register'!$AJ$7:$AJ$7,"Yes")</f>
        <v/>
      </c>
      <c r="J21" s="77">
        <f>COUNTIFS('EL scheme register'!$A$7:$A$7,$A21,'EL scheme register'!$C$7:$C$7,"Cross-faculty",'EL scheme register'!$AJ$7:$AJ$7,"Yes")</f>
        <v/>
      </c>
      <c r="K21" s="77">
        <f>COUNTIFS('EL scheme register'!$A$7:$A$7,$A21,'EL scheme register'!$C$7:$C$7,"Faculty/school",'EL scheme register'!$AJ$7:$AJ$7,"Yes")</f>
        <v/>
      </c>
      <c r="L21" s="77">
        <f>COUNTIFS('EL scheme register'!$A$7:$A$7,$A21,'EL scheme register'!$C$7:$C$7,"Programme/course",'EL scheme register'!$AJ$7:$AJ$7,"Yes")</f>
        <v/>
      </c>
      <c r="M21" s="77">
        <f>COUNTIFS('EL scheme register'!$A$7:$A$7,$A21,'EL scheme register'!$C$7:$C$7,"Unclear",'EL scheme register'!$AJ$7:$AJ$7,"Yes")</f>
        <v/>
      </c>
      <c r="N21" s="77">
        <f>SUM(I21:M21)</f>
        <v/>
      </c>
      <c r="O21" s="77">
        <f>COUNTIFS('EL scheme register'!$A$7:$A$7,$A21,'EL scheme register'!$AF$7:$AF$7,"Potentially relevant; evidence incomplete",'EL scheme register'!$AI$7:$AI$7,"Yes")</f>
        <v/>
      </c>
      <c r="P21" s="77">
        <f>COUNTIFS('EL scheme register'!$A$7:$A$7,$A21,'EL scheme register'!$AF$7:$AF$7,"Outside strict definition")</f>
        <v/>
      </c>
      <c r="Q21" s="77">
        <f>COUNTIF('EL exclusions &amp; gaps'!$B$7:$B$5000,$A21)</f>
        <v/>
      </c>
      <c r="R21" s="77" t="inlineStr">
        <is>
          <t>Not reviewed</t>
        </is>
      </c>
      <c r="S21" s="77" t="inlineStr">
        <is>
          <t>Not reviewed</t>
        </is>
      </c>
      <c r="T21" s="77" t="inlineStr"/>
      <c r="U21" s="77" t="inlineStr"/>
      <c r="V21" s="77" t="inlineStr">
        <is>
          <t>Not reviewed</t>
        </is>
      </c>
      <c r="W21" s="77" t="inlineStr"/>
      <c r="X21" s="77" t="inlineStr"/>
    </row>
    <row r="22">
      <c r="A22" s="77" t="inlineStr">
        <is>
          <t>RG16</t>
        </is>
      </c>
      <c r="B22" s="79" t="inlineStr">
        <is>
          <t>Nottingham</t>
        </is>
      </c>
      <c r="C22" s="77" t="inlineStr">
        <is>
          <t>UK</t>
        </is>
      </c>
      <c r="D22" s="77" t="inlineStr">
        <is>
          <t>Russell Group</t>
        </is>
      </c>
      <c r="E22" s="77" t="inlineStr">
        <is>
          <t>UK – Russell Group</t>
        </is>
      </c>
      <c r="F22" s="77" t="n">
        <v>2027</v>
      </c>
      <c r="G22" s="77" t="n">
        <v>97</v>
      </c>
      <c r="H22" s="77" t="inlineStr">
        <is>
          <t>Not started</t>
        </is>
      </c>
      <c r="I22" s="77">
        <f>COUNTIFS('EL scheme register'!$A$7:$A$7,$A22,'EL scheme register'!$C$7:$C$7,"University-wide",'EL scheme register'!$AJ$7:$AJ$7,"Yes")</f>
        <v/>
      </c>
      <c r="J22" s="77">
        <f>COUNTIFS('EL scheme register'!$A$7:$A$7,$A22,'EL scheme register'!$C$7:$C$7,"Cross-faculty",'EL scheme register'!$AJ$7:$AJ$7,"Yes")</f>
        <v/>
      </c>
      <c r="K22" s="77">
        <f>COUNTIFS('EL scheme register'!$A$7:$A$7,$A22,'EL scheme register'!$C$7:$C$7,"Faculty/school",'EL scheme register'!$AJ$7:$AJ$7,"Yes")</f>
        <v/>
      </c>
      <c r="L22" s="77">
        <f>COUNTIFS('EL scheme register'!$A$7:$A$7,$A22,'EL scheme register'!$C$7:$C$7,"Programme/course",'EL scheme register'!$AJ$7:$AJ$7,"Yes")</f>
        <v/>
      </c>
      <c r="M22" s="77">
        <f>COUNTIFS('EL scheme register'!$A$7:$A$7,$A22,'EL scheme register'!$C$7:$C$7,"Unclear",'EL scheme register'!$AJ$7:$AJ$7,"Yes")</f>
        <v/>
      </c>
      <c r="N22" s="77">
        <f>SUM(I22:M22)</f>
        <v/>
      </c>
      <c r="O22" s="77">
        <f>COUNTIFS('EL scheme register'!$A$7:$A$7,$A22,'EL scheme register'!$AF$7:$AF$7,"Potentially relevant; evidence incomplete",'EL scheme register'!$AI$7:$AI$7,"Yes")</f>
        <v/>
      </c>
      <c r="P22" s="77">
        <f>COUNTIFS('EL scheme register'!$A$7:$A$7,$A22,'EL scheme register'!$AF$7:$AF$7,"Outside strict definition")</f>
        <v/>
      </c>
      <c r="Q22" s="77">
        <f>COUNTIF('EL exclusions &amp; gaps'!$B$7:$B$5000,$A22)</f>
        <v/>
      </c>
      <c r="R22" s="77" t="inlineStr">
        <is>
          <t>Not reviewed</t>
        </is>
      </c>
      <c r="S22" s="77" t="inlineStr">
        <is>
          <t>Not reviewed</t>
        </is>
      </c>
      <c r="T22" s="77" t="inlineStr"/>
      <c r="U22" s="77" t="inlineStr"/>
      <c r="V22" s="77" t="inlineStr">
        <is>
          <t>Not reviewed</t>
        </is>
      </c>
      <c r="W22" s="77" t="inlineStr"/>
      <c r="X22" s="77" t="inlineStr"/>
    </row>
    <row r="23">
      <c r="A23" s="77" t="inlineStr">
        <is>
          <t>RG17</t>
        </is>
      </c>
      <c r="B23" s="79" t="inlineStr">
        <is>
          <t>Oxford</t>
        </is>
      </c>
      <c r="C23" s="77" t="inlineStr">
        <is>
          <t>UK</t>
        </is>
      </c>
      <c r="D23" s="77" t="inlineStr">
        <is>
          <t>Russell Group</t>
        </is>
      </c>
      <c r="E23" s="77" t="inlineStr">
        <is>
          <t>UK – Russell Group</t>
        </is>
      </c>
      <c r="F23" s="77" t="n">
        <v>2027</v>
      </c>
      <c r="G23" s="77" t="n">
        <v>4</v>
      </c>
      <c r="H23" s="77" t="inlineStr">
        <is>
          <t>Not started</t>
        </is>
      </c>
      <c r="I23" s="77">
        <f>COUNTIFS('EL scheme register'!$A$7:$A$7,$A23,'EL scheme register'!$C$7:$C$7,"University-wide",'EL scheme register'!$AJ$7:$AJ$7,"Yes")</f>
        <v/>
      </c>
      <c r="J23" s="77">
        <f>COUNTIFS('EL scheme register'!$A$7:$A$7,$A23,'EL scheme register'!$C$7:$C$7,"Cross-faculty",'EL scheme register'!$AJ$7:$AJ$7,"Yes")</f>
        <v/>
      </c>
      <c r="K23" s="77">
        <f>COUNTIFS('EL scheme register'!$A$7:$A$7,$A23,'EL scheme register'!$C$7:$C$7,"Faculty/school",'EL scheme register'!$AJ$7:$AJ$7,"Yes")</f>
        <v/>
      </c>
      <c r="L23" s="77">
        <f>COUNTIFS('EL scheme register'!$A$7:$A$7,$A23,'EL scheme register'!$C$7:$C$7,"Programme/course",'EL scheme register'!$AJ$7:$AJ$7,"Yes")</f>
        <v/>
      </c>
      <c r="M23" s="77">
        <f>COUNTIFS('EL scheme register'!$A$7:$A$7,$A23,'EL scheme register'!$C$7:$C$7,"Unclear",'EL scheme register'!$AJ$7:$AJ$7,"Yes")</f>
        <v/>
      </c>
      <c r="N23" s="77">
        <f>SUM(I23:M23)</f>
        <v/>
      </c>
      <c r="O23" s="77">
        <f>COUNTIFS('EL scheme register'!$A$7:$A$7,$A23,'EL scheme register'!$AF$7:$AF$7,"Potentially relevant; evidence incomplete",'EL scheme register'!$AI$7:$AI$7,"Yes")</f>
        <v/>
      </c>
      <c r="P23" s="77">
        <f>COUNTIFS('EL scheme register'!$A$7:$A$7,$A23,'EL scheme register'!$AF$7:$AF$7,"Outside strict definition")</f>
        <v/>
      </c>
      <c r="Q23" s="77">
        <f>COUNTIF('EL exclusions &amp; gaps'!$B$7:$B$5000,$A23)</f>
        <v/>
      </c>
      <c r="R23" s="77" t="inlineStr">
        <is>
          <t>Not reviewed</t>
        </is>
      </c>
      <c r="S23" s="77" t="inlineStr">
        <is>
          <t>Not reviewed</t>
        </is>
      </c>
      <c r="T23" s="77" t="inlineStr"/>
      <c r="U23" s="77" t="inlineStr"/>
      <c r="V23" s="77" t="inlineStr">
        <is>
          <t>Not reviewed</t>
        </is>
      </c>
      <c r="W23" s="77" t="inlineStr"/>
      <c r="X23" s="77" t="inlineStr"/>
    </row>
    <row r="24">
      <c r="A24" s="77" t="inlineStr">
        <is>
          <t>RG18</t>
        </is>
      </c>
      <c r="B24" s="79" t="inlineStr">
        <is>
          <t>Queen Mary University of London</t>
        </is>
      </c>
      <c r="C24" s="77" t="inlineStr">
        <is>
          <t>UK</t>
        </is>
      </c>
      <c r="D24" s="77" t="inlineStr">
        <is>
          <t>Russell Group</t>
        </is>
      </c>
      <c r="E24" s="77" t="inlineStr">
        <is>
          <t>UK – Russell Group</t>
        </is>
      </c>
      <c r="F24" s="77" t="n">
        <v>2027</v>
      </c>
      <c r="G24" s="77" t="n">
        <v>103</v>
      </c>
      <c r="H24" s="77" t="inlineStr">
        <is>
          <t>Not started</t>
        </is>
      </c>
      <c r="I24" s="77">
        <f>COUNTIFS('EL scheme register'!$A$7:$A$7,$A24,'EL scheme register'!$C$7:$C$7,"University-wide",'EL scheme register'!$AJ$7:$AJ$7,"Yes")</f>
        <v/>
      </c>
      <c r="J24" s="77">
        <f>COUNTIFS('EL scheme register'!$A$7:$A$7,$A24,'EL scheme register'!$C$7:$C$7,"Cross-faculty",'EL scheme register'!$AJ$7:$AJ$7,"Yes")</f>
        <v/>
      </c>
      <c r="K24" s="77">
        <f>COUNTIFS('EL scheme register'!$A$7:$A$7,$A24,'EL scheme register'!$C$7:$C$7,"Faculty/school",'EL scheme register'!$AJ$7:$AJ$7,"Yes")</f>
        <v/>
      </c>
      <c r="L24" s="77">
        <f>COUNTIFS('EL scheme register'!$A$7:$A$7,$A24,'EL scheme register'!$C$7:$C$7,"Programme/course",'EL scheme register'!$AJ$7:$AJ$7,"Yes")</f>
        <v/>
      </c>
      <c r="M24" s="77">
        <f>COUNTIFS('EL scheme register'!$A$7:$A$7,$A24,'EL scheme register'!$C$7:$C$7,"Unclear",'EL scheme register'!$AJ$7:$AJ$7,"Yes")</f>
        <v/>
      </c>
      <c r="N24" s="77">
        <f>SUM(I24:M24)</f>
        <v/>
      </c>
      <c r="O24" s="77">
        <f>COUNTIFS('EL scheme register'!$A$7:$A$7,$A24,'EL scheme register'!$AF$7:$AF$7,"Potentially relevant; evidence incomplete",'EL scheme register'!$AI$7:$AI$7,"Yes")</f>
        <v/>
      </c>
      <c r="P24" s="77">
        <f>COUNTIFS('EL scheme register'!$A$7:$A$7,$A24,'EL scheme register'!$AF$7:$AF$7,"Outside strict definition")</f>
        <v/>
      </c>
      <c r="Q24" s="77">
        <f>COUNTIF('EL exclusions &amp; gaps'!$B$7:$B$5000,$A24)</f>
        <v/>
      </c>
      <c r="R24" s="77" t="inlineStr">
        <is>
          <t>Not reviewed</t>
        </is>
      </c>
      <c r="S24" s="77" t="inlineStr">
        <is>
          <t>Not reviewed</t>
        </is>
      </c>
      <c r="T24" s="77" t="inlineStr"/>
      <c r="U24" s="77" t="inlineStr"/>
      <c r="V24" s="77" t="inlineStr">
        <is>
          <t>Not reviewed</t>
        </is>
      </c>
      <c r="W24" s="77" t="inlineStr"/>
      <c r="X24" s="77" t="inlineStr"/>
    </row>
    <row r="25">
      <c r="A25" s="77" t="inlineStr">
        <is>
          <t>RG19</t>
        </is>
      </c>
      <c r="B25" s="79" t="inlineStr">
        <is>
          <t>Queen’s University Belfast</t>
        </is>
      </c>
      <c r="C25" s="77" t="inlineStr">
        <is>
          <t>UK</t>
        </is>
      </c>
      <c r="D25" s="77" t="inlineStr">
        <is>
          <t>Russell Group</t>
        </is>
      </c>
      <c r="E25" s="77" t="inlineStr">
        <is>
          <t>UK – Russell Group</t>
        </is>
      </c>
      <c r="F25" s="77" t="n">
        <v>2027</v>
      </c>
      <c r="G25" s="77" t="n">
        <v>174</v>
      </c>
      <c r="H25" s="77" t="inlineStr">
        <is>
          <t>Not started</t>
        </is>
      </c>
      <c r="I25" s="77">
        <f>COUNTIFS('EL scheme register'!$A$7:$A$7,$A25,'EL scheme register'!$C$7:$C$7,"University-wide",'EL scheme register'!$AJ$7:$AJ$7,"Yes")</f>
        <v/>
      </c>
      <c r="J25" s="77">
        <f>COUNTIFS('EL scheme register'!$A$7:$A$7,$A25,'EL scheme register'!$C$7:$C$7,"Cross-faculty",'EL scheme register'!$AJ$7:$AJ$7,"Yes")</f>
        <v/>
      </c>
      <c r="K25" s="77">
        <f>COUNTIFS('EL scheme register'!$A$7:$A$7,$A25,'EL scheme register'!$C$7:$C$7,"Faculty/school",'EL scheme register'!$AJ$7:$AJ$7,"Yes")</f>
        <v/>
      </c>
      <c r="L25" s="77">
        <f>COUNTIFS('EL scheme register'!$A$7:$A$7,$A25,'EL scheme register'!$C$7:$C$7,"Programme/course",'EL scheme register'!$AJ$7:$AJ$7,"Yes")</f>
        <v/>
      </c>
      <c r="M25" s="77">
        <f>COUNTIFS('EL scheme register'!$A$7:$A$7,$A25,'EL scheme register'!$C$7:$C$7,"Unclear",'EL scheme register'!$AJ$7:$AJ$7,"Yes")</f>
        <v/>
      </c>
      <c r="N25" s="77">
        <f>SUM(I25:M25)</f>
        <v/>
      </c>
      <c r="O25" s="77">
        <f>COUNTIFS('EL scheme register'!$A$7:$A$7,$A25,'EL scheme register'!$AF$7:$AF$7,"Potentially relevant; evidence incomplete",'EL scheme register'!$AI$7:$AI$7,"Yes")</f>
        <v/>
      </c>
      <c r="P25" s="77">
        <f>COUNTIFS('EL scheme register'!$A$7:$A$7,$A25,'EL scheme register'!$AF$7:$AF$7,"Outside strict definition")</f>
        <v/>
      </c>
      <c r="Q25" s="77">
        <f>COUNTIF('EL exclusions &amp; gaps'!$B$7:$B$5000,$A25)</f>
        <v/>
      </c>
      <c r="R25" s="77" t="inlineStr">
        <is>
          <t>Not reviewed</t>
        </is>
      </c>
      <c r="S25" s="77" t="inlineStr">
        <is>
          <t>Not reviewed</t>
        </is>
      </c>
      <c r="T25" s="77" t="inlineStr"/>
      <c r="U25" s="77" t="inlineStr"/>
      <c r="V25" s="77" t="inlineStr">
        <is>
          <t>Not reviewed</t>
        </is>
      </c>
      <c r="W25" s="77" t="inlineStr"/>
      <c r="X25" s="77" t="inlineStr"/>
    </row>
    <row r="26">
      <c r="A26" s="77" t="inlineStr">
        <is>
          <t>RG20</t>
        </is>
      </c>
      <c r="B26" s="79" t="inlineStr">
        <is>
          <t>Sheffield</t>
        </is>
      </c>
      <c r="C26" s="77" t="inlineStr">
        <is>
          <t>UK</t>
        </is>
      </c>
      <c r="D26" s="77" t="inlineStr">
        <is>
          <t>Russell Group</t>
        </is>
      </c>
      <c r="E26" s="77" t="inlineStr">
        <is>
          <t>UK – Russell Group</t>
        </is>
      </c>
      <c r="F26" s="77" t="n">
        <v>2027</v>
      </c>
      <c r="G26" s="77" t="n">
        <v>82</v>
      </c>
      <c r="H26" s="77" t="inlineStr">
        <is>
          <t>Not started</t>
        </is>
      </c>
      <c r="I26" s="77">
        <f>COUNTIFS('EL scheme register'!$A$7:$A$7,$A26,'EL scheme register'!$C$7:$C$7,"University-wide",'EL scheme register'!$AJ$7:$AJ$7,"Yes")</f>
        <v/>
      </c>
      <c r="J26" s="77">
        <f>COUNTIFS('EL scheme register'!$A$7:$A$7,$A26,'EL scheme register'!$C$7:$C$7,"Cross-faculty",'EL scheme register'!$AJ$7:$AJ$7,"Yes")</f>
        <v/>
      </c>
      <c r="K26" s="77">
        <f>COUNTIFS('EL scheme register'!$A$7:$A$7,$A26,'EL scheme register'!$C$7:$C$7,"Faculty/school",'EL scheme register'!$AJ$7:$AJ$7,"Yes")</f>
        <v/>
      </c>
      <c r="L26" s="77">
        <f>COUNTIFS('EL scheme register'!$A$7:$A$7,$A26,'EL scheme register'!$C$7:$C$7,"Programme/course",'EL scheme register'!$AJ$7:$AJ$7,"Yes")</f>
        <v/>
      </c>
      <c r="M26" s="77">
        <f>COUNTIFS('EL scheme register'!$A$7:$A$7,$A26,'EL scheme register'!$C$7:$C$7,"Unclear",'EL scheme register'!$AJ$7:$AJ$7,"Yes")</f>
        <v/>
      </c>
      <c r="N26" s="77">
        <f>SUM(I26:M26)</f>
        <v/>
      </c>
      <c r="O26" s="77">
        <f>COUNTIFS('EL scheme register'!$A$7:$A$7,$A26,'EL scheme register'!$AF$7:$AF$7,"Potentially relevant; evidence incomplete",'EL scheme register'!$AI$7:$AI$7,"Yes")</f>
        <v/>
      </c>
      <c r="P26" s="77">
        <f>COUNTIFS('EL scheme register'!$A$7:$A$7,$A26,'EL scheme register'!$AF$7:$AF$7,"Outside strict definition")</f>
        <v/>
      </c>
      <c r="Q26" s="77">
        <f>COUNTIF('EL exclusions &amp; gaps'!$B$7:$B$5000,$A26)</f>
        <v/>
      </c>
      <c r="R26" s="77" t="inlineStr">
        <is>
          <t>Not reviewed</t>
        </is>
      </c>
      <c r="S26" s="77" t="inlineStr">
        <is>
          <t>Not reviewed</t>
        </is>
      </c>
      <c r="T26" s="77" t="inlineStr"/>
      <c r="U26" s="77" t="inlineStr"/>
      <c r="V26" s="77" t="inlineStr">
        <is>
          <t>Not reviewed</t>
        </is>
      </c>
      <c r="W26" s="77" t="inlineStr"/>
      <c r="X26" s="77" t="inlineStr"/>
    </row>
    <row r="27">
      <c r="A27" s="77" t="inlineStr">
        <is>
          <t>RG21</t>
        </is>
      </c>
      <c r="B27" s="79" t="inlineStr">
        <is>
          <t>Southampton</t>
        </is>
      </c>
      <c r="C27" s="77" t="inlineStr">
        <is>
          <t>UK</t>
        </is>
      </c>
      <c r="D27" s="77" t="inlineStr">
        <is>
          <t>Russell Group</t>
        </is>
      </c>
      <c r="E27" s="77" t="inlineStr">
        <is>
          <t>UK – Russell Group</t>
        </is>
      </c>
      <c r="F27" s="77" t="n">
        <v>2027</v>
      </c>
      <c r="G27" s="77" t="n">
        <v>111</v>
      </c>
      <c r="H27" s="77" t="inlineStr">
        <is>
          <t>Not started</t>
        </is>
      </c>
      <c r="I27" s="77">
        <f>COUNTIFS('EL scheme register'!$A$7:$A$7,$A27,'EL scheme register'!$C$7:$C$7,"University-wide",'EL scheme register'!$AJ$7:$AJ$7,"Yes")</f>
        <v/>
      </c>
      <c r="J27" s="77">
        <f>COUNTIFS('EL scheme register'!$A$7:$A$7,$A27,'EL scheme register'!$C$7:$C$7,"Cross-faculty",'EL scheme register'!$AJ$7:$AJ$7,"Yes")</f>
        <v/>
      </c>
      <c r="K27" s="77">
        <f>COUNTIFS('EL scheme register'!$A$7:$A$7,$A27,'EL scheme register'!$C$7:$C$7,"Faculty/school",'EL scheme register'!$AJ$7:$AJ$7,"Yes")</f>
        <v/>
      </c>
      <c r="L27" s="77">
        <f>COUNTIFS('EL scheme register'!$A$7:$A$7,$A27,'EL scheme register'!$C$7:$C$7,"Programme/course",'EL scheme register'!$AJ$7:$AJ$7,"Yes")</f>
        <v/>
      </c>
      <c r="M27" s="77">
        <f>COUNTIFS('EL scheme register'!$A$7:$A$7,$A27,'EL scheme register'!$C$7:$C$7,"Unclear",'EL scheme register'!$AJ$7:$AJ$7,"Yes")</f>
        <v/>
      </c>
      <c r="N27" s="77">
        <f>SUM(I27:M27)</f>
        <v/>
      </c>
      <c r="O27" s="77">
        <f>COUNTIFS('EL scheme register'!$A$7:$A$7,$A27,'EL scheme register'!$AF$7:$AF$7,"Potentially relevant; evidence incomplete",'EL scheme register'!$AI$7:$AI$7,"Yes")</f>
        <v/>
      </c>
      <c r="P27" s="77">
        <f>COUNTIFS('EL scheme register'!$A$7:$A$7,$A27,'EL scheme register'!$AF$7:$AF$7,"Outside strict definition")</f>
        <v/>
      </c>
      <c r="Q27" s="77">
        <f>COUNTIF('EL exclusions &amp; gaps'!$B$7:$B$5000,$A27)</f>
        <v/>
      </c>
      <c r="R27" s="77" t="inlineStr">
        <is>
          <t>Not reviewed</t>
        </is>
      </c>
      <c r="S27" s="77" t="inlineStr">
        <is>
          <t>Not reviewed</t>
        </is>
      </c>
      <c r="T27" s="77" t="inlineStr"/>
      <c r="U27" s="77" t="inlineStr"/>
      <c r="V27" s="77" t="inlineStr">
        <is>
          <t>Not reviewed</t>
        </is>
      </c>
      <c r="W27" s="77" t="inlineStr"/>
      <c r="X27" s="77" t="inlineStr"/>
    </row>
    <row r="28">
      <c r="A28" s="77" t="inlineStr">
        <is>
          <t>RG22</t>
        </is>
      </c>
      <c r="B28" s="79" t="inlineStr">
        <is>
          <t>UCL</t>
        </is>
      </c>
      <c r="C28" s="77" t="inlineStr">
        <is>
          <t>UK</t>
        </is>
      </c>
      <c r="D28" s="77" t="inlineStr">
        <is>
          <t>Russell Group</t>
        </is>
      </c>
      <c r="E28" s="77" t="inlineStr">
        <is>
          <t>UK – Russell Group</t>
        </is>
      </c>
      <c r="F28" s="77" t="n">
        <v>2027</v>
      </c>
      <c r="G28" s="77" t="n">
        <v>8</v>
      </c>
      <c r="H28" s="77" t="inlineStr">
        <is>
          <t>Not started</t>
        </is>
      </c>
      <c r="I28" s="77">
        <f>COUNTIFS('EL scheme register'!$A$7:$A$7,$A28,'EL scheme register'!$C$7:$C$7,"University-wide",'EL scheme register'!$AJ$7:$AJ$7,"Yes")</f>
        <v/>
      </c>
      <c r="J28" s="77">
        <f>COUNTIFS('EL scheme register'!$A$7:$A$7,$A28,'EL scheme register'!$C$7:$C$7,"Cross-faculty",'EL scheme register'!$AJ$7:$AJ$7,"Yes")</f>
        <v/>
      </c>
      <c r="K28" s="77">
        <f>COUNTIFS('EL scheme register'!$A$7:$A$7,$A28,'EL scheme register'!$C$7:$C$7,"Faculty/school",'EL scheme register'!$AJ$7:$AJ$7,"Yes")</f>
        <v/>
      </c>
      <c r="L28" s="77">
        <f>COUNTIFS('EL scheme register'!$A$7:$A$7,$A28,'EL scheme register'!$C$7:$C$7,"Programme/course",'EL scheme register'!$AJ$7:$AJ$7,"Yes")</f>
        <v/>
      </c>
      <c r="M28" s="77">
        <f>COUNTIFS('EL scheme register'!$A$7:$A$7,$A28,'EL scheme register'!$C$7:$C$7,"Unclear",'EL scheme register'!$AJ$7:$AJ$7,"Yes")</f>
        <v/>
      </c>
      <c r="N28" s="77">
        <f>SUM(I28:M28)</f>
        <v/>
      </c>
      <c r="O28" s="77">
        <f>COUNTIFS('EL scheme register'!$A$7:$A$7,$A28,'EL scheme register'!$AF$7:$AF$7,"Potentially relevant; evidence incomplete",'EL scheme register'!$AI$7:$AI$7,"Yes")</f>
        <v/>
      </c>
      <c r="P28" s="77">
        <f>COUNTIFS('EL scheme register'!$A$7:$A$7,$A28,'EL scheme register'!$AF$7:$AF$7,"Outside strict definition")</f>
        <v/>
      </c>
      <c r="Q28" s="77">
        <f>COUNTIF('EL exclusions &amp; gaps'!$B$7:$B$5000,$A28)</f>
        <v/>
      </c>
      <c r="R28" s="77" t="inlineStr">
        <is>
          <t>Not reviewed</t>
        </is>
      </c>
      <c r="S28" s="77" t="inlineStr">
        <is>
          <t>Not reviewed</t>
        </is>
      </c>
      <c r="T28" s="77" t="inlineStr"/>
      <c r="U28" s="77" t="inlineStr"/>
      <c r="V28" s="77" t="inlineStr">
        <is>
          <t>Not reviewed</t>
        </is>
      </c>
      <c r="W28" s="77" t="inlineStr"/>
      <c r="X28" s="77" t="inlineStr"/>
    </row>
    <row r="29">
      <c r="A29" s="77" t="inlineStr">
        <is>
          <t>RG23</t>
        </is>
      </c>
      <c r="B29" s="79" t="inlineStr">
        <is>
          <t>Warwick</t>
        </is>
      </c>
      <c r="C29" s="77" t="inlineStr">
        <is>
          <t>UK</t>
        </is>
      </c>
      <c r="D29" s="77" t="inlineStr">
        <is>
          <t>Russell Group</t>
        </is>
      </c>
      <c r="E29" s="77" t="inlineStr">
        <is>
          <t>UK – Russell Group</t>
        </is>
      </c>
      <c r="F29" s="77" t="n">
        <v>2027</v>
      </c>
      <c r="G29" s="77" t="n">
        <v>68</v>
      </c>
      <c r="H29" s="77" t="inlineStr">
        <is>
          <t>Not started</t>
        </is>
      </c>
      <c r="I29" s="77">
        <f>COUNTIFS('EL scheme register'!$A$7:$A$7,$A29,'EL scheme register'!$C$7:$C$7,"University-wide",'EL scheme register'!$AJ$7:$AJ$7,"Yes")</f>
        <v/>
      </c>
      <c r="J29" s="77">
        <f>COUNTIFS('EL scheme register'!$A$7:$A$7,$A29,'EL scheme register'!$C$7:$C$7,"Cross-faculty",'EL scheme register'!$AJ$7:$AJ$7,"Yes")</f>
        <v/>
      </c>
      <c r="K29" s="77">
        <f>COUNTIFS('EL scheme register'!$A$7:$A$7,$A29,'EL scheme register'!$C$7:$C$7,"Faculty/school",'EL scheme register'!$AJ$7:$AJ$7,"Yes")</f>
        <v/>
      </c>
      <c r="L29" s="77">
        <f>COUNTIFS('EL scheme register'!$A$7:$A$7,$A29,'EL scheme register'!$C$7:$C$7,"Programme/course",'EL scheme register'!$AJ$7:$AJ$7,"Yes")</f>
        <v/>
      </c>
      <c r="M29" s="77">
        <f>COUNTIFS('EL scheme register'!$A$7:$A$7,$A29,'EL scheme register'!$C$7:$C$7,"Unclear",'EL scheme register'!$AJ$7:$AJ$7,"Yes")</f>
        <v/>
      </c>
      <c r="N29" s="77">
        <f>SUM(I29:M29)</f>
        <v/>
      </c>
      <c r="O29" s="77">
        <f>COUNTIFS('EL scheme register'!$A$7:$A$7,$A29,'EL scheme register'!$AF$7:$AF$7,"Potentially relevant; evidence incomplete",'EL scheme register'!$AI$7:$AI$7,"Yes")</f>
        <v/>
      </c>
      <c r="P29" s="77">
        <f>COUNTIFS('EL scheme register'!$A$7:$A$7,$A29,'EL scheme register'!$AF$7:$AF$7,"Outside strict definition")</f>
        <v/>
      </c>
      <c r="Q29" s="77">
        <f>COUNTIF('EL exclusions &amp; gaps'!$B$7:$B$5000,$A29)</f>
        <v/>
      </c>
      <c r="R29" s="77" t="inlineStr">
        <is>
          <t>Not reviewed</t>
        </is>
      </c>
      <c r="S29" s="77" t="inlineStr">
        <is>
          <t>Not reviewed</t>
        </is>
      </c>
      <c r="T29" s="77" t="inlineStr"/>
      <c r="U29" s="77" t="inlineStr"/>
      <c r="V29" s="77" t="inlineStr">
        <is>
          <t>Not reviewed</t>
        </is>
      </c>
      <c r="W29" s="77" t="inlineStr"/>
      <c r="X29" s="77" t="inlineStr"/>
    </row>
    <row r="30">
      <c r="A30" s="77" t="inlineStr">
        <is>
          <t>RG24</t>
        </is>
      </c>
      <c r="B30" s="79" t="inlineStr">
        <is>
          <t>York</t>
        </is>
      </c>
      <c r="C30" s="77" t="inlineStr">
        <is>
          <t>UK</t>
        </is>
      </c>
      <c r="D30" s="77" t="inlineStr">
        <is>
          <t>Russell Group</t>
        </is>
      </c>
      <c r="E30" s="77" t="inlineStr">
        <is>
          <t>UK – Russell Group</t>
        </is>
      </c>
      <c r="F30" s="77" t="n">
        <v>2027</v>
      </c>
      <c r="G30" s="77" t="n">
        <v>158</v>
      </c>
      <c r="H30" s="77" t="inlineStr">
        <is>
          <t>Not started</t>
        </is>
      </c>
      <c r="I30" s="77">
        <f>COUNTIFS('EL scheme register'!$A$7:$A$7,$A30,'EL scheme register'!$C$7:$C$7,"University-wide",'EL scheme register'!$AJ$7:$AJ$7,"Yes")</f>
        <v/>
      </c>
      <c r="J30" s="77">
        <f>COUNTIFS('EL scheme register'!$A$7:$A$7,$A30,'EL scheme register'!$C$7:$C$7,"Cross-faculty",'EL scheme register'!$AJ$7:$AJ$7,"Yes")</f>
        <v/>
      </c>
      <c r="K30" s="77">
        <f>COUNTIFS('EL scheme register'!$A$7:$A$7,$A30,'EL scheme register'!$C$7:$C$7,"Faculty/school",'EL scheme register'!$AJ$7:$AJ$7,"Yes")</f>
        <v/>
      </c>
      <c r="L30" s="77">
        <f>COUNTIFS('EL scheme register'!$A$7:$A$7,$A30,'EL scheme register'!$C$7:$C$7,"Programme/course",'EL scheme register'!$AJ$7:$AJ$7,"Yes")</f>
        <v/>
      </c>
      <c r="M30" s="77">
        <f>COUNTIFS('EL scheme register'!$A$7:$A$7,$A30,'EL scheme register'!$C$7:$C$7,"Unclear",'EL scheme register'!$AJ$7:$AJ$7,"Yes")</f>
        <v/>
      </c>
      <c r="N30" s="77">
        <f>SUM(I30:M30)</f>
        <v/>
      </c>
      <c r="O30" s="77">
        <f>COUNTIFS('EL scheme register'!$A$7:$A$7,$A30,'EL scheme register'!$AF$7:$AF$7,"Potentially relevant; evidence incomplete",'EL scheme register'!$AI$7:$AI$7,"Yes")</f>
        <v/>
      </c>
      <c r="P30" s="77">
        <f>COUNTIFS('EL scheme register'!$A$7:$A$7,$A30,'EL scheme register'!$AF$7:$AF$7,"Outside strict definition")</f>
        <v/>
      </c>
      <c r="Q30" s="77">
        <f>COUNTIF('EL exclusions &amp; gaps'!$B$7:$B$5000,$A30)</f>
        <v/>
      </c>
      <c r="R30" s="77" t="inlineStr">
        <is>
          <t>Not reviewed</t>
        </is>
      </c>
      <c r="S30" s="77" t="inlineStr">
        <is>
          <t>Not reviewed</t>
        </is>
      </c>
      <c r="T30" s="77" t="inlineStr"/>
      <c r="U30" s="77" t="inlineStr"/>
      <c r="V30" s="77" t="inlineStr">
        <is>
          <t>Not reviewed</t>
        </is>
      </c>
      <c r="W30" s="77" t="inlineStr"/>
      <c r="X30" s="77" t="inlineStr"/>
    </row>
    <row r="31">
      <c r="A31" s="77" t="inlineStr">
        <is>
          <t>AU01</t>
        </is>
      </c>
      <c r="B31" s="79" t="inlineStr">
        <is>
          <t>UNSW Sydney</t>
        </is>
      </c>
      <c r="C31" s="77" t="inlineStr">
        <is>
          <t>Australia</t>
        </is>
      </c>
      <c r="D31" s="77" t="inlineStr">
        <is>
          <t>Australia top 10</t>
        </is>
      </c>
      <c r="E31" s="77" t="inlineStr">
        <is>
          <t>Australia</t>
        </is>
      </c>
      <c r="F31" s="77" t="n">
        <v>2027</v>
      </c>
      <c r="G31" s="77" t="n">
        <v>19</v>
      </c>
      <c r="H31" s="77" t="inlineStr">
        <is>
          <t>Not started</t>
        </is>
      </c>
      <c r="I31" s="77">
        <f>COUNTIFS('EL scheme register'!$A$7:$A$7,$A31,'EL scheme register'!$C$7:$C$7,"University-wide",'EL scheme register'!$AJ$7:$AJ$7,"Yes")</f>
        <v/>
      </c>
      <c r="J31" s="77">
        <f>COUNTIFS('EL scheme register'!$A$7:$A$7,$A31,'EL scheme register'!$C$7:$C$7,"Cross-faculty",'EL scheme register'!$AJ$7:$AJ$7,"Yes")</f>
        <v/>
      </c>
      <c r="K31" s="77">
        <f>COUNTIFS('EL scheme register'!$A$7:$A$7,$A31,'EL scheme register'!$C$7:$C$7,"Faculty/school",'EL scheme register'!$AJ$7:$AJ$7,"Yes")</f>
        <v/>
      </c>
      <c r="L31" s="77">
        <f>COUNTIFS('EL scheme register'!$A$7:$A$7,$A31,'EL scheme register'!$C$7:$C$7,"Programme/course",'EL scheme register'!$AJ$7:$AJ$7,"Yes")</f>
        <v/>
      </c>
      <c r="M31" s="77">
        <f>COUNTIFS('EL scheme register'!$A$7:$A$7,$A31,'EL scheme register'!$C$7:$C$7,"Unclear",'EL scheme register'!$AJ$7:$AJ$7,"Yes")</f>
        <v/>
      </c>
      <c r="N31" s="77">
        <f>SUM(I31:M31)</f>
        <v/>
      </c>
      <c r="O31" s="77">
        <f>COUNTIFS('EL scheme register'!$A$7:$A$7,$A31,'EL scheme register'!$AF$7:$AF$7,"Potentially relevant; evidence incomplete",'EL scheme register'!$AI$7:$AI$7,"Yes")</f>
        <v/>
      </c>
      <c r="P31" s="77">
        <f>COUNTIFS('EL scheme register'!$A$7:$A$7,$A31,'EL scheme register'!$AF$7:$AF$7,"Outside strict definition")</f>
        <v/>
      </c>
      <c r="Q31" s="77">
        <f>COUNTIF('EL exclusions &amp; gaps'!$B$7:$B$5000,$A31)</f>
        <v/>
      </c>
      <c r="R31" s="77" t="inlineStr">
        <is>
          <t>Not reviewed</t>
        </is>
      </c>
      <c r="S31" s="77" t="inlineStr">
        <is>
          <t>Not reviewed</t>
        </is>
      </c>
      <c r="T31" s="77" t="inlineStr"/>
      <c r="U31" s="77" t="inlineStr"/>
      <c r="V31" s="77" t="inlineStr">
        <is>
          <t>Not reviewed</t>
        </is>
      </c>
      <c r="W31" s="77" t="inlineStr"/>
      <c r="X31" s="77" t="inlineStr"/>
    </row>
    <row r="32">
      <c r="A32" s="77" t="inlineStr">
        <is>
          <t>AU02</t>
        </is>
      </c>
      <c r="B32" s="79" t="inlineStr">
        <is>
          <t>Melbourne</t>
        </is>
      </c>
      <c r="C32" s="77" t="inlineStr">
        <is>
          <t>Australia</t>
        </is>
      </c>
      <c r="D32" s="77" t="inlineStr">
        <is>
          <t>Australia top 10</t>
        </is>
      </c>
      <c r="E32" s="77" t="inlineStr">
        <is>
          <t>Australia</t>
        </is>
      </c>
      <c r="F32" s="77" t="n">
        <v>2027</v>
      </c>
      <c r="G32" s="77" t="n">
        <v>22</v>
      </c>
      <c r="H32" s="77" t="inlineStr">
        <is>
          <t>Not started</t>
        </is>
      </c>
      <c r="I32" s="77">
        <f>COUNTIFS('EL scheme register'!$A$7:$A$7,$A32,'EL scheme register'!$C$7:$C$7,"University-wide",'EL scheme register'!$AJ$7:$AJ$7,"Yes")</f>
        <v/>
      </c>
      <c r="J32" s="77">
        <f>COUNTIFS('EL scheme register'!$A$7:$A$7,$A32,'EL scheme register'!$C$7:$C$7,"Cross-faculty",'EL scheme register'!$AJ$7:$AJ$7,"Yes")</f>
        <v/>
      </c>
      <c r="K32" s="77">
        <f>COUNTIFS('EL scheme register'!$A$7:$A$7,$A32,'EL scheme register'!$C$7:$C$7,"Faculty/school",'EL scheme register'!$AJ$7:$AJ$7,"Yes")</f>
        <v/>
      </c>
      <c r="L32" s="77">
        <f>COUNTIFS('EL scheme register'!$A$7:$A$7,$A32,'EL scheme register'!$C$7:$C$7,"Programme/course",'EL scheme register'!$AJ$7:$AJ$7,"Yes")</f>
        <v/>
      </c>
      <c r="M32" s="77">
        <f>COUNTIFS('EL scheme register'!$A$7:$A$7,$A32,'EL scheme register'!$C$7:$C$7,"Unclear",'EL scheme register'!$AJ$7:$AJ$7,"Yes")</f>
        <v/>
      </c>
      <c r="N32" s="77">
        <f>SUM(I32:M32)</f>
        <v/>
      </c>
      <c r="O32" s="77">
        <f>COUNTIFS('EL scheme register'!$A$7:$A$7,$A32,'EL scheme register'!$AF$7:$AF$7,"Potentially relevant; evidence incomplete",'EL scheme register'!$AI$7:$AI$7,"Yes")</f>
        <v/>
      </c>
      <c r="P32" s="77">
        <f>COUNTIFS('EL scheme register'!$A$7:$A$7,$A32,'EL scheme register'!$AF$7:$AF$7,"Outside strict definition")</f>
        <v/>
      </c>
      <c r="Q32" s="77">
        <f>COUNTIF('EL exclusions &amp; gaps'!$B$7:$B$5000,$A32)</f>
        <v/>
      </c>
      <c r="R32" s="77" t="inlineStr">
        <is>
          <t>Not reviewed</t>
        </is>
      </c>
      <c r="S32" s="77" t="inlineStr">
        <is>
          <t>Not reviewed</t>
        </is>
      </c>
      <c r="T32" s="77" t="inlineStr"/>
      <c r="U32" s="77" t="inlineStr"/>
      <c r="V32" s="77" t="inlineStr">
        <is>
          <t>Not reviewed</t>
        </is>
      </c>
      <c r="W32" s="77" t="inlineStr"/>
      <c r="X32" s="77" t="inlineStr"/>
    </row>
    <row r="33">
      <c r="A33" s="77" t="inlineStr">
        <is>
          <t>AU03</t>
        </is>
      </c>
      <c r="B33" s="79" t="inlineStr">
        <is>
          <t>Sydney</t>
        </is>
      </c>
      <c r="C33" s="77" t="inlineStr">
        <is>
          <t>Australia</t>
        </is>
      </c>
      <c r="D33" s="77" t="inlineStr">
        <is>
          <t>Australia top 10</t>
        </is>
      </c>
      <c r="E33" s="77" t="inlineStr">
        <is>
          <t>Australia</t>
        </is>
      </c>
      <c r="F33" s="77" t="n">
        <v>2027</v>
      </c>
      <c r="G33" s="77" t="n">
        <v>28</v>
      </c>
      <c r="H33" s="77" t="inlineStr">
        <is>
          <t>Not started</t>
        </is>
      </c>
      <c r="I33" s="77">
        <f>COUNTIFS('EL scheme register'!$A$7:$A$7,$A33,'EL scheme register'!$C$7:$C$7,"University-wide",'EL scheme register'!$AJ$7:$AJ$7,"Yes")</f>
        <v/>
      </c>
      <c r="J33" s="77">
        <f>COUNTIFS('EL scheme register'!$A$7:$A$7,$A33,'EL scheme register'!$C$7:$C$7,"Cross-faculty",'EL scheme register'!$AJ$7:$AJ$7,"Yes")</f>
        <v/>
      </c>
      <c r="K33" s="77">
        <f>COUNTIFS('EL scheme register'!$A$7:$A$7,$A33,'EL scheme register'!$C$7:$C$7,"Faculty/school",'EL scheme register'!$AJ$7:$AJ$7,"Yes")</f>
        <v/>
      </c>
      <c r="L33" s="77">
        <f>COUNTIFS('EL scheme register'!$A$7:$A$7,$A33,'EL scheme register'!$C$7:$C$7,"Programme/course",'EL scheme register'!$AJ$7:$AJ$7,"Yes")</f>
        <v/>
      </c>
      <c r="M33" s="77">
        <f>COUNTIFS('EL scheme register'!$A$7:$A$7,$A33,'EL scheme register'!$C$7:$C$7,"Unclear",'EL scheme register'!$AJ$7:$AJ$7,"Yes")</f>
        <v/>
      </c>
      <c r="N33" s="77">
        <f>SUM(I33:M33)</f>
        <v/>
      </c>
      <c r="O33" s="77">
        <f>COUNTIFS('EL scheme register'!$A$7:$A$7,$A33,'EL scheme register'!$AF$7:$AF$7,"Potentially relevant; evidence incomplete",'EL scheme register'!$AI$7:$AI$7,"Yes")</f>
        <v/>
      </c>
      <c r="P33" s="77">
        <f>COUNTIFS('EL scheme register'!$A$7:$A$7,$A33,'EL scheme register'!$AF$7:$AF$7,"Outside strict definition")</f>
        <v/>
      </c>
      <c r="Q33" s="77">
        <f>COUNTIF('EL exclusions &amp; gaps'!$B$7:$B$5000,$A33)</f>
        <v/>
      </c>
      <c r="R33" s="77" t="inlineStr">
        <is>
          <t>Not reviewed</t>
        </is>
      </c>
      <c r="S33" s="77" t="inlineStr">
        <is>
          <t>Not reviewed</t>
        </is>
      </c>
      <c r="T33" s="77" t="inlineStr"/>
      <c r="U33" s="77" t="inlineStr"/>
      <c r="V33" s="77" t="inlineStr">
        <is>
          <t>Not reviewed</t>
        </is>
      </c>
      <c r="W33" s="77" t="inlineStr"/>
      <c r="X33" s="77" t="inlineStr"/>
    </row>
    <row r="34">
      <c r="A34" s="77" t="inlineStr">
        <is>
          <t>AU04</t>
        </is>
      </c>
      <c r="B34" s="79" t="inlineStr">
        <is>
          <t>Australian National University</t>
        </is>
      </c>
      <c r="C34" s="77" t="inlineStr">
        <is>
          <t>Australia</t>
        </is>
      </c>
      <c r="D34" s="77" t="inlineStr">
        <is>
          <t>Australia top 10</t>
        </is>
      </c>
      <c r="E34" s="77" t="inlineStr">
        <is>
          <t>Australia</t>
        </is>
      </c>
      <c r="F34" s="77" t="n">
        <v>2027</v>
      </c>
      <c r="G34" s="77" t="n">
        <v>29</v>
      </c>
      <c r="H34" s="77" t="inlineStr">
        <is>
          <t>Not started</t>
        </is>
      </c>
      <c r="I34" s="77">
        <f>COUNTIFS('EL scheme register'!$A$7:$A$7,$A34,'EL scheme register'!$C$7:$C$7,"University-wide",'EL scheme register'!$AJ$7:$AJ$7,"Yes")</f>
        <v/>
      </c>
      <c r="J34" s="77">
        <f>COUNTIFS('EL scheme register'!$A$7:$A$7,$A34,'EL scheme register'!$C$7:$C$7,"Cross-faculty",'EL scheme register'!$AJ$7:$AJ$7,"Yes")</f>
        <v/>
      </c>
      <c r="K34" s="77">
        <f>COUNTIFS('EL scheme register'!$A$7:$A$7,$A34,'EL scheme register'!$C$7:$C$7,"Faculty/school",'EL scheme register'!$AJ$7:$AJ$7,"Yes")</f>
        <v/>
      </c>
      <c r="L34" s="77">
        <f>COUNTIFS('EL scheme register'!$A$7:$A$7,$A34,'EL scheme register'!$C$7:$C$7,"Programme/course",'EL scheme register'!$AJ$7:$AJ$7,"Yes")</f>
        <v/>
      </c>
      <c r="M34" s="77">
        <f>COUNTIFS('EL scheme register'!$A$7:$A$7,$A34,'EL scheme register'!$C$7:$C$7,"Unclear",'EL scheme register'!$AJ$7:$AJ$7,"Yes")</f>
        <v/>
      </c>
      <c r="N34" s="77">
        <f>SUM(I34:M34)</f>
        <v/>
      </c>
      <c r="O34" s="77">
        <f>COUNTIFS('EL scheme register'!$A$7:$A$7,$A34,'EL scheme register'!$AF$7:$AF$7,"Potentially relevant; evidence incomplete",'EL scheme register'!$AI$7:$AI$7,"Yes")</f>
        <v/>
      </c>
      <c r="P34" s="77">
        <f>COUNTIFS('EL scheme register'!$A$7:$A$7,$A34,'EL scheme register'!$AF$7:$AF$7,"Outside strict definition")</f>
        <v/>
      </c>
      <c r="Q34" s="77">
        <f>COUNTIF('EL exclusions &amp; gaps'!$B$7:$B$5000,$A34)</f>
        <v/>
      </c>
      <c r="R34" s="77" t="inlineStr">
        <is>
          <t>Not reviewed</t>
        </is>
      </c>
      <c r="S34" s="77" t="inlineStr">
        <is>
          <t>Not reviewed</t>
        </is>
      </c>
      <c r="T34" s="77" t="inlineStr"/>
      <c r="U34" s="77" t="inlineStr"/>
      <c r="V34" s="77" t="inlineStr">
        <is>
          <t>Not reviewed</t>
        </is>
      </c>
      <c r="W34" s="77" t="inlineStr"/>
      <c r="X34" s="77" t="inlineStr"/>
    </row>
    <row r="35">
      <c r="A35" s="77" t="inlineStr">
        <is>
          <t>AU05</t>
        </is>
      </c>
      <c r="B35" s="79" t="inlineStr">
        <is>
          <t>Monash</t>
        </is>
      </c>
      <c r="C35" s="77" t="inlineStr">
        <is>
          <t>Australia</t>
        </is>
      </c>
      <c r="D35" s="77" t="inlineStr">
        <is>
          <t>Australia top 10</t>
        </is>
      </c>
      <c r="E35" s="77" t="inlineStr">
        <is>
          <t>Australia</t>
        </is>
      </c>
      <c r="F35" s="77" t="n">
        <v>2027</v>
      </c>
      <c r="G35" s="77" t="n">
        <v>31</v>
      </c>
      <c r="H35" s="77" t="inlineStr">
        <is>
          <t>Not started</t>
        </is>
      </c>
      <c r="I35" s="77">
        <f>COUNTIFS('EL scheme register'!$A$7:$A$7,$A35,'EL scheme register'!$C$7:$C$7,"University-wide",'EL scheme register'!$AJ$7:$AJ$7,"Yes")</f>
        <v/>
      </c>
      <c r="J35" s="77">
        <f>COUNTIFS('EL scheme register'!$A$7:$A$7,$A35,'EL scheme register'!$C$7:$C$7,"Cross-faculty",'EL scheme register'!$AJ$7:$AJ$7,"Yes")</f>
        <v/>
      </c>
      <c r="K35" s="77">
        <f>COUNTIFS('EL scheme register'!$A$7:$A$7,$A35,'EL scheme register'!$C$7:$C$7,"Faculty/school",'EL scheme register'!$AJ$7:$AJ$7,"Yes")</f>
        <v/>
      </c>
      <c r="L35" s="77">
        <f>COUNTIFS('EL scheme register'!$A$7:$A$7,$A35,'EL scheme register'!$C$7:$C$7,"Programme/course",'EL scheme register'!$AJ$7:$AJ$7,"Yes")</f>
        <v/>
      </c>
      <c r="M35" s="77">
        <f>COUNTIFS('EL scheme register'!$A$7:$A$7,$A35,'EL scheme register'!$C$7:$C$7,"Unclear",'EL scheme register'!$AJ$7:$AJ$7,"Yes")</f>
        <v/>
      </c>
      <c r="N35" s="77">
        <f>SUM(I35:M35)</f>
        <v/>
      </c>
      <c r="O35" s="77">
        <f>COUNTIFS('EL scheme register'!$A$7:$A$7,$A35,'EL scheme register'!$AF$7:$AF$7,"Potentially relevant; evidence incomplete",'EL scheme register'!$AI$7:$AI$7,"Yes")</f>
        <v/>
      </c>
      <c r="P35" s="77">
        <f>COUNTIFS('EL scheme register'!$A$7:$A$7,$A35,'EL scheme register'!$AF$7:$AF$7,"Outside strict definition")</f>
        <v/>
      </c>
      <c r="Q35" s="77">
        <f>COUNTIF('EL exclusions &amp; gaps'!$B$7:$B$5000,$A35)</f>
        <v/>
      </c>
      <c r="R35" s="77" t="inlineStr">
        <is>
          <t>Not reviewed</t>
        </is>
      </c>
      <c r="S35" s="77" t="inlineStr">
        <is>
          <t>Not reviewed</t>
        </is>
      </c>
      <c r="T35" s="77" t="inlineStr"/>
      <c r="U35" s="77" t="inlineStr"/>
      <c r="V35" s="77" t="inlineStr">
        <is>
          <t>Not reviewed</t>
        </is>
      </c>
      <c r="W35" s="77" t="inlineStr"/>
      <c r="X35" s="77" t="inlineStr"/>
    </row>
    <row r="36">
      <c r="A36" s="77" t="inlineStr">
        <is>
          <t>AU06</t>
        </is>
      </c>
      <c r="B36" s="79" t="inlineStr">
        <is>
          <t>Queensland</t>
        </is>
      </c>
      <c r="C36" s="77" t="inlineStr">
        <is>
          <t>Australia</t>
        </is>
      </c>
      <c r="D36" s="77" t="inlineStr">
        <is>
          <t>Australia top 10</t>
        </is>
      </c>
      <c r="E36" s="77" t="inlineStr">
        <is>
          <t>Australia</t>
        </is>
      </c>
      <c r="F36" s="77" t="n">
        <v>2027</v>
      </c>
      <c r="G36" s="77" t="n">
        <v>40</v>
      </c>
      <c r="H36" s="77" t="inlineStr">
        <is>
          <t>Not started</t>
        </is>
      </c>
      <c r="I36" s="77">
        <f>COUNTIFS('EL scheme register'!$A$7:$A$7,$A36,'EL scheme register'!$C$7:$C$7,"University-wide",'EL scheme register'!$AJ$7:$AJ$7,"Yes")</f>
        <v/>
      </c>
      <c r="J36" s="77">
        <f>COUNTIFS('EL scheme register'!$A$7:$A$7,$A36,'EL scheme register'!$C$7:$C$7,"Cross-faculty",'EL scheme register'!$AJ$7:$AJ$7,"Yes")</f>
        <v/>
      </c>
      <c r="K36" s="77">
        <f>COUNTIFS('EL scheme register'!$A$7:$A$7,$A36,'EL scheme register'!$C$7:$C$7,"Faculty/school",'EL scheme register'!$AJ$7:$AJ$7,"Yes")</f>
        <v/>
      </c>
      <c r="L36" s="77">
        <f>COUNTIFS('EL scheme register'!$A$7:$A$7,$A36,'EL scheme register'!$C$7:$C$7,"Programme/course",'EL scheme register'!$AJ$7:$AJ$7,"Yes")</f>
        <v/>
      </c>
      <c r="M36" s="77">
        <f>COUNTIFS('EL scheme register'!$A$7:$A$7,$A36,'EL scheme register'!$C$7:$C$7,"Unclear",'EL scheme register'!$AJ$7:$AJ$7,"Yes")</f>
        <v/>
      </c>
      <c r="N36" s="77">
        <f>SUM(I36:M36)</f>
        <v/>
      </c>
      <c r="O36" s="77">
        <f>COUNTIFS('EL scheme register'!$A$7:$A$7,$A36,'EL scheme register'!$AF$7:$AF$7,"Potentially relevant; evidence incomplete",'EL scheme register'!$AI$7:$AI$7,"Yes")</f>
        <v/>
      </c>
      <c r="P36" s="77">
        <f>COUNTIFS('EL scheme register'!$A$7:$A$7,$A36,'EL scheme register'!$AF$7:$AF$7,"Outside strict definition")</f>
        <v/>
      </c>
      <c r="Q36" s="77">
        <f>COUNTIF('EL exclusions &amp; gaps'!$B$7:$B$5000,$A36)</f>
        <v/>
      </c>
      <c r="R36" s="77" t="inlineStr">
        <is>
          <t>Not reviewed</t>
        </is>
      </c>
      <c r="S36" s="77" t="inlineStr">
        <is>
          <t>Not reviewed</t>
        </is>
      </c>
      <c r="T36" s="77" t="inlineStr"/>
      <c r="U36" s="77" t="inlineStr"/>
      <c r="V36" s="77" t="inlineStr">
        <is>
          <t>Not reviewed</t>
        </is>
      </c>
      <c r="W36" s="77" t="inlineStr"/>
      <c r="X36" s="77" t="inlineStr"/>
    </row>
    <row r="37">
      <c r="A37" s="77" t="inlineStr">
        <is>
          <t>AU07</t>
        </is>
      </c>
      <c r="B37" s="79" t="inlineStr">
        <is>
          <t>Western Australia</t>
        </is>
      </c>
      <c r="C37" s="77" t="inlineStr">
        <is>
          <t>Australia</t>
        </is>
      </c>
      <c r="D37" s="77" t="inlineStr">
        <is>
          <t>Australia top 10</t>
        </is>
      </c>
      <c r="E37" s="77" t="inlineStr">
        <is>
          <t>Australia</t>
        </is>
      </c>
      <c r="F37" s="77" t="n">
        <v>2027</v>
      </c>
      <c r="G37" s="77" t="n">
        <v>77</v>
      </c>
      <c r="H37" s="77" t="inlineStr">
        <is>
          <t>Not started</t>
        </is>
      </c>
      <c r="I37" s="77">
        <f>COUNTIFS('EL scheme register'!$A$7:$A$7,$A37,'EL scheme register'!$C$7:$C$7,"University-wide",'EL scheme register'!$AJ$7:$AJ$7,"Yes")</f>
        <v/>
      </c>
      <c r="J37" s="77">
        <f>COUNTIFS('EL scheme register'!$A$7:$A$7,$A37,'EL scheme register'!$C$7:$C$7,"Cross-faculty",'EL scheme register'!$AJ$7:$AJ$7,"Yes")</f>
        <v/>
      </c>
      <c r="K37" s="77">
        <f>COUNTIFS('EL scheme register'!$A$7:$A$7,$A37,'EL scheme register'!$C$7:$C$7,"Faculty/school",'EL scheme register'!$AJ$7:$AJ$7,"Yes")</f>
        <v/>
      </c>
      <c r="L37" s="77">
        <f>COUNTIFS('EL scheme register'!$A$7:$A$7,$A37,'EL scheme register'!$C$7:$C$7,"Programme/course",'EL scheme register'!$AJ$7:$AJ$7,"Yes")</f>
        <v/>
      </c>
      <c r="M37" s="77">
        <f>COUNTIFS('EL scheme register'!$A$7:$A$7,$A37,'EL scheme register'!$C$7:$C$7,"Unclear",'EL scheme register'!$AJ$7:$AJ$7,"Yes")</f>
        <v/>
      </c>
      <c r="N37" s="77">
        <f>SUM(I37:M37)</f>
        <v/>
      </c>
      <c r="O37" s="77">
        <f>COUNTIFS('EL scheme register'!$A$7:$A$7,$A37,'EL scheme register'!$AF$7:$AF$7,"Potentially relevant; evidence incomplete",'EL scheme register'!$AI$7:$AI$7,"Yes")</f>
        <v/>
      </c>
      <c r="P37" s="77">
        <f>COUNTIFS('EL scheme register'!$A$7:$A$7,$A37,'EL scheme register'!$AF$7:$AF$7,"Outside strict definition")</f>
        <v/>
      </c>
      <c r="Q37" s="77">
        <f>COUNTIF('EL exclusions &amp; gaps'!$B$7:$B$5000,$A37)</f>
        <v/>
      </c>
      <c r="R37" s="77" t="inlineStr">
        <is>
          <t>Not reviewed</t>
        </is>
      </c>
      <c r="S37" s="77" t="inlineStr">
        <is>
          <t>Not reviewed</t>
        </is>
      </c>
      <c r="T37" s="77" t="inlineStr"/>
      <c r="U37" s="77" t="inlineStr"/>
      <c r="V37" s="77" t="inlineStr">
        <is>
          <t>Not reviewed</t>
        </is>
      </c>
      <c r="W37" s="77" t="inlineStr"/>
      <c r="X37" s="77" t="inlineStr"/>
    </row>
    <row r="38">
      <c r="A38" s="77" t="inlineStr">
        <is>
          <t>AU08</t>
        </is>
      </c>
      <c r="B38" s="79" t="inlineStr">
        <is>
          <t>Adelaide University</t>
        </is>
      </c>
      <c r="C38" s="77" t="inlineStr">
        <is>
          <t>Australia</t>
        </is>
      </c>
      <c r="D38" s="77" t="inlineStr">
        <is>
          <t>Australia top 10</t>
        </is>
      </c>
      <c r="E38" s="77" t="inlineStr">
        <is>
          <t>Australia</t>
        </is>
      </c>
      <c r="F38" s="77" t="n">
        <v>2027</v>
      </c>
      <c r="G38" s="77" t="n">
        <v>79</v>
      </c>
      <c r="H38" s="77" t="inlineStr">
        <is>
          <t>Not started</t>
        </is>
      </c>
      <c r="I38" s="77">
        <f>COUNTIFS('EL scheme register'!$A$7:$A$7,$A38,'EL scheme register'!$C$7:$C$7,"University-wide",'EL scheme register'!$AJ$7:$AJ$7,"Yes")</f>
        <v/>
      </c>
      <c r="J38" s="77">
        <f>COUNTIFS('EL scheme register'!$A$7:$A$7,$A38,'EL scheme register'!$C$7:$C$7,"Cross-faculty",'EL scheme register'!$AJ$7:$AJ$7,"Yes")</f>
        <v/>
      </c>
      <c r="K38" s="77">
        <f>COUNTIFS('EL scheme register'!$A$7:$A$7,$A38,'EL scheme register'!$C$7:$C$7,"Faculty/school",'EL scheme register'!$AJ$7:$AJ$7,"Yes")</f>
        <v/>
      </c>
      <c r="L38" s="77">
        <f>COUNTIFS('EL scheme register'!$A$7:$A$7,$A38,'EL scheme register'!$C$7:$C$7,"Programme/course",'EL scheme register'!$AJ$7:$AJ$7,"Yes")</f>
        <v/>
      </c>
      <c r="M38" s="77">
        <f>COUNTIFS('EL scheme register'!$A$7:$A$7,$A38,'EL scheme register'!$C$7:$C$7,"Unclear",'EL scheme register'!$AJ$7:$AJ$7,"Yes")</f>
        <v/>
      </c>
      <c r="N38" s="77">
        <f>SUM(I38:M38)</f>
        <v/>
      </c>
      <c r="O38" s="77">
        <f>COUNTIFS('EL scheme register'!$A$7:$A$7,$A38,'EL scheme register'!$AF$7:$AF$7,"Potentially relevant; evidence incomplete",'EL scheme register'!$AI$7:$AI$7,"Yes")</f>
        <v/>
      </c>
      <c r="P38" s="77">
        <f>COUNTIFS('EL scheme register'!$A$7:$A$7,$A38,'EL scheme register'!$AF$7:$AF$7,"Outside strict definition")</f>
        <v/>
      </c>
      <c r="Q38" s="77">
        <f>COUNTIF('EL exclusions &amp; gaps'!$B$7:$B$5000,$A38)</f>
        <v/>
      </c>
      <c r="R38" s="77" t="inlineStr">
        <is>
          <t>Not reviewed</t>
        </is>
      </c>
      <c r="S38" s="77" t="inlineStr">
        <is>
          <t>Not reviewed</t>
        </is>
      </c>
      <c r="T38" s="77" t="inlineStr"/>
      <c r="U38" s="77" t="inlineStr"/>
      <c r="V38" s="77" t="inlineStr">
        <is>
          <t>Not reviewed</t>
        </is>
      </c>
      <c r="W38" s="77" t="inlineStr"/>
      <c r="X38" s="77" t="inlineStr"/>
    </row>
    <row r="39">
      <c r="A39" s="77" t="inlineStr">
        <is>
          <t>AU09</t>
        </is>
      </c>
      <c r="B39" s="79" t="inlineStr">
        <is>
          <t>University of Technology Sydney</t>
        </is>
      </c>
      <c r="C39" s="77" t="inlineStr">
        <is>
          <t>Australia</t>
        </is>
      </c>
      <c r="D39" s="77" t="inlineStr">
        <is>
          <t>Australia top 10</t>
        </is>
      </c>
      <c r="E39" s="77" t="inlineStr">
        <is>
          <t>Australia</t>
        </is>
      </c>
      <c r="F39" s="77" t="n">
        <v>2027</v>
      </c>
      <c r="G39" s="77" t="n">
        <v>87</v>
      </c>
      <c r="H39" s="77" t="inlineStr">
        <is>
          <t>Not started</t>
        </is>
      </c>
      <c r="I39" s="77">
        <f>COUNTIFS('EL scheme register'!$A$7:$A$7,$A39,'EL scheme register'!$C$7:$C$7,"University-wide",'EL scheme register'!$AJ$7:$AJ$7,"Yes")</f>
        <v/>
      </c>
      <c r="J39" s="77">
        <f>COUNTIFS('EL scheme register'!$A$7:$A$7,$A39,'EL scheme register'!$C$7:$C$7,"Cross-faculty",'EL scheme register'!$AJ$7:$AJ$7,"Yes")</f>
        <v/>
      </c>
      <c r="K39" s="77">
        <f>COUNTIFS('EL scheme register'!$A$7:$A$7,$A39,'EL scheme register'!$C$7:$C$7,"Faculty/school",'EL scheme register'!$AJ$7:$AJ$7,"Yes")</f>
        <v/>
      </c>
      <c r="L39" s="77">
        <f>COUNTIFS('EL scheme register'!$A$7:$A$7,$A39,'EL scheme register'!$C$7:$C$7,"Programme/course",'EL scheme register'!$AJ$7:$AJ$7,"Yes")</f>
        <v/>
      </c>
      <c r="M39" s="77">
        <f>COUNTIFS('EL scheme register'!$A$7:$A$7,$A39,'EL scheme register'!$C$7:$C$7,"Unclear",'EL scheme register'!$AJ$7:$AJ$7,"Yes")</f>
        <v/>
      </c>
      <c r="N39" s="77">
        <f>SUM(I39:M39)</f>
        <v/>
      </c>
      <c r="O39" s="77">
        <f>COUNTIFS('EL scheme register'!$A$7:$A$7,$A39,'EL scheme register'!$AF$7:$AF$7,"Potentially relevant; evidence incomplete",'EL scheme register'!$AI$7:$AI$7,"Yes")</f>
        <v/>
      </c>
      <c r="P39" s="77">
        <f>COUNTIFS('EL scheme register'!$A$7:$A$7,$A39,'EL scheme register'!$AF$7:$AF$7,"Outside strict definition")</f>
        <v/>
      </c>
      <c r="Q39" s="77">
        <f>COUNTIF('EL exclusions &amp; gaps'!$B$7:$B$5000,$A39)</f>
        <v/>
      </c>
      <c r="R39" s="77" t="inlineStr">
        <is>
          <t>Not reviewed</t>
        </is>
      </c>
      <c r="S39" s="77" t="inlineStr">
        <is>
          <t>Not reviewed</t>
        </is>
      </c>
      <c r="T39" s="77" t="inlineStr"/>
      <c r="U39" s="77" t="inlineStr"/>
      <c r="V39" s="77" t="inlineStr">
        <is>
          <t>Not reviewed</t>
        </is>
      </c>
      <c r="W39" s="77" t="inlineStr"/>
      <c r="X39" s="77" t="inlineStr"/>
    </row>
    <row r="40">
      <c r="A40" s="77" t="inlineStr">
        <is>
          <t>AU10</t>
        </is>
      </c>
      <c r="B40" s="79" t="inlineStr">
        <is>
          <t>RMIT</t>
        </is>
      </c>
      <c r="C40" s="77" t="inlineStr">
        <is>
          <t>Australia</t>
        </is>
      </c>
      <c r="D40" s="77" t="inlineStr">
        <is>
          <t>Australia top 10</t>
        </is>
      </c>
      <c r="E40" s="77" t="inlineStr">
        <is>
          <t>Australia</t>
        </is>
      </c>
      <c r="F40" s="77" t="n">
        <v>2027</v>
      </c>
      <c r="G40" s="77" t="n">
        <v>119</v>
      </c>
      <c r="H40" s="77" t="inlineStr">
        <is>
          <t>Not started</t>
        </is>
      </c>
      <c r="I40" s="77">
        <f>COUNTIFS('EL scheme register'!$A$7:$A$7,$A40,'EL scheme register'!$C$7:$C$7,"University-wide",'EL scheme register'!$AJ$7:$AJ$7,"Yes")</f>
        <v/>
      </c>
      <c r="J40" s="77">
        <f>COUNTIFS('EL scheme register'!$A$7:$A$7,$A40,'EL scheme register'!$C$7:$C$7,"Cross-faculty",'EL scheme register'!$AJ$7:$AJ$7,"Yes")</f>
        <v/>
      </c>
      <c r="K40" s="77">
        <f>COUNTIFS('EL scheme register'!$A$7:$A$7,$A40,'EL scheme register'!$C$7:$C$7,"Faculty/school",'EL scheme register'!$AJ$7:$AJ$7,"Yes")</f>
        <v/>
      </c>
      <c r="L40" s="77">
        <f>COUNTIFS('EL scheme register'!$A$7:$A$7,$A40,'EL scheme register'!$C$7:$C$7,"Programme/course",'EL scheme register'!$AJ$7:$AJ$7,"Yes")</f>
        <v/>
      </c>
      <c r="M40" s="77">
        <f>COUNTIFS('EL scheme register'!$A$7:$A$7,$A40,'EL scheme register'!$C$7:$C$7,"Unclear",'EL scheme register'!$AJ$7:$AJ$7,"Yes")</f>
        <v/>
      </c>
      <c r="N40" s="77">
        <f>SUM(I40:M40)</f>
        <v/>
      </c>
      <c r="O40" s="77">
        <f>COUNTIFS('EL scheme register'!$A$7:$A$7,$A40,'EL scheme register'!$AF$7:$AF$7,"Potentially relevant; evidence incomplete",'EL scheme register'!$AI$7:$AI$7,"Yes")</f>
        <v/>
      </c>
      <c r="P40" s="77">
        <f>COUNTIFS('EL scheme register'!$A$7:$A$7,$A40,'EL scheme register'!$AF$7:$AF$7,"Outside strict definition")</f>
        <v/>
      </c>
      <c r="Q40" s="77">
        <f>COUNTIF('EL exclusions &amp; gaps'!$B$7:$B$5000,$A40)</f>
        <v/>
      </c>
      <c r="R40" s="77" t="inlineStr">
        <is>
          <t>Not reviewed</t>
        </is>
      </c>
      <c r="S40" s="77" t="inlineStr">
        <is>
          <t>Not reviewed</t>
        </is>
      </c>
      <c r="T40" s="77" t="inlineStr"/>
      <c r="U40" s="77" t="inlineStr"/>
      <c r="V40" s="77" t="inlineStr">
        <is>
          <t>Not reviewed</t>
        </is>
      </c>
      <c r="W40" s="77" t="inlineStr"/>
      <c r="X40" s="77" t="inlineStr"/>
    </row>
    <row r="41">
      <c r="A41" s="77" t="inlineStr">
        <is>
          <t>UK01</t>
        </is>
      </c>
      <c r="B41" s="79" t="inlineStr">
        <is>
          <t>Bath</t>
        </is>
      </c>
      <c r="C41" s="77" t="inlineStr">
        <is>
          <t>UK</t>
        </is>
      </c>
      <c r="D41" s="77" t="inlineStr">
        <is>
          <t>Additional UK sample</t>
        </is>
      </c>
      <c r="E41" s="77" t="inlineStr">
        <is>
          <t>UK – additional</t>
        </is>
      </c>
      <c r="F41" s="77" t="n">
        <v>2027</v>
      </c>
      <c r="G41" s="77" t="n">
        <v>125</v>
      </c>
      <c r="H41" s="77" t="inlineStr">
        <is>
          <t>Not started</t>
        </is>
      </c>
      <c r="I41" s="77">
        <f>COUNTIFS('EL scheme register'!$A$7:$A$7,$A41,'EL scheme register'!$C$7:$C$7,"University-wide",'EL scheme register'!$AJ$7:$AJ$7,"Yes")</f>
        <v/>
      </c>
      <c r="J41" s="77">
        <f>COUNTIFS('EL scheme register'!$A$7:$A$7,$A41,'EL scheme register'!$C$7:$C$7,"Cross-faculty",'EL scheme register'!$AJ$7:$AJ$7,"Yes")</f>
        <v/>
      </c>
      <c r="K41" s="77">
        <f>COUNTIFS('EL scheme register'!$A$7:$A$7,$A41,'EL scheme register'!$C$7:$C$7,"Faculty/school",'EL scheme register'!$AJ$7:$AJ$7,"Yes")</f>
        <v/>
      </c>
      <c r="L41" s="77">
        <f>COUNTIFS('EL scheme register'!$A$7:$A$7,$A41,'EL scheme register'!$C$7:$C$7,"Programme/course",'EL scheme register'!$AJ$7:$AJ$7,"Yes")</f>
        <v/>
      </c>
      <c r="M41" s="77">
        <f>COUNTIFS('EL scheme register'!$A$7:$A$7,$A41,'EL scheme register'!$C$7:$C$7,"Unclear",'EL scheme register'!$AJ$7:$AJ$7,"Yes")</f>
        <v/>
      </c>
      <c r="N41" s="77">
        <f>SUM(I41:M41)</f>
        <v/>
      </c>
      <c r="O41" s="77">
        <f>COUNTIFS('EL scheme register'!$A$7:$A$7,$A41,'EL scheme register'!$AF$7:$AF$7,"Potentially relevant; evidence incomplete",'EL scheme register'!$AI$7:$AI$7,"Yes")</f>
        <v/>
      </c>
      <c r="P41" s="77">
        <f>COUNTIFS('EL scheme register'!$A$7:$A$7,$A41,'EL scheme register'!$AF$7:$AF$7,"Outside strict definition")</f>
        <v/>
      </c>
      <c r="Q41" s="77">
        <f>COUNTIF('EL exclusions &amp; gaps'!$B$7:$B$5000,$A41)</f>
        <v/>
      </c>
      <c r="R41" s="77" t="inlineStr">
        <is>
          <t>Not reviewed</t>
        </is>
      </c>
      <c r="S41" s="77" t="inlineStr">
        <is>
          <t>Not reviewed</t>
        </is>
      </c>
      <c r="T41" s="77" t="inlineStr"/>
      <c r="U41" s="77" t="inlineStr"/>
      <c r="V41" s="77" t="inlineStr">
        <is>
          <t>Not reviewed</t>
        </is>
      </c>
      <c r="W41" s="77" t="inlineStr"/>
      <c r="X41" s="77" t="inlineStr"/>
    </row>
    <row r="42">
      <c r="A42" s="77" t="inlineStr">
        <is>
          <t>UK02</t>
        </is>
      </c>
      <c r="B42" s="79" t="inlineStr">
        <is>
          <t>St Andrews</t>
        </is>
      </c>
      <c r="C42" s="77" t="inlineStr">
        <is>
          <t>UK</t>
        </is>
      </c>
      <c r="D42" s="77" t="inlineStr">
        <is>
          <t>Additional UK sample</t>
        </is>
      </c>
      <c r="E42" s="77" t="inlineStr">
        <is>
          <t>UK – additional</t>
        </is>
      </c>
      <c r="F42" s="77" t="n">
        <v>2027</v>
      </c>
      <c r="G42" s="77" t="n">
        <v>115</v>
      </c>
      <c r="H42" s="77" t="inlineStr">
        <is>
          <t>Not started</t>
        </is>
      </c>
      <c r="I42" s="77">
        <f>COUNTIFS('EL scheme register'!$A$7:$A$7,$A42,'EL scheme register'!$C$7:$C$7,"University-wide",'EL scheme register'!$AJ$7:$AJ$7,"Yes")</f>
        <v/>
      </c>
      <c r="J42" s="77">
        <f>COUNTIFS('EL scheme register'!$A$7:$A$7,$A42,'EL scheme register'!$C$7:$C$7,"Cross-faculty",'EL scheme register'!$AJ$7:$AJ$7,"Yes")</f>
        <v/>
      </c>
      <c r="K42" s="77">
        <f>COUNTIFS('EL scheme register'!$A$7:$A$7,$A42,'EL scheme register'!$C$7:$C$7,"Faculty/school",'EL scheme register'!$AJ$7:$AJ$7,"Yes")</f>
        <v/>
      </c>
      <c r="L42" s="77">
        <f>COUNTIFS('EL scheme register'!$A$7:$A$7,$A42,'EL scheme register'!$C$7:$C$7,"Programme/course",'EL scheme register'!$AJ$7:$AJ$7,"Yes")</f>
        <v/>
      </c>
      <c r="M42" s="77">
        <f>COUNTIFS('EL scheme register'!$A$7:$A$7,$A42,'EL scheme register'!$C$7:$C$7,"Unclear",'EL scheme register'!$AJ$7:$AJ$7,"Yes")</f>
        <v/>
      </c>
      <c r="N42" s="77">
        <f>SUM(I42:M42)</f>
        <v/>
      </c>
      <c r="O42" s="77">
        <f>COUNTIFS('EL scheme register'!$A$7:$A$7,$A42,'EL scheme register'!$AF$7:$AF$7,"Potentially relevant; evidence incomplete",'EL scheme register'!$AI$7:$AI$7,"Yes")</f>
        <v/>
      </c>
      <c r="P42" s="77">
        <f>COUNTIFS('EL scheme register'!$A$7:$A$7,$A42,'EL scheme register'!$AF$7:$AF$7,"Outside strict definition")</f>
        <v/>
      </c>
      <c r="Q42" s="77">
        <f>COUNTIF('EL exclusions &amp; gaps'!$B$7:$B$5000,$A42)</f>
        <v/>
      </c>
      <c r="R42" s="77" t="inlineStr">
        <is>
          <t>Not reviewed</t>
        </is>
      </c>
      <c r="S42" s="77" t="inlineStr">
        <is>
          <t>Not reviewed</t>
        </is>
      </c>
      <c r="T42" s="77" t="inlineStr"/>
      <c r="U42" s="77" t="inlineStr"/>
      <c r="V42" s="77" t="inlineStr">
        <is>
          <t>Not reviewed</t>
        </is>
      </c>
      <c r="W42" s="77" t="inlineStr"/>
      <c r="X42" s="77" t="inlineStr"/>
    </row>
    <row r="43">
      <c r="A43" s="77" t="inlineStr">
        <is>
          <t>UK03</t>
        </is>
      </c>
      <c r="B43" s="79" t="inlineStr">
        <is>
          <t>Lancaster</t>
        </is>
      </c>
      <c r="C43" s="77" t="inlineStr">
        <is>
          <t>UK</t>
        </is>
      </c>
      <c r="D43" s="77" t="inlineStr">
        <is>
          <t>Additional UK sample</t>
        </is>
      </c>
      <c r="E43" s="77" t="inlineStr">
        <is>
          <t>UK – additional</t>
        </is>
      </c>
      <c r="F43" s="77" t="n">
        <v>2027</v>
      </c>
      <c r="G43" s="77" t="n">
        <v>164</v>
      </c>
      <c r="H43" s="77" t="inlineStr">
        <is>
          <t>Not started</t>
        </is>
      </c>
      <c r="I43" s="77">
        <f>COUNTIFS('EL scheme register'!$A$7:$A$7,$A43,'EL scheme register'!$C$7:$C$7,"University-wide",'EL scheme register'!$AJ$7:$AJ$7,"Yes")</f>
        <v/>
      </c>
      <c r="J43" s="77">
        <f>COUNTIFS('EL scheme register'!$A$7:$A$7,$A43,'EL scheme register'!$C$7:$C$7,"Cross-faculty",'EL scheme register'!$AJ$7:$AJ$7,"Yes")</f>
        <v/>
      </c>
      <c r="K43" s="77">
        <f>COUNTIFS('EL scheme register'!$A$7:$A$7,$A43,'EL scheme register'!$C$7:$C$7,"Faculty/school",'EL scheme register'!$AJ$7:$AJ$7,"Yes")</f>
        <v/>
      </c>
      <c r="L43" s="77">
        <f>COUNTIFS('EL scheme register'!$A$7:$A$7,$A43,'EL scheme register'!$C$7:$C$7,"Programme/course",'EL scheme register'!$AJ$7:$AJ$7,"Yes")</f>
        <v/>
      </c>
      <c r="M43" s="77">
        <f>COUNTIFS('EL scheme register'!$A$7:$A$7,$A43,'EL scheme register'!$C$7:$C$7,"Unclear",'EL scheme register'!$AJ$7:$AJ$7,"Yes")</f>
        <v/>
      </c>
      <c r="N43" s="77">
        <f>SUM(I43:M43)</f>
        <v/>
      </c>
      <c r="O43" s="77">
        <f>COUNTIFS('EL scheme register'!$A$7:$A$7,$A43,'EL scheme register'!$AF$7:$AF$7,"Potentially relevant; evidence incomplete",'EL scheme register'!$AI$7:$AI$7,"Yes")</f>
        <v/>
      </c>
      <c r="P43" s="77">
        <f>COUNTIFS('EL scheme register'!$A$7:$A$7,$A43,'EL scheme register'!$AF$7:$AF$7,"Outside strict definition")</f>
        <v/>
      </c>
      <c r="Q43" s="77">
        <f>COUNTIF('EL exclusions &amp; gaps'!$B$7:$B$5000,$A43)</f>
        <v/>
      </c>
      <c r="R43" s="77" t="inlineStr">
        <is>
          <t>Not reviewed</t>
        </is>
      </c>
      <c r="S43" s="77" t="inlineStr">
        <is>
          <t>Not reviewed</t>
        </is>
      </c>
      <c r="T43" s="77" t="inlineStr"/>
      <c r="U43" s="77" t="inlineStr"/>
      <c r="V43" s="77" t="inlineStr">
        <is>
          <t>Not reviewed</t>
        </is>
      </c>
      <c r="W43" s="77" t="inlineStr"/>
      <c r="X43" s="77" t="inlineStr"/>
    </row>
    <row r="44">
      <c r="A44" s="77" t="inlineStr">
        <is>
          <t>UK04</t>
        </is>
      </c>
      <c r="B44" s="79" t="inlineStr">
        <is>
          <t>Loughborough</t>
        </is>
      </c>
      <c r="C44" s="77" t="inlineStr">
        <is>
          <t>UK</t>
        </is>
      </c>
      <c r="D44" s="77" t="inlineStr">
        <is>
          <t>Additional UK sample</t>
        </is>
      </c>
      <c r="E44" s="77" t="inlineStr">
        <is>
          <t>UK – additional</t>
        </is>
      </c>
      <c r="F44" s="77" t="n">
        <v>2027</v>
      </c>
      <c r="G44" s="77" t="n">
        <v>203</v>
      </c>
      <c r="H44" s="77" t="inlineStr">
        <is>
          <t>Not started</t>
        </is>
      </c>
      <c r="I44" s="77">
        <f>COUNTIFS('EL scheme register'!$A$7:$A$7,$A44,'EL scheme register'!$C$7:$C$7,"University-wide",'EL scheme register'!$AJ$7:$AJ$7,"Yes")</f>
        <v/>
      </c>
      <c r="J44" s="77">
        <f>COUNTIFS('EL scheme register'!$A$7:$A$7,$A44,'EL scheme register'!$C$7:$C$7,"Cross-faculty",'EL scheme register'!$AJ$7:$AJ$7,"Yes")</f>
        <v/>
      </c>
      <c r="K44" s="77">
        <f>COUNTIFS('EL scheme register'!$A$7:$A$7,$A44,'EL scheme register'!$C$7:$C$7,"Faculty/school",'EL scheme register'!$AJ$7:$AJ$7,"Yes")</f>
        <v/>
      </c>
      <c r="L44" s="77">
        <f>COUNTIFS('EL scheme register'!$A$7:$A$7,$A44,'EL scheme register'!$C$7:$C$7,"Programme/course",'EL scheme register'!$AJ$7:$AJ$7,"Yes")</f>
        <v/>
      </c>
      <c r="M44" s="77">
        <f>COUNTIFS('EL scheme register'!$A$7:$A$7,$A44,'EL scheme register'!$C$7:$C$7,"Unclear",'EL scheme register'!$AJ$7:$AJ$7,"Yes")</f>
        <v/>
      </c>
      <c r="N44" s="77">
        <f>SUM(I44:M44)</f>
        <v/>
      </c>
      <c r="O44" s="77">
        <f>COUNTIFS('EL scheme register'!$A$7:$A$7,$A44,'EL scheme register'!$AF$7:$AF$7,"Potentially relevant; evidence incomplete",'EL scheme register'!$AI$7:$AI$7,"Yes")</f>
        <v/>
      </c>
      <c r="P44" s="77">
        <f>COUNTIFS('EL scheme register'!$A$7:$A$7,$A44,'EL scheme register'!$AF$7:$AF$7,"Outside strict definition")</f>
        <v/>
      </c>
      <c r="Q44" s="77">
        <f>COUNTIF('EL exclusions &amp; gaps'!$B$7:$B$5000,$A44)</f>
        <v/>
      </c>
      <c r="R44" s="77" t="inlineStr">
        <is>
          <t>Not reviewed</t>
        </is>
      </c>
      <c r="S44" s="77" t="inlineStr">
        <is>
          <t>Not reviewed</t>
        </is>
      </c>
      <c r="T44" s="77" t="inlineStr"/>
      <c r="U44" s="77" t="inlineStr"/>
      <c r="V44" s="77" t="inlineStr">
        <is>
          <t>Not reviewed</t>
        </is>
      </c>
      <c r="W44" s="77" t="inlineStr"/>
      <c r="X44" s="77" t="inlineStr"/>
    </row>
    <row r="45">
      <c r="A45" s="77" t="inlineStr">
        <is>
          <t>UK05</t>
        </is>
      </c>
      <c r="B45" s="79" t="inlineStr">
        <is>
          <t>Aberdeen</t>
        </is>
      </c>
      <c r="C45" s="77" t="inlineStr">
        <is>
          <t>UK</t>
        </is>
      </c>
      <c r="D45" s="77" t="inlineStr">
        <is>
          <t>Additional UK sample</t>
        </is>
      </c>
      <c r="E45" s="77" t="inlineStr">
        <is>
          <t>UK – additional</t>
        </is>
      </c>
      <c r="F45" s="77" t="n">
        <v>2027</v>
      </c>
      <c r="G45" s="77" t="n">
        <v>288</v>
      </c>
      <c r="H45" s="77" t="inlineStr">
        <is>
          <t>Not started</t>
        </is>
      </c>
      <c r="I45" s="77">
        <f>COUNTIFS('EL scheme register'!$A$7:$A$7,$A45,'EL scheme register'!$C$7:$C$7,"University-wide",'EL scheme register'!$AJ$7:$AJ$7,"Yes")</f>
        <v/>
      </c>
      <c r="J45" s="77">
        <f>COUNTIFS('EL scheme register'!$A$7:$A$7,$A45,'EL scheme register'!$C$7:$C$7,"Cross-faculty",'EL scheme register'!$AJ$7:$AJ$7,"Yes")</f>
        <v/>
      </c>
      <c r="K45" s="77">
        <f>COUNTIFS('EL scheme register'!$A$7:$A$7,$A45,'EL scheme register'!$C$7:$C$7,"Faculty/school",'EL scheme register'!$AJ$7:$AJ$7,"Yes")</f>
        <v/>
      </c>
      <c r="L45" s="77">
        <f>COUNTIFS('EL scheme register'!$A$7:$A$7,$A45,'EL scheme register'!$C$7:$C$7,"Programme/course",'EL scheme register'!$AJ$7:$AJ$7,"Yes")</f>
        <v/>
      </c>
      <c r="M45" s="77">
        <f>COUNTIFS('EL scheme register'!$A$7:$A$7,$A45,'EL scheme register'!$C$7:$C$7,"Unclear",'EL scheme register'!$AJ$7:$AJ$7,"Yes")</f>
        <v/>
      </c>
      <c r="N45" s="77">
        <f>SUM(I45:M45)</f>
        <v/>
      </c>
      <c r="O45" s="77">
        <f>COUNTIFS('EL scheme register'!$A$7:$A$7,$A45,'EL scheme register'!$AF$7:$AF$7,"Potentially relevant; evidence incomplete",'EL scheme register'!$AI$7:$AI$7,"Yes")</f>
        <v/>
      </c>
      <c r="P45" s="77">
        <f>COUNTIFS('EL scheme register'!$A$7:$A$7,$A45,'EL scheme register'!$AF$7:$AF$7,"Outside strict definition")</f>
        <v/>
      </c>
      <c r="Q45" s="77">
        <f>COUNTIF('EL exclusions &amp; gaps'!$B$7:$B$5000,$A45)</f>
        <v/>
      </c>
      <c r="R45" s="77" t="inlineStr">
        <is>
          <t>Not reviewed</t>
        </is>
      </c>
      <c r="S45" s="77" t="inlineStr">
        <is>
          <t>Not reviewed</t>
        </is>
      </c>
      <c r="T45" s="77" t="inlineStr"/>
      <c r="U45" s="77" t="inlineStr"/>
      <c r="V45" s="77" t="inlineStr">
        <is>
          <t>Not reviewed</t>
        </is>
      </c>
      <c r="W45" s="77" t="inlineStr"/>
      <c r="X45" s="77" t="inlineStr"/>
    </row>
    <row r="46">
      <c r="A46" s="77" t="inlineStr">
        <is>
          <t>UK06</t>
        </is>
      </c>
      <c r="B46" s="79" t="inlineStr">
        <is>
          <t>Reading</t>
        </is>
      </c>
      <c r="C46" s="77" t="inlineStr">
        <is>
          <t>UK</t>
        </is>
      </c>
      <c r="D46" s="77" t="inlineStr">
        <is>
          <t>Additional UK sample</t>
        </is>
      </c>
      <c r="E46" s="77" t="inlineStr">
        <is>
          <t>UK – additional</t>
        </is>
      </c>
      <c r="F46" s="77" t="n">
        <v>2027</v>
      </c>
      <c r="G46" s="77" t="n">
        <v>196</v>
      </c>
      <c r="H46" s="77" t="inlineStr">
        <is>
          <t>Not started</t>
        </is>
      </c>
      <c r="I46" s="77">
        <f>COUNTIFS('EL scheme register'!$A$7:$A$7,$A46,'EL scheme register'!$C$7:$C$7,"University-wide",'EL scheme register'!$AJ$7:$AJ$7,"Yes")</f>
        <v/>
      </c>
      <c r="J46" s="77">
        <f>COUNTIFS('EL scheme register'!$A$7:$A$7,$A46,'EL scheme register'!$C$7:$C$7,"Cross-faculty",'EL scheme register'!$AJ$7:$AJ$7,"Yes")</f>
        <v/>
      </c>
      <c r="K46" s="77">
        <f>COUNTIFS('EL scheme register'!$A$7:$A$7,$A46,'EL scheme register'!$C$7:$C$7,"Faculty/school",'EL scheme register'!$AJ$7:$AJ$7,"Yes")</f>
        <v/>
      </c>
      <c r="L46" s="77">
        <f>COUNTIFS('EL scheme register'!$A$7:$A$7,$A46,'EL scheme register'!$C$7:$C$7,"Programme/course",'EL scheme register'!$AJ$7:$AJ$7,"Yes")</f>
        <v/>
      </c>
      <c r="M46" s="77">
        <f>COUNTIFS('EL scheme register'!$A$7:$A$7,$A46,'EL scheme register'!$C$7:$C$7,"Unclear",'EL scheme register'!$AJ$7:$AJ$7,"Yes")</f>
        <v/>
      </c>
      <c r="N46" s="77">
        <f>SUM(I46:M46)</f>
        <v/>
      </c>
      <c r="O46" s="77">
        <f>COUNTIFS('EL scheme register'!$A$7:$A$7,$A46,'EL scheme register'!$AF$7:$AF$7,"Potentially relevant; evidence incomplete",'EL scheme register'!$AI$7:$AI$7,"Yes")</f>
        <v/>
      </c>
      <c r="P46" s="77">
        <f>COUNTIFS('EL scheme register'!$A$7:$A$7,$A46,'EL scheme register'!$AF$7:$AF$7,"Outside strict definition")</f>
        <v/>
      </c>
      <c r="Q46" s="77">
        <f>COUNTIF('EL exclusions &amp; gaps'!$B$7:$B$5000,$A46)</f>
        <v/>
      </c>
      <c r="R46" s="77" t="inlineStr">
        <is>
          <t>Not reviewed</t>
        </is>
      </c>
      <c r="S46" s="77" t="inlineStr">
        <is>
          <t>Not reviewed</t>
        </is>
      </c>
      <c r="T46" s="77" t="inlineStr"/>
      <c r="U46" s="77" t="inlineStr"/>
      <c r="V46" s="77" t="inlineStr">
        <is>
          <t>Not reviewed</t>
        </is>
      </c>
      <c r="W46" s="77" t="inlineStr"/>
      <c r="X46" s="77" t="inlineStr"/>
    </row>
    <row r="47">
      <c r="A47" s="77" t="inlineStr">
        <is>
          <t>UK07</t>
        </is>
      </c>
      <c r="B47" s="79" t="inlineStr">
        <is>
          <t>Surrey</t>
        </is>
      </c>
      <c r="C47" s="77" t="inlineStr">
        <is>
          <t>UK</t>
        </is>
      </c>
      <c r="D47" s="77" t="inlineStr">
        <is>
          <t>Additional UK sample</t>
        </is>
      </c>
      <c r="E47" s="77" t="inlineStr">
        <is>
          <t>UK – additional</t>
        </is>
      </c>
      <c r="F47" s="77" t="n">
        <v>2027</v>
      </c>
      <c r="G47" s="77" t="n">
        <v>246</v>
      </c>
      <c r="H47" s="77" t="inlineStr">
        <is>
          <t>Not started</t>
        </is>
      </c>
      <c r="I47" s="77">
        <f>COUNTIFS('EL scheme register'!$A$7:$A$7,$A47,'EL scheme register'!$C$7:$C$7,"University-wide",'EL scheme register'!$AJ$7:$AJ$7,"Yes")</f>
        <v/>
      </c>
      <c r="J47" s="77">
        <f>COUNTIFS('EL scheme register'!$A$7:$A$7,$A47,'EL scheme register'!$C$7:$C$7,"Cross-faculty",'EL scheme register'!$AJ$7:$AJ$7,"Yes")</f>
        <v/>
      </c>
      <c r="K47" s="77">
        <f>COUNTIFS('EL scheme register'!$A$7:$A$7,$A47,'EL scheme register'!$C$7:$C$7,"Faculty/school",'EL scheme register'!$AJ$7:$AJ$7,"Yes")</f>
        <v/>
      </c>
      <c r="L47" s="77">
        <f>COUNTIFS('EL scheme register'!$A$7:$A$7,$A47,'EL scheme register'!$C$7:$C$7,"Programme/course",'EL scheme register'!$AJ$7:$AJ$7,"Yes")</f>
        <v/>
      </c>
      <c r="M47" s="77">
        <f>COUNTIFS('EL scheme register'!$A$7:$A$7,$A47,'EL scheme register'!$C$7:$C$7,"Unclear",'EL scheme register'!$AJ$7:$AJ$7,"Yes")</f>
        <v/>
      </c>
      <c r="N47" s="77">
        <f>SUM(I47:M47)</f>
        <v/>
      </c>
      <c r="O47" s="77">
        <f>COUNTIFS('EL scheme register'!$A$7:$A$7,$A47,'EL scheme register'!$AF$7:$AF$7,"Potentially relevant; evidence incomplete",'EL scheme register'!$AI$7:$AI$7,"Yes")</f>
        <v/>
      </c>
      <c r="P47" s="77">
        <f>COUNTIFS('EL scheme register'!$A$7:$A$7,$A47,'EL scheme register'!$AF$7:$AF$7,"Outside strict definition")</f>
        <v/>
      </c>
      <c r="Q47" s="77">
        <f>COUNTIF('EL exclusions &amp; gaps'!$B$7:$B$5000,$A47)</f>
        <v/>
      </c>
      <c r="R47" s="77" t="inlineStr">
        <is>
          <t>Not reviewed</t>
        </is>
      </c>
      <c r="S47" s="77" t="inlineStr">
        <is>
          <t>Not reviewed</t>
        </is>
      </c>
      <c r="T47" s="77" t="inlineStr"/>
      <c r="U47" s="77" t="inlineStr"/>
      <c r="V47" s="77" t="inlineStr">
        <is>
          <t>Not reviewed</t>
        </is>
      </c>
      <c r="W47" s="77" t="inlineStr"/>
      <c r="X47" s="77" t="inlineStr"/>
    </row>
    <row r="48">
      <c r="A48" s="77" t="inlineStr">
        <is>
          <t>UK08</t>
        </is>
      </c>
      <c r="B48" s="79" t="inlineStr">
        <is>
          <t>Sussex</t>
        </is>
      </c>
      <c r="C48" s="77" t="inlineStr">
        <is>
          <t>UK</t>
        </is>
      </c>
      <c r="D48" s="77" t="inlineStr">
        <is>
          <t>Additional UK sample</t>
        </is>
      </c>
      <c r="E48" s="77" t="inlineStr">
        <is>
          <t>UK – additional</t>
        </is>
      </c>
      <c r="F48" s="77" t="n">
        <v>2027</v>
      </c>
      <c r="G48" s="77" t="n">
        <v>273</v>
      </c>
      <c r="H48" s="77" t="inlineStr">
        <is>
          <t>Not started</t>
        </is>
      </c>
      <c r="I48" s="77">
        <f>COUNTIFS('EL scheme register'!$A$7:$A$7,$A48,'EL scheme register'!$C$7:$C$7,"University-wide",'EL scheme register'!$AJ$7:$AJ$7,"Yes")</f>
        <v/>
      </c>
      <c r="J48" s="77">
        <f>COUNTIFS('EL scheme register'!$A$7:$A$7,$A48,'EL scheme register'!$C$7:$C$7,"Cross-faculty",'EL scheme register'!$AJ$7:$AJ$7,"Yes")</f>
        <v/>
      </c>
      <c r="K48" s="77">
        <f>COUNTIFS('EL scheme register'!$A$7:$A$7,$A48,'EL scheme register'!$C$7:$C$7,"Faculty/school",'EL scheme register'!$AJ$7:$AJ$7,"Yes")</f>
        <v/>
      </c>
      <c r="L48" s="77">
        <f>COUNTIFS('EL scheme register'!$A$7:$A$7,$A48,'EL scheme register'!$C$7:$C$7,"Programme/course",'EL scheme register'!$AJ$7:$AJ$7,"Yes")</f>
        <v/>
      </c>
      <c r="M48" s="77">
        <f>COUNTIFS('EL scheme register'!$A$7:$A$7,$A48,'EL scheme register'!$C$7:$C$7,"Unclear",'EL scheme register'!$AJ$7:$AJ$7,"Yes")</f>
        <v/>
      </c>
      <c r="N48" s="77">
        <f>SUM(I48:M48)</f>
        <v/>
      </c>
      <c r="O48" s="77">
        <f>COUNTIFS('EL scheme register'!$A$7:$A$7,$A48,'EL scheme register'!$AF$7:$AF$7,"Potentially relevant; evidence incomplete",'EL scheme register'!$AI$7:$AI$7,"Yes")</f>
        <v/>
      </c>
      <c r="P48" s="77">
        <f>COUNTIFS('EL scheme register'!$A$7:$A$7,$A48,'EL scheme register'!$AF$7:$AF$7,"Outside strict definition")</f>
        <v/>
      </c>
      <c r="Q48" s="77">
        <f>COUNTIF('EL exclusions &amp; gaps'!$B$7:$B$5000,$A48)</f>
        <v/>
      </c>
      <c r="R48" s="77" t="inlineStr">
        <is>
          <t>Not reviewed</t>
        </is>
      </c>
      <c r="S48" s="77" t="inlineStr">
        <is>
          <t>Not reviewed</t>
        </is>
      </c>
      <c r="T48" s="77" t="inlineStr"/>
      <c r="U48" s="77" t="inlineStr"/>
      <c r="V48" s="77" t="inlineStr">
        <is>
          <t>Not reviewed</t>
        </is>
      </c>
      <c r="W48" s="77" t="inlineStr"/>
      <c r="X48" s="77" t="inlineStr"/>
    </row>
    <row r="49">
      <c r="A49" s="77" t="inlineStr">
        <is>
          <t>UK09</t>
        </is>
      </c>
      <c r="B49" s="79" t="inlineStr">
        <is>
          <t>Leicester</t>
        </is>
      </c>
      <c r="C49" s="77" t="inlineStr">
        <is>
          <t>UK</t>
        </is>
      </c>
      <c r="D49" s="77" t="inlineStr">
        <is>
          <t>Additional UK sample</t>
        </is>
      </c>
      <c r="E49" s="77" t="inlineStr">
        <is>
          <t>UK – additional</t>
        </is>
      </c>
      <c r="F49" s="77" t="n">
        <v>2027</v>
      </c>
      <c r="G49" s="77" t="n">
        <v>314</v>
      </c>
      <c r="H49" s="77" t="inlineStr">
        <is>
          <t>Not started</t>
        </is>
      </c>
      <c r="I49" s="77">
        <f>COUNTIFS('EL scheme register'!$A$7:$A$7,$A49,'EL scheme register'!$C$7:$C$7,"University-wide",'EL scheme register'!$AJ$7:$AJ$7,"Yes")</f>
        <v/>
      </c>
      <c r="J49" s="77">
        <f>COUNTIFS('EL scheme register'!$A$7:$A$7,$A49,'EL scheme register'!$C$7:$C$7,"Cross-faculty",'EL scheme register'!$AJ$7:$AJ$7,"Yes")</f>
        <v/>
      </c>
      <c r="K49" s="77">
        <f>COUNTIFS('EL scheme register'!$A$7:$A$7,$A49,'EL scheme register'!$C$7:$C$7,"Faculty/school",'EL scheme register'!$AJ$7:$AJ$7,"Yes")</f>
        <v/>
      </c>
      <c r="L49" s="77">
        <f>COUNTIFS('EL scheme register'!$A$7:$A$7,$A49,'EL scheme register'!$C$7:$C$7,"Programme/course",'EL scheme register'!$AJ$7:$AJ$7,"Yes")</f>
        <v/>
      </c>
      <c r="M49" s="77">
        <f>COUNTIFS('EL scheme register'!$A$7:$A$7,$A49,'EL scheme register'!$C$7:$C$7,"Unclear",'EL scheme register'!$AJ$7:$AJ$7,"Yes")</f>
        <v/>
      </c>
      <c r="N49" s="77">
        <f>SUM(I49:M49)</f>
        <v/>
      </c>
      <c r="O49" s="77">
        <f>COUNTIFS('EL scheme register'!$A$7:$A$7,$A49,'EL scheme register'!$AF$7:$AF$7,"Potentially relevant; evidence incomplete",'EL scheme register'!$AI$7:$AI$7,"Yes")</f>
        <v/>
      </c>
      <c r="P49" s="77">
        <f>COUNTIFS('EL scheme register'!$A$7:$A$7,$A49,'EL scheme register'!$AF$7:$AF$7,"Outside strict definition")</f>
        <v/>
      </c>
      <c r="Q49" s="77">
        <f>COUNTIF('EL exclusions &amp; gaps'!$B$7:$B$5000,$A49)</f>
        <v/>
      </c>
      <c r="R49" s="77" t="inlineStr">
        <is>
          <t>Not reviewed</t>
        </is>
      </c>
      <c r="S49" s="77" t="inlineStr">
        <is>
          <t>Not reviewed</t>
        </is>
      </c>
      <c r="T49" s="77" t="inlineStr"/>
      <c r="U49" s="77" t="inlineStr"/>
      <c r="V49" s="77" t="inlineStr">
        <is>
          <t>Not reviewed</t>
        </is>
      </c>
      <c r="W49" s="77" t="inlineStr"/>
      <c r="X49" s="77" t="inlineStr"/>
    </row>
    <row r="50">
      <c r="A50" s="77" t="inlineStr">
        <is>
          <t>UK10</t>
        </is>
      </c>
      <c r="B50" s="79" t="inlineStr">
        <is>
          <t>Strathclyde</t>
        </is>
      </c>
      <c r="C50" s="77" t="inlineStr">
        <is>
          <t>UK</t>
        </is>
      </c>
      <c r="D50" s="77" t="inlineStr">
        <is>
          <t>Additional UK sample</t>
        </is>
      </c>
      <c r="E50" s="77" t="inlineStr">
        <is>
          <t>UK – additional</t>
        </is>
      </c>
      <c r="F50" s="77" t="n">
        <v>2027</v>
      </c>
      <c r="G50" s="77" t="n">
        <v>230</v>
      </c>
      <c r="H50" s="77" t="inlineStr">
        <is>
          <t>Not started</t>
        </is>
      </c>
      <c r="I50" s="77">
        <f>COUNTIFS('EL scheme register'!$A$7:$A$7,$A50,'EL scheme register'!$C$7:$C$7,"University-wide",'EL scheme register'!$AJ$7:$AJ$7,"Yes")</f>
        <v/>
      </c>
      <c r="J50" s="77">
        <f>COUNTIFS('EL scheme register'!$A$7:$A$7,$A50,'EL scheme register'!$C$7:$C$7,"Cross-faculty",'EL scheme register'!$AJ$7:$AJ$7,"Yes")</f>
        <v/>
      </c>
      <c r="K50" s="77">
        <f>COUNTIFS('EL scheme register'!$A$7:$A$7,$A50,'EL scheme register'!$C$7:$C$7,"Faculty/school",'EL scheme register'!$AJ$7:$AJ$7,"Yes")</f>
        <v/>
      </c>
      <c r="L50" s="77">
        <f>COUNTIFS('EL scheme register'!$A$7:$A$7,$A50,'EL scheme register'!$C$7:$C$7,"Programme/course",'EL scheme register'!$AJ$7:$AJ$7,"Yes")</f>
        <v/>
      </c>
      <c r="M50" s="77">
        <f>COUNTIFS('EL scheme register'!$A$7:$A$7,$A50,'EL scheme register'!$C$7:$C$7,"Unclear",'EL scheme register'!$AJ$7:$AJ$7,"Yes")</f>
        <v/>
      </c>
      <c r="N50" s="77">
        <f>SUM(I50:M50)</f>
        <v/>
      </c>
      <c r="O50" s="77">
        <f>COUNTIFS('EL scheme register'!$A$7:$A$7,$A50,'EL scheme register'!$AF$7:$AF$7,"Potentially relevant; evidence incomplete",'EL scheme register'!$AI$7:$AI$7,"Yes")</f>
        <v/>
      </c>
      <c r="P50" s="77">
        <f>COUNTIFS('EL scheme register'!$A$7:$A$7,$A50,'EL scheme register'!$AF$7:$AF$7,"Outside strict definition")</f>
        <v/>
      </c>
      <c r="Q50" s="77">
        <f>COUNTIF('EL exclusions &amp; gaps'!$B$7:$B$5000,$A50)</f>
        <v/>
      </c>
      <c r="R50" s="77" t="inlineStr">
        <is>
          <t>Not reviewed</t>
        </is>
      </c>
      <c r="S50" s="77" t="inlineStr">
        <is>
          <t>Not reviewed</t>
        </is>
      </c>
      <c r="T50" s="77" t="inlineStr"/>
      <c r="U50" s="77" t="inlineStr"/>
      <c r="V50" s="77" t="inlineStr">
        <is>
          <t>Not reviewed</t>
        </is>
      </c>
      <c r="W50" s="77" t="inlineStr"/>
      <c r="X50" s="77" t="inlineStr"/>
    </row>
    <row r="51">
      <c r="A51" s="77" t="inlineStr">
        <is>
          <t>UK11</t>
        </is>
      </c>
      <c r="B51" s="79" t="inlineStr">
        <is>
          <t>Heriot-Watt</t>
        </is>
      </c>
      <c r="C51" s="77" t="inlineStr">
        <is>
          <t>UK</t>
        </is>
      </c>
      <c r="D51" s="77" t="inlineStr">
        <is>
          <t>Additional UK sample</t>
        </is>
      </c>
      <c r="E51" s="77" t="inlineStr">
        <is>
          <t>UK – additional</t>
        </is>
      </c>
      <c r="F51" s="77" t="n">
        <v>2027</v>
      </c>
      <c r="G51" s="77" t="n">
        <v>325</v>
      </c>
      <c r="H51" s="77" t="inlineStr">
        <is>
          <t>Not started</t>
        </is>
      </c>
      <c r="I51" s="77">
        <f>COUNTIFS('EL scheme register'!$A$7:$A$7,$A51,'EL scheme register'!$C$7:$C$7,"University-wide",'EL scheme register'!$AJ$7:$AJ$7,"Yes")</f>
        <v/>
      </c>
      <c r="J51" s="77">
        <f>COUNTIFS('EL scheme register'!$A$7:$A$7,$A51,'EL scheme register'!$C$7:$C$7,"Cross-faculty",'EL scheme register'!$AJ$7:$AJ$7,"Yes")</f>
        <v/>
      </c>
      <c r="K51" s="77">
        <f>COUNTIFS('EL scheme register'!$A$7:$A$7,$A51,'EL scheme register'!$C$7:$C$7,"Faculty/school",'EL scheme register'!$AJ$7:$AJ$7,"Yes")</f>
        <v/>
      </c>
      <c r="L51" s="77">
        <f>COUNTIFS('EL scheme register'!$A$7:$A$7,$A51,'EL scheme register'!$C$7:$C$7,"Programme/course",'EL scheme register'!$AJ$7:$AJ$7,"Yes")</f>
        <v/>
      </c>
      <c r="M51" s="77">
        <f>COUNTIFS('EL scheme register'!$A$7:$A$7,$A51,'EL scheme register'!$C$7:$C$7,"Unclear",'EL scheme register'!$AJ$7:$AJ$7,"Yes")</f>
        <v/>
      </c>
      <c r="N51" s="77">
        <f>SUM(I51:M51)</f>
        <v/>
      </c>
      <c r="O51" s="77">
        <f>COUNTIFS('EL scheme register'!$A$7:$A$7,$A51,'EL scheme register'!$AF$7:$AF$7,"Potentially relevant; evidence incomplete",'EL scheme register'!$AI$7:$AI$7,"Yes")</f>
        <v/>
      </c>
      <c r="P51" s="77">
        <f>COUNTIFS('EL scheme register'!$A$7:$A$7,$A51,'EL scheme register'!$AF$7:$AF$7,"Outside strict definition")</f>
        <v/>
      </c>
      <c r="Q51" s="77">
        <f>COUNTIF('EL exclusions &amp; gaps'!$B$7:$B$5000,$A51)</f>
        <v/>
      </c>
      <c r="R51" s="77" t="inlineStr">
        <is>
          <t>Not reviewed</t>
        </is>
      </c>
      <c r="S51" s="77" t="inlineStr">
        <is>
          <t>Not reviewed</t>
        </is>
      </c>
      <c r="T51" s="77" t="inlineStr"/>
      <c r="U51" s="77" t="inlineStr"/>
      <c r="V51" s="77" t="inlineStr">
        <is>
          <t>Not reviewed</t>
        </is>
      </c>
      <c r="W51" s="77" t="inlineStr"/>
      <c r="X51" s="77" t="inlineStr"/>
    </row>
    <row r="52">
      <c r="A52" s="77" t="inlineStr">
        <is>
          <t>UK12</t>
        </is>
      </c>
      <c r="B52" s="79" t="inlineStr">
        <is>
          <t>East Anglia</t>
        </is>
      </c>
      <c r="C52" s="77" t="inlineStr">
        <is>
          <t>UK</t>
        </is>
      </c>
      <c r="D52" s="77" t="inlineStr">
        <is>
          <t>Additional UK sample</t>
        </is>
      </c>
      <c r="E52" s="77" t="inlineStr">
        <is>
          <t>UK – additional</t>
        </is>
      </c>
      <c r="F52" s="77" t="n">
        <v>2027</v>
      </c>
      <c r="G52" s="77" t="n">
        <v>381</v>
      </c>
      <c r="H52" s="77" t="inlineStr">
        <is>
          <t>Not started</t>
        </is>
      </c>
      <c r="I52" s="77">
        <f>COUNTIFS('EL scheme register'!$A$7:$A$7,$A52,'EL scheme register'!$C$7:$C$7,"University-wide",'EL scheme register'!$AJ$7:$AJ$7,"Yes")</f>
        <v/>
      </c>
      <c r="J52" s="77">
        <f>COUNTIFS('EL scheme register'!$A$7:$A$7,$A52,'EL scheme register'!$C$7:$C$7,"Cross-faculty",'EL scheme register'!$AJ$7:$AJ$7,"Yes")</f>
        <v/>
      </c>
      <c r="K52" s="77">
        <f>COUNTIFS('EL scheme register'!$A$7:$A$7,$A52,'EL scheme register'!$C$7:$C$7,"Faculty/school",'EL scheme register'!$AJ$7:$AJ$7,"Yes")</f>
        <v/>
      </c>
      <c r="L52" s="77">
        <f>COUNTIFS('EL scheme register'!$A$7:$A$7,$A52,'EL scheme register'!$C$7:$C$7,"Programme/course",'EL scheme register'!$AJ$7:$AJ$7,"Yes")</f>
        <v/>
      </c>
      <c r="M52" s="77">
        <f>COUNTIFS('EL scheme register'!$A$7:$A$7,$A52,'EL scheme register'!$C$7:$C$7,"Unclear",'EL scheme register'!$AJ$7:$AJ$7,"Yes")</f>
        <v/>
      </c>
      <c r="N52" s="77">
        <f>SUM(I52:M52)</f>
        <v/>
      </c>
      <c r="O52" s="77">
        <f>COUNTIFS('EL scheme register'!$A$7:$A$7,$A52,'EL scheme register'!$AF$7:$AF$7,"Potentially relevant; evidence incomplete",'EL scheme register'!$AI$7:$AI$7,"Yes")</f>
        <v/>
      </c>
      <c r="P52" s="77">
        <f>COUNTIFS('EL scheme register'!$A$7:$A$7,$A52,'EL scheme register'!$AF$7:$AF$7,"Outside strict definition")</f>
        <v/>
      </c>
      <c r="Q52" s="77">
        <f>COUNTIF('EL exclusions &amp; gaps'!$B$7:$B$5000,$A52)</f>
        <v/>
      </c>
      <c r="R52" s="77" t="inlineStr">
        <is>
          <t>Not reviewed</t>
        </is>
      </c>
      <c r="S52" s="77" t="inlineStr">
        <is>
          <t>Not reviewed</t>
        </is>
      </c>
      <c r="T52" s="77" t="inlineStr"/>
      <c r="U52" s="77" t="inlineStr"/>
      <c r="V52" s="77" t="inlineStr">
        <is>
          <t>Not reviewed</t>
        </is>
      </c>
      <c r="W52" s="77" t="inlineStr"/>
      <c r="X52" s="77" t="inlineStr"/>
    </row>
    <row r="53">
      <c r="A53" s="77" t="inlineStr">
        <is>
          <t>UK13</t>
        </is>
      </c>
      <c r="B53" s="79" t="inlineStr">
        <is>
          <t>Dundee</t>
        </is>
      </c>
      <c r="C53" s="77" t="inlineStr">
        <is>
          <t>UK</t>
        </is>
      </c>
      <c r="D53" s="77" t="inlineStr">
        <is>
          <t>Additional UK sample</t>
        </is>
      </c>
      <c r="E53" s="77" t="inlineStr">
        <is>
          <t>UK – additional</t>
        </is>
      </c>
      <c r="F53" s="77" t="n">
        <v>2027</v>
      </c>
      <c r="G53" s="77" t="n">
        <v>447</v>
      </c>
      <c r="H53" s="77" t="inlineStr">
        <is>
          <t>Not started</t>
        </is>
      </c>
      <c r="I53" s="77">
        <f>COUNTIFS('EL scheme register'!$A$7:$A$7,$A53,'EL scheme register'!$C$7:$C$7,"University-wide",'EL scheme register'!$AJ$7:$AJ$7,"Yes")</f>
        <v/>
      </c>
      <c r="J53" s="77">
        <f>COUNTIFS('EL scheme register'!$A$7:$A$7,$A53,'EL scheme register'!$C$7:$C$7,"Cross-faculty",'EL scheme register'!$AJ$7:$AJ$7,"Yes")</f>
        <v/>
      </c>
      <c r="K53" s="77">
        <f>COUNTIFS('EL scheme register'!$A$7:$A$7,$A53,'EL scheme register'!$C$7:$C$7,"Faculty/school",'EL scheme register'!$AJ$7:$AJ$7,"Yes")</f>
        <v/>
      </c>
      <c r="L53" s="77">
        <f>COUNTIFS('EL scheme register'!$A$7:$A$7,$A53,'EL scheme register'!$C$7:$C$7,"Programme/course",'EL scheme register'!$AJ$7:$AJ$7,"Yes")</f>
        <v/>
      </c>
      <c r="M53" s="77">
        <f>COUNTIFS('EL scheme register'!$A$7:$A$7,$A53,'EL scheme register'!$C$7:$C$7,"Unclear",'EL scheme register'!$AJ$7:$AJ$7,"Yes")</f>
        <v/>
      </c>
      <c r="N53" s="77">
        <f>SUM(I53:M53)</f>
        <v/>
      </c>
      <c r="O53" s="77">
        <f>COUNTIFS('EL scheme register'!$A$7:$A$7,$A53,'EL scheme register'!$AF$7:$AF$7,"Potentially relevant; evidence incomplete",'EL scheme register'!$AI$7:$AI$7,"Yes")</f>
        <v/>
      </c>
      <c r="P53" s="77">
        <f>COUNTIFS('EL scheme register'!$A$7:$A$7,$A53,'EL scheme register'!$AF$7:$AF$7,"Outside strict definition")</f>
        <v/>
      </c>
      <c r="Q53" s="77">
        <f>COUNTIF('EL exclusions &amp; gaps'!$B$7:$B$5000,$A53)</f>
        <v/>
      </c>
      <c r="R53" s="77" t="inlineStr">
        <is>
          <t>Not reviewed</t>
        </is>
      </c>
      <c r="S53" s="77" t="inlineStr">
        <is>
          <t>Not reviewed</t>
        </is>
      </c>
      <c r="T53" s="77" t="inlineStr"/>
      <c r="U53" s="77" t="inlineStr"/>
      <c r="V53" s="77" t="inlineStr">
        <is>
          <t>Not reviewed</t>
        </is>
      </c>
      <c r="W53" s="77" t="inlineStr"/>
      <c r="X53" s="77" t="inlineStr"/>
    </row>
    <row r="54">
      <c r="A54" s="77" t="inlineStr">
        <is>
          <t>UK14</t>
        </is>
      </c>
      <c r="B54" s="79" t="inlineStr">
        <is>
          <t>Swansea</t>
        </is>
      </c>
      <c r="C54" s="77" t="inlineStr">
        <is>
          <t>UK</t>
        </is>
      </c>
      <c r="D54" s="77" t="inlineStr">
        <is>
          <t>Additional UK sample</t>
        </is>
      </c>
      <c r="E54" s="77" t="inlineStr">
        <is>
          <t>UK – additional</t>
        </is>
      </c>
      <c r="F54" s="77" t="n">
        <v>2027</v>
      </c>
      <c r="G54" s="77" t="n">
        <v>322</v>
      </c>
      <c r="H54" s="77" t="inlineStr">
        <is>
          <t>Not started</t>
        </is>
      </c>
      <c r="I54" s="77">
        <f>COUNTIFS('EL scheme register'!$A$7:$A$7,$A54,'EL scheme register'!$C$7:$C$7,"University-wide",'EL scheme register'!$AJ$7:$AJ$7,"Yes")</f>
        <v/>
      </c>
      <c r="J54" s="77">
        <f>COUNTIFS('EL scheme register'!$A$7:$A$7,$A54,'EL scheme register'!$C$7:$C$7,"Cross-faculty",'EL scheme register'!$AJ$7:$AJ$7,"Yes")</f>
        <v/>
      </c>
      <c r="K54" s="77">
        <f>COUNTIFS('EL scheme register'!$A$7:$A$7,$A54,'EL scheme register'!$C$7:$C$7,"Faculty/school",'EL scheme register'!$AJ$7:$AJ$7,"Yes")</f>
        <v/>
      </c>
      <c r="L54" s="77">
        <f>COUNTIFS('EL scheme register'!$A$7:$A$7,$A54,'EL scheme register'!$C$7:$C$7,"Programme/course",'EL scheme register'!$AJ$7:$AJ$7,"Yes")</f>
        <v/>
      </c>
      <c r="M54" s="77">
        <f>COUNTIFS('EL scheme register'!$A$7:$A$7,$A54,'EL scheme register'!$C$7:$C$7,"Unclear",'EL scheme register'!$AJ$7:$AJ$7,"Yes")</f>
        <v/>
      </c>
      <c r="N54" s="77">
        <f>SUM(I54:M54)</f>
        <v/>
      </c>
      <c r="O54" s="77">
        <f>COUNTIFS('EL scheme register'!$A$7:$A$7,$A54,'EL scheme register'!$AF$7:$AF$7,"Potentially relevant; evidence incomplete",'EL scheme register'!$AI$7:$AI$7,"Yes")</f>
        <v/>
      </c>
      <c r="P54" s="77">
        <f>COUNTIFS('EL scheme register'!$A$7:$A$7,$A54,'EL scheme register'!$AF$7:$AF$7,"Outside strict definition")</f>
        <v/>
      </c>
      <c r="Q54" s="77">
        <f>COUNTIF('EL exclusions &amp; gaps'!$B$7:$B$5000,$A54)</f>
        <v/>
      </c>
      <c r="R54" s="77" t="inlineStr">
        <is>
          <t>Not reviewed</t>
        </is>
      </c>
      <c r="S54" s="77" t="inlineStr">
        <is>
          <t>Not reviewed</t>
        </is>
      </c>
      <c r="T54" s="77" t="inlineStr"/>
      <c r="U54" s="77" t="inlineStr"/>
      <c r="V54" s="77" t="inlineStr">
        <is>
          <t>Not reviewed</t>
        </is>
      </c>
      <c r="W54" s="77" t="inlineStr"/>
      <c r="X54" s="77" t="inlineStr"/>
    </row>
    <row r="55">
      <c r="A55" s="77" t="inlineStr">
        <is>
          <t>UK15</t>
        </is>
      </c>
      <c r="B55" s="79" t="inlineStr">
        <is>
          <t>Essex</t>
        </is>
      </c>
      <c r="C55" s="77" t="inlineStr">
        <is>
          <t>UK</t>
        </is>
      </c>
      <c r="D55" s="77" t="inlineStr">
        <is>
          <t>Additional UK sample</t>
        </is>
      </c>
      <c r="E55" s="77" t="inlineStr">
        <is>
          <t>UK – additional</t>
        </is>
      </c>
      <c r="F55" s="77" t="n">
        <v>2027</v>
      </c>
      <c r="G55" s="77" t="n">
        <v>438</v>
      </c>
      <c r="H55" s="77" t="inlineStr">
        <is>
          <t>Not started</t>
        </is>
      </c>
      <c r="I55" s="77">
        <f>COUNTIFS('EL scheme register'!$A$7:$A$7,$A55,'EL scheme register'!$C$7:$C$7,"University-wide",'EL scheme register'!$AJ$7:$AJ$7,"Yes")</f>
        <v/>
      </c>
      <c r="J55" s="77">
        <f>COUNTIFS('EL scheme register'!$A$7:$A$7,$A55,'EL scheme register'!$C$7:$C$7,"Cross-faculty",'EL scheme register'!$AJ$7:$AJ$7,"Yes")</f>
        <v/>
      </c>
      <c r="K55" s="77">
        <f>COUNTIFS('EL scheme register'!$A$7:$A$7,$A55,'EL scheme register'!$C$7:$C$7,"Faculty/school",'EL scheme register'!$AJ$7:$AJ$7,"Yes")</f>
        <v/>
      </c>
      <c r="L55" s="77">
        <f>COUNTIFS('EL scheme register'!$A$7:$A$7,$A55,'EL scheme register'!$C$7:$C$7,"Programme/course",'EL scheme register'!$AJ$7:$AJ$7,"Yes")</f>
        <v/>
      </c>
      <c r="M55" s="77">
        <f>COUNTIFS('EL scheme register'!$A$7:$A$7,$A55,'EL scheme register'!$C$7:$C$7,"Unclear",'EL scheme register'!$AJ$7:$AJ$7,"Yes")</f>
        <v/>
      </c>
      <c r="N55" s="77">
        <f>SUM(I55:M55)</f>
        <v/>
      </c>
      <c r="O55" s="77">
        <f>COUNTIFS('EL scheme register'!$A$7:$A$7,$A55,'EL scheme register'!$AF$7:$AF$7,"Potentially relevant; evidence incomplete",'EL scheme register'!$AI$7:$AI$7,"Yes")</f>
        <v/>
      </c>
      <c r="P55" s="77">
        <f>COUNTIFS('EL scheme register'!$A$7:$A$7,$A55,'EL scheme register'!$AF$7:$AF$7,"Outside strict definition")</f>
        <v/>
      </c>
      <c r="Q55" s="77">
        <f>COUNTIF('EL exclusions &amp; gaps'!$B$7:$B$5000,$A55)</f>
        <v/>
      </c>
      <c r="R55" s="77" t="inlineStr">
        <is>
          <t>Not reviewed</t>
        </is>
      </c>
      <c r="S55" s="77" t="inlineStr">
        <is>
          <t>Not reviewed</t>
        </is>
      </c>
      <c r="T55" s="77" t="inlineStr"/>
      <c r="U55" s="77" t="inlineStr"/>
      <c r="V55" s="77" t="inlineStr">
        <is>
          <t>Not reviewed</t>
        </is>
      </c>
      <c r="W55" s="77" t="inlineStr"/>
      <c r="X55" s="77" t="inlineStr"/>
    </row>
    <row r="56">
      <c r="A56" s="77" t="inlineStr">
        <is>
          <t>UK16</t>
        </is>
      </c>
      <c r="B56" s="79" t="inlineStr">
        <is>
          <t>Kent</t>
        </is>
      </c>
      <c r="C56" s="77" t="inlineStr">
        <is>
          <t>UK</t>
        </is>
      </c>
      <c r="D56" s="77" t="inlineStr">
        <is>
          <t>Additional UK sample</t>
        </is>
      </c>
      <c r="E56" s="77" t="inlineStr">
        <is>
          <t>UK – additional</t>
        </is>
      </c>
      <c r="F56" s="77" t="n">
        <v>2027</v>
      </c>
      <c r="G56" s="77" t="n">
        <v>415</v>
      </c>
      <c r="H56" s="77" t="inlineStr">
        <is>
          <t>Not started</t>
        </is>
      </c>
      <c r="I56" s="77">
        <f>COUNTIFS('EL scheme register'!$A$7:$A$7,$A56,'EL scheme register'!$C$7:$C$7,"University-wide",'EL scheme register'!$AJ$7:$AJ$7,"Yes")</f>
        <v/>
      </c>
      <c r="J56" s="77">
        <f>COUNTIFS('EL scheme register'!$A$7:$A$7,$A56,'EL scheme register'!$C$7:$C$7,"Cross-faculty",'EL scheme register'!$AJ$7:$AJ$7,"Yes")</f>
        <v/>
      </c>
      <c r="K56" s="77">
        <f>COUNTIFS('EL scheme register'!$A$7:$A$7,$A56,'EL scheme register'!$C$7:$C$7,"Faculty/school",'EL scheme register'!$AJ$7:$AJ$7,"Yes")</f>
        <v/>
      </c>
      <c r="L56" s="77">
        <f>COUNTIFS('EL scheme register'!$A$7:$A$7,$A56,'EL scheme register'!$C$7:$C$7,"Programme/course",'EL scheme register'!$AJ$7:$AJ$7,"Yes")</f>
        <v/>
      </c>
      <c r="M56" s="77">
        <f>COUNTIFS('EL scheme register'!$A$7:$A$7,$A56,'EL scheme register'!$C$7:$C$7,"Unclear",'EL scheme register'!$AJ$7:$AJ$7,"Yes")</f>
        <v/>
      </c>
      <c r="N56" s="77">
        <f>SUM(I56:M56)</f>
        <v/>
      </c>
      <c r="O56" s="77">
        <f>COUNTIFS('EL scheme register'!$A$7:$A$7,$A56,'EL scheme register'!$AF$7:$AF$7,"Potentially relevant; evidence incomplete",'EL scheme register'!$AI$7:$AI$7,"Yes")</f>
        <v/>
      </c>
      <c r="P56" s="77">
        <f>COUNTIFS('EL scheme register'!$A$7:$A$7,$A56,'EL scheme register'!$AF$7:$AF$7,"Outside strict definition")</f>
        <v/>
      </c>
      <c r="Q56" s="77">
        <f>COUNTIF('EL exclusions &amp; gaps'!$B$7:$B$5000,$A56)</f>
        <v/>
      </c>
      <c r="R56" s="77" t="inlineStr">
        <is>
          <t>Not reviewed</t>
        </is>
      </c>
      <c r="S56" s="77" t="inlineStr">
        <is>
          <t>Not reviewed</t>
        </is>
      </c>
      <c r="T56" s="77" t="inlineStr"/>
      <c r="U56" s="77" t="inlineStr"/>
      <c r="V56" s="77" t="inlineStr">
        <is>
          <t>Not reviewed</t>
        </is>
      </c>
      <c r="W56" s="77" t="inlineStr"/>
      <c r="X56" s="77" t="inlineStr"/>
    </row>
    <row r="57">
      <c r="A57" s="77" t="inlineStr">
        <is>
          <t>UK17</t>
        </is>
      </c>
      <c r="B57" s="79" t="inlineStr">
        <is>
          <t>Brunel</t>
        </is>
      </c>
      <c r="C57" s="77" t="inlineStr">
        <is>
          <t>UK</t>
        </is>
      </c>
      <c r="D57" s="77" t="inlineStr">
        <is>
          <t>Additional UK sample</t>
        </is>
      </c>
      <c r="E57" s="77" t="inlineStr">
        <is>
          <t>UK – additional</t>
        </is>
      </c>
      <c r="F57" s="77" t="n">
        <v>2027</v>
      </c>
      <c r="G57" s="77" t="n">
        <v>353</v>
      </c>
      <c r="H57" s="77" t="inlineStr">
        <is>
          <t>Not started</t>
        </is>
      </c>
      <c r="I57" s="77">
        <f>COUNTIFS('EL scheme register'!$A$7:$A$7,$A57,'EL scheme register'!$C$7:$C$7,"University-wide",'EL scheme register'!$AJ$7:$AJ$7,"Yes")</f>
        <v/>
      </c>
      <c r="J57" s="77">
        <f>COUNTIFS('EL scheme register'!$A$7:$A$7,$A57,'EL scheme register'!$C$7:$C$7,"Cross-faculty",'EL scheme register'!$AJ$7:$AJ$7,"Yes")</f>
        <v/>
      </c>
      <c r="K57" s="77">
        <f>COUNTIFS('EL scheme register'!$A$7:$A$7,$A57,'EL scheme register'!$C$7:$C$7,"Faculty/school",'EL scheme register'!$AJ$7:$AJ$7,"Yes")</f>
        <v/>
      </c>
      <c r="L57" s="77">
        <f>COUNTIFS('EL scheme register'!$A$7:$A$7,$A57,'EL scheme register'!$C$7:$C$7,"Programme/course",'EL scheme register'!$AJ$7:$AJ$7,"Yes")</f>
        <v/>
      </c>
      <c r="M57" s="77">
        <f>COUNTIFS('EL scheme register'!$A$7:$A$7,$A57,'EL scheme register'!$C$7:$C$7,"Unclear",'EL scheme register'!$AJ$7:$AJ$7,"Yes")</f>
        <v/>
      </c>
      <c r="N57" s="77">
        <f>SUM(I57:M57)</f>
        <v/>
      </c>
      <c r="O57" s="77">
        <f>COUNTIFS('EL scheme register'!$A$7:$A$7,$A57,'EL scheme register'!$AF$7:$AF$7,"Potentially relevant; evidence incomplete",'EL scheme register'!$AI$7:$AI$7,"Yes")</f>
        <v/>
      </c>
      <c r="P57" s="77">
        <f>COUNTIFS('EL scheme register'!$A$7:$A$7,$A57,'EL scheme register'!$AF$7:$AF$7,"Outside strict definition")</f>
        <v/>
      </c>
      <c r="Q57" s="77">
        <f>COUNTIF('EL exclusions &amp; gaps'!$B$7:$B$5000,$A57)</f>
        <v/>
      </c>
      <c r="R57" s="77" t="inlineStr">
        <is>
          <t>Not reviewed</t>
        </is>
      </c>
      <c r="S57" s="77" t="inlineStr">
        <is>
          <t>Not reviewed</t>
        </is>
      </c>
      <c r="T57" s="77" t="inlineStr"/>
      <c r="U57" s="77" t="inlineStr"/>
      <c r="V57" s="77" t="inlineStr">
        <is>
          <t>Not reviewed</t>
        </is>
      </c>
      <c r="W57" s="77" t="inlineStr"/>
      <c r="X57" s="77" t="inlineStr"/>
    </row>
    <row r="58">
      <c r="A58" s="77" t="inlineStr">
        <is>
          <t>UK18</t>
        </is>
      </c>
      <c r="B58" s="79" t="inlineStr">
        <is>
          <t>Aston</t>
        </is>
      </c>
      <c r="C58" s="77" t="inlineStr">
        <is>
          <t>UK</t>
        </is>
      </c>
      <c r="D58" s="77" t="inlineStr">
        <is>
          <t>Additional UK sample</t>
        </is>
      </c>
      <c r="E58" s="77" t="inlineStr">
        <is>
          <t>UK – additional</t>
        </is>
      </c>
      <c r="F58" s="77" t="n">
        <v>2027</v>
      </c>
      <c r="G58" s="77" t="n">
        <v>416</v>
      </c>
      <c r="H58" s="77" t="inlineStr">
        <is>
          <t>Not started</t>
        </is>
      </c>
      <c r="I58" s="77">
        <f>COUNTIFS('EL scheme register'!$A$7:$A$7,$A58,'EL scheme register'!$C$7:$C$7,"University-wide",'EL scheme register'!$AJ$7:$AJ$7,"Yes")</f>
        <v/>
      </c>
      <c r="J58" s="77">
        <f>COUNTIFS('EL scheme register'!$A$7:$A$7,$A58,'EL scheme register'!$C$7:$C$7,"Cross-faculty",'EL scheme register'!$AJ$7:$AJ$7,"Yes")</f>
        <v/>
      </c>
      <c r="K58" s="77">
        <f>COUNTIFS('EL scheme register'!$A$7:$A$7,$A58,'EL scheme register'!$C$7:$C$7,"Faculty/school",'EL scheme register'!$AJ$7:$AJ$7,"Yes")</f>
        <v/>
      </c>
      <c r="L58" s="77">
        <f>COUNTIFS('EL scheme register'!$A$7:$A$7,$A58,'EL scheme register'!$C$7:$C$7,"Programme/course",'EL scheme register'!$AJ$7:$AJ$7,"Yes")</f>
        <v/>
      </c>
      <c r="M58" s="77">
        <f>COUNTIFS('EL scheme register'!$A$7:$A$7,$A58,'EL scheme register'!$C$7:$C$7,"Unclear",'EL scheme register'!$AJ$7:$AJ$7,"Yes")</f>
        <v/>
      </c>
      <c r="N58" s="77">
        <f>SUM(I58:M58)</f>
        <v/>
      </c>
      <c r="O58" s="77">
        <f>COUNTIFS('EL scheme register'!$A$7:$A$7,$A58,'EL scheme register'!$AF$7:$AF$7,"Potentially relevant; evidence incomplete",'EL scheme register'!$AI$7:$AI$7,"Yes")</f>
        <v/>
      </c>
      <c r="P58" s="77">
        <f>COUNTIFS('EL scheme register'!$A$7:$A$7,$A58,'EL scheme register'!$AF$7:$AF$7,"Outside strict definition")</f>
        <v/>
      </c>
      <c r="Q58" s="77">
        <f>COUNTIF('EL exclusions &amp; gaps'!$B$7:$B$5000,$A58)</f>
        <v/>
      </c>
      <c r="R58" s="77" t="inlineStr">
        <is>
          <t>Not reviewed</t>
        </is>
      </c>
      <c r="S58" s="77" t="inlineStr">
        <is>
          <t>Not reviewed</t>
        </is>
      </c>
      <c r="T58" s="77" t="inlineStr"/>
      <c r="U58" s="77" t="inlineStr"/>
      <c r="V58" s="77" t="inlineStr">
        <is>
          <t>Not reviewed</t>
        </is>
      </c>
      <c r="W58" s="77" t="inlineStr"/>
      <c r="X58" s="77" t="inlineStr"/>
    </row>
    <row r="59">
      <c r="A59" s="77" t="inlineStr">
        <is>
          <t>UK19</t>
        </is>
      </c>
      <c r="B59" s="79" t="inlineStr">
        <is>
          <t>Stirling</t>
        </is>
      </c>
      <c r="C59" s="77" t="inlineStr">
        <is>
          <t>UK</t>
        </is>
      </c>
      <c r="D59" s="77" t="inlineStr">
        <is>
          <t>Additional UK sample</t>
        </is>
      </c>
      <c r="E59" s="77" t="inlineStr">
        <is>
          <t>UK – additional</t>
        </is>
      </c>
      <c r="F59" s="77" t="n">
        <v>2027</v>
      </c>
      <c r="G59" s="77" t="n">
        <v>560</v>
      </c>
      <c r="H59" s="77" t="inlineStr">
        <is>
          <t>Not started</t>
        </is>
      </c>
      <c r="I59" s="77">
        <f>COUNTIFS('EL scheme register'!$A$7:$A$7,$A59,'EL scheme register'!$C$7:$C$7,"University-wide",'EL scheme register'!$AJ$7:$AJ$7,"Yes")</f>
        <v/>
      </c>
      <c r="J59" s="77">
        <f>COUNTIFS('EL scheme register'!$A$7:$A$7,$A59,'EL scheme register'!$C$7:$C$7,"Cross-faculty",'EL scheme register'!$AJ$7:$AJ$7,"Yes")</f>
        <v/>
      </c>
      <c r="K59" s="77">
        <f>COUNTIFS('EL scheme register'!$A$7:$A$7,$A59,'EL scheme register'!$C$7:$C$7,"Faculty/school",'EL scheme register'!$AJ$7:$AJ$7,"Yes")</f>
        <v/>
      </c>
      <c r="L59" s="77">
        <f>COUNTIFS('EL scheme register'!$A$7:$A$7,$A59,'EL scheme register'!$C$7:$C$7,"Programme/course",'EL scheme register'!$AJ$7:$AJ$7,"Yes")</f>
        <v/>
      </c>
      <c r="M59" s="77">
        <f>COUNTIFS('EL scheme register'!$A$7:$A$7,$A59,'EL scheme register'!$C$7:$C$7,"Unclear",'EL scheme register'!$AJ$7:$AJ$7,"Yes")</f>
        <v/>
      </c>
      <c r="N59" s="77">
        <f>SUM(I59:M59)</f>
        <v/>
      </c>
      <c r="O59" s="77">
        <f>COUNTIFS('EL scheme register'!$A$7:$A$7,$A59,'EL scheme register'!$AF$7:$AF$7,"Potentially relevant; evidence incomplete",'EL scheme register'!$AI$7:$AI$7,"Yes")</f>
        <v/>
      </c>
      <c r="P59" s="77">
        <f>COUNTIFS('EL scheme register'!$A$7:$A$7,$A59,'EL scheme register'!$AF$7:$AF$7,"Outside strict definition")</f>
        <v/>
      </c>
      <c r="Q59" s="77">
        <f>COUNTIF('EL exclusions &amp; gaps'!$B$7:$B$5000,$A59)</f>
        <v/>
      </c>
      <c r="R59" s="77" t="inlineStr">
        <is>
          <t>Not reviewed</t>
        </is>
      </c>
      <c r="S59" s="77" t="inlineStr">
        <is>
          <t>Not reviewed</t>
        </is>
      </c>
      <c r="T59" s="77" t="inlineStr"/>
      <c r="U59" s="77" t="inlineStr"/>
      <c r="V59" s="77" t="inlineStr">
        <is>
          <t>Not reviewed</t>
        </is>
      </c>
      <c r="W59" s="77" t="inlineStr"/>
      <c r="X59" s="77" t="inlineStr"/>
    </row>
    <row r="60">
      <c r="A60" s="77" t="inlineStr">
        <is>
          <t>UK20</t>
        </is>
      </c>
      <c r="B60" s="79" t="inlineStr">
        <is>
          <t>SOAS</t>
        </is>
      </c>
      <c r="C60" s="77" t="inlineStr">
        <is>
          <t>UK</t>
        </is>
      </c>
      <c r="D60" s="77" t="inlineStr">
        <is>
          <t>Additional UK sample</t>
        </is>
      </c>
      <c r="E60" s="77" t="inlineStr">
        <is>
          <t>UK – additional</t>
        </is>
      </c>
      <c r="F60" s="77" t="n">
        <v>2027</v>
      </c>
      <c r="G60" s="77" t="n">
        <v>458</v>
      </c>
      <c r="H60" s="77" t="inlineStr">
        <is>
          <t>Not started</t>
        </is>
      </c>
      <c r="I60" s="77">
        <f>COUNTIFS('EL scheme register'!$A$7:$A$7,$A60,'EL scheme register'!$C$7:$C$7,"University-wide",'EL scheme register'!$AJ$7:$AJ$7,"Yes")</f>
        <v/>
      </c>
      <c r="J60" s="77">
        <f>COUNTIFS('EL scheme register'!$A$7:$A$7,$A60,'EL scheme register'!$C$7:$C$7,"Cross-faculty",'EL scheme register'!$AJ$7:$AJ$7,"Yes")</f>
        <v/>
      </c>
      <c r="K60" s="77">
        <f>COUNTIFS('EL scheme register'!$A$7:$A$7,$A60,'EL scheme register'!$C$7:$C$7,"Faculty/school",'EL scheme register'!$AJ$7:$AJ$7,"Yes")</f>
        <v/>
      </c>
      <c r="L60" s="77">
        <f>COUNTIFS('EL scheme register'!$A$7:$A$7,$A60,'EL scheme register'!$C$7:$C$7,"Programme/course",'EL scheme register'!$AJ$7:$AJ$7,"Yes")</f>
        <v/>
      </c>
      <c r="M60" s="77">
        <f>COUNTIFS('EL scheme register'!$A$7:$A$7,$A60,'EL scheme register'!$C$7:$C$7,"Unclear",'EL scheme register'!$AJ$7:$AJ$7,"Yes")</f>
        <v/>
      </c>
      <c r="N60" s="77">
        <f>SUM(I60:M60)</f>
        <v/>
      </c>
      <c r="O60" s="77">
        <f>COUNTIFS('EL scheme register'!$A$7:$A$7,$A60,'EL scheme register'!$AF$7:$AF$7,"Potentially relevant; evidence incomplete",'EL scheme register'!$AI$7:$AI$7,"Yes")</f>
        <v/>
      </c>
      <c r="P60" s="77">
        <f>COUNTIFS('EL scheme register'!$A$7:$A$7,$A60,'EL scheme register'!$AF$7:$AF$7,"Outside strict definition")</f>
        <v/>
      </c>
      <c r="Q60" s="77">
        <f>COUNTIF('EL exclusions &amp; gaps'!$B$7:$B$5000,$A60)</f>
        <v/>
      </c>
      <c r="R60" s="77" t="inlineStr">
        <is>
          <t>Not reviewed</t>
        </is>
      </c>
      <c r="S60" s="77" t="inlineStr">
        <is>
          <t>Not reviewed</t>
        </is>
      </c>
      <c r="T60" s="77" t="inlineStr"/>
      <c r="U60" s="77" t="inlineStr"/>
      <c r="V60" s="77" t="inlineStr">
        <is>
          <t>Not reviewed</t>
        </is>
      </c>
      <c r="W60" s="77" t="inlineStr"/>
      <c r="X60" s="77" t="inlineStr"/>
    </row>
    <row r="61">
      <c r="A61" s="77" t="inlineStr">
        <is>
          <t>UK21</t>
        </is>
      </c>
      <c r="B61" s="79" t="inlineStr">
        <is>
          <t>Birkbeck</t>
        </is>
      </c>
      <c r="C61" s="77" t="inlineStr">
        <is>
          <t>UK</t>
        </is>
      </c>
      <c r="D61" s="77" t="inlineStr">
        <is>
          <t>Additional UK sample</t>
        </is>
      </c>
      <c r="E61" s="77" t="inlineStr">
        <is>
          <t>UK – additional</t>
        </is>
      </c>
      <c r="F61" s="77" t="n">
        <v>2027</v>
      </c>
      <c r="G61" s="77" t="n">
        <v>354</v>
      </c>
      <c r="H61" s="77" t="inlineStr">
        <is>
          <t>Not started</t>
        </is>
      </c>
      <c r="I61" s="77">
        <f>COUNTIFS('EL scheme register'!$A$7:$A$7,$A61,'EL scheme register'!$C$7:$C$7,"University-wide",'EL scheme register'!$AJ$7:$AJ$7,"Yes")</f>
        <v/>
      </c>
      <c r="J61" s="77">
        <f>COUNTIFS('EL scheme register'!$A$7:$A$7,$A61,'EL scheme register'!$C$7:$C$7,"Cross-faculty",'EL scheme register'!$AJ$7:$AJ$7,"Yes")</f>
        <v/>
      </c>
      <c r="K61" s="77">
        <f>COUNTIFS('EL scheme register'!$A$7:$A$7,$A61,'EL scheme register'!$C$7:$C$7,"Faculty/school",'EL scheme register'!$AJ$7:$AJ$7,"Yes")</f>
        <v/>
      </c>
      <c r="L61" s="77">
        <f>COUNTIFS('EL scheme register'!$A$7:$A$7,$A61,'EL scheme register'!$C$7:$C$7,"Programme/course",'EL scheme register'!$AJ$7:$AJ$7,"Yes")</f>
        <v/>
      </c>
      <c r="M61" s="77">
        <f>COUNTIFS('EL scheme register'!$A$7:$A$7,$A61,'EL scheme register'!$C$7:$C$7,"Unclear",'EL scheme register'!$AJ$7:$AJ$7,"Yes")</f>
        <v/>
      </c>
      <c r="N61" s="77">
        <f>SUM(I61:M61)</f>
        <v/>
      </c>
      <c r="O61" s="77">
        <f>COUNTIFS('EL scheme register'!$A$7:$A$7,$A61,'EL scheme register'!$AF$7:$AF$7,"Potentially relevant; evidence incomplete",'EL scheme register'!$AI$7:$AI$7,"Yes")</f>
        <v/>
      </c>
      <c r="P61" s="77">
        <f>COUNTIFS('EL scheme register'!$A$7:$A$7,$A61,'EL scheme register'!$AF$7:$AF$7,"Outside strict definition")</f>
        <v/>
      </c>
      <c r="Q61" s="77">
        <f>COUNTIF('EL exclusions &amp; gaps'!$B$7:$B$5000,$A61)</f>
        <v/>
      </c>
      <c r="R61" s="77" t="inlineStr">
        <is>
          <t>Not reviewed</t>
        </is>
      </c>
      <c r="S61" s="77" t="inlineStr">
        <is>
          <t>Not reviewed</t>
        </is>
      </c>
      <c r="T61" s="77" t="inlineStr"/>
      <c r="U61" s="77" t="inlineStr"/>
      <c r="V61" s="77" t="inlineStr">
        <is>
          <t>Not reviewed</t>
        </is>
      </c>
      <c r="W61" s="77" t="inlineStr"/>
      <c r="X61" s="77" t="inlineStr"/>
    </row>
    <row r="62">
      <c r="A62" s="77" t="inlineStr">
        <is>
          <t>UK22</t>
        </is>
      </c>
      <c r="B62" s="79" t="inlineStr">
        <is>
          <t>Royal Holloway</t>
        </is>
      </c>
      <c r="C62" s="77" t="inlineStr">
        <is>
          <t>UK</t>
        </is>
      </c>
      <c r="D62" s="77" t="inlineStr">
        <is>
          <t>Additional UK sample</t>
        </is>
      </c>
      <c r="E62" s="77" t="inlineStr">
        <is>
          <t>UK – additional</t>
        </is>
      </c>
      <c r="F62" s="77" t="n">
        <v>2027</v>
      </c>
      <c r="G62" s="77" t="n">
        <v>485</v>
      </c>
      <c r="H62" s="77" t="inlineStr">
        <is>
          <t>Not started</t>
        </is>
      </c>
      <c r="I62" s="77">
        <f>COUNTIFS('EL scheme register'!$A$7:$A$7,$A62,'EL scheme register'!$C$7:$C$7,"University-wide",'EL scheme register'!$AJ$7:$AJ$7,"Yes")</f>
        <v/>
      </c>
      <c r="J62" s="77">
        <f>COUNTIFS('EL scheme register'!$A$7:$A$7,$A62,'EL scheme register'!$C$7:$C$7,"Cross-faculty",'EL scheme register'!$AJ$7:$AJ$7,"Yes")</f>
        <v/>
      </c>
      <c r="K62" s="77">
        <f>COUNTIFS('EL scheme register'!$A$7:$A$7,$A62,'EL scheme register'!$C$7:$C$7,"Faculty/school",'EL scheme register'!$AJ$7:$AJ$7,"Yes")</f>
        <v/>
      </c>
      <c r="L62" s="77">
        <f>COUNTIFS('EL scheme register'!$A$7:$A$7,$A62,'EL scheme register'!$C$7:$C$7,"Programme/course",'EL scheme register'!$AJ$7:$AJ$7,"Yes")</f>
        <v/>
      </c>
      <c r="M62" s="77">
        <f>COUNTIFS('EL scheme register'!$A$7:$A$7,$A62,'EL scheme register'!$C$7:$C$7,"Unclear",'EL scheme register'!$AJ$7:$AJ$7,"Yes")</f>
        <v/>
      </c>
      <c r="N62" s="77">
        <f>SUM(I62:M62)</f>
        <v/>
      </c>
      <c r="O62" s="77">
        <f>COUNTIFS('EL scheme register'!$A$7:$A$7,$A62,'EL scheme register'!$AF$7:$AF$7,"Potentially relevant; evidence incomplete",'EL scheme register'!$AI$7:$AI$7,"Yes")</f>
        <v/>
      </c>
      <c r="P62" s="77">
        <f>COUNTIFS('EL scheme register'!$A$7:$A$7,$A62,'EL scheme register'!$AF$7:$AF$7,"Outside strict definition")</f>
        <v/>
      </c>
      <c r="Q62" s="77">
        <f>COUNTIF('EL exclusions &amp; gaps'!$B$7:$B$5000,$A62)</f>
        <v/>
      </c>
      <c r="R62" s="77" t="inlineStr">
        <is>
          <t>Not reviewed</t>
        </is>
      </c>
      <c r="S62" s="77" t="inlineStr">
        <is>
          <t>Not reviewed</t>
        </is>
      </c>
      <c r="T62" s="77" t="inlineStr"/>
      <c r="U62" s="77" t="inlineStr"/>
      <c r="V62" s="77" t="inlineStr">
        <is>
          <t>Not reviewed</t>
        </is>
      </c>
      <c r="W62" s="77" t="inlineStr"/>
      <c r="X62" s="77" t="inlineStr"/>
    </row>
    <row r="63">
      <c r="A63" s="77" t="inlineStr">
        <is>
          <t>UK23</t>
        </is>
      </c>
      <c r="B63" s="79" t="inlineStr">
        <is>
          <t>City St George’s</t>
        </is>
      </c>
      <c r="C63" s="77" t="inlineStr">
        <is>
          <t>UK</t>
        </is>
      </c>
      <c r="D63" s="77" t="inlineStr">
        <is>
          <t>Additional UK sample</t>
        </is>
      </c>
      <c r="E63" s="77" t="inlineStr">
        <is>
          <t>UK – additional</t>
        </is>
      </c>
      <c r="F63" s="77" t="n">
        <v>2027</v>
      </c>
      <c r="G63" s="77" t="n">
        <v>361</v>
      </c>
      <c r="H63" s="77" t="inlineStr">
        <is>
          <t>Not started</t>
        </is>
      </c>
      <c r="I63" s="77">
        <f>COUNTIFS('EL scheme register'!$A$7:$A$7,$A63,'EL scheme register'!$C$7:$C$7,"University-wide",'EL scheme register'!$AJ$7:$AJ$7,"Yes")</f>
        <v/>
      </c>
      <c r="J63" s="77">
        <f>COUNTIFS('EL scheme register'!$A$7:$A$7,$A63,'EL scheme register'!$C$7:$C$7,"Cross-faculty",'EL scheme register'!$AJ$7:$AJ$7,"Yes")</f>
        <v/>
      </c>
      <c r="K63" s="77">
        <f>COUNTIFS('EL scheme register'!$A$7:$A$7,$A63,'EL scheme register'!$C$7:$C$7,"Faculty/school",'EL scheme register'!$AJ$7:$AJ$7,"Yes")</f>
        <v/>
      </c>
      <c r="L63" s="77">
        <f>COUNTIFS('EL scheme register'!$A$7:$A$7,$A63,'EL scheme register'!$C$7:$C$7,"Programme/course",'EL scheme register'!$AJ$7:$AJ$7,"Yes")</f>
        <v/>
      </c>
      <c r="M63" s="77">
        <f>COUNTIFS('EL scheme register'!$A$7:$A$7,$A63,'EL scheme register'!$C$7:$C$7,"Unclear",'EL scheme register'!$AJ$7:$AJ$7,"Yes")</f>
        <v/>
      </c>
      <c r="N63" s="77">
        <f>SUM(I63:M63)</f>
        <v/>
      </c>
      <c r="O63" s="77">
        <f>COUNTIFS('EL scheme register'!$A$7:$A$7,$A63,'EL scheme register'!$AF$7:$AF$7,"Potentially relevant; evidence incomplete",'EL scheme register'!$AI$7:$AI$7,"Yes")</f>
        <v/>
      </c>
      <c r="P63" s="77">
        <f>COUNTIFS('EL scheme register'!$A$7:$A$7,$A63,'EL scheme register'!$AF$7:$AF$7,"Outside strict definition")</f>
        <v/>
      </c>
      <c r="Q63" s="77">
        <f>COUNTIF('EL exclusions &amp; gaps'!$B$7:$B$5000,$A63)</f>
        <v/>
      </c>
      <c r="R63" s="77" t="inlineStr">
        <is>
          <t>Not reviewed</t>
        </is>
      </c>
      <c r="S63" s="77" t="inlineStr">
        <is>
          <t>Not reviewed</t>
        </is>
      </c>
      <c r="T63" s="77" t="inlineStr"/>
      <c r="U63" s="77" t="inlineStr"/>
      <c r="V63" s="77" t="inlineStr">
        <is>
          <t>Not reviewed</t>
        </is>
      </c>
      <c r="W63" s="77" t="inlineStr"/>
      <c r="X63" s="77" t="inlineStr"/>
    </row>
    <row r="64">
      <c r="A64" s="77" t="inlineStr">
        <is>
          <t>UK24</t>
        </is>
      </c>
      <c r="B64" s="79" t="inlineStr">
        <is>
          <t>Oxford Brookes</t>
        </is>
      </c>
      <c r="C64" s="77" t="inlineStr">
        <is>
          <t>UK</t>
        </is>
      </c>
      <c r="D64" s="77" t="inlineStr">
        <is>
          <t>Additional UK sample</t>
        </is>
      </c>
      <c r="E64" s="77" t="inlineStr">
        <is>
          <t>UK – additional</t>
        </is>
      </c>
      <c r="F64" s="77" t="n">
        <v>2027</v>
      </c>
      <c r="G64" s="77" t="n">
        <v>411</v>
      </c>
      <c r="H64" s="77" t="inlineStr">
        <is>
          <t>Not started</t>
        </is>
      </c>
      <c r="I64" s="77">
        <f>COUNTIFS('EL scheme register'!$A$7:$A$7,$A64,'EL scheme register'!$C$7:$C$7,"University-wide",'EL scheme register'!$AJ$7:$AJ$7,"Yes")</f>
        <v/>
      </c>
      <c r="J64" s="77">
        <f>COUNTIFS('EL scheme register'!$A$7:$A$7,$A64,'EL scheme register'!$C$7:$C$7,"Cross-faculty",'EL scheme register'!$AJ$7:$AJ$7,"Yes")</f>
        <v/>
      </c>
      <c r="K64" s="77">
        <f>COUNTIFS('EL scheme register'!$A$7:$A$7,$A64,'EL scheme register'!$C$7:$C$7,"Faculty/school",'EL scheme register'!$AJ$7:$AJ$7,"Yes")</f>
        <v/>
      </c>
      <c r="L64" s="77">
        <f>COUNTIFS('EL scheme register'!$A$7:$A$7,$A64,'EL scheme register'!$C$7:$C$7,"Programme/course",'EL scheme register'!$AJ$7:$AJ$7,"Yes")</f>
        <v/>
      </c>
      <c r="M64" s="77">
        <f>COUNTIFS('EL scheme register'!$A$7:$A$7,$A64,'EL scheme register'!$C$7:$C$7,"Unclear",'EL scheme register'!$AJ$7:$AJ$7,"Yes")</f>
        <v/>
      </c>
      <c r="N64" s="77">
        <f>SUM(I64:M64)</f>
        <v/>
      </c>
      <c r="O64" s="77">
        <f>COUNTIFS('EL scheme register'!$A$7:$A$7,$A64,'EL scheme register'!$AF$7:$AF$7,"Potentially relevant; evidence incomplete",'EL scheme register'!$AI$7:$AI$7,"Yes")</f>
        <v/>
      </c>
      <c r="P64" s="77">
        <f>COUNTIFS('EL scheme register'!$A$7:$A$7,$A64,'EL scheme register'!$AF$7:$AF$7,"Outside strict definition")</f>
        <v/>
      </c>
      <c r="Q64" s="77">
        <f>COUNTIF('EL exclusions &amp; gaps'!$B$7:$B$5000,$A64)</f>
        <v/>
      </c>
      <c r="R64" s="77" t="inlineStr">
        <is>
          <t>Not reviewed</t>
        </is>
      </c>
      <c r="S64" s="77" t="inlineStr">
        <is>
          <t>Not reviewed</t>
        </is>
      </c>
      <c r="T64" s="77" t="inlineStr"/>
      <c r="U64" s="77" t="inlineStr"/>
      <c r="V64" s="77" t="inlineStr">
        <is>
          <t>Not reviewed</t>
        </is>
      </c>
      <c r="W64" s="77" t="inlineStr"/>
      <c r="X64" s="77" t="inlineStr"/>
    </row>
    <row r="65">
      <c r="A65" s="77" t="inlineStr">
        <is>
          <t>UK25</t>
        </is>
      </c>
      <c r="B65" s="79" t="inlineStr">
        <is>
          <t>Northumbria</t>
        </is>
      </c>
      <c r="C65" s="77" t="inlineStr">
        <is>
          <t>UK</t>
        </is>
      </c>
      <c r="D65" s="77" t="inlineStr">
        <is>
          <t>Additional UK sample</t>
        </is>
      </c>
      <c r="E65" s="77" t="inlineStr">
        <is>
          <t>UK – additional</t>
        </is>
      </c>
      <c r="F65" s="77" t="n">
        <v>2027</v>
      </c>
      <c r="G65" s="77" t="n">
        <v>528</v>
      </c>
      <c r="H65" s="77" t="inlineStr">
        <is>
          <t>Not started</t>
        </is>
      </c>
      <c r="I65" s="77">
        <f>COUNTIFS('EL scheme register'!$A$7:$A$7,$A65,'EL scheme register'!$C$7:$C$7,"University-wide",'EL scheme register'!$AJ$7:$AJ$7,"Yes")</f>
        <v/>
      </c>
      <c r="J65" s="77">
        <f>COUNTIFS('EL scheme register'!$A$7:$A$7,$A65,'EL scheme register'!$C$7:$C$7,"Cross-faculty",'EL scheme register'!$AJ$7:$AJ$7,"Yes")</f>
        <v/>
      </c>
      <c r="K65" s="77">
        <f>COUNTIFS('EL scheme register'!$A$7:$A$7,$A65,'EL scheme register'!$C$7:$C$7,"Faculty/school",'EL scheme register'!$AJ$7:$AJ$7,"Yes")</f>
        <v/>
      </c>
      <c r="L65" s="77">
        <f>COUNTIFS('EL scheme register'!$A$7:$A$7,$A65,'EL scheme register'!$C$7:$C$7,"Programme/course",'EL scheme register'!$AJ$7:$AJ$7,"Yes")</f>
        <v/>
      </c>
      <c r="M65" s="77">
        <f>COUNTIFS('EL scheme register'!$A$7:$A$7,$A65,'EL scheme register'!$C$7:$C$7,"Unclear",'EL scheme register'!$AJ$7:$AJ$7,"Yes")</f>
        <v/>
      </c>
      <c r="N65" s="77">
        <f>SUM(I65:M65)</f>
        <v/>
      </c>
      <c r="O65" s="77">
        <f>COUNTIFS('EL scheme register'!$A$7:$A$7,$A65,'EL scheme register'!$AF$7:$AF$7,"Potentially relevant; evidence incomplete",'EL scheme register'!$AI$7:$AI$7,"Yes")</f>
        <v/>
      </c>
      <c r="P65" s="77">
        <f>COUNTIFS('EL scheme register'!$A$7:$A$7,$A65,'EL scheme register'!$AF$7:$AF$7,"Outside strict definition")</f>
        <v/>
      </c>
      <c r="Q65" s="77">
        <f>COUNTIF('EL exclusions &amp; gaps'!$B$7:$B$5000,$A65)</f>
        <v/>
      </c>
      <c r="R65" s="77" t="inlineStr">
        <is>
          <t>Not reviewed</t>
        </is>
      </c>
      <c r="S65" s="77" t="inlineStr">
        <is>
          <t>Not reviewed</t>
        </is>
      </c>
      <c r="T65" s="77" t="inlineStr"/>
      <c r="U65" s="77" t="inlineStr"/>
      <c r="V65" s="77" t="inlineStr">
        <is>
          <t>Not reviewed</t>
        </is>
      </c>
      <c r="W65" s="77" t="inlineStr"/>
      <c r="X65" s="77" t="inlineStr"/>
    </row>
    <row r="66">
      <c r="A66" s="77" t="inlineStr">
        <is>
          <t>UK26</t>
        </is>
      </c>
      <c r="B66" s="79" t="inlineStr">
        <is>
          <t>Portsmouth</t>
        </is>
      </c>
      <c r="C66" s="77" t="inlineStr">
        <is>
          <t>UK</t>
        </is>
      </c>
      <c r="D66" s="77" t="inlineStr">
        <is>
          <t>Additional UK sample</t>
        </is>
      </c>
      <c r="E66" s="77" t="inlineStr">
        <is>
          <t>UK – additional</t>
        </is>
      </c>
      <c r="F66" s="77" t="n">
        <v>2027</v>
      </c>
      <c r="G66" s="77" t="n">
        <v>662</v>
      </c>
      <c r="H66" s="77" t="inlineStr">
        <is>
          <t>Not started</t>
        </is>
      </c>
      <c r="I66" s="77">
        <f>COUNTIFS('EL scheme register'!$A$7:$A$7,$A66,'EL scheme register'!$C$7:$C$7,"University-wide",'EL scheme register'!$AJ$7:$AJ$7,"Yes")</f>
        <v/>
      </c>
      <c r="J66" s="77">
        <f>COUNTIFS('EL scheme register'!$A$7:$A$7,$A66,'EL scheme register'!$C$7:$C$7,"Cross-faculty",'EL scheme register'!$AJ$7:$AJ$7,"Yes")</f>
        <v/>
      </c>
      <c r="K66" s="77">
        <f>COUNTIFS('EL scheme register'!$A$7:$A$7,$A66,'EL scheme register'!$C$7:$C$7,"Faculty/school",'EL scheme register'!$AJ$7:$AJ$7,"Yes")</f>
        <v/>
      </c>
      <c r="L66" s="77">
        <f>COUNTIFS('EL scheme register'!$A$7:$A$7,$A66,'EL scheme register'!$C$7:$C$7,"Programme/course",'EL scheme register'!$AJ$7:$AJ$7,"Yes")</f>
        <v/>
      </c>
      <c r="M66" s="77">
        <f>COUNTIFS('EL scheme register'!$A$7:$A$7,$A66,'EL scheme register'!$C$7:$C$7,"Unclear",'EL scheme register'!$AJ$7:$AJ$7,"Yes")</f>
        <v/>
      </c>
      <c r="N66" s="77">
        <f>SUM(I66:M66)</f>
        <v/>
      </c>
      <c r="O66" s="77">
        <f>COUNTIFS('EL scheme register'!$A$7:$A$7,$A66,'EL scheme register'!$AF$7:$AF$7,"Potentially relevant; evidence incomplete",'EL scheme register'!$AI$7:$AI$7,"Yes")</f>
        <v/>
      </c>
      <c r="P66" s="77">
        <f>COUNTIFS('EL scheme register'!$A$7:$A$7,$A66,'EL scheme register'!$AF$7:$AF$7,"Outside strict definition")</f>
        <v/>
      </c>
      <c r="Q66" s="77">
        <f>COUNTIF('EL exclusions &amp; gaps'!$B$7:$B$5000,$A66)</f>
        <v/>
      </c>
      <c r="R66" s="77" t="inlineStr">
        <is>
          <t>Not reviewed</t>
        </is>
      </c>
      <c r="S66" s="77" t="inlineStr">
        <is>
          <t>Not reviewed</t>
        </is>
      </c>
      <c r="T66" s="77" t="inlineStr"/>
      <c r="U66" s="77" t="inlineStr"/>
      <c r="V66" s="77" t="inlineStr">
        <is>
          <t>Not reviewed</t>
        </is>
      </c>
      <c r="W66" s="77" t="inlineStr"/>
      <c r="X66" s="77" t="inlineStr"/>
    </row>
    <row r="67">
      <c r="A67" s="77" t="inlineStr">
        <is>
          <t>UK27</t>
        </is>
      </c>
      <c r="B67" s="79" t="inlineStr">
        <is>
          <t>Coventry</t>
        </is>
      </c>
      <c r="C67" s="77" t="inlineStr">
        <is>
          <t>UK</t>
        </is>
      </c>
      <c r="D67" s="77" t="inlineStr">
        <is>
          <t>Additional UK sample</t>
        </is>
      </c>
      <c r="E67" s="77" t="inlineStr">
        <is>
          <t>UK – additional</t>
        </is>
      </c>
      <c r="F67" s="77" t="n">
        <v>2027</v>
      </c>
      <c r="G67" s="77" t="n">
        <v>581</v>
      </c>
      <c r="H67" s="77" t="inlineStr">
        <is>
          <t>Not started</t>
        </is>
      </c>
      <c r="I67" s="77">
        <f>COUNTIFS('EL scheme register'!$A$7:$A$7,$A67,'EL scheme register'!$C$7:$C$7,"University-wide",'EL scheme register'!$AJ$7:$AJ$7,"Yes")</f>
        <v/>
      </c>
      <c r="J67" s="77">
        <f>COUNTIFS('EL scheme register'!$A$7:$A$7,$A67,'EL scheme register'!$C$7:$C$7,"Cross-faculty",'EL scheme register'!$AJ$7:$AJ$7,"Yes")</f>
        <v/>
      </c>
      <c r="K67" s="77">
        <f>COUNTIFS('EL scheme register'!$A$7:$A$7,$A67,'EL scheme register'!$C$7:$C$7,"Faculty/school",'EL scheme register'!$AJ$7:$AJ$7,"Yes")</f>
        <v/>
      </c>
      <c r="L67" s="77">
        <f>COUNTIFS('EL scheme register'!$A$7:$A$7,$A67,'EL scheme register'!$C$7:$C$7,"Programme/course",'EL scheme register'!$AJ$7:$AJ$7,"Yes")</f>
        <v/>
      </c>
      <c r="M67" s="77">
        <f>COUNTIFS('EL scheme register'!$A$7:$A$7,$A67,'EL scheme register'!$C$7:$C$7,"Unclear",'EL scheme register'!$AJ$7:$AJ$7,"Yes")</f>
        <v/>
      </c>
      <c r="N67" s="77">
        <f>SUM(I67:M67)</f>
        <v/>
      </c>
      <c r="O67" s="77">
        <f>COUNTIFS('EL scheme register'!$A$7:$A$7,$A67,'EL scheme register'!$AF$7:$AF$7,"Potentially relevant; evidence incomplete",'EL scheme register'!$AI$7:$AI$7,"Yes")</f>
        <v/>
      </c>
      <c r="P67" s="77">
        <f>COUNTIFS('EL scheme register'!$A$7:$A$7,$A67,'EL scheme register'!$AF$7:$AF$7,"Outside strict definition")</f>
        <v/>
      </c>
      <c r="Q67" s="77">
        <f>COUNTIF('EL exclusions &amp; gaps'!$B$7:$B$5000,$A67)</f>
        <v/>
      </c>
      <c r="R67" s="77" t="inlineStr">
        <is>
          <t>Not reviewed</t>
        </is>
      </c>
      <c r="S67" s="77" t="inlineStr">
        <is>
          <t>Not reviewed</t>
        </is>
      </c>
      <c r="T67" s="77" t="inlineStr"/>
      <c r="U67" s="77" t="inlineStr"/>
      <c r="V67" s="77" t="inlineStr">
        <is>
          <t>Not reviewed</t>
        </is>
      </c>
      <c r="W67" s="77" t="inlineStr"/>
      <c r="X67" s="77" t="inlineStr"/>
    </row>
    <row r="68">
      <c r="A68" s="77" t="inlineStr">
        <is>
          <t>UK28</t>
        </is>
      </c>
      <c r="B68" s="79" t="inlineStr">
        <is>
          <t>Nottingham Trent</t>
        </is>
      </c>
      <c r="C68" s="77" t="inlineStr">
        <is>
          <t>UK</t>
        </is>
      </c>
      <c r="D68" s="77" t="inlineStr">
        <is>
          <t>Additional UK sample</t>
        </is>
      </c>
      <c r="E68" s="77" t="inlineStr">
        <is>
          <t>UK – additional</t>
        </is>
      </c>
      <c r="F68" s="77" t="n">
        <v>2027</v>
      </c>
      <c r="G68" s="77" t="n">
        <v>639</v>
      </c>
      <c r="H68" s="77" t="inlineStr">
        <is>
          <t>Not started</t>
        </is>
      </c>
      <c r="I68" s="77">
        <f>COUNTIFS('EL scheme register'!$A$7:$A$7,$A68,'EL scheme register'!$C$7:$C$7,"University-wide",'EL scheme register'!$AJ$7:$AJ$7,"Yes")</f>
        <v/>
      </c>
      <c r="J68" s="77">
        <f>COUNTIFS('EL scheme register'!$A$7:$A$7,$A68,'EL scheme register'!$C$7:$C$7,"Cross-faculty",'EL scheme register'!$AJ$7:$AJ$7,"Yes")</f>
        <v/>
      </c>
      <c r="K68" s="77">
        <f>COUNTIFS('EL scheme register'!$A$7:$A$7,$A68,'EL scheme register'!$C$7:$C$7,"Faculty/school",'EL scheme register'!$AJ$7:$AJ$7,"Yes")</f>
        <v/>
      </c>
      <c r="L68" s="77">
        <f>COUNTIFS('EL scheme register'!$A$7:$A$7,$A68,'EL scheme register'!$C$7:$C$7,"Programme/course",'EL scheme register'!$AJ$7:$AJ$7,"Yes")</f>
        <v/>
      </c>
      <c r="M68" s="77">
        <f>COUNTIFS('EL scheme register'!$A$7:$A$7,$A68,'EL scheme register'!$C$7:$C$7,"Unclear",'EL scheme register'!$AJ$7:$AJ$7,"Yes")</f>
        <v/>
      </c>
      <c r="N68" s="77">
        <f>SUM(I68:M68)</f>
        <v/>
      </c>
      <c r="O68" s="77">
        <f>COUNTIFS('EL scheme register'!$A$7:$A$7,$A68,'EL scheme register'!$AF$7:$AF$7,"Potentially relevant; evidence incomplete",'EL scheme register'!$AI$7:$AI$7,"Yes")</f>
        <v/>
      </c>
      <c r="P68" s="77">
        <f>COUNTIFS('EL scheme register'!$A$7:$A$7,$A68,'EL scheme register'!$AF$7:$AF$7,"Outside strict definition")</f>
        <v/>
      </c>
      <c r="Q68" s="77">
        <f>COUNTIF('EL exclusions &amp; gaps'!$B$7:$B$5000,$A68)</f>
        <v/>
      </c>
      <c r="R68" s="77" t="inlineStr">
        <is>
          <t>Not reviewed</t>
        </is>
      </c>
      <c r="S68" s="77" t="inlineStr">
        <is>
          <t>Not reviewed</t>
        </is>
      </c>
      <c r="T68" s="77" t="inlineStr"/>
      <c r="U68" s="77" t="inlineStr"/>
      <c r="V68" s="77" t="inlineStr">
        <is>
          <t>Not reviewed</t>
        </is>
      </c>
      <c r="W68" s="77" t="inlineStr"/>
      <c r="X68" s="77" t="inlineStr"/>
    </row>
    <row r="69">
      <c r="A69" s="77" t="inlineStr">
        <is>
          <t>UK29</t>
        </is>
      </c>
      <c r="B69" s="79" t="inlineStr">
        <is>
          <t>Manchester Metropolitan</t>
        </is>
      </c>
      <c r="C69" s="77" t="inlineStr">
        <is>
          <t>UK</t>
        </is>
      </c>
      <c r="D69" s="77" t="inlineStr">
        <is>
          <t>Additional UK sample</t>
        </is>
      </c>
      <c r="E69" s="77" t="inlineStr">
        <is>
          <t>UK – additional</t>
        </is>
      </c>
      <c r="F69" s="77" t="n">
        <v>2027</v>
      </c>
      <c r="G69" s="77" t="n">
        <v>600</v>
      </c>
      <c r="H69" s="77" t="inlineStr">
        <is>
          <t>Not started</t>
        </is>
      </c>
      <c r="I69" s="77">
        <f>COUNTIFS('EL scheme register'!$A$7:$A$7,$A69,'EL scheme register'!$C$7:$C$7,"University-wide",'EL scheme register'!$AJ$7:$AJ$7,"Yes")</f>
        <v/>
      </c>
      <c r="J69" s="77">
        <f>COUNTIFS('EL scheme register'!$A$7:$A$7,$A69,'EL scheme register'!$C$7:$C$7,"Cross-faculty",'EL scheme register'!$AJ$7:$AJ$7,"Yes")</f>
        <v/>
      </c>
      <c r="K69" s="77">
        <f>COUNTIFS('EL scheme register'!$A$7:$A$7,$A69,'EL scheme register'!$C$7:$C$7,"Faculty/school",'EL scheme register'!$AJ$7:$AJ$7,"Yes")</f>
        <v/>
      </c>
      <c r="L69" s="77">
        <f>COUNTIFS('EL scheme register'!$A$7:$A$7,$A69,'EL scheme register'!$C$7:$C$7,"Programme/course",'EL scheme register'!$AJ$7:$AJ$7,"Yes")</f>
        <v/>
      </c>
      <c r="M69" s="77">
        <f>COUNTIFS('EL scheme register'!$A$7:$A$7,$A69,'EL scheme register'!$C$7:$C$7,"Unclear",'EL scheme register'!$AJ$7:$AJ$7,"Yes")</f>
        <v/>
      </c>
      <c r="N69" s="77">
        <f>SUM(I69:M69)</f>
        <v/>
      </c>
      <c r="O69" s="77">
        <f>COUNTIFS('EL scheme register'!$A$7:$A$7,$A69,'EL scheme register'!$AF$7:$AF$7,"Potentially relevant; evidence incomplete",'EL scheme register'!$AI$7:$AI$7,"Yes")</f>
        <v/>
      </c>
      <c r="P69" s="77">
        <f>COUNTIFS('EL scheme register'!$A$7:$A$7,$A69,'EL scheme register'!$AF$7:$AF$7,"Outside strict definition")</f>
        <v/>
      </c>
      <c r="Q69" s="77">
        <f>COUNTIF('EL exclusions &amp; gaps'!$B$7:$B$5000,$A69)</f>
        <v/>
      </c>
      <c r="R69" s="77" t="inlineStr">
        <is>
          <t>Not reviewed</t>
        </is>
      </c>
      <c r="S69" s="77" t="inlineStr">
        <is>
          <t>Not reviewed</t>
        </is>
      </c>
      <c r="T69" s="77" t="inlineStr"/>
      <c r="U69" s="77" t="inlineStr"/>
      <c r="V69" s="77" t="inlineStr">
        <is>
          <t>Not reviewed</t>
        </is>
      </c>
      <c r="W69" s="77" t="inlineStr"/>
      <c r="X69" s="77" t="inlineStr"/>
    </row>
    <row r="70">
      <c r="A70" s="77" t="inlineStr">
        <is>
          <t>UK30</t>
        </is>
      </c>
      <c r="B70" s="79" t="inlineStr">
        <is>
          <t>Plymouth</t>
        </is>
      </c>
      <c r="C70" s="77" t="inlineStr">
        <is>
          <t>UK</t>
        </is>
      </c>
      <c r="D70" s="77" t="inlineStr">
        <is>
          <t>Additional UK sample</t>
        </is>
      </c>
      <c r="E70" s="77" t="inlineStr">
        <is>
          <t>UK – additional</t>
        </is>
      </c>
      <c r="F70" s="77" t="n">
        <v>2027</v>
      </c>
      <c r="G70" s="77" t="n">
        <v>691</v>
      </c>
      <c r="H70" s="77" t="inlineStr">
        <is>
          <t>Not started</t>
        </is>
      </c>
      <c r="I70" s="77">
        <f>COUNTIFS('EL scheme register'!$A$7:$A$7,$A70,'EL scheme register'!$C$7:$C$7,"University-wide",'EL scheme register'!$AJ$7:$AJ$7,"Yes")</f>
        <v/>
      </c>
      <c r="J70" s="77">
        <f>COUNTIFS('EL scheme register'!$A$7:$A$7,$A70,'EL scheme register'!$C$7:$C$7,"Cross-faculty",'EL scheme register'!$AJ$7:$AJ$7,"Yes")</f>
        <v/>
      </c>
      <c r="K70" s="77">
        <f>COUNTIFS('EL scheme register'!$A$7:$A$7,$A70,'EL scheme register'!$C$7:$C$7,"Faculty/school",'EL scheme register'!$AJ$7:$AJ$7,"Yes")</f>
        <v/>
      </c>
      <c r="L70" s="77">
        <f>COUNTIFS('EL scheme register'!$A$7:$A$7,$A70,'EL scheme register'!$C$7:$C$7,"Programme/course",'EL scheme register'!$AJ$7:$AJ$7,"Yes")</f>
        <v/>
      </c>
      <c r="M70" s="77">
        <f>COUNTIFS('EL scheme register'!$A$7:$A$7,$A70,'EL scheme register'!$C$7:$C$7,"Unclear",'EL scheme register'!$AJ$7:$AJ$7,"Yes")</f>
        <v/>
      </c>
      <c r="N70" s="77">
        <f>SUM(I70:M70)</f>
        <v/>
      </c>
      <c r="O70" s="77">
        <f>COUNTIFS('EL scheme register'!$A$7:$A$7,$A70,'EL scheme register'!$AF$7:$AF$7,"Potentially relevant; evidence incomplete",'EL scheme register'!$AI$7:$AI$7,"Yes")</f>
        <v/>
      </c>
      <c r="P70" s="77">
        <f>COUNTIFS('EL scheme register'!$A$7:$A$7,$A70,'EL scheme register'!$AF$7:$AF$7,"Outside strict definition")</f>
        <v/>
      </c>
      <c r="Q70" s="77">
        <f>COUNTIF('EL exclusions &amp; gaps'!$B$7:$B$5000,$A70)</f>
        <v/>
      </c>
      <c r="R70" s="77" t="inlineStr">
        <is>
          <t>Not reviewed</t>
        </is>
      </c>
      <c r="S70" s="77" t="inlineStr">
        <is>
          <t>Not reviewed</t>
        </is>
      </c>
      <c r="T70" s="77" t="inlineStr"/>
      <c r="U70" s="77" t="inlineStr"/>
      <c r="V70" s="77" t="inlineStr">
        <is>
          <t>Not reviewed</t>
        </is>
      </c>
      <c r="W70" s="77" t="inlineStr"/>
      <c r="X70" s="77" t="inlineStr"/>
    </row>
    <row r="71">
      <c r="A71" s="77" t="inlineStr">
        <is>
          <t>US01</t>
        </is>
      </c>
      <c r="B71" s="79" t="inlineStr">
        <is>
          <t>Massachusetts Institute of Technology</t>
        </is>
      </c>
      <c r="C71" s="77" t="inlineStr">
        <is>
          <t>US</t>
        </is>
      </c>
      <c r="D71" s="77" t="inlineStr">
        <is>
          <t>US sample</t>
        </is>
      </c>
      <c r="E71" s="77" t="inlineStr">
        <is>
          <t>US</t>
        </is>
      </c>
      <c r="F71" s="77" t="n">
        <v>2027</v>
      </c>
      <c r="G71" s="77" t="n">
        <v>1</v>
      </c>
      <c r="H71" s="77" t="inlineStr">
        <is>
          <t>Not started</t>
        </is>
      </c>
      <c r="I71" s="77">
        <f>COUNTIFS('EL scheme register'!$A$7:$A$7,$A71,'EL scheme register'!$C$7:$C$7,"University-wide",'EL scheme register'!$AJ$7:$AJ$7,"Yes")</f>
        <v/>
      </c>
      <c r="J71" s="77">
        <f>COUNTIFS('EL scheme register'!$A$7:$A$7,$A71,'EL scheme register'!$C$7:$C$7,"Cross-faculty",'EL scheme register'!$AJ$7:$AJ$7,"Yes")</f>
        <v/>
      </c>
      <c r="K71" s="77">
        <f>COUNTIFS('EL scheme register'!$A$7:$A$7,$A71,'EL scheme register'!$C$7:$C$7,"Faculty/school",'EL scheme register'!$AJ$7:$AJ$7,"Yes")</f>
        <v/>
      </c>
      <c r="L71" s="77">
        <f>COUNTIFS('EL scheme register'!$A$7:$A$7,$A71,'EL scheme register'!$C$7:$C$7,"Programme/course",'EL scheme register'!$AJ$7:$AJ$7,"Yes")</f>
        <v/>
      </c>
      <c r="M71" s="77">
        <f>COUNTIFS('EL scheme register'!$A$7:$A$7,$A71,'EL scheme register'!$C$7:$C$7,"Unclear",'EL scheme register'!$AJ$7:$AJ$7,"Yes")</f>
        <v/>
      </c>
      <c r="N71" s="77">
        <f>SUM(I71:M71)</f>
        <v/>
      </c>
      <c r="O71" s="77">
        <f>COUNTIFS('EL scheme register'!$A$7:$A$7,$A71,'EL scheme register'!$AF$7:$AF$7,"Potentially relevant; evidence incomplete",'EL scheme register'!$AI$7:$AI$7,"Yes")</f>
        <v/>
      </c>
      <c r="P71" s="77">
        <f>COUNTIFS('EL scheme register'!$A$7:$A$7,$A71,'EL scheme register'!$AF$7:$AF$7,"Outside strict definition")</f>
        <v/>
      </c>
      <c r="Q71" s="77">
        <f>COUNTIF('EL exclusions &amp; gaps'!$B$7:$B$5000,$A71)</f>
        <v/>
      </c>
      <c r="R71" s="77" t="inlineStr">
        <is>
          <t>Not reviewed</t>
        </is>
      </c>
      <c r="S71" s="77" t="inlineStr">
        <is>
          <t>Not reviewed</t>
        </is>
      </c>
      <c r="T71" s="77" t="inlineStr"/>
      <c r="U71" s="77" t="inlineStr"/>
      <c r="V71" s="77" t="inlineStr">
        <is>
          <t>Not reviewed</t>
        </is>
      </c>
      <c r="W71" s="77" t="inlineStr"/>
      <c r="X71" s="77" t="inlineStr"/>
    </row>
    <row r="72">
      <c r="A72" s="77" t="inlineStr">
        <is>
          <t>US02</t>
        </is>
      </c>
      <c r="B72" s="79" t="inlineStr">
        <is>
          <t>Harvard</t>
        </is>
      </c>
      <c r="C72" s="77" t="inlineStr">
        <is>
          <t>US</t>
        </is>
      </c>
      <c r="D72" s="77" t="inlineStr">
        <is>
          <t>US sample</t>
        </is>
      </c>
      <c r="E72" s="77" t="inlineStr">
        <is>
          <t>US</t>
        </is>
      </c>
      <c r="F72" s="77" t="n">
        <v>2027</v>
      </c>
      <c r="G72" s="77" t="n">
        <v>5</v>
      </c>
      <c r="H72" s="77" t="inlineStr">
        <is>
          <t>Not started</t>
        </is>
      </c>
      <c r="I72" s="77">
        <f>COUNTIFS('EL scheme register'!$A$7:$A$7,$A72,'EL scheme register'!$C$7:$C$7,"University-wide",'EL scheme register'!$AJ$7:$AJ$7,"Yes")</f>
        <v/>
      </c>
      <c r="J72" s="77">
        <f>COUNTIFS('EL scheme register'!$A$7:$A$7,$A72,'EL scheme register'!$C$7:$C$7,"Cross-faculty",'EL scheme register'!$AJ$7:$AJ$7,"Yes")</f>
        <v/>
      </c>
      <c r="K72" s="77">
        <f>COUNTIFS('EL scheme register'!$A$7:$A$7,$A72,'EL scheme register'!$C$7:$C$7,"Faculty/school",'EL scheme register'!$AJ$7:$AJ$7,"Yes")</f>
        <v/>
      </c>
      <c r="L72" s="77">
        <f>COUNTIFS('EL scheme register'!$A$7:$A$7,$A72,'EL scheme register'!$C$7:$C$7,"Programme/course",'EL scheme register'!$AJ$7:$AJ$7,"Yes")</f>
        <v/>
      </c>
      <c r="M72" s="77">
        <f>COUNTIFS('EL scheme register'!$A$7:$A$7,$A72,'EL scheme register'!$C$7:$C$7,"Unclear",'EL scheme register'!$AJ$7:$AJ$7,"Yes")</f>
        <v/>
      </c>
      <c r="N72" s="77">
        <f>SUM(I72:M72)</f>
        <v/>
      </c>
      <c r="O72" s="77">
        <f>COUNTIFS('EL scheme register'!$A$7:$A$7,$A72,'EL scheme register'!$AF$7:$AF$7,"Potentially relevant; evidence incomplete",'EL scheme register'!$AI$7:$AI$7,"Yes")</f>
        <v/>
      </c>
      <c r="P72" s="77">
        <f>COUNTIFS('EL scheme register'!$A$7:$A$7,$A72,'EL scheme register'!$AF$7:$AF$7,"Outside strict definition")</f>
        <v/>
      </c>
      <c r="Q72" s="77">
        <f>COUNTIF('EL exclusions &amp; gaps'!$B$7:$B$5000,$A72)</f>
        <v/>
      </c>
      <c r="R72" s="77" t="inlineStr">
        <is>
          <t>Not reviewed</t>
        </is>
      </c>
      <c r="S72" s="77" t="inlineStr">
        <is>
          <t>Not reviewed</t>
        </is>
      </c>
      <c r="T72" s="77" t="inlineStr"/>
      <c r="U72" s="77" t="inlineStr"/>
      <c r="V72" s="77" t="inlineStr">
        <is>
          <t>Not reviewed</t>
        </is>
      </c>
      <c r="W72" s="77" t="inlineStr"/>
      <c r="X72" s="77" t="inlineStr"/>
    </row>
    <row r="73">
      <c r="A73" s="77" t="inlineStr">
        <is>
          <t>US03</t>
        </is>
      </c>
      <c r="B73" s="79" t="inlineStr">
        <is>
          <t>Stanford</t>
        </is>
      </c>
      <c r="C73" s="77" t="inlineStr">
        <is>
          <t>US</t>
        </is>
      </c>
      <c r="D73" s="77" t="inlineStr">
        <is>
          <t>US sample</t>
        </is>
      </c>
      <c r="E73" s="77" t="inlineStr">
        <is>
          <t>US</t>
        </is>
      </c>
      <c r="F73" s="77" t="n">
        <v>2027</v>
      </c>
      <c r="G73" s="77" t="n">
        <v>2</v>
      </c>
      <c r="H73" s="77" t="inlineStr">
        <is>
          <t>Not started</t>
        </is>
      </c>
      <c r="I73" s="77">
        <f>COUNTIFS('EL scheme register'!$A$7:$A$7,$A73,'EL scheme register'!$C$7:$C$7,"University-wide",'EL scheme register'!$AJ$7:$AJ$7,"Yes")</f>
        <v/>
      </c>
      <c r="J73" s="77">
        <f>COUNTIFS('EL scheme register'!$A$7:$A$7,$A73,'EL scheme register'!$C$7:$C$7,"Cross-faculty",'EL scheme register'!$AJ$7:$AJ$7,"Yes")</f>
        <v/>
      </c>
      <c r="K73" s="77">
        <f>COUNTIFS('EL scheme register'!$A$7:$A$7,$A73,'EL scheme register'!$C$7:$C$7,"Faculty/school",'EL scheme register'!$AJ$7:$AJ$7,"Yes")</f>
        <v/>
      </c>
      <c r="L73" s="77">
        <f>COUNTIFS('EL scheme register'!$A$7:$A$7,$A73,'EL scheme register'!$C$7:$C$7,"Programme/course",'EL scheme register'!$AJ$7:$AJ$7,"Yes")</f>
        <v/>
      </c>
      <c r="M73" s="77">
        <f>COUNTIFS('EL scheme register'!$A$7:$A$7,$A73,'EL scheme register'!$C$7:$C$7,"Unclear",'EL scheme register'!$AJ$7:$AJ$7,"Yes")</f>
        <v/>
      </c>
      <c r="N73" s="77">
        <f>SUM(I73:M73)</f>
        <v/>
      </c>
      <c r="O73" s="77">
        <f>COUNTIFS('EL scheme register'!$A$7:$A$7,$A73,'EL scheme register'!$AF$7:$AF$7,"Potentially relevant; evidence incomplete",'EL scheme register'!$AI$7:$AI$7,"Yes")</f>
        <v/>
      </c>
      <c r="P73" s="77">
        <f>COUNTIFS('EL scheme register'!$A$7:$A$7,$A73,'EL scheme register'!$AF$7:$AF$7,"Outside strict definition")</f>
        <v/>
      </c>
      <c r="Q73" s="77">
        <f>COUNTIF('EL exclusions &amp; gaps'!$B$7:$B$5000,$A73)</f>
        <v/>
      </c>
      <c r="R73" s="77" t="inlineStr">
        <is>
          <t>Not reviewed</t>
        </is>
      </c>
      <c r="S73" s="77" t="inlineStr">
        <is>
          <t>Not reviewed</t>
        </is>
      </c>
      <c r="T73" s="77" t="inlineStr"/>
      <c r="U73" s="77" t="inlineStr"/>
      <c r="V73" s="77" t="inlineStr">
        <is>
          <t>Not reviewed</t>
        </is>
      </c>
      <c r="W73" s="77" t="inlineStr"/>
      <c r="X73" s="77" t="inlineStr"/>
    </row>
    <row r="74">
      <c r="A74" s="77" t="inlineStr">
        <is>
          <t>US04</t>
        </is>
      </c>
      <c r="B74" s="79" t="inlineStr">
        <is>
          <t>California Institute of Technology</t>
        </is>
      </c>
      <c r="C74" s="77" t="inlineStr">
        <is>
          <t>US</t>
        </is>
      </c>
      <c r="D74" s="77" t="inlineStr">
        <is>
          <t>US sample</t>
        </is>
      </c>
      <c r="E74" s="77" t="inlineStr">
        <is>
          <t>US</t>
        </is>
      </c>
      <c r="F74" s="77" t="n">
        <v>2027</v>
      </c>
      <c r="G74" s="77" t="n">
        <v>7</v>
      </c>
      <c r="H74" s="77" t="inlineStr">
        <is>
          <t>Not started</t>
        </is>
      </c>
      <c r="I74" s="77">
        <f>COUNTIFS('EL scheme register'!$A$7:$A$7,$A74,'EL scheme register'!$C$7:$C$7,"University-wide",'EL scheme register'!$AJ$7:$AJ$7,"Yes")</f>
        <v/>
      </c>
      <c r="J74" s="77">
        <f>COUNTIFS('EL scheme register'!$A$7:$A$7,$A74,'EL scheme register'!$C$7:$C$7,"Cross-faculty",'EL scheme register'!$AJ$7:$AJ$7,"Yes")</f>
        <v/>
      </c>
      <c r="K74" s="77">
        <f>COUNTIFS('EL scheme register'!$A$7:$A$7,$A74,'EL scheme register'!$C$7:$C$7,"Faculty/school",'EL scheme register'!$AJ$7:$AJ$7,"Yes")</f>
        <v/>
      </c>
      <c r="L74" s="77">
        <f>COUNTIFS('EL scheme register'!$A$7:$A$7,$A74,'EL scheme register'!$C$7:$C$7,"Programme/course",'EL scheme register'!$AJ$7:$AJ$7,"Yes")</f>
        <v/>
      </c>
      <c r="M74" s="77">
        <f>COUNTIFS('EL scheme register'!$A$7:$A$7,$A74,'EL scheme register'!$C$7:$C$7,"Unclear",'EL scheme register'!$AJ$7:$AJ$7,"Yes")</f>
        <v/>
      </c>
      <c r="N74" s="77">
        <f>SUM(I74:M74)</f>
        <v/>
      </c>
      <c r="O74" s="77">
        <f>COUNTIFS('EL scheme register'!$A$7:$A$7,$A74,'EL scheme register'!$AF$7:$AF$7,"Potentially relevant; evidence incomplete",'EL scheme register'!$AI$7:$AI$7,"Yes")</f>
        <v/>
      </c>
      <c r="P74" s="77">
        <f>COUNTIFS('EL scheme register'!$A$7:$A$7,$A74,'EL scheme register'!$AF$7:$AF$7,"Outside strict definition")</f>
        <v/>
      </c>
      <c r="Q74" s="77">
        <f>COUNTIF('EL exclusions &amp; gaps'!$B$7:$B$5000,$A74)</f>
        <v/>
      </c>
      <c r="R74" s="77" t="inlineStr">
        <is>
          <t>Not reviewed</t>
        </is>
      </c>
      <c r="S74" s="77" t="inlineStr">
        <is>
          <t>Not reviewed</t>
        </is>
      </c>
      <c r="T74" s="77" t="inlineStr"/>
      <c r="U74" s="77" t="inlineStr"/>
      <c r="V74" s="77" t="inlineStr">
        <is>
          <t>Not reviewed</t>
        </is>
      </c>
      <c r="W74" s="77" t="inlineStr"/>
      <c r="X74" s="77" t="inlineStr"/>
    </row>
    <row r="75">
      <c r="A75" s="77" t="inlineStr">
        <is>
          <t>US05</t>
        </is>
      </c>
      <c r="B75" s="79" t="inlineStr">
        <is>
          <t>California Berkeley</t>
        </is>
      </c>
      <c r="C75" s="77" t="inlineStr">
        <is>
          <t>US</t>
        </is>
      </c>
      <c r="D75" s="77" t="inlineStr">
        <is>
          <t>US sample</t>
        </is>
      </c>
      <c r="E75" s="77" t="inlineStr">
        <is>
          <t>US</t>
        </is>
      </c>
      <c r="F75" s="77" t="n">
        <v>2027</v>
      </c>
      <c r="G75" s="77" t="n">
        <v>20</v>
      </c>
      <c r="H75" s="77" t="inlineStr">
        <is>
          <t>Not started</t>
        </is>
      </c>
      <c r="I75" s="77">
        <f>COUNTIFS('EL scheme register'!$A$7:$A$7,$A75,'EL scheme register'!$C$7:$C$7,"University-wide",'EL scheme register'!$AJ$7:$AJ$7,"Yes")</f>
        <v/>
      </c>
      <c r="J75" s="77">
        <f>COUNTIFS('EL scheme register'!$A$7:$A$7,$A75,'EL scheme register'!$C$7:$C$7,"Cross-faculty",'EL scheme register'!$AJ$7:$AJ$7,"Yes")</f>
        <v/>
      </c>
      <c r="K75" s="77">
        <f>COUNTIFS('EL scheme register'!$A$7:$A$7,$A75,'EL scheme register'!$C$7:$C$7,"Faculty/school",'EL scheme register'!$AJ$7:$AJ$7,"Yes")</f>
        <v/>
      </c>
      <c r="L75" s="77">
        <f>COUNTIFS('EL scheme register'!$A$7:$A$7,$A75,'EL scheme register'!$C$7:$C$7,"Programme/course",'EL scheme register'!$AJ$7:$AJ$7,"Yes")</f>
        <v/>
      </c>
      <c r="M75" s="77">
        <f>COUNTIFS('EL scheme register'!$A$7:$A$7,$A75,'EL scheme register'!$C$7:$C$7,"Unclear",'EL scheme register'!$AJ$7:$AJ$7,"Yes")</f>
        <v/>
      </c>
      <c r="N75" s="77">
        <f>SUM(I75:M75)</f>
        <v/>
      </c>
      <c r="O75" s="77">
        <f>COUNTIFS('EL scheme register'!$A$7:$A$7,$A75,'EL scheme register'!$AF$7:$AF$7,"Potentially relevant; evidence incomplete",'EL scheme register'!$AI$7:$AI$7,"Yes")</f>
        <v/>
      </c>
      <c r="P75" s="77">
        <f>COUNTIFS('EL scheme register'!$A$7:$A$7,$A75,'EL scheme register'!$AF$7:$AF$7,"Outside strict definition")</f>
        <v/>
      </c>
      <c r="Q75" s="77">
        <f>COUNTIF('EL exclusions &amp; gaps'!$B$7:$B$5000,$A75)</f>
        <v/>
      </c>
      <c r="R75" s="77" t="inlineStr">
        <is>
          <t>Not reviewed</t>
        </is>
      </c>
      <c r="S75" s="77" t="inlineStr">
        <is>
          <t>Not reviewed</t>
        </is>
      </c>
      <c r="T75" s="77" t="inlineStr"/>
      <c r="U75" s="77" t="inlineStr"/>
      <c r="V75" s="77" t="inlineStr">
        <is>
          <t>Not reviewed</t>
        </is>
      </c>
      <c r="W75" s="77" t="inlineStr"/>
      <c r="X75" s="77" t="inlineStr"/>
    </row>
    <row r="76">
      <c r="A76" s="77" t="inlineStr">
        <is>
          <t>US06</t>
        </is>
      </c>
      <c r="B76" s="79" t="inlineStr">
        <is>
          <t>Chicago</t>
        </is>
      </c>
      <c r="C76" s="77" t="inlineStr">
        <is>
          <t>US</t>
        </is>
      </c>
      <c r="D76" s="77" t="inlineStr">
        <is>
          <t>US sample</t>
        </is>
      </c>
      <c r="E76" s="77" t="inlineStr">
        <is>
          <t>US</t>
        </is>
      </c>
      <c r="F76" s="77" t="n">
        <v>2027</v>
      </c>
      <c r="G76" s="77" t="n">
        <v>24</v>
      </c>
      <c r="H76" s="77" t="inlineStr">
        <is>
          <t>Not started</t>
        </is>
      </c>
      <c r="I76" s="77">
        <f>COUNTIFS('EL scheme register'!$A$7:$A$7,$A76,'EL scheme register'!$C$7:$C$7,"University-wide",'EL scheme register'!$AJ$7:$AJ$7,"Yes")</f>
        <v/>
      </c>
      <c r="J76" s="77">
        <f>COUNTIFS('EL scheme register'!$A$7:$A$7,$A76,'EL scheme register'!$C$7:$C$7,"Cross-faculty",'EL scheme register'!$AJ$7:$AJ$7,"Yes")</f>
        <v/>
      </c>
      <c r="K76" s="77">
        <f>COUNTIFS('EL scheme register'!$A$7:$A$7,$A76,'EL scheme register'!$C$7:$C$7,"Faculty/school",'EL scheme register'!$AJ$7:$AJ$7,"Yes")</f>
        <v/>
      </c>
      <c r="L76" s="77">
        <f>COUNTIFS('EL scheme register'!$A$7:$A$7,$A76,'EL scheme register'!$C$7:$C$7,"Programme/course",'EL scheme register'!$AJ$7:$AJ$7,"Yes")</f>
        <v/>
      </c>
      <c r="M76" s="77">
        <f>COUNTIFS('EL scheme register'!$A$7:$A$7,$A76,'EL scheme register'!$C$7:$C$7,"Unclear",'EL scheme register'!$AJ$7:$AJ$7,"Yes")</f>
        <v/>
      </c>
      <c r="N76" s="77">
        <f>SUM(I76:M76)</f>
        <v/>
      </c>
      <c r="O76" s="77">
        <f>COUNTIFS('EL scheme register'!$A$7:$A$7,$A76,'EL scheme register'!$AF$7:$AF$7,"Potentially relevant; evidence incomplete",'EL scheme register'!$AI$7:$AI$7,"Yes")</f>
        <v/>
      </c>
      <c r="P76" s="77">
        <f>COUNTIFS('EL scheme register'!$A$7:$A$7,$A76,'EL scheme register'!$AF$7:$AF$7,"Outside strict definition")</f>
        <v/>
      </c>
      <c r="Q76" s="77">
        <f>COUNTIF('EL exclusions &amp; gaps'!$B$7:$B$5000,$A76)</f>
        <v/>
      </c>
      <c r="R76" s="77" t="inlineStr">
        <is>
          <t>Not reviewed</t>
        </is>
      </c>
      <c r="S76" s="77" t="inlineStr">
        <is>
          <t>Not reviewed</t>
        </is>
      </c>
      <c r="T76" s="77" t="inlineStr"/>
      <c r="U76" s="77" t="inlineStr"/>
      <c r="V76" s="77" t="inlineStr">
        <is>
          <t>Not reviewed</t>
        </is>
      </c>
      <c r="W76" s="77" t="inlineStr"/>
      <c r="X76" s="77" t="inlineStr"/>
    </row>
    <row r="77">
      <c r="A77" s="77" t="inlineStr">
        <is>
          <t>US07</t>
        </is>
      </c>
      <c r="B77" s="79" t="inlineStr">
        <is>
          <t>Pennsylvania</t>
        </is>
      </c>
      <c r="C77" s="77" t="inlineStr">
        <is>
          <t>US</t>
        </is>
      </c>
      <c r="D77" s="77" t="inlineStr">
        <is>
          <t>US sample</t>
        </is>
      </c>
      <c r="E77" s="77" t="inlineStr">
        <is>
          <t>US</t>
        </is>
      </c>
      <c r="F77" s="77" t="n">
        <v>2027</v>
      </c>
      <c r="G77" s="77" t="n">
        <v>15</v>
      </c>
      <c r="H77" s="77" t="inlineStr">
        <is>
          <t>Not started</t>
        </is>
      </c>
      <c r="I77" s="77">
        <f>COUNTIFS('EL scheme register'!$A$7:$A$7,$A77,'EL scheme register'!$C$7:$C$7,"University-wide",'EL scheme register'!$AJ$7:$AJ$7,"Yes")</f>
        <v/>
      </c>
      <c r="J77" s="77">
        <f>COUNTIFS('EL scheme register'!$A$7:$A$7,$A77,'EL scheme register'!$C$7:$C$7,"Cross-faculty",'EL scheme register'!$AJ$7:$AJ$7,"Yes")</f>
        <v/>
      </c>
      <c r="K77" s="77">
        <f>COUNTIFS('EL scheme register'!$A$7:$A$7,$A77,'EL scheme register'!$C$7:$C$7,"Faculty/school",'EL scheme register'!$AJ$7:$AJ$7,"Yes")</f>
        <v/>
      </c>
      <c r="L77" s="77">
        <f>COUNTIFS('EL scheme register'!$A$7:$A$7,$A77,'EL scheme register'!$C$7:$C$7,"Programme/course",'EL scheme register'!$AJ$7:$AJ$7,"Yes")</f>
        <v/>
      </c>
      <c r="M77" s="77">
        <f>COUNTIFS('EL scheme register'!$A$7:$A$7,$A77,'EL scheme register'!$C$7:$C$7,"Unclear",'EL scheme register'!$AJ$7:$AJ$7,"Yes")</f>
        <v/>
      </c>
      <c r="N77" s="77">
        <f>SUM(I77:M77)</f>
        <v/>
      </c>
      <c r="O77" s="77">
        <f>COUNTIFS('EL scheme register'!$A$7:$A$7,$A77,'EL scheme register'!$AF$7:$AF$7,"Potentially relevant; evidence incomplete",'EL scheme register'!$AI$7:$AI$7,"Yes")</f>
        <v/>
      </c>
      <c r="P77" s="77">
        <f>COUNTIFS('EL scheme register'!$A$7:$A$7,$A77,'EL scheme register'!$AF$7:$AF$7,"Outside strict definition")</f>
        <v/>
      </c>
      <c r="Q77" s="77">
        <f>COUNTIF('EL exclusions &amp; gaps'!$B$7:$B$5000,$A77)</f>
        <v/>
      </c>
      <c r="R77" s="77" t="inlineStr">
        <is>
          <t>Not reviewed</t>
        </is>
      </c>
      <c r="S77" s="77" t="inlineStr">
        <is>
          <t>Not reviewed</t>
        </is>
      </c>
      <c r="T77" s="77" t="inlineStr"/>
      <c r="U77" s="77" t="inlineStr"/>
      <c r="V77" s="77" t="inlineStr">
        <is>
          <t>Not reviewed</t>
        </is>
      </c>
      <c r="W77" s="77" t="inlineStr"/>
      <c r="X77" s="77" t="inlineStr"/>
    </row>
    <row r="78">
      <c r="A78" s="77" t="inlineStr">
        <is>
          <t>US08</t>
        </is>
      </c>
      <c r="B78" s="79" t="inlineStr">
        <is>
          <t>Cornell</t>
        </is>
      </c>
      <c r="C78" s="77" t="inlineStr">
        <is>
          <t>US</t>
        </is>
      </c>
      <c r="D78" s="77" t="inlineStr">
        <is>
          <t>US sample</t>
        </is>
      </c>
      <c r="E78" s="77" t="inlineStr">
        <is>
          <t>US</t>
        </is>
      </c>
      <c r="F78" s="77" t="n">
        <v>2027</v>
      </c>
      <c r="G78" s="77" t="n">
        <v>16</v>
      </c>
      <c r="H78" s="77" t="inlineStr">
        <is>
          <t>Not started</t>
        </is>
      </c>
      <c r="I78" s="77">
        <f>COUNTIFS('EL scheme register'!$A$7:$A$7,$A78,'EL scheme register'!$C$7:$C$7,"University-wide",'EL scheme register'!$AJ$7:$AJ$7,"Yes")</f>
        <v/>
      </c>
      <c r="J78" s="77">
        <f>COUNTIFS('EL scheme register'!$A$7:$A$7,$A78,'EL scheme register'!$C$7:$C$7,"Cross-faculty",'EL scheme register'!$AJ$7:$AJ$7,"Yes")</f>
        <v/>
      </c>
      <c r="K78" s="77">
        <f>COUNTIFS('EL scheme register'!$A$7:$A$7,$A78,'EL scheme register'!$C$7:$C$7,"Faculty/school",'EL scheme register'!$AJ$7:$AJ$7,"Yes")</f>
        <v/>
      </c>
      <c r="L78" s="77">
        <f>COUNTIFS('EL scheme register'!$A$7:$A$7,$A78,'EL scheme register'!$C$7:$C$7,"Programme/course",'EL scheme register'!$AJ$7:$AJ$7,"Yes")</f>
        <v/>
      </c>
      <c r="M78" s="77">
        <f>COUNTIFS('EL scheme register'!$A$7:$A$7,$A78,'EL scheme register'!$C$7:$C$7,"Unclear",'EL scheme register'!$AJ$7:$AJ$7,"Yes")</f>
        <v/>
      </c>
      <c r="N78" s="77">
        <f>SUM(I78:M78)</f>
        <v/>
      </c>
      <c r="O78" s="77">
        <f>COUNTIFS('EL scheme register'!$A$7:$A$7,$A78,'EL scheme register'!$AF$7:$AF$7,"Potentially relevant; evidence incomplete",'EL scheme register'!$AI$7:$AI$7,"Yes")</f>
        <v/>
      </c>
      <c r="P78" s="77">
        <f>COUNTIFS('EL scheme register'!$A$7:$A$7,$A78,'EL scheme register'!$AF$7:$AF$7,"Outside strict definition")</f>
        <v/>
      </c>
      <c r="Q78" s="77">
        <f>COUNTIF('EL exclusions &amp; gaps'!$B$7:$B$5000,$A78)</f>
        <v/>
      </c>
      <c r="R78" s="77" t="inlineStr">
        <is>
          <t>Not reviewed</t>
        </is>
      </c>
      <c r="S78" s="77" t="inlineStr">
        <is>
          <t>Not reviewed</t>
        </is>
      </c>
      <c r="T78" s="77" t="inlineStr"/>
      <c r="U78" s="77" t="inlineStr"/>
      <c r="V78" s="77" t="inlineStr">
        <is>
          <t>Not reviewed</t>
        </is>
      </c>
      <c r="W78" s="77" t="inlineStr"/>
      <c r="X78" s="77" t="inlineStr"/>
    </row>
    <row r="79">
      <c r="A79" s="77" t="inlineStr">
        <is>
          <t>US09</t>
        </is>
      </c>
      <c r="B79" s="79" t="inlineStr">
        <is>
          <t>Yale</t>
        </is>
      </c>
      <c r="C79" s="77" t="inlineStr">
        <is>
          <t>US</t>
        </is>
      </c>
      <c r="D79" s="77" t="inlineStr">
        <is>
          <t>US sample</t>
        </is>
      </c>
      <c r="E79" s="77" t="inlineStr">
        <is>
          <t>US</t>
        </is>
      </c>
      <c r="F79" s="77" t="n">
        <v>2027</v>
      </c>
      <c r="G79" s="77" t="n">
        <v>16</v>
      </c>
      <c r="H79" s="77" t="inlineStr">
        <is>
          <t>Not started</t>
        </is>
      </c>
      <c r="I79" s="77">
        <f>COUNTIFS('EL scheme register'!$A$7:$A$7,$A79,'EL scheme register'!$C$7:$C$7,"University-wide",'EL scheme register'!$AJ$7:$AJ$7,"Yes")</f>
        <v/>
      </c>
      <c r="J79" s="77">
        <f>COUNTIFS('EL scheme register'!$A$7:$A$7,$A79,'EL scheme register'!$C$7:$C$7,"Cross-faculty",'EL scheme register'!$AJ$7:$AJ$7,"Yes")</f>
        <v/>
      </c>
      <c r="K79" s="77">
        <f>COUNTIFS('EL scheme register'!$A$7:$A$7,$A79,'EL scheme register'!$C$7:$C$7,"Faculty/school",'EL scheme register'!$AJ$7:$AJ$7,"Yes")</f>
        <v/>
      </c>
      <c r="L79" s="77">
        <f>COUNTIFS('EL scheme register'!$A$7:$A$7,$A79,'EL scheme register'!$C$7:$C$7,"Programme/course",'EL scheme register'!$AJ$7:$AJ$7,"Yes")</f>
        <v/>
      </c>
      <c r="M79" s="77">
        <f>COUNTIFS('EL scheme register'!$A$7:$A$7,$A79,'EL scheme register'!$C$7:$C$7,"Unclear",'EL scheme register'!$AJ$7:$AJ$7,"Yes")</f>
        <v/>
      </c>
      <c r="N79" s="77">
        <f>SUM(I79:M79)</f>
        <v/>
      </c>
      <c r="O79" s="77">
        <f>COUNTIFS('EL scheme register'!$A$7:$A$7,$A79,'EL scheme register'!$AF$7:$AF$7,"Potentially relevant; evidence incomplete",'EL scheme register'!$AI$7:$AI$7,"Yes")</f>
        <v/>
      </c>
      <c r="P79" s="77">
        <f>COUNTIFS('EL scheme register'!$A$7:$A$7,$A79,'EL scheme register'!$AF$7:$AF$7,"Outside strict definition")</f>
        <v/>
      </c>
      <c r="Q79" s="77">
        <f>COUNTIF('EL exclusions &amp; gaps'!$B$7:$B$5000,$A79)</f>
        <v/>
      </c>
      <c r="R79" s="77" t="inlineStr">
        <is>
          <t>Not reviewed</t>
        </is>
      </c>
      <c r="S79" s="77" t="inlineStr">
        <is>
          <t>Not reviewed</t>
        </is>
      </c>
      <c r="T79" s="77" t="inlineStr"/>
      <c r="U79" s="77" t="inlineStr"/>
      <c r="V79" s="77" t="inlineStr">
        <is>
          <t>Not reviewed</t>
        </is>
      </c>
      <c r="W79" s="77" t="inlineStr"/>
      <c r="X79" s="77" t="inlineStr"/>
    </row>
    <row r="80">
      <c r="A80" s="77" t="inlineStr">
        <is>
          <t>US10</t>
        </is>
      </c>
      <c r="B80" s="79" t="inlineStr">
        <is>
          <t>Princeton</t>
        </is>
      </c>
      <c r="C80" s="77" t="inlineStr">
        <is>
          <t>US</t>
        </is>
      </c>
      <c r="D80" s="77" t="inlineStr">
        <is>
          <t>US sample</t>
        </is>
      </c>
      <c r="E80" s="77" t="inlineStr">
        <is>
          <t>US</t>
        </is>
      </c>
      <c r="F80" s="77" t="n">
        <v>2027</v>
      </c>
      <c r="G80" s="77" t="n">
        <v>27</v>
      </c>
      <c r="H80" s="77" t="inlineStr">
        <is>
          <t>Not started</t>
        </is>
      </c>
      <c r="I80" s="77">
        <f>COUNTIFS('EL scheme register'!$A$7:$A$7,$A80,'EL scheme register'!$C$7:$C$7,"University-wide",'EL scheme register'!$AJ$7:$AJ$7,"Yes")</f>
        <v/>
      </c>
      <c r="J80" s="77">
        <f>COUNTIFS('EL scheme register'!$A$7:$A$7,$A80,'EL scheme register'!$C$7:$C$7,"Cross-faculty",'EL scheme register'!$AJ$7:$AJ$7,"Yes")</f>
        <v/>
      </c>
      <c r="K80" s="77">
        <f>COUNTIFS('EL scheme register'!$A$7:$A$7,$A80,'EL scheme register'!$C$7:$C$7,"Faculty/school",'EL scheme register'!$AJ$7:$AJ$7,"Yes")</f>
        <v/>
      </c>
      <c r="L80" s="77">
        <f>COUNTIFS('EL scheme register'!$A$7:$A$7,$A80,'EL scheme register'!$C$7:$C$7,"Programme/course",'EL scheme register'!$AJ$7:$AJ$7,"Yes")</f>
        <v/>
      </c>
      <c r="M80" s="77">
        <f>COUNTIFS('EL scheme register'!$A$7:$A$7,$A80,'EL scheme register'!$C$7:$C$7,"Unclear",'EL scheme register'!$AJ$7:$AJ$7,"Yes")</f>
        <v/>
      </c>
      <c r="N80" s="77">
        <f>SUM(I80:M80)</f>
        <v/>
      </c>
      <c r="O80" s="77">
        <f>COUNTIFS('EL scheme register'!$A$7:$A$7,$A80,'EL scheme register'!$AF$7:$AF$7,"Potentially relevant; evidence incomplete",'EL scheme register'!$AI$7:$AI$7,"Yes")</f>
        <v/>
      </c>
      <c r="P80" s="77">
        <f>COUNTIFS('EL scheme register'!$A$7:$A$7,$A80,'EL scheme register'!$AF$7:$AF$7,"Outside strict definition")</f>
        <v/>
      </c>
      <c r="Q80" s="77">
        <f>COUNTIF('EL exclusions &amp; gaps'!$B$7:$B$5000,$A80)</f>
        <v/>
      </c>
      <c r="R80" s="77" t="inlineStr">
        <is>
          <t>Not reviewed</t>
        </is>
      </c>
      <c r="S80" s="77" t="inlineStr">
        <is>
          <t>Not reviewed</t>
        </is>
      </c>
      <c r="T80" s="77" t="inlineStr"/>
      <c r="U80" s="77" t="inlineStr"/>
      <c r="V80" s="77" t="inlineStr">
        <is>
          <t>Not reviewed</t>
        </is>
      </c>
      <c r="W80" s="77" t="inlineStr"/>
      <c r="X80" s="77" t="inlineStr"/>
    </row>
    <row r="81">
      <c r="A81" s="77" t="inlineStr">
        <is>
          <t>US11</t>
        </is>
      </c>
      <c r="B81" s="79" t="inlineStr">
        <is>
          <t>Columbia</t>
        </is>
      </c>
      <c r="C81" s="77" t="inlineStr">
        <is>
          <t>US</t>
        </is>
      </c>
      <c r="D81" s="77" t="inlineStr">
        <is>
          <t>US sample</t>
        </is>
      </c>
      <c r="E81" s="77" t="inlineStr">
        <is>
          <t>US</t>
        </is>
      </c>
      <c r="F81" s="77" t="n">
        <v>2027</v>
      </c>
      <c r="G81" s="77" t="n">
        <v>43</v>
      </c>
      <c r="H81" s="77" t="inlineStr">
        <is>
          <t>Not started</t>
        </is>
      </c>
      <c r="I81" s="77">
        <f>COUNTIFS('EL scheme register'!$A$7:$A$7,$A81,'EL scheme register'!$C$7:$C$7,"University-wide",'EL scheme register'!$AJ$7:$AJ$7,"Yes")</f>
        <v/>
      </c>
      <c r="J81" s="77">
        <f>COUNTIFS('EL scheme register'!$A$7:$A$7,$A81,'EL scheme register'!$C$7:$C$7,"Cross-faculty",'EL scheme register'!$AJ$7:$AJ$7,"Yes")</f>
        <v/>
      </c>
      <c r="K81" s="77">
        <f>COUNTIFS('EL scheme register'!$A$7:$A$7,$A81,'EL scheme register'!$C$7:$C$7,"Faculty/school",'EL scheme register'!$AJ$7:$AJ$7,"Yes")</f>
        <v/>
      </c>
      <c r="L81" s="77">
        <f>COUNTIFS('EL scheme register'!$A$7:$A$7,$A81,'EL scheme register'!$C$7:$C$7,"Programme/course",'EL scheme register'!$AJ$7:$AJ$7,"Yes")</f>
        <v/>
      </c>
      <c r="M81" s="77">
        <f>COUNTIFS('EL scheme register'!$A$7:$A$7,$A81,'EL scheme register'!$C$7:$C$7,"Unclear",'EL scheme register'!$AJ$7:$AJ$7,"Yes")</f>
        <v/>
      </c>
      <c r="N81" s="77">
        <f>SUM(I81:M81)</f>
        <v/>
      </c>
      <c r="O81" s="77">
        <f>COUNTIFS('EL scheme register'!$A$7:$A$7,$A81,'EL scheme register'!$AF$7:$AF$7,"Potentially relevant; evidence incomplete",'EL scheme register'!$AI$7:$AI$7,"Yes")</f>
        <v/>
      </c>
      <c r="P81" s="77">
        <f>COUNTIFS('EL scheme register'!$A$7:$A$7,$A81,'EL scheme register'!$AF$7:$AF$7,"Outside strict definition")</f>
        <v/>
      </c>
      <c r="Q81" s="77">
        <f>COUNTIF('EL exclusions &amp; gaps'!$B$7:$B$5000,$A81)</f>
        <v/>
      </c>
      <c r="R81" s="77" t="inlineStr">
        <is>
          <t>Not reviewed</t>
        </is>
      </c>
      <c r="S81" s="77" t="inlineStr">
        <is>
          <t>Not reviewed</t>
        </is>
      </c>
      <c r="T81" s="77" t="inlineStr"/>
      <c r="U81" s="77" t="inlineStr"/>
      <c r="V81" s="77" t="inlineStr">
        <is>
          <t>Not reviewed</t>
        </is>
      </c>
      <c r="W81" s="77" t="inlineStr"/>
      <c r="X81" s="77" t="inlineStr"/>
    </row>
    <row r="82">
      <c r="A82" s="77" t="inlineStr">
        <is>
          <t>US12</t>
        </is>
      </c>
      <c r="B82" s="79" t="inlineStr">
        <is>
          <t>Johns Hopkins</t>
        </is>
      </c>
      <c r="C82" s="77" t="inlineStr">
        <is>
          <t>US</t>
        </is>
      </c>
      <c r="D82" s="77" t="inlineStr">
        <is>
          <t>US sample</t>
        </is>
      </c>
      <c r="E82" s="77" t="inlineStr">
        <is>
          <t>US</t>
        </is>
      </c>
      <c r="F82" s="77" t="n">
        <v>2027</v>
      </c>
      <c r="G82" s="77" t="n">
        <v>20</v>
      </c>
      <c r="H82" s="77" t="inlineStr">
        <is>
          <t>Not started</t>
        </is>
      </c>
      <c r="I82" s="77">
        <f>COUNTIFS('EL scheme register'!$A$7:$A$7,$A82,'EL scheme register'!$C$7:$C$7,"University-wide",'EL scheme register'!$AJ$7:$AJ$7,"Yes")</f>
        <v/>
      </c>
      <c r="J82" s="77">
        <f>COUNTIFS('EL scheme register'!$A$7:$A$7,$A82,'EL scheme register'!$C$7:$C$7,"Cross-faculty",'EL scheme register'!$AJ$7:$AJ$7,"Yes")</f>
        <v/>
      </c>
      <c r="K82" s="77">
        <f>COUNTIFS('EL scheme register'!$A$7:$A$7,$A82,'EL scheme register'!$C$7:$C$7,"Faculty/school",'EL scheme register'!$AJ$7:$AJ$7,"Yes")</f>
        <v/>
      </c>
      <c r="L82" s="77">
        <f>COUNTIFS('EL scheme register'!$A$7:$A$7,$A82,'EL scheme register'!$C$7:$C$7,"Programme/course",'EL scheme register'!$AJ$7:$AJ$7,"Yes")</f>
        <v/>
      </c>
      <c r="M82" s="77">
        <f>COUNTIFS('EL scheme register'!$A$7:$A$7,$A82,'EL scheme register'!$C$7:$C$7,"Unclear",'EL scheme register'!$AJ$7:$AJ$7,"Yes")</f>
        <v/>
      </c>
      <c r="N82" s="77">
        <f>SUM(I82:M82)</f>
        <v/>
      </c>
      <c r="O82" s="77">
        <f>COUNTIFS('EL scheme register'!$A$7:$A$7,$A82,'EL scheme register'!$AF$7:$AF$7,"Potentially relevant; evidence incomplete",'EL scheme register'!$AI$7:$AI$7,"Yes")</f>
        <v/>
      </c>
      <c r="P82" s="77">
        <f>COUNTIFS('EL scheme register'!$A$7:$A$7,$A82,'EL scheme register'!$AF$7:$AF$7,"Outside strict definition")</f>
        <v/>
      </c>
      <c r="Q82" s="77">
        <f>COUNTIF('EL exclusions &amp; gaps'!$B$7:$B$5000,$A82)</f>
        <v/>
      </c>
      <c r="R82" s="77" t="inlineStr">
        <is>
          <t>Not reviewed</t>
        </is>
      </c>
      <c r="S82" s="77" t="inlineStr">
        <is>
          <t>Not reviewed</t>
        </is>
      </c>
      <c r="T82" s="77" t="inlineStr"/>
      <c r="U82" s="77" t="inlineStr"/>
      <c r="V82" s="77" t="inlineStr">
        <is>
          <t>Not reviewed</t>
        </is>
      </c>
      <c r="W82" s="77" t="inlineStr"/>
      <c r="X82" s="77" t="inlineStr"/>
    </row>
    <row r="83">
      <c r="A83" s="77" t="inlineStr">
        <is>
          <t>US13</t>
        </is>
      </c>
      <c r="B83" s="79" t="inlineStr">
        <is>
          <t>Michigan Ann Arbor</t>
        </is>
      </c>
      <c r="C83" s="77" t="inlineStr">
        <is>
          <t>US</t>
        </is>
      </c>
      <c r="D83" s="77" t="inlineStr">
        <is>
          <t>US sample</t>
        </is>
      </c>
      <c r="E83" s="77" t="inlineStr">
        <is>
          <t>US</t>
        </is>
      </c>
      <c r="F83" s="77" t="n">
        <v>2027</v>
      </c>
      <c r="G83" s="77" t="n">
        <v>51</v>
      </c>
      <c r="H83" s="77" t="inlineStr">
        <is>
          <t>Not started</t>
        </is>
      </c>
      <c r="I83" s="77">
        <f>COUNTIFS('EL scheme register'!$A$7:$A$7,$A83,'EL scheme register'!$C$7:$C$7,"University-wide",'EL scheme register'!$AJ$7:$AJ$7,"Yes")</f>
        <v/>
      </c>
      <c r="J83" s="77">
        <f>COUNTIFS('EL scheme register'!$A$7:$A$7,$A83,'EL scheme register'!$C$7:$C$7,"Cross-faculty",'EL scheme register'!$AJ$7:$AJ$7,"Yes")</f>
        <v/>
      </c>
      <c r="K83" s="77">
        <f>COUNTIFS('EL scheme register'!$A$7:$A$7,$A83,'EL scheme register'!$C$7:$C$7,"Faculty/school",'EL scheme register'!$AJ$7:$AJ$7,"Yes")</f>
        <v/>
      </c>
      <c r="L83" s="77">
        <f>COUNTIFS('EL scheme register'!$A$7:$A$7,$A83,'EL scheme register'!$C$7:$C$7,"Programme/course",'EL scheme register'!$AJ$7:$AJ$7,"Yes")</f>
        <v/>
      </c>
      <c r="M83" s="77">
        <f>COUNTIFS('EL scheme register'!$A$7:$A$7,$A83,'EL scheme register'!$C$7:$C$7,"Unclear",'EL scheme register'!$AJ$7:$AJ$7,"Yes")</f>
        <v/>
      </c>
      <c r="N83" s="77">
        <f>SUM(I83:M83)</f>
        <v/>
      </c>
      <c r="O83" s="77">
        <f>COUNTIFS('EL scheme register'!$A$7:$A$7,$A83,'EL scheme register'!$AF$7:$AF$7,"Potentially relevant; evidence incomplete",'EL scheme register'!$AI$7:$AI$7,"Yes")</f>
        <v/>
      </c>
      <c r="P83" s="77">
        <f>COUNTIFS('EL scheme register'!$A$7:$A$7,$A83,'EL scheme register'!$AF$7:$AF$7,"Outside strict definition")</f>
        <v/>
      </c>
      <c r="Q83" s="77">
        <f>COUNTIF('EL exclusions &amp; gaps'!$B$7:$B$5000,$A83)</f>
        <v/>
      </c>
      <c r="R83" s="77" t="inlineStr">
        <is>
          <t>Not reviewed</t>
        </is>
      </c>
      <c r="S83" s="77" t="inlineStr">
        <is>
          <t>Not reviewed</t>
        </is>
      </c>
      <c r="T83" s="77" t="inlineStr"/>
      <c r="U83" s="77" t="inlineStr"/>
      <c r="V83" s="77" t="inlineStr">
        <is>
          <t>Not reviewed</t>
        </is>
      </c>
      <c r="W83" s="77" t="inlineStr"/>
      <c r="X83" s="77" t="inlineStr"/>
    </row>
    <row r="84">
      <c r="A84" s="77" t="inlineStr">
        <is>
          <t>US14</t>
        </is>
      </c>
      <c r="B84" s="79" t="inlineStr">
        <is>
          <t>California Los Angeles</t>
        </is>
      </c>
      <c r="C84" s="77" t="inlineStr">
        <is>
          <t>US</t>
        </is>
      </c>
      <c r="D84" s="77" t="inlineStr">
        <is>
          <t>US sample</t>
        </is>
      </c>
      <c r="E84" s="77" t="inlineStr">
        <is>
          <t>US</t>
        </is>
      </c>
      <c r="F84" s="77" t="n">
        <v>2027</v>
      </c>
      <c r="G84" s="77" t="n">
        <v>49</v>
      </c>
      <c r="H84" s="77" t="inlineStr">
        <is>
          <t>Not started</t>
        </is>
      </c>
      <c r="I84" s="77">
        <f>COUNTIFS('EL scheme register'!$A$7:$A$7,$A84,'EL scheme register'!$C$7:$C$7,"University-wide",'EL scheme register'!$AJ$7:$AJ$7,"Yes")</f>
        <v/>
      </c>
      <c r="J84" s="77">
        <f>COUNTIFS('EL scheme register'!$A$7:$A$7,$A84,'EL scheme register'!$C$7:$C$7,"Cross-faculty",'EL scheme register'!$AJ$7:$AJ$7,"Yes")</f>
        <v/>
      </c>
      <c r="K84" s="77">
        <f>COUNTIFS('EL scheme register'!$A$7:$A$7,$A84,'EL scheme register'!$C$7:$C$7,"Faculty/school",'EL scheme register'!$AJ$7:$AJ$7,"Yes")</f>
        <v/>
      </c>
      <c r="L84" s="77">
        <f>COUNTIFS('EL scheme register'!$A$7:$A$7,$A84,'EL scheme register'!$C$7:$C$7,"Programme/course",'EL scheme register'!$AJ$7:$AJ$7,"Yes")</f>
        <v/>
      </c>
      <c r="M84" s="77">
        <f>COUNTIFS('EL scheme register'!$A$7:$A$7,$A84,'EL scheme register'!$C$7:$C$7,"Unclear",'EL scheme register'!$AJ$7:$AJ$7,"Yes")</f>
        <v/>
      </c>
      <c r="N84" s="77">
        <f>SUM(I84:M84)</f>
        <v/>
      </c>
      <c r="O84" s="77">
        <f>COUNTIFS('EL scheme register'!$A$7:$A$7,$A84,'EL scheme register'!$AF$7:$AF$7,"Potentially relevant; evidence incomplete",'EL scheme register'!$AI$7:$AI$7,"Yes")</f>
        <v/>
      </c>
      <c r="P84" s="77">
        <f>COUNTIFS('EL scheme register'!$A$7:$A$7,$A84,'EL scheme register'!$AF$7:$AF$7,"Outside strict definition")</f>
        <v/>
      </c>
      <c r="Q84" s="77">
        <f>COUNTIF('EL exclusions &amp; gaps'!$B$7:$B$5000,$A84)</f>
        <v/>
      </c>
      <c r="R84" s="77" t="inlineStr">
        <is>
          <t>Not reviewed</t>
        </is>
      </c>
      <c r="S84" s="77" t="inlineStr">
        <is>
          <t>Not reviewed</t>
        </is>
      </c>
      <c r="T84" s="77" t="inlineStr"/>
      <c r="U84" s="77" t="inlineStr"/>
      <c r="V84" s="77" t="inlineStr">
        <is>
          <t>Not reviewed</t>
        </is>
      </c>
      <c r="W84" s="77" t="inlineStr"/>
      <c r="X84" s="77" t="inlineStr"/>
    </row>
    <row r="85">
      <c r="A85" s="77" t="inlineStr">
        <is>
          <t>US15</t>
        </is>
      </c>
      <c r="B85" s="79" t="inlineStr">
        <is>
          <t>Duke</t>
        </is>
      </c>
      <c r="C85" s="77" t="inlineStr">
        <is>
          <t>US</t>
        </is>
      </c>
      <c r="D85" s="77" t="inlineStr">
        <is>
          <t>US sample</t>
        </is>
      </c>
      <c r="E85" s="77" t="inlineStr">
        <is>
          <t>US</t>
        </is>
      </c>
      <c r="F85" s="77" t="n">
        <v>2027</v>
      </c>
      <c r="G85" s="77" t="n">
        <v>70</v>
      </c>
      <c r="H85" s="77" t="inlineStr">
        <is>
          <t>Not started</t>
        </is>
      </c>
      <c r="I85" s="77">
        <f>COUNTIFS('EL scheme register'!$A$7:$A$7,$A85,'EL scheme register'!$C$7:$C$7,"University-wide",'EL scheme register'!$AJ$7:$AJ$7,"Yes")</f>
        <v/>
      </c>
      <c r="J85" s="77">
        <f>COUNTIFS('EL scheme register'!$A$7:$A$7,$A85,'EL scheme register'!$C$7:$C$7,"Cross-faculty",'EL scheme register'!$AJ$7:$AJ$7,"Yes")</f>
        <v/>
      </c>
      <c r="K85" s="77">
        <f>COUNTIFS('EL scheme register'!$A$7:$A$7,$A85,'EL scheme register'!$C$7:$C$7,"Faculty/school",'EL scheme register'!$AJ$7:$AJ$7,"Yes")</f>
        <v/>
      </c>
      <c r="L85" s="77">
        <f>COUNTIFS('EL scheme register'!$A$7:$A$7,$A85,'EL scheme register'!$C$7:$C$7,"Programme/course",'EL scheme register'!$AJ$7:$AJ$7,"Yes")</f>
        <v/>
      </c>
      <c r="M85" s="77">
        <f>COUNTIFS('EL scheme register'!$A$7:$A$7,$A85,'EL scheme register'!$C$7:$C$7,"Unclear",'EL scheme register'!$AJ$7:$AJ$7,"Yes")</f>
        <v/>
      </c>
      <c r="N85" s="77">
        <f>SUM(I85:M85)</f>
        <v/>
      </c>
      <c r="O85" s="77">
        <f>COUNTIFS('EL scheme register'!$A$7:$A$7,$A85,'EL scheme register'!$AF$7:$AF$7,"Potentially relevant; evidence incomplete",'EL scheme register'!$AI$7:$AI$7,"Yes")</f>
        <v/>
      </c>
      <c r="P85" s="77">
        <f>COUNTIFS('EL scheme register'!$A$7:$A$7,$A85,'EL scheme register'!$AF$7:$AF$7,"Outside strict definition")</f>
        <v/>
      </c>
      <c r="Q85" s="77">
        <f>COUNTIF('EL exclusions &amp; gaps'!$B$7:$B$5000,$A85)</f>
        <v/>
      </c>
      <c r="R85" s="77" t="inlineStr">
        <is>
          <t>Not reviewed</t>
        </is>
      </c>
      <c r="S85" s="77" t="inlineStr">
        <is>
          <t>Not reviewed</t>
        </is>
      </c>
      <c r="T85" s="77" t="inlineStr"/>
      <c r="U85" s="77" t="inlineStr"/>
      <c r="V85" s="77" t="inlineStr">
        <is>
          <t>Not reviewed</t>
        </is>
      </c>
      <c r="W85" s="77" t="inlineStr"/>
      <c r="X85" s="77" t="inlineStr"/>
    </row>
    <row r="86">
      <c r="A86" s="77" t="inlineStr">
        <is>
          <t>US16</t>
        </is>
      </c>
      <c r="B86" s="79" t="inlineStr">
        <is>
          <t>New York University</t>
        </is>
      </c>
      <c r="C86" s="77" t="inlineStr">
        <is>
          <t>US</t>
        </is>
      </c>
      <c r="D86" s="77" t="inlineStr">
        <is>
          <t>US sample</t>
        </is>
      </c>
      <c r="E86" s="77" t="inlineStr">
        <is>
          <t>US</t>
        </is>
      </c>
      <c r="F86" s="77" t="n">
        <v>2027</v>
      </c>
      <c r="G86" s="77" t="n">
        <v>58</v>
      </c>
      <c r="H86" s="77" t="inlineStr">
        <is>
          <t>Not started</t>
        </is>
      </c>
      <c r="I86" s="77">
        <f>COUNTIFS('EL scheme register'!$A$7:$A$7,$A86,'EL scheme register'!$C$7:$C$7,"University-wide",'EL scheme register'!$AJ$7:$AJ$7,"Yes")</f>
        <v/>
      </c>
      <c r="J86" s="77">
        <f>COUNTIFS('EL scheme register'!$A$7:$A$7,$A86,'EL scheme register'!$C$7:$C$7,"Cross-faculty",'EL scheme register'!$AJ$7:$AJ$7,"Yes")</f>
        <v/>
      </c>
      <c r="K86" s="77">
        <f>COUNTIFS('EL scheme register'!$A$7:$A$7,$A86,'EL scheme register'!$C$7:$C$7,"Faculty/school",'EL scheme register'!$AJ$7:$AJ$7,"Yes")</f>
        <v/>
      </c>
      <c r="L86" s="77">
        <f>COUNTIFS('EL scheme register'!$A$7:$A$7,$A86,'EL scheme register'!$C$7:$C$7,"Programme/course",'EL scheme register'!$AJ$7:$AJ$7,"Yes")</f>
        <v/>
      </c>
      <c r="M86" s="77">
        <f>COUNTIFS('EL scheme register'!$A$7:$A$7,$A86,'EL scheme register'!$C$7:$C$7,"Unclear",'EL scheme register'!$AJ$7:$AJ$7,"Yes")</f>
        <v/>
      </c>
      <c r="N86" s="77">
        <f>SUM(I86:M86)</f>
        <v/>
      </c>
      <c r="O86" s="77">
        <f>COUNTIFS('EL scheme register'!$A$7:$A$7,$A86,'EL scheme register'!$AF$7:$AF$7,"Potentially relevant; evidence incomplete",'EL scheme register'!$AI$7:$AI$7,"Yes")</f>
        <v/>
      </c>
      <c r="P86" s="77">
        <f>COUNTIFS('EL scheme register'!$A$7:$A$7,$A86,'EL scheme register'!$AF$7:$AF$7,"Outside strict definition")</f>
        <v/>
      </c>
      <c r="Q86" s="77">
        <f>COUNTIF('EL exclusions &amp; gaps'!$B$7:$B$5000,$A86)</f>
        <v/>
      </c>
      <c r="R86" s="77" t="inlineStr">
        <is>
          <t>Not reviewed</t>
        </is>
      </c>
      <c r="S86" s="77" t="inlineStr">
        <is>
          <t>Not reviewed</t>
        </is>
      </c>
      <c r="T86" s="77" t="inlineStr"/>
      <c r="U86" s="77" t="inlineStr"/>
      <c r="V86" s="77" t="inlineStr">
        <is>
          <t>Not reviewed</t>
        </is>
      </c>
      <c r="W86" s="77" t="inlineStr"/>
      <c r="X86" s="77" t="inlineStr"/>
    </row>
    <row r="87">
      <c r="A87" s="77" t="inlineStr">
        <is>
          <t>US17</t>
        </is>
      </c>
      <c r="B87" s="79" t="inlineStr">
        <is>
          <t>Northwestern</t>
        </is>
      </c>
      <c r="C87" s="77" t="inlineStr">
        <is>
          <t>US</t>
        </is>
      </c>
      <c r="D87" s="77" t="inlineStr">
        <is>
          <t>US sample</t>
        </is>
      </c>
      <c r="E87" s="77" t="inlineStr">
        <is>
          <t>US</t>
        </is>
      </c>
      <c r="F87" s="77" t="n">
        <v>2027</v>
      </c>
      <c r="G87" s="77" t="n">
        <v>45</v>
      </c>
      <c r="H87" s="77" t="inlineStr">
        <is>
          <t>Not started</t>
        </is>
      </c>
      <c r="I87" s="77">
        <f>COUNTIFS('EL scheme register'!$A$7:$A$7,$A87,'EL scheme register'!$C$7:$C$7,"University-wide",'EL scheme register'!$AJ$7:$AJ$7,"Yes")</f>
        <v/>
      </c>
      <c r="J87" s="77">
        <f>COUNTIFS('EL scheme register'!$A$7:$A$7,$A87,'EL scheme register'!$C$7:$C$7,"Cross-faculty",'EL scheme register'!$AJ$7:$AJ$7,"Yes")</f>
        <v/>
      </c>
      <c r="K87" s="77">
        <f>COUNTIFS('EL scheme register'!$A$7:$A$7,$A87,'EL scheme register'!$C$7:$C$7,"Faculty/school",'EL scheme register'!$AJ$7:$AJ$7,"Yes")</f>
        <v/>
      </c>
      <c r="L87" s="77">
        <f>COUNTIFS('EL scheme register'!$A$7:$A$7,$A87,'EL scheme register'!$C$7:$C$7,"Programme/course",'EL scheme register'!$AJ$7:$AJ$7,"Yes")</f>
        <v/>
      </c>
      <c r="M87" s="77">
        <f>COUNTIFS('EL scheme register'!$A$7:$A$7,$A87,'EL scheme register'!$C$7:$C$7,"Unclear",'EL scheme register'!$AJ$7:$AJ$7,"Yes")</f>
        <v/>
      </c>
      <c r="N87" s="77">
        <f>SUM(I87:M87)</f>
        <v/>
      </c>
      <c r="O87" s="77">
        <f>COUNTIFS('EL scheme register'!$A$7:$A$7,$A87,'EL scheme register'!$AF$7:$AF$7,"Potentially relevant; evidence incomplete",'EL scheme register'!$AI$7:$AI$7,"Yes")</f>
        <v/>
      </c>
      <c r="P87" s="77">
        <f>COUNTIFS('EL scheme register'!$A$7:$A$7,$A87,'EL scheme register'!$AF$7:$AF$7,"Outside strict definition")</f>
        <v/>
      </c>
      <c r="Q87" s="77">
        <f>COUNTIF('EL exclusions &amp; gaps'!$B$7:$B$5000,$A87)</f>
        <v/>
      </c>
      <c r="R87" s="77" t="inlineStr">
        <is>
          <t>Not reviewed</t>
        </is>
      </c>
      <c r="S87" s="77" t="inlineStr">
        <is>
          <t>Not reviewed</t>
        </is>
      </c>
      <c r="T87" s="77" t="inlineStr"/>
      <c r="U87" s="77" t="inlineStr"/>
      <c r="V87" s="77" t="inlineStr">
        <is>
          <t>Not reviewed</t>
        </is>
      </c>
      <c r="W87" s="77" t="inlineStr"/>
      <c r="X87" s="77" t="inlineStr"/>
    </row>
    <row r="88">
      <c r="A88" s="77" t="inlineStr">
        <is>
          <t>US18</t>
        </is>
      </c>
      <c r="B88" s="79" t="inlineStr">
        <is>
          <t>Carnegie Mellon</t>
        </is>
      </c>
      <c r="C88" s="77" t="inlineStr">
        <is>
          <t>US</t>
        </is>
      </c>
      <c r="D88" s="77" t="inlineStr">
        <is>
          <t>US sample</t>
        </is>
      </c>
      <c r="E88" s="77" t="inlineStr">
        <is>
          <t>US</t>
        </is>
      </c>
      <c r="F88" s="77" t="n">
        <v>2027</v>
      </c>
      <c r="G88" s="77" t="n">
        <v>55</v>
      </c>
      <c r="H88" s="77" t="inlineStr">
        <is>
          <t>Not started</t>
        </is>
      </c>
      <c r="I88" s="77">
        <f>COUNTIFS('EL scheme register'!$A$7:$A$7,$A88,'EL scheme register'!$C$7:$C$7,"University-wide",'EL scheme register'!$AJ$7:$AJ$7,"Yes")</f>
        <v/>
      </c>
      <c r="J88" s="77">
        <f>COUNTIFS('EL scheme register'!$A$7:$A$7,$A88,'EL scheme register'!$C$7:$C$7,"Cross-faculty",'EL scheme register'!$AJ$7:$AJ$7,"Yes")</f>
        <v/>
      </c>
      <c r="K88" s="77">
        <f>COUNTIFS('EL scheme register'!$A$7:$A$7,$A88,'EL scheme register'!$C$7:$C$7,"Faculty/school",'EL scheme register'!$AJ$7:$AJ$7,"Yes")</f>
        <v/>
      </c>
      <c r="L88" s="77">
        <f>COUNTIFS('EL scheme register'!$A$7:$A$7,$A88,'EL scheme register'!$C$7:$C$7,"Programme/course",'EL scheme register'!$AJ$7:$AJ$7,"Yes")</f>
        <v/>
      </c>
      <c r="M88" s="77">
        <f>COUNTIFS('EL scheme register'!$A$7:$A$7,$A88,'EL scheme register'!$C$7:$C$7,"Unclear",'EL scheme register'!$AJ$7:$AJ$7,"Yes")</f>
        <v/>
      </c>
      <c r="N88" s="77">
        <f>SUM(I88:M88)</f>
        <v/>
      </c>
      <c r="O88" s="77">
        <f>COUNTIFS('EL scheme register'!$A$7:$A$7,$A88,'EL scheme register'!$AF$7:$AF$7,"Potentially relevant; evidence incomplete",'EL scheme register'!$AI$7:$AI$7,"Yes")</f>
        <v/>
      </c>
      <c r="P88" s="77">
        <f>COUNTIFS('EL scheme register'!$A$7:$A$7,$A88,'EL scheme register'!$AF$7:$AF$7,"Outside strict definition")</f>
        <v/>
      </c>
      <c r="Q88" s="77">
        <f>COUNTIF('EL exclusions &amp; gaps'!$B$7:$B$5000,$A88)</f>
        <v/>
      </c>
      <c r="R88" s="77" t="inlineStr">
        <is>
          <t>Not reviewed</t>
        </is>
      </c>
      <c r="S88" s="77" t="inlineStr">
        <is>
          <t>Not reviewed</t>
        </is>
      </c>
      <c r="T88" s="77" t="inlineStr"/>
      <c r="U88" s="77" t="inlineStr"/>
      <c r="V88" s="77" t="inlineStr">
        <is>
          <t>Not reviewed</t>
        </is>
      </c>
      <c r="W88" s="77" t="inlineStr"/>
      <c r="X88" s="77" t="inlineStr"/>
    </row>
    <row r="89">
      <c r="A89" s="77" t="inlineStr">
        <is>
          <t>US19</t>
        </is>
      </c>
      <c r="B89" s="79" t="inlineStr">
        <is>
          <t>Southern California</t>
        </is>
      </c>
      <c r="C89" s="77" t="inlineStr">
        <is>
          <t>US</t>
        </is>
      </c>
      <c r="D89" s="77" t="inlineStr">
        <is>
          <t>US sample</t>
        </is>
      </c>
      <c r="E89" s="77" t="inlineStr">
        <is>
          <t>US</t>
        </is>
      </c>
      <c r="F89" s="77" t="n">
        <v>2027</v>
      </c>
      <c r="G89" s="77" t="n">
        <v>153</v>
      </c>
      <c r="H89" s="77" t="inlineStr">
        <is>
          <t>Not started</t>
        </is>
      </c>
      <c r="I89" s="77">
        <f>COUNTIFS('EL scheme register'!$A$7:$A$7,$A89,'EL scheme register'!$C$7:$C$7,"University-wide",'EL scheme register'!$AJ$7:$AJ$7,"Yes")</f>
        <v/>
      </c>
      <c r="J89" s="77">
        <f>COUNTIFS('EL scheme register'!$A$7:$A$7,$A89,'EL scheme register'!$C$7:$C$7,"Cross-faculty",'EL scheme register'!$AJ$7:$AJ$7,"Yes")</f>
        <v/>
      </c>
      <c r="K89" s="77">
        <f>COUNTIFS('EL scheme register'!$A$7:$A$7,$A89,'EL scheme register'!$C$7:$C$7,"Faculty/school",'EL scheme register'!$AJ$7:$AJ$7,"Yes")</f>
        <v/>
      </c>
      <c r="L89" s="77">
        <f>COUNTIFS('EL scheme register'!$A$7:$A$7,$A89,'EL scheme register'!$C$7:$C$7,"Programme/course",'EL scheme register'!$AJ$7:$AJ$7,"Yes")</f>
        <v/>
      </c>
      <c r="M89" s="77">
        <f>COUNTIFS('EL scheme register'!$A$7:$A$7,$A89,'EL scheme register'!$C$7:$C$7,"Unclear",'EL scheme register'!$AJ$7:$AJ$7,"Yes")</f>
        <v/>
      </c>
      <c r="N89" s="77">
        <f>SUM(I89:M89)</f>
        <v/>
      </c>
      <c r="O89" s="77">
        <f>COUNTIFS('EL scheme register'!$A$7:$A$7,$A89,'EL scheme register'!$AF$7:$AF$7,"Potentially relevant; evidence incomplete",'EL scheme register'!$AI$7:$AI$7,"Yes")</f>
        <v/>
      </c>
      <c r="P89" s="77">
        <f>COUNTIFS('EL scheme register'!$A$7:$A$7,$A89,'EL scheme register'!$AF$7:$AF$7,"Outside strict definition")</f>
        <v/>
      </c>
      <c r="Q89" s="77">
        <f>COUNTIF('EL exclusions &amp; gaps'!$B$7:$B$5000,$A89)</f>
        <v/>
      </c>
      <c r="R89" s="77" t="inlineStr">
        <is>
          <t>Not reviewed</t>
        </is>
      </c>
      <c r="S89" s="77" t="inlineStr">
        <is>
          <t>Not reviewed</t>
        </is>
      </c>
      <c r="T89" s="77" t="inlineStr"/>
      <c r="U89" s="77" t="inlineStr"/>
      <c r="V89" s="77" t="inlineStr">
        <is>
          <t>Not reviewed</t>
        </is>
      </c>
      <c r="W89" s="77" t="inlineStr"/>
      <c r="X89" s="77" t="inlineStr"/>
    </row>
    <row r="90">
      <c r="A90" s="77" t="inlineStr">
        <is>
          <t>US20</t>
        </is>
      </c>
      <c r="B90" s="79" t="inlineStr">
        <is>
          <t>Texas Austin</t>
        </is>
      </c>
      <c r="C90" s="77" t="inlineStr">
        <is>
          <t>US</t>
        </is>
      </c>
      <c r="D90" s="77" t="inlineStr">
        <is>
          <t>US sample</t>
        </is>
      </c>
      <c r="E90" s="77" t="inlineStr">
        <is>
          <t>US</t>
        </is>
      </c>
      <c r="F90" s="77" t="n">
        <v>2027</v>
      </c>
      <c r="G90" s="77" t="n">
        <v>72</v>
      </c>
      <c r="H90" s="77" t="inlineStr">
        <is>
          <t>Not started</t>
        </is>
      </c>
      <c r="I90" s="77">
        <f>COUNTIFS('EL scheme register'!$A$7:$A$7,$A90,'EL scheme register'!$C$7:$C$7,"University-wide",'EL scheme register'!$AJ$7:$AJ$7,"Yes")</f>
        <v/>
      </c>
      <c r="J90" s="77">
        <f>COUNTIFS('EL scheme register'!$A$7:$A$7,$A90,'EL scheme register'!$C$7:$C$7,"Cross-faculty",'EL scheme register'!$AJ$7:$AJ$7,"Yes")</f>
        <v/>
      </c>
      <c r="K90" s="77">
        <f>COUNTIFS('EL scheme register'!$A$7:$A$7,$A90,'EL scheme register'!$C$7:$C$7,"Faculty/school",'EL scheme register'!$AJ$7:$AJ$7,"Yes")</f>
        <v/>
      </c>
      <c r="L90" s="77">
        <f>COUNTIFS('EL scheme register'!$A$7:$A$7,$A90,'EL scheme register'!$C$7:$C$7,"Programme/course",'EL scheme register'!$AJ$7:$AJ$7,"Yes")</f>
        <v/>
      </c>
      <c r="M90" s="77">
        <f>COUNTIFS('EL scheme register'!$A$7:$A$7,$A90,'EL scheme register'!$C$7:$C$7,"Unclear",'EL scheme register'!$AJ$7:$AJ$7,"Yes")</f>
        <v/>
      </c>
      <c r="N90" s="77">
        <f>SUM(I90:M90)</f>
        <v/>
      </c>
      <c r="O90" s="77">
        <f>COUNTIFS('EL scheme register'!$A$7:$A$7,$A90,'EL scheme register'!$AF$7:$AF$7,"Potentially relevant; evidence incomplete",'EL scheme register'!$AI$7:$AI$7,"Yes")</f>
        <v/>
      </c>
      <c r="P90" s="77">
        <f>COUNTIFS('EL scheme register'!$A$7:$A$7,$A90,'EL scheme register'!$AF$7:$AF$7,"Outside strict definition")</f>
        <v/>
      </c>
      <c r="Q90" s="77">
        <f>COUNTIF('EL exclusions &amp; gaps'!$B$7:$B$5000,$A90)</f>
        <v/>
      </c>
      <c r="R90" s="77" t="inlineStr">
        <is>
          <t>Not reviewed</t>
        </is>
      </c>
      <c r="S90" s="77" t="inlineStr">
        <is>
          <t>Not reviewed</t>
        </is>
      </c>
      <c r="T90" s="77" t="inlineStr"/>
      <c r="U90" s="77" t="inlineStr"/>
      <c r="V90" s="77" t="inlineStr">
        <is>
          <t>Not reviewed</t>
        </is>
      </c>
      <c r="W90" s="77" t="inlineStr"/>
      <c r="X90" s="77" t="inlineStr"/>
    </row>
    <row r="91">
      <c r="A91" s="77" t="inlineStr">
        <is>
          <t>US21</t>
        </is>
      </c>
      <c r="B91" s="79" t="inlineStr">
        <is>
          <t>California San Diego</t>
        </is>
      </c>
      <c r="C91" s="77" t="inlineStr">
        <is>
          <t>US</t>
        </is>
      </c>
      <c r="D91" s="77" t="inlineStr">
        <is>
          <t>US sample</t>
        </is>
      </c>
      <c r="E91" s="77" t="inlineStr">
        <is>
          <t>US</t>
        </is>
      </c>
      <c r="F91" s="77" t="n">
        <v>2027</v>
      </c>
      <c r="G91" s="77" t="n">
        <v>81</v>
      </c>
      <c r="H91" s="77" t="inlineStr">
        <is>
          <t>Not started</t>
        </is>
      </c>
      <c r="I91" s="77">
        <f>COUNTIFS('EL scheme register'!$A$7:$A$7,$A91,'EL scheme register'!$C$7:$C$7,"University-wide",'EL scheme register'!$AJ$7:$AJ$7,"Yes")</f>
        <v/>
      </c>
      <c r="J91" s="77">
        <f>COUNTIFS('EL scheme register'!$A$7:$A$7,$A91,'EL scheme register'!$C$7:$C$7,"Cross-faculty",'EL scheme register'!$AJ$7:$AJ$7,"Yes")</f>
        <v/>
      </c>
      <c r="K91" s="77">
        <f>COUNTIFS('EL scheme register'!$A$7:$A$7,$A91,'EL scheme register'!$C$7:$C$7,"Faculty/school",'EL scheme register'!$AJ$7:$AJ$7,"Yes")</f>
        <v/>
      </c>
      <c r="L91" s="77">
        <f>COUNTIFS('EL scheme register'!$A$7:$A$7,$A91,'EL scheme register'!$C$7:$C$7,"Programme/course",'EL scheme register'!$AJ$7:$AJ$7,"Yes")</f>
        <v/>
      </c>
      <c r="M91" s="77">
        <f>COUNTIFS('EL scheme register'!$A$7:$A$7,$A91,'EL scheme register'!$C$7:$C$7,"Unclear",'EL scheme register'!$AJ$7:$AJ$7,"Yes")</f>
        <v/>
      </c>
      <c r="N91" s="77">
        <f>SUM(I91:M91)</f>
        <v/>
      </c>
      <c r="O91" s="77">
        <f>COUNTIFS('EL scheme register'!$A$7:$A$7,$A91,'EL scheme register'!$AF$7:$AF$7,"Potentially relevant; evidence incomplete",'EL scheme register'!$AI$7:$AI$7,"Yes")</f>
        <v/>
      </c>
      <c r="P91" s="77">
        <f>COUNTIFS('EL scheme register'!$A$7:$A$7,$A91,'EL scheme register'!$AF$7:$AF$7,"Outside strict definition")</f>
        <v/>
      </c>
      <c r="Q91" s="77">
        <f>COUNTIF('EL exclusions &amp; gaps'!$B$7:$B$5000,$A91)</f>
        <v/>
      </c>
      <c r="R91" s="77" t="inlineStr">
        <is>
          <t>Not reviewed</t>
        </is>
      </c>
      <c r="S91" s="77" t="inlineStr">
        <is>
          <t>Not reviewed</t>
        </is>
      </c>
      <c r="T91" s="77" t="inlineStr"/>
      <c r="U91" s="77" t="inlineStr"/>
      <c r="V91" s="77" t="inlineStr">
        <is>
          <t>Not reviewed</t>
        </is>
      </c>
      <c r="W91" s="77" t="inlineStr"/>
      <c r="X91" s="77" t="inlineStr"/>
    </row>
    <row r="92">
      <c r="A92" s="77" t="inlineStr">
        <is>
          <t>US22</t>
        </is>
      </c>
      <c r="B92" s="79" t="inlineStr">
        <is>
          <t>Brown</t>
        </is>
      </c>
      <c r="C92" s="77" t="inlineStr">
        <is>
          <t>US</t>
        </is>
      </c>
      <c r="D92" s="77" t="inlineStr">
        <is>
          <t>US sample</t>
        </is>
      </c>
      <c r="E92" s="77" t="inlineStr">
        <is>
          <t>US</t>
        </is>
      </c>
      <c r="F92" s="77" t="n">
        <v>2027</v>
      </c>
      <c r="G92" s="77" t="n">
        <v>66</v>
      </c>
      <c r="H92" s="77" t="inlineStr">
        <is>
          <t>Not started</t>
        </is>
      </c>
      <c r="I92" s="77">
        <f>COUNTIFS('EL scheme register'!$A$7:$A$7,$A92,'EL scheme register'!$C$7:$C$7,"University-wide",'EL scheme register'!$AJ$7:$AJ$7,"Yes")</f>
        <v/>
      </c>
      <c r="J92" s="77">
        <f>COUNTIFS('EL scheme register'!$A$7:$A$7,$A92,'EL scheme register'!$C$7:$C$7,"Cross-faculty",'EL scheme register'!$AJ$7:$AJ$7,"Yes")</f>
        <v/>
      </c>
      <c r="K92" s="77">
        <f>COUNTIFS('EL scheme register'!$A$7:$A$7,$A92,'EL scheme register'!$C$7:$C$7,"Faculty/school",'EL scheme register'!$AJ$7:$AJ$7,"Yes")</f>
        <v/>
      </c>
      <c r="L92" s="77">
        <f>COUNTIFS('EL scheme register'!$A$7:$A$7,$A92,'EL scheme register'!$C$7:$C$7,"Programme/course",'EL scheme register'!$AJ$7:$AJ$7,"Yes")</f>
        <v/>
      </c>
      <c r="M92" s="77">
        <f>COUNTIFS('EL scheme register'!$A$7:$A$7,$A92,'EL scheme register'!$C$7:$C$7,"Unclear",'EL scheme register'!$AJ$7:$AJ$7,"Yes")</f>
        <v/>
      </c>
      <c r="N92" s="77">
        <f>SUM(I92:M92)</f>
        <v/>
      </c>
      <c r="O92" s="77">
        <f>COUNTIFS('EL scheme register'!$A$7:$A$7,$A92,'EL scheme register'!$AF$7:$AF$7,"Potentially relevant; evidence incomplete",'EL scheme register'!$AI$7:$AI$7,"Yes")</f>
        <v/>
      </c>
      <c r="P92" s="77">
        <f>COUNTIFS('EL scheme register'!$A$7:$A$7,$A92,'EL scheme register'!$AF$7:$AF$7,"Outside strict definition")</f>
        <v/>
      </c>
      <c r="Q92" s="77">
        <f>COUNTIF('EL exclusions &amp; gaps'!$B$7:$B$5000,$A92)</f>
        <v/>
      </c>
      <c r="R92" s="77" t="inlineStr">
        <is>
          <t>Not reviewed</t>
        </is>
      </c>
      <c r="S92" s="77" t="inlineStr">
        <is>
          <t>Not reviewed</t>
        </is>
      </c>
      <c r="T92" s="77" t="inlineStr"/>
      <c r="U92" s="77" t="inlineStr"/>
      <c r="V92" s="77" t="inlineStr">
        <is>
          <t>Not reviewed</t>
        </is>
      </c>
      <c r="W92" s="77" t="inlineStr"/>
      <c r="X92" s="77" t="inlineStr"/>
    </row>
    <row r="93">
      <c r="A93" s="77" t="inlineStr">
        <is>
          <t>US23</t>
        </is>
      </c>
      <c r="B93" s="79" t="inlineStr">
        <is>
          <t>Illinois Urbana-Champaign</t>
        </is>
      </c>
      <c r="C93" s="77" t="inlineStr">
        <is>
          <t>US</t>
        </is>
      </c>
      <c r="D93" s="77" t="inlineStr">
        <is>
          <t>US sample</t>
        </is>
      </c>
      <c r="E93" s="77" t="inlineStr">
        <is>
          <t>US</t>
        </is>
      </c>
      <c r="F93" s="77" t="n">
        <v>2027</v>
      </c>
      <c r="G93" s="77" t="n">
        <v>74</v>
      </c>
      <c r="H93" s="77" t="inlineStr">
        <is>
          <t>Not started</t>
        </is>
      </c>
      <c r="I93" s="77">
        <f>COUNTIFS('EL scheme register'!$A$7:$A$7,$A93,'EL scheme register'!$C$7:$C$7,"University-wide",'EL scheme register'!$AJ$7:$AJ$7,"Yes")</f>
        <v/>
      </c>
      <c r="J93" s="77">
        <f>COUNTIFS('EL scheme register'!$A$7:$A$7,$A93,'EL scheme register'!$C$7:$C$7,"Cross-faculty",'EL scheme register'!$AJ$7:$AJ$7,"Yes")</f>
        <v/>
      </c>
      <c r="K93" s="77">
        <f>COUNTIFS('EL scheme register'!$A$7:$A$7,$A93,'EL scheme register'!$C$7:$C$7,"Faculty/school",'EL scheme register'!$AJ$7:$AJ$7,"Yes")</f>
        <v/>
      </c>
      <c r="L93" s="77">
        <f>COUNTIFS('EL scheme register'!$A$7:$A$7,$A93,'EL scheme register'!$C$7:$C$7,"Programme/course",'EL scheme register'!$AJ$7:$AJ$7,"Yes")</f>
        <v/>
      </c>
      <c r="M93" s="77">
        <f>COUNTIFS('EL scheme register'!$A$7:$A$7,$A93,'EL scheme register'!$C$7:$C$7,"Unclear",'EL scheme register'!$AJ$7:$AJ$7,"Yes")</f>
        <v/>
      </c>
      <c r="N93" s="77">
        <f>SUM(I93:M93)</f>
        <v/>
      </c>
      <c r="O93" s="77">
        <f>COUNTIFS('EL scheme register'!$A$7:$A$7,$A93,'EL scheme register'!$AF$7:$AF$7,"Potentially relevant; evidence incomplete",'EL scheme register'!$AI$7:$AI$7,"Yes")</f>
        <v/>
      </c>
      <c r="P93" s="77">
        <f>COUNTIFS('EL scheme register'!$A$7:$A$7,$A93,'EL scheme register'!$AF$7:$AF$7,"Outside strict definition")</f>
        <v/>
      </c>
      <c r="Q93" s="77">
        <f>COUNTIF('EL exclusions &amp; gaps'!$B$7:$B$5000,$A93)</f>
        <v/>
      </c>
      <c r="R93" s="77" t="inlineStr">
        <is>
          <t>Not reviewed</t>
        </is>
      </c>
      <c r="S93" s="77" t="inlineStr">
        <is>
          <t>Not reviewed</t>
        </is>
      </c>
      <c r="T93" s="77" t="inlineStr"/>
      <c r="U93" s="77" t="inlineStr"/>
      <c r="V93" s="77" t="inlineStr">
        <is>
          <t>Not reviewed</t>
        </is>
      </c>
      <c r="W93" s="77" t="inlineStr"/>
      <c r="X93" s="77" t="inlineStr"/>
    </row>
    <row r="94">
      <c r="A94" s="77" t="inlineStr">
        <is>
          <t>US24</t>
        </is>
      </c>
      <c r="B94" s="79" t="inlineStr">
        <is>
          <t>Georgia Institute of Technology</t>
        </is>
      </c>
      <c r="C94" s="77" t="inlineStr">
        <is>
          <t>US</t>
        </is>
      </c>
      <c r="D94" s="77" t="inlineStr">
        <is>
          <t>US sample</t>
        </is>
      </c>
      <c r="E94" s="77" t="inlineStr">
        <is>
          <t>US</t>
        </is>
      </c>
      <c r="F94" s="77" t="n">
        <v>2027</v>
      </c>
      <c r="G94" s="77" t="n">
        <v>142</v>
      </c>
      <c r="H94" s="77" t="inlineStr">
        <is>
          <t>Not started</t>
        </is>
      </c>
      <c r="I94" s="77">
        <f>COUNTIFS('EL scheme register'!$A$7:$A$7,$A94,'EL scheme register'!$C$7:$C$7,"University-wide",'EL scheme register'!$AJ$7:$AJ$7,"Yes")</f>
        <v/>
      </c>
      <c r="J94" s="77">
        <f>COUNTIFS('EL scheme register'!$A$7:$A$7,$A94,'EL scheme register'!$C$7:$C$7,"Cross-faculty",'EL scheme register'!$AJ$7:$AJ$7,"Yes")</f>
        <v/>
      </c>
      <c r="K94" s="77">
        <f>COUNTIFS('EL scheme register'!$A$7:$A$7,$A94,'EL scheme register'!$C$7:$C$7,"Faculty/school",'EL scheme register'!$AJ$7:$AJ$7,"Yes")</f>
        <v/>
      </c>
      <c r="L94" s="77">
        <f>COUNTIFS('EL scheme register'!$A$7:$A$7,$A94,'EL scheme register'!$C$7:$C$7,"Programme/course",'EL scheme register'!$AJ$7:$AJ$7,"Yes")</f>
        <v/>
      </c>
      <c r="M94" s="77">
        <f>COUNTIFS('EL scheme register'!$A$7:$A$7,$A94,'EL scheme register'!$C$7:$C$7,"Unclear",'EL scheme register'!$AJ$7:$AJ$7,"Yes")</f>
        <v/>
      </c>
      <c r="N94" s="77">
        <f>SUM(I94:M94)</f>
        <v/>
      </c>
      <c r="O94" s="77">
        <f>COUNTIFS('EL scheme register'!$A$7:$A$7,$A94,'EL scheme register'!$AF$7:$AF$7,"Potentially relevant; evidence incomplete",'EL scheme register'!$AI$7:$AI$7,"Yes")</f>
        <v/>
      </c>
      <c r="P94" s="77">
        <f>COUNTIFS('EL scheme register'!$A$7:$A$7,$A94,'EL scheme register'!$AF$7:$AF$7,"Outside strict definition")</f>
        <v/>
      </c>
      <c r="Q94" s="77">
        <f>COUNTIF('EL exclusions &amp; gaps'!$B$7:$B$5000,$A94)</f>
        <v/>
      </c>
      <c r="R94" s="77" t="inlineStr">
        <is>
          <t>Not reviewed</t>
        </is>
      </c>
      <c r="S94" s="77" t="inlineStr">
        <is>
          <t>Not reviewed</t>
        </is>
      </c>
      <c r="T94" s="77" t="inlineStr"/>
      <c r="U94" s="77" t="inlineStr"/>
      <c r="V94" s="77" t="inlineStr">
        <is>
          <t>Not reviewed</t>
        </is>
      </c>
      <c r="W94" s="77" t="inlineStr"/>
      <c r="X94" s="77" t="inlineStr"/>
    </row>
    <row r="95">
      <c r="A95" s="77" t="inlineStr">
        <is>
          <t>US25</t>
        </is>
      </c>
      <c r="B95" s="79" t="inlineStr">
        <is>
          <t>Purdue</t>
        </is>
      </c>
      <c r="C95" s="77" t="inlineStr">
        <is>
          <t>US</t>
        </is>
      </c>
      <c r="D95" s="77" t="inlineStr">
        <is>
          <t>US sample</t>
        </is>
      </c>
      <c r="E95" s="77" t="inlineStr">
        <is>
          <t>US</t>
        </is>
      </c>
      <c r="F95" s="77" t="n">
        <v>2027</v>
      </c>
      <c r="G95" s="77" t="n">
        <v>100</v>
      </c>
      <c r="H95" s="77" t="inlineStr">
        <is>
          <t>Not started</t>
        </is>
      </c>
      <c r="I95" s="77">
        <f>COUNTIFS('EL scheme register'!$A$7:$A$7,$A95,'EL scheme register'!$C$7:$C$7,"University-wide",'EL scheme register'!$AJ$7:$AJ$7,"Yes")</f>
        <v/>
      </c>
      <c r="J95" s="77">
        <f>COUNTIFS('EL scheme register'!$A$7:$A$7,$A95,'EL scheme register'!$C$7:$C$7,"Cross-faculty",'EL scheme register'!$AJ$7:$AJ$7,"Yes")</f>
        <v/>
      </c>
      <c r="K95" s="77">
        <f>COUNTIFS('EL scheme register'!$A$7:$A$7,$A95,'EL scheme register'!$C$7:$C$7,"Faculty/school",'EL scheme register'!$AJ$7:$AJ$7,"Yes")</f>
        <v/>
      </c>
      <c r="L95" s="77">
        <f>COUNTIFS('EL scheme register'!$A$7:$A$7,$A95,'EL scheme register'!$C$7:$C$7,"Programme/course",'EL scheme register'!$AJ$7:$AJ$7,"Yes")</f>
        <v/>
      </c>
      <c r="M95" s="77">
        <f>COUNTIFS('EL scheme register'!$A$7:$A$7,$A95,'EL scheme register'!$C$7:$C$7,"Unclear",'EL scheme register'!$AJ$7:$AJ$7,"Yes")</f>
        <v/>
      </c>
      <c r="N95" s="77">
        <f>SUM(I95:M95)</f>
        <v/>
      </c>
      <c r="O95" s="77">
        <f>COUNTIFS('EL scheme register'!$A$7:$A$7,$A95,'EL scheme register'!$AF$7:$AF$7,"Potentially relevant; evidence incomplete",'EL scheme register'!$AI$7:$AI$7,"Yes")</f>
        <v/>
      </c>
      <c r="P95" s="77">
        <f>COUNTIFS('EL scheme register'!$A$7:$A$7,$A95,'EL scheme register'!$AF$7:$AF$7,"Outside strict definition")</f>
        <v/>
      </c>
      <c r="Q95" s="77">
        <f>COUNTIF('EL exclusions &amp; gaps'!$B$7:$B$5000,$A95)</f>
        <v/>
      </c>
      <c r="R95" s="77" t="inlineStr">
        <is>
          <t>Not reviewed</t>
        </is>
      </c>
      <c r="S95" s="77" t="inlineStr">
        <is>
          <t>Not reviewed</t>
        </is>
      </c>
      <c r="T95" s="77" t="inlineStr"/>
      <c r="U95" s="77" t="inlineStr"/>
      <c r="V95" s="77" t="inlineStr">
        <is>
          <t>Not reviewed</t>
        </is>
      </c>
      <c r="W95" s="77" t="inlineStr"/>
      <c r="X95" s="77" t="inlineStr"/>
    </row>
    <row r="96">
      <c r="A96" s="77" t="inlineStr">
        <is>
          <t>US26</t>
        </is>
      </c>
      <c r="B96" s="79" t="inlineStr">
        <is>
          <t>Wisconsin Madison</t>
        </is>
      </c>
      <c r="C96" s="77" t="inlineStr">
        <is>
          <t>US</t>
        </is>
      </c>
      <c r="D96" s="77" t="inlineStr">
        <is>
          <t>US sample</t>
        </is>
      </c>
      <c r="E96" s="77" t="inlineStr">
        <is>
          <t>US</t>
        </is>
      </c>
      <c r="F96" s="77" t="n">
        <v>2027</v>
      </c>
      <c r="G96" s="77" t="n">
        <v>131</v>
      </c>
      <c r="H96" s="77" t="inlineStr">
        <is>
          <t>Not started</t>
        </is>
      </c>
      <c r="I96" s="77">
        <f>COUNTIFS('EL scheme register'!$A$7:$A$7,$A96,'EL scheme register'!$C$7:$C$7,"University-wide",'EL scheme register'!$AJ$7:$AJ$7,"Yes")</f>
        <v/>
      </c>
      <c r="J96" s="77">
        <f>COUNTIFS('EL scheme register'!$A$7:$A$7,$A96,'EL scheme register'!$C$7:$C$7,"Cross-faculty",'EL scheme register'!$AJ$7:$AJ$7,"Yes")</f>
        <v/>
      </c>
      <c r="K96" s="77">
        <f>COUNTIFS('EL scheme register'!$A$7:$A$7,$A96,'EL scheme register'!$C$7:$C$7,"Faculty/school",'EL scheme register'!$AJ$7:$AJ$7,"Yes")</f>
        <v/>
      </c>
      <c r="L96" s="77">
        <f>COUNTIFS('EL scheme register'!$A$7:$A$7,$A96,'EL scheme register'!$C$7:$C$7,"Programme/course",'EL scheme register'!$AJ$7:$AJ$7,"Yes")</f>
        <v/>
      </c>
      <c r="M96" s="77">
        <f>COUNTIFS('EL scheme register'!$A$7:$A$7,$A96,'EL scheme register'!$C$7:$C$7,"Unclear",'EL scheme register'!$AJ$7:$AJ$7,"Yes")</f>
        <v/>
      </c>
      <c r="N96" s="77">
        <f>SUM(I96:M96)</f>
        <v/>
      </c>
      <c r="O96" s="77">
        <f>COUNTIFS('EL scheme register'!$A$7:$A$7,$A96,'EL scheme register'!$AF$7:$AF$7,"Potentially relevant; evidence incomplete",'EL scheme register'!$AI$7:$AI$7,"Yes")</f>
        <v/>
      </c>
      <c r="P96" s="77">
        <f>COUNTIFS('EL scheme register'!$A$7:$A$7,$A96,'EL scheme register'!$AF$7:$AF$7,"Outside strict definition")</f>
        <v/>
      </c>
      <c r="Q96" s="77">
        <f>COUNTIF('EL exclusions &amp; gaps'!$B$7:$B$5000,$A96)</f>
        <v/>
      </c>
      <c r="R96" s="77" t="inlineStr">
        <is>
          <t>Not reviewed</t>
        </is>
      </c>
      <c r="S96" s="77" t="inlineStr">
        <is>
          <t>Not reviewed</t>
        </is>
      </c>
      <c r="T96" s="77" t="inlineStr"/>
      <c r="U96" s="77" t="inlineStr"/>
      <c r="V96" s="77" t="inlineStr">
        <is>
          <t>Not reviewed</t>
        </is>
      </c>
      <c r="W96" s="77" t="inlineStr"/>
      <c r="X96" s="77" t="inlineStr"/>
    </row>
    <row r="97">
      <c r="A97" s="77" t="inlineStr">
        <is>
          <t>US27</t>
        </is>
      </c>
      <c r="B97" s="79" t="inlineStr">
        <is>
          <t>Washington</t>
        </is>
      </c>
      <c r="C97" s="77" t="inlineStr">
        <is>
          <t>US</t>
        </is>
      </c>
      <c r="D97" s="77" t="inlineStr">
        <is>
          <t>US sample</t>
        </is>
      </c>
      <c r="E97" s="77" t="inlineStr">
        <is>
          <t>US</t>
        </is>
      </c>
      <c r="F97" s="77" t="n">
        <v>2027</v>
      </c>
      <c r="G97" s="77" t="n">
        <v>92</v>
      </c>
      <c r="H97" s="77" t="inlineStr">
        <is>
          <t>Not started</t>
        </is>
      </c>
      <c r="I97" s="77">
        <f>COUNTIFS('EL scheme register'!$A$7:$A$7,$A97,'EL scheme register'!$C$7:$C$7,"University-wide",'EL scheme register'!$AJ$7:$AJ$7,"Yes")</f>
        <v/>
      </c>
      <c r="J97" s="77">
        <f>COUNTIFS('EL scheme register'!$A$7:$A$7,$A97,'EL scheme register'!$C$7:$C$7,"Cross-faculty",'EL scheme register'!$AJ$7:$AJ$7,"Yes")</f>
        <v/>
      </c>
      <c r="K97" s="77">
        <f>COUNTIFS('EL scheme register'!$A$7:$A$7,$A97,'EL scheme register'!$C$7:$C$7,"Faculty/school",'EL scheme register'!$AJ$7:$AJ$7,"Yes")</f>
        <v/>
      </c>
      <c r="L97" s="77">
        <f>COUNTIFS('EL scheme register'!$A$7:$A$7,$A97,'EL scheme register'!$C$7:$C$7,"Programme/course",'EL scheme register'!$AJ$7:$AJ$7,"Yes")</f>
        <v/>
      </c>
      <c r="M97" s="77">
        <f>COUNTIFS('EL scheme register'!$A$7:$A$7,$A97,'EL scheme register'!$C$7:$C$7,"Unclear",'EL scheme register'!$AJ$7:$AJ$7,"Yes")</f>
        <v/>
      </c>
      <c r="N97" s="77">
        <f>SUM(I97:M97)</f>
        <v/>
      </c>
      <c r="O97" s="77">
        <f>COUNTIFS('EL scheme register'!$A$7:$A$7,$A97,'EL scheme register'!$AF$7:$AF$7,"Potentially relevant; evidence incomplete",'EL scheme register'!$AI$7:$AI$7,"Yes")</f>
        <v/>
      </c>
      <c r="P97" s="77">
        <f>COUNTIFS('EL scheme register'!$A$7:$A$7,$A97,'EL scheme register'!$AF$7:$AF$7,"Outside strict definition")</f>
        <v/>
      </c>
      <c r="Q97" s="77">
        <f>COUNTIF('EL exclusions &amp; gaps'!$B$7:$B$5000,$A97)</f>
        <v/>
      </c>
      <c r="R97" s="77" t="inlineStr">
        <is>
          <t>Not reviewed</t>
        </is>
      </c>
      <c r="S97" s="77" t="inlineStr">
        <is>
          <t>Not reviewed</t>
        </is>
      </c>
      <c r="T97" s="77" t="inlineStr"/>
      <c r="U97" s="77" t="inlineStr"/>
      <c r="V97" s="77" t="inlineStr">
        <is>
          <t>Not reviewed</t>
        </is>
      </c>
      <c r="W97" s="77" t="inlineStr"/>
      <c r="X97" s="77" t="inlineStr"/>
    </row>
    <row r="98">
      <c r="A98" s="77" t="inlineStr">
        <is>
          <t>US28</t>
        </is>
      </c>
      <c r="B98" s="79" t="inlineStr">
        <is>
          <t>Boston University</t>
        </is>
      </c>
      <c r="C98" s="77" t="inlineStr">
        <is>
          <t>US</t>
        </is>
      </c>
      <c r="D98" s="77" t="inlineStr">
        <is>
          <t>US sample</t>
        </is>
      </c>
      <c r="E98" s="77" t="inlineStr">
        <is>
          <t>US</t>
        </is>
      </c>
      <c r="F98" s="77" t="n">
        <v>2027</v>
      </c>
      <c r="G98" s="77" t="n">
        <v>94</v>
      </c>
      <c r="H98" s="77" t="inlineStr">
        <is>
          <t>Not started</t>
        </is>
      </c>
      <c r="I98" s="77">
        <f>COUNTIFS('EL scheme register'!$A$7:$A$7,$A98,'EL scheme register'!$C$7:$C$7,"University-wide",'EL scheme register'!$AJ$7:$AJ$7,"Yes")</f>
        <v/>
      </c>
      <c r="J98" s="77">
        <f>COUNTIFS('EL scheme register'!$A$7:$A$7,$A98,'EL scheme register'!$C$7:$C$7,"Cross-faculty",'EL scheme register'!$AJ$7:$AJ$7,"Yes")</f>
        <v/>
      </c>
      <c r="K98" s="77">
        <f>COUNTIFS('EL scheme register'!$A$7:$A$7,$A98,'EL scheme register'!$C$7:$C$7,"Faculty/school",'EL scheme register'!$AJ$7:$AJ$7,"Yes")</f>
        <v/>
      </c>
      <c r="L98" s="77">
        <f>COUNTIFS('EL scheme register'!$A$7:$A$7,$A98,'EL scheme register'!$C$7:$C$7,"Programme/course",'EL scheme register'!$AJ$7:$AJ$7,"Yes")</f>
        <v/>
      </c>
      <c r="M98" s="77">
        <f>COUNTIFS('EL scheme register'!$A$7:$A$7,$A98,'EL scheme register'!$C$7:$C$7,"Unclear",'EL scheme register'!$AJ$7:$AJ$7,"Yes")</f>
        <v/>
      </c>
      <c r="N98" s="77">
        <f>SUM(I98:M98)</f>
        <v/>
      </c>
      <c r="O98" s="77">
        <f>COUNTIFS('EL scheme register'!$A$7:$A$7,$A98,'EL scheme register'!$AF$7:$AF$7,"Potentially relevant; evidence incomplete",'EL scheme register'!$AI$7:$AI$7,"Yes")</f>
        <v/>
      </c>
      <c r="P98" s="77">
        <f>COUNTIFS('EL scheme register'!$A$7:$A$7,$A98,'EL scheme register'!$AF$7:$AF$7,"Outside strict definition")</f>
        <v/>
      </c>
      <c r="Q98" s="77">
        <f>COUNTIF('EL exclusions &amp; gaps'!$B$7:$B$5000,$A98)</f>
        <v/>
      </c>
      <c r="R98" s="77" t="inlineStr">
        <is>
          <t>Not reviewed</t>
        </is>
      </c>
      <c r="S98" s="77" t="inlineStr">
        <is>
          <t>Not reviewed</t>
        </is>
      </c>
      <c r="T98" s="77" t="inlineStr"/>
      <c r="U98" s="77" t="inlineStr"/>
      <c r="V98" s="77" t="inlineStr">
        <is>
          <t>Not reviewed</t>
        </is>
      </c>
      <c r="W98" s="77" t="inlineStr"/>
      <c r="X98" s="77" t="inlineStr"/>
    </row>
    <row r="99">
      <c r="A99" s="77" t="inlineStr">
        <is>
          <t>US29</t>
        </is>
      </c>
      <c r="B99" s="79" t="inlineStr">
        <is>
          <t>Pennsylvania State</t>
        </is>
      </c>
      <c r="C99" s="77" t="inlineStr">
        <is>
          <t>US</t>
        </is>
      </c>
      <c r="D99" s="77" t="inlineStr">
        <is>
          <t>US sample</t>
        </is>
      </c>
      <c r="E99" s="77" t="inlineStr">
        <is>
          <t>US</t>
        </is>
      </c>
      <c r="F99" s="77" t="n">
        <v>2027</v>
      </c>
      <c r="G99" s="77" t="n">
        <v>92</v>
      </c>
      <c r="H99" s="77" t="inlineStr">
        <is>
          <t>Not started</t>
        </is>
      </c>
      <c r="I99" s="77">
        <f>COUNTIFS('EL scheme register'!$A$7:$A$7,$A99,'EL scheme register'!$C$7:$C$7,"University-wide",'EL scheme register'!$AJ$7:$AJ$7,"Yes")</f>
        <v/>
      </c>
      <c r="J99" s="77">
        <f>COUNTIFS('EL scheme register'!$A$7:$A$7,$A99,'EL scheme register'!$C$7:$C$7,"Cross-faculty",'EL scheme register'!$AJ$7:$AJ$7,"Yes")</f>
        <v/>
      </c>
      <c r="K99" s="77">
        <f>COUNTIFS('EL scheme register'!$A$7:$A$7,$A99,'EL scheme register'!$C$7:$C$7,"Faculty/school",'EL scheme register'!$AJ$7:$AJ$7,"Yes")</f>
        <v/>
      </c>
      <c r="L99" s="77">
        <f>COUNTIFS('EL scheme register'!$A$7:$A$7,$A99,'EL scheme register'!$C$7:$C$7,"Programme/course",'EL scheme register'!$AJ$7:$AJ$7,"Yes")</f>
        <v/>
      </c>
      <c r="M99" s="77">
        <f>COUNTIFS('EL scheme register'!$A$7:$A$7,$A99,'EL scheme register'!$C$7:$C$7,"Unclear",'EL scheme register'!$AJ$7:$AJ$7,"Yes")</f>
        <v/>
      </c>
      <c r="N99" s="77">
        <f>SUM(I99:M99)</f>
        <v/>
      </c>
      <c r="O99" s="77">
        <f>COUNTIFS('EL scheme register'!$A$7:$A$7,$A99,'EL scheme register'!$AF$7:$AF$7,"Potentially relevant; evidence incomplete",'EL scheme register'!$AI$7:$AI$7,"Yes")</f>
        <v/>
      </c>
      <c r="P99" s="77">
        <f>COUNTIFS('EL scheme register'!$A$7:$A$7,$A99,'EL scheme register'!$AF$7:$AF$7,"Outside strict definition")</f>
        <v/>
      </c>
      <c r="Q99" s="77">
        <f>COUNTIF('EL exclusions &amp; gaps'!$B$7:$B$5000,$A99)</f>
        <v/>
      </c>
      <c r="R99" s="77" t="inlineStr">
        <is>
          <t>Not reviewed</t>
        </is>
      </c>
      <c r="S99" s="77" t="inlineStr">
        <is>
          <t>Not reviewed</t>
        </is>
      </c>
      <c r="T99" s="77" t="inlineStr"/>
      <c r="U99" s="77" t="inlineStr"/>
      <c r="V99" s="77" t="inlineStr">
        <is>
          <t>Not reviewed</t>
        </is>
      </c>
      <c r="W99" s="77" t="inlineStr"/>
      <c r="X99" s="77" t="inlineStr"/>
    </row>
    <row r="100">
      <c r="A100" s="77" t="inlineStr">
        <is>
          <t>US30</t>
        </is>
      </c>
      <c r="B100" s="79" t="inlineStr">
        <is>
          <t>Ohio State</t>
        </is>
      </c>
      <c r="C100" s="77" t="inlineStr">
        <is>
          <t>US</t>
        </is>
      </c>
      <c r="D100" s="77" t="inlineStr">
        <is>
          <t>US sample</t>
        </is>
      </c>
      <c r="E100" s="77" t="inlineStr">
        <is>
          <t>US</t>
        </is>
      </c>
      <c r="F100" s="77" t="n">
        <v>2027</v>
      </c>
      <c r="G100" s="77" t="n">
        <v>201</v>
      </c>
      <c r="H100" s="77" t="inlineStr">
        <is>
          <t>Not started</t>
        </is>
      </c>
      <c r="I100" s="77">
        <f>COUNTIFS('EL scheme register'!$A$7:$A$7,$A100,'EL scheme register'!$C$7:$C$7,"University-wide",'EL scheme register'!$AJ$7:$AJ$7,"Yes")</f>
        <v/>
      </c>
      <c r="J100" s="77">
        <f>COUNTIFS('EL scheme register'!$A$7:$A$7,$A100,'EL scheme register'!$C$7:$C$7,"Cross-faculty",'EL scheme register'!$AJ$7:$AJ$7,"Yes")</f>
        <v/>
      </c>
      <c r="K100" s="77">
        <f>COUNTIFS('EL scheme register'!$A$7:$A$7,$A100,'EL scheme register'!$C$7:$C$7,"Faculty/school",'EL scheme register'!$AJ$7:$AJ$7,"Yes")</f>
        <v/>
      </c>
      <c r="L100" s="77">
        <f>COUNTIFS('EL scheme register'!$A$7:$A$7,$A100,'EL scheme register'!$C$7:$C$7,"Programme/course",'EL scheme register'!$AJ$7:$AJ$7,"Yes")</f>
        <v/>
      </c>
      <c r="M100" s="77">
        <f>COUNTIFS('EL scheme register'!$A$7:$A$7,$A100,'EL scheme register'!$C$7:$C$7,"Unclear",'EL scheme register'!$AJ$7:$AJ$7,"Yes")</f>
        <v/>
      </c>
      <c r="N100" s="77">
        <f>SUM(I100:M100)</f>
        <v/>
      </c>
      <c r="O100" s="77">
        <f>COUNTIFS('EL scheme register'!$A$7:$A$7,$A100,'EL scheme register'!$AF$7:$AF$7,"Potentially relevant; evidence incomplete",'EL scheme register'!$AI$7:$AI$7,"Yes")</f>
        <v/>
      </c>
      <c r="P100" s="77">
        <f>COUNTIFS('EL scheme register'!$A$7:$A$7,$A100,'EL scheme register'!$AF$7:$AF$7,"Outside strict definition")</f>
        <v/>
      </c>
      <c r="Q100" s="77">
        <f>COUNTIF('EL exclusions &amp; gaps'!$B$7:$B$5000,$A100)</f>
        <v/>
      </c>
      <c r="R100" s="77" t="inlineStr">
        <is>
          <t>Not reviewed</t>
        </is>
      </c>
      <c r="S100" s="77" t="inlineStr">
        <is>
          <t>Not reviewed</t>
        </is>
      </c>
      <c r="T100" s="77" t="inlineStr"/>
      <c r="U100" s="77" t="inlineStr"/>
      <c r="V100" s="77" t="inlineStr">
        <is>
          <t>Not reviewed</t>
        </is>
      </c>
      <c r="W100" s="77" t="inlineStr"/>
      <c r="X100" s="77" t="inlineStr"/>
    </row>
    <row r="101">
      <c r="A101" s="77" t="inlineStr">
        <is>
          <t>EU01</t>
        </is>
      </c>
      <c r="B101" s="79" t="inlineStr">
        <is>
          <t>PSL</t>
        </is>
      </c>
      <c r="C101" s="77" t="inlineStr">
        <is>
          <t>France</t>
        </is>
      </c>
      <c r="D101" s="77" t="inlineStr">
        <is>
          <t>EU sample</t>
        </is>
      </c>
      <c r="E101" s="77" t="inlineStr">
        <is>
          <t>EU</t>
        </is>
      </c>
      <c r="F101" s="77" t="n">
        <v>2027</v>
      </c>
      <c r="G101" s="77" t="n">
        <v>34</v>
      </c>
      <c r="H101" s="77" t="inlineStr">
        <is>
          <t>Not started</t>
        </is>
      </c>
      <c r="I101" s="77">
        <f>COUNTIFS('EL scheme register'!$A$7:$A$7,$A101,'EL scheme register'!$C$7:$C$7,"University-wide",'EL scheme register'!$AJ$7:$AJ$7,"Yes")</f>
        <v/>
      </c>
      <c r="J101" s="77">
        <f>COUNTIFS('EL scheme register'!$A$7:$A$7,$A101,'EL scheme register'!$C$7:$C$7,"Cross-faculty",'EL scheme register'!$AJ$7:$AJ$7,"Yes")</f>
        <v/>
      </c>
      <c r="K101" s="77">
        <f>COUNTIFS('EL scheme register'!$A$7:$A$7,$A101,'EL scheme register'!$C$7:$C$7,"Faculty/school",'EL scheme register'!$AJ$7:$AJ$7,"Yes")</f>
        <v/>
      </c>
      <c r="L101" s="77">
        <f>COUNTIFS('EL scheme register'!$A$7:$A$7,$A101,'EL scheme register'!$C$7:$C$7,"Programme/course",'EL scheme register'!$AJ$7:$AJ$7,"Yes")</f>
        <v/>
      </c>
      <c r="M101" s="77">
        <f>COUNTIFS('EL scheme register'!$A$7:$A$7,$A101,'EL scheme register'!$C$7:$C$7,"Unclear",'EL scheme register'!$AJ$7:$AJ$7,"Yes")</f>
        <v/>
      </c>
      <c r="N101" s="77">
        <f>SUM(I101:M101)</f>
        <v/>
      </c>
      <c r="O101" s="77">
        <f>COUNTIFS('EL scheme register'!$A$7:$A$7,$A101,'EL scheme register'!$AF$7:$AF$7,"Potentially relevant; evidence incomplete",'EL scheme register'!$AI$7:$AI$7,"Yes")</f>
        <v/>
      </c>
      <c r="P101" s="77">
        <f>COUNTIFS('EL scheme register'!$A$7:$A$7,$A101,'EL scheme register'!$AF$7:$AF$7,"Outside strict definition")</f>
        <v/>
      </c>
      <c r="Q101" s="77">
        <f>COUNTIF('EL exclusions &amp; gaps'!$B$7:$B$5000,$A101)</f>
        <v/>
      </c>
      <c r="R101" s="77" t="inlineStr">
        <is>
          <t>Not reviewed</t>
        </is>
      </c>
      <c r="S101" s="77" t="inlineStr">
        <is>
          <t>Not reviewed</t>
        </is>
      </c>
      <c r="T101" s="77" t="inlineStr"/>
      <c r="U101" s="77" t="inlineStr"/>
      <c r="V101" s="77" t="inlineStr">
        <is>
          <t>Not reviewed</t>
        </is>
      </c>
      <c r="W101" s="77" t="inlineStr"/>
      <c r="X101" s="77" t="inlineStr"/>
    </row>
    <row r="102">
      <c r="A102" s="77" t="inlineStr">
        <is>
          <t>EU02</t>
        </is>
      </c>
      <c r="B102" s="79" t="inlineStr">
        <is>
          <t>Paris-Saclay</t>
        </is>
      </c>
      <c r="C102" s="77" t="inlineStr">
        <is>
          <t>France</t>
        </is>
      </c>
      <c r="D102" s="77" t="inlineStr">
        <is>
          <t>EU sample</t>
        </is>
      </c>
      <c r="E102" s="77" t="inlineStr">
        <is>
          <t>EU</t>
        </is>
      </c>
      <c r="F102" s="77" t="n">
        <v>2027</v>
      </c>
      <c r="G102" s="77" t="n">
        <v>76</v>
      </c>
      <c r="H102" s="77" t="inlineStr">
        <is>
          <t>Not started</t>
        </is>
      </c>
      <c r="I102" s="77">
        <f>COUNTIFS('EL scheme register'!$A$7:$A$7,$A102,'EL scheme register'!$C$7:$C$7,"University-wide",'EL scheme register'!$AJ$7:$AJ$7,"Yes")</f>
        <v/>
      </c>
      <c r="J102" s="77">
        <f>COUNTIFS('EL scheme register'!$A$7:$A$7,$A102,'EL scheme register'!$C$7:$C$7,"Cross-faculty",'EL scheme register'!$AJ$7:$AJ$7,"Yes")</f>
        <v/>
      </c>
      <c r="K102" s="77">
        <f>COUNTIFS('EL scheme register'!$A$7:$A$7,$A102,'EL scheme register'!$C$7:$C$7,"Faculty/school",'EL scheme register'!$AJ$7:$AJ$7,"Yes")</f>
        <v/>
      </c>
      <c r="L102" s="77">
        <f>COUNTIFS('EL scheme register'!$A$7:$A$7,$A102,'EL scheme register'!$C$7:$C$7,"Programme/course",'EL scheme register'!$AJ$7:$AJ$7,"Yes")</f>
        <v/>
      </c>
      <c r="M102" s="77">
        <f>COUNTIFS('EL scheme register'!$A$7:$A$7,$A102,'EL scheme register'!$C$7:$C$7,"Unclear",'EL scheme register'!$AJ$7:$AJ$7,"Yes")</f>
        <v/>
      </c>
      <c r="N102" s="77">
        <f>SUM(I102:M102)</f>
        <v/>
      </c>
      <c r="O102" s="77">
        <f>COUNTIFS('EL scheme register'!$A$7:$A$7,$A102,'EL scheme register'!$AF$7:$AF$7,"Potentially relevant; evidence incomplete",'EL scheme register'!$AI$7:$AI$7,"Yes")</f>
        <v/>
      </c>
      <c r="P102" s="77">
        <f>COUNTIFS('EL scheme register'!$A$7:$A$7,$A102,'EL scheme register'!$AF$7:$AF$7,"Outside strict definition")</f>
        <v/>
      </c>
      <c r="Q102" s="77">
        <f>COUNTIF('EL exclusions &amp; gaps'!$B$7:$B$5000,$A102)</f>
        <v/>
      </c>
      <c r="R102" s="77" t="inlineStr">
        <is>
          <t>Not reviewed</t>
        </is>
      </c>
      <c r="S102" s="77" t="inlineStr">
        <is>
          <t>Not reviewed</t>
        </is>
      </c>
      <c r="T102" s="77" t="inlineStr"/>
      <c r="U102" s="77" t="inlineStr"/>
      <c r="V102" s="77" t="inlineStr">
        <is>
          <t>Not reviewed</t>
        </is>
      </c>
      <c r="W102" s="77" t="inlineStr"/>
      <c r="X102" s="77" t="inlineStr"/>
    </row>
    <row r="103">
      <c r="A103" s="77" t="inlineStr">
        <is>
          <t>EU03</t>
        </is>
      </c>
      <c r="B103" s="79" t="inlineStr">
        <is>
          <t>Sorbonne University</t>
        </is>
      </c>
      <c r="C103" s="77" t="inlineStr">
        <is>
          <t>France</t>
        </is>
      </c>
      <c r="D103" s="77" t="inlineStr">
        <is>
          <t>EU sample</t>
        </is>
      </c>
      <c r="E103" s="77" t="inlineStr">
        <is>
          <t>EU</t>
        </is>
      </c>
      <c r="F103" s="77" t="n">
        <v>2027</v>
      </c>
      <c r="G103" s="77" t="n">
        <v>73</v>
      </c>
      <c r="H103" s="77" t="inlineStr">
        <is>
          <t>Not started</t>
        </is>
      </c>
      <c r="I103" s="77">
        <f>COUNTIFS('EL scheme register'!$A$7:$A$7,$A103,'EL scheme register'!$C$7:$C$7,"University-wide",'EL scheme register'!$AJ$7:$AJ$7,"Yes")</f>
        <v/>
      </c>
      <c r="J103" s="77">
        <f>COUNTIFS('EL scheme register'!$A$7:$A$7,$A103,'EL scheme register'!$C$7:$C$7,"Cross-faculty",'EL scheme register'!$AJ$7:$AJ$7,"Yes")</f>
        <v/>
      </c>
      <c r="K103" s="77">
        <f>COUNTIFS('EL scheme register'!$A$7:$A$7,$A103,'EL scheme register'!$C$7:$C$7,"Faculty/school",'EL scheme register'!$AJ$7:$AJ$7,"Yes")</f>
        <v/>
      </c>
      <c r="L103" s="77">
        <f>COUNTIFS('EL scheme register'!$A$7:$A$7,$A103,'EL scheme register'!$C$7:$C$7,"Programme/course",'EL scheme register'!$AJ$7:$AJ$7,"Yes")</f>
        <v/>
      </c>
      <c r="M103" s="77">
        <f>COUNTIFS('EL scheme register'!$A$7:$A$7,$A103,'EL scheme register'!$C$7:$C$7,"Unclear",'EL scheme register'!$AJ$7:$AJ$7,"Yes")</f>
        <v/>
      </c>
      <c r="N103" s="77">
        <f>SUM(I103:M103)</f>
        <v/>
      </c>
      <c r="O103" s="77">
        <f>COUNTIFS('EL scheme register'!$A$7:$A$7,$A103,'EL scheme register'!$AF$7:$AF$7,"Potentially relevant; evidence incomplete",'EL scheme register'!$AI$7:$AI$7,"Yes")</f>
        <v/>
      </c>
      <c r="P103" s="77">
        <f>COUNTIFS('EL scheme register'!$A$7:$A$7,$A103,'EL scheme register'!$AF$7:$AF$7,"Outside strict definition")</f>
        <v/>
      </c>
      <c r="Q103" s="77">
        <f>COUNTIF('EL exclusions &amp; gaps'!$B$7:$B$5000,$A103)</f>
        <v/>
      </c>
      <c r="R103" s="77" t="inlineStr">
        <is>
          <t>Not reviewed</t>
        </is>
      </c>
      <c r="S103" s="77" t="inlineStr">
        <is>
          <t>Not reviewed</t>
        </is>
      </c>
      <c r="T103" s="77" t="inlineStr"/>
      <c r="U103" s="77" t="inlineStr"/>
      <c r="V103" s="77" t="inlineStr">
        <is>
          <t>Not reviewed</t>
        </is>
      </c>
      <c r="W103" s="77" t="inlineStr"/>
      <c r="X103" s="77" t="inlineStr"/>
    </row>
    <row r="104">
      <c r="A104" s="77" t="inlineStr">
        <is>
          <t>EU04</t>
        </is>
      </c>
      <c r="B104" s="79" t="inlineStr">
        <is>
          <t>Institut Polytechnique de Paris</t>
        </is>
      </c>
      <c r="C104" s="77" t="inlineStr">
        <is>
          <t>France</t>
        </is>
      </c>
      <c r="D104" s="77" t="inlineStr">
        <is>
          <t>EU sample</t>
        </is>
      </c>
      <c r="E104" s="77" t="inlineStr">
        <is>
          <t>EU</t>
        </is>
      </c>
      <c r="F104" s="77" t="n">
        <v>2027</v>
      </c>
      <c r="G104" s="77" t="n">
        <v>43</v>
      </c>
      <c r="H104" s="77" t="inlineStr">
        <is>
          <t>Not started</t>
        </is>
      </c>
      <c r="I104" s="77">
        <f>COUNTIFS('EL scheme register'!$A$7:$A$7,$A104,'EL scheme register'!$C$7:$C$7,"University-wide",'EL scheme register'!$AJ$7:$AJ$7,"Yes")</f>
        <v/>
      </c>
      <c r="J104" s="77">
        <f>COUNTIFS('EL scheme register'!$A$7:$A$7,$A104,'EL scheme register'!$C$7:$C$7,"Cross-faculty",'EL scheme register'!$AJ$7:$AJ$7,"Yes")</f>
        <v/>
      </c>
      <c r="K104" s="77">
        <f>COUNTIFS('EL scheme register'!$A$7:$A$7,$A104,'EL scheme register'!$C$7:$C$7,"Faculty/school",'EL scheme register'!$AJ$7:$AJ$7,"Yes")</f>
        <v/>
      </c>
      <c r="L104" s="77">
        <f>COUNTIFS('EL scheme register'!$A$7:$A$7,$A104,'EL scheme register'!$C$7:$C$7,"Programme/course",'EL scheme register'!$AJ$7:$AJ$7,"Yes")</f>
        <v/>
      </c>
      <c r="M104" s="77">
        <f>COUNTIFS('EL scheme register'!$A$7:$A$7,$A104,'EL scheme register'!$C$7:$C$7,"Unclear",'EL scheme register'!$AJ$7:$AJ$7,"Yes")</f>
        <v/>
      </c>
      <c r="N104" s="77">
        <f>SUM(I104:M104)</f>
        <v/>
      </c>
      <c r="O104" s="77">
        <f>COUNTIFS('EL scheme register'!$A$7:$A$7,$A104,'EL scheme register'!$AF$7:$AF$7,"Potentially relevant; evidence incomplete",'EL scheme register'!$AI$7:$AI$7,"Yes")</f>
        <v/>
      </c>
      <c r="P104" s="77">
        <f>COUNTIFS('EL scheme register'!$A$7:$A$7,$A104,'EL scheme register'!$AF$7:$AF$7,"Outside strict definition")</f>
        <v/>
      </c>
      <c r="Q104" s="77">
        <f>COUNTIF('EL exclusions &amp; gaps'!$B$7:$B$5000,$A104)</f>
        <v/>
      </c>
      <c r="R104" s="77" t="inlineStr">
        <is>
          <t>Not reviewed</t>
        </is>
      </c>
      <c r="S104" s="77" t="inlineStr">
        <is>
          <t>Not reviewed</t>
        </is>
      </c>
      <c r="T104" s="77" t="inlineStr"/>
      <c r="U104" s="77" t="inlineStr"/>
      <c r="V104" s="77" t="inlineStr">
        <is>
          <t>Not reviewed</t>
        </is>
      </c>
      <c r="W104" s="77" t="inlineStr"/>
      <c r="X104" s="77" t="inlineStr"/>
    </row>
    <row r="105">
      <c r="A105" s="77" t="inlineStr">
        <is>
          <t>EU05</t>
        </is>
      </c>
      <c r="B105" s="79" t="inlineStr">
        <is>
          <t>Sciences Po</t>
        </is>
      </c>
      <c r="C105" s="77" t="inlineStr">
        <is>
          <t>France</t>
        </is>
      </c>
      <c r="D105" s="77" t="inlineStr">
        <is>
          <t>EU sample</t>
        </is>
      </c>
      <c r="E105" s="77" t="inlineStr">
        <is>
          <t>EU</t>
        </is>
      </c>
      <c r="F105" s="77" t="n">
        <v>2027</v>
      </c>
      <c r="G105" s="77" t="n">
        <v>354</v>
      </c>
      <c r="H105" s="77" t="inlineStr">
        <is>
          <t>Not started</t>
        </is>
      </c>
      <c r="I105" s="77">
        <f>COUNTIFS('EL scheme register'!$A$7:$A$7,$A105,'EL scheme register'!$C$7:$C$7,"University-wide",'EL scheme register'!$AJ$7:$AJ$7,"Yes")</f>
        <v/>
      </c>
      <c r="J105" s="77">
        <f>COUNTIFS('EL scheme register'!$A$7:$A$7,$A105,'EL scheme register'!$C$7:$C$7,"Cross-faculty",'EL scheme register'!$AJ$7:$AJ$7,"Yes")</f>
        <v/>
      </c>
      <c r="K105" s="77">
        <f>COUNTIFS('EL scheme register'!$A$7:$A$7,$A105,'EL scheme register'!$C$7:$C$7,"Faculty/school",'EL scheme register'!$AJ$7:$AJ$7,"Yes")</f>
        <v/>
      </c>
      <c r="L105" s="77">
        <f>COUNTIFS('EL scheme register'!$A$7:$A$7,$A105,'EL scheme register'!$C$7:$C$7,"Programme/course",'EL scheme register'!$AJ$7:$AJ$7,"Yes")</f>
        <v/>
      </c>
      <c r="M105" s="77">
        <f>COUNTIFS('EL scheme register'!$A$7:$A$7,$A105,'EL scheme register'!$C$7:$C$7,"Unclear",'EL scheme register'!$AJ$7:$AJ$7,"Yes")</f>
        <v/>
      </c>
      <c r="N105" s="77">
        <f>SUM(I105:M105)</f>
        <v/>
      </c>
      <c r="O105" s="77">
        <f>COUNTIFS('EL scheme register'!$A$7:$A$7,$A105,'EL scheme register'!$AF$7:$AF$7,"Potentially relevant; evidence incomplete",'EL scheme register'!$AI$7:$AI$7,"Yes")</f>
        <v/>
      </c>
      <c r="P105" s="77">
        <f>COUNTIFS('EL scheme register'!$A$7:$A$7,$A105,'EL scheme register'!$AF$7:$AF$7,"Outside strict definition")</f>
        <v/>
      </c>
      <c r="Q105" s="77">
        <f>COUNTIF('EL exclusions &amp; gaps'!$B$7:$B$5000,$A105)</f>
        <v/>
      </c>
      <c r="R105" s="77" t="inlineStr">
        <is>
          <t>Not reviewed</t>
        </is>
      </c>
      <c r="S105" s="77" t="inlineStr">
        <is>
          <t>Not reviewed</t>
        </is>
      </c>
      <c r="T105" s="77" t="inlineStr"/>
      <c r="U105" s="77" t="inlineStr"/>
      <c r="V105" s="77" t="inlineStr">
        <is>
          <t>Not reviewed</t>
        </is>
      </c>
      <c r="W105" s="77" t="inlineStr"/>
      <c r="X105" s="77" t="inlineStr"/>
    </row>
    <row r="106">
      <c r="A106" s="77" t="inlineStr">
        <is>
          <t>EU06</t>
        </is>
      </c>
      <c r="B106" s="79" t="inlineStr">
        <is>
          <t>Technical University of Munich</t>
        </is>
      </c>
      <c r="C106" s="77" t="inlineStr">
        <is>
          <t>Germany</t>
        </is>
      </c>
      <c r="D106" s="77" t="inlineStr">
        <is>
          <t>EU sample</t>
        </is>
      </c>
      <c r="E106" s="77" t="inlineStr">
        <is>
          <t>EU</t>
        </is>
      </c>
      <c r="F106" s="77" t="n">
        <v>2027</v>
      </c>
      <c r="G106" s="77" t="n">
        <v>25</v>
      </c>
      <c r="H106" s="77" t="inlineStr">
        <is>
          <t>Not started</t>
        </is>
      </c>
      <c r="I106" s="77">
        <f>COUNTIFS('EL scheme register'!$A$7:$A$7,$A106,'EL scheme register'!$C$7:$C$7,"University-wide",'EL scheme register'!$AJ$7:$AJ$7,"Yes")</f>
        <v/>
      </c>
      <c r="J106" s="77">
        <f>COUNTIFS('EL scheme register'!$A$7:$A$7,$A106,'EL scheme register'!$C$7:$C$7,"Cross-faculty",'EL scheme register'!$AJ$7:$AJ$7,"Yes")</f>
        <v/>
      </c>
      <c r="K106" s="77">
        <f>COUNTIFS('EL scheme register'!$A$7:$A$7,$A106,'EL scheme register'!$C$7:$C$7,"Faculty/school",'EL scheme register'!$AJ$7:$AJ$7,"Yes")</f>
        <v/>
      </c>
      <c r="L106" s="77">
        <f>COUNTIFS('EL scheme register'!$A$7:$A$7,$A106,'EL scheme register'!$C$7:$C$7,"Programme/course",'EL scheme register'!$AJ$7:$AJ$7,"Yes")</f>
        <v/>
      </c>
      <c r="M106" s="77">
        <f>COUNTIFS('EL scheme register'!$A$7:$A$7,$A106,'EL scheme register'!$C$7:$C$7,"Unclear",'EL scheme register'!$AJ$7:$AJ$7,"Yes")</f>
        <v/>
      </c>
      <c r="N106" s="77">
        <f>SUM(I106:M106)</f>
        <v/>
      </c>
      <c r="O106" s="77">
        <f>COUNTIFS('EL scheme register'!$A$7:$A$7,$A106,'EL scheme register'!$AF$7:$AF$7,"Potentially relevant; evidence incomplete",'EL scheme register'!$AI$7:$AI$7,"Yes")</f>
        <v/>
      </c>
      <c r="P106" s="77">
        <f>COUNTIFS('EL scheme register'!$A$7:$A$7,$A106,'EL scheme register'!$AF$7:$AF$7,"Outside strict definition")</f>
        <v/>
      </c>
      <c r="Q106" s="77">
        <f>COUNTIF('EL exclusions &amp; gaps'!$B$7:$B$5000,$A106)</f>
        <v/>
      </c>
      <c r="R106" s="77" t="inlineStr">
        <is>
          <t>Not reviewed</t>
        </is>
      </c>
      <c r="S106" s="77" t="inlineStr">
        <is>
          <t>Not reviewed</t>
        </is>
      </c>
      <c r="T106" s="77" t="inlineStr"/>
      <c r="U106" s="77" t="inlineStr"/>
      <c r="V106" s="77" t="inlineStr">
        <is>
          <t>Not reviewed</t>
        </is>
      </c>
      <c r="W106" s="77" t="inlineStr"/>
      <c r="X106" s="77" t="inlineStr"/>
    </row>
    <row r="107">
      <c r="A107" s="77" t="inlineStr">
        <is>
          <t>EU07</t>
        </is>
      </c>
      <c r="B107" s="79" t="inlineStr">
        <is>
          <t>LMU Munich</t>
        </is>
      </c>
      <c r="C107" s="77" t="inlineStr">
        <is>
          <t>Germany</t>
        </is>
      </c>
      <c r="D107" s="77" t="inlineStr">
        <is>
          <t>EU sample</t>
        </is>
      </c>
      <c r="E107" s="77" t="inlineStr">
        <is>
          <t>EU</t>
        </is>
      </c>
      <c r="F107" s="77" t="n">
        <v>2027</v>
      </c>
      <c r="G107" s="77" t="n">
        <v>61</v>
      </c>
      <c r="H107" s="77" t="inlineStr">
        <is>
          <t>Not started</t>
        </is>
      </c>
      <c r="I107" s="77">
        <f>COUNTIFS('EL scheme register'!$A$7:$A$7,$A107,'EL scheme register'!$C$7:$C$7,"University-wide",'EL scheme register'!$AJ$7:$AJ$7,"Yes")</f>
        <v/>
      </c>
      <c r="J107" s="77">
        <f>COUNTIFS('EL scheme register'!$A$7:$A$7,$A107,'EL scheme register'!$C$7:$C$7,"Cross-faculty",'EL scheme register'!$AJ$7:$AJ$7,"Yes")</f>
        <v/>
      </c>
      <c r="K107" s="77">
        <f>COUNTIFS('EL scheme register'!$A$7:$A$7,$A107,'EL scheme register'!$C$7:$C$7,"Faculty/school",'EL scheme register'!$AJ$7:$AJ$7,"Yes")</f>
        <v/>
      </c>
      <c r="L107" s="77">
        <f>COUNTIFS('EL scheme register'!$A$7:$A$7,$A107,'EL scheme register'!$C$7:$C$7,"Programme/course",'EL scheme register'!$AJ$7:$AJ$7,"Yes")</f>
        <v/>
      </c>
      <c r="M107" s="77">
        <f>COUNTIFS('EL scheme register'!$A$7:$A$7,$A107,'EL scheme register'!$C$7:$C$7,"Unclear",'EL scheme register'!$AJ$7:$AJ$7,"Yes")</f>
        <v/>
      </c>
      <c r="N107" s="77">
        <f>SUM(I107:M107)</f>
        <v/>
      </c>
      <c r="O107" s="77">
        <f>COUNTIFS('EL scheme register'!$A$7:$A$7,$A107,'EL scheme register'!$AF$7:$AF$7,"Potentially relevant; evidence incomplete",'EL scheme register'!$AI$7:$AI$7,"Yes")</f>
        <v/>
      </c>
      <c r="P107" s="77">
        <f>COUNTIFS('EL scheme register'!$A$7:$A$7,$A107,'EL scheme register'!$AF$7:$AF$7,"Outside strict definition")</f>
        <v/>
      </c>
      <c r="Q107" s="77">
        <f>COUNTIF('EL exclusions &amp; gaps'!$B$7:$B$5000,$A107)</f>
        <v/>
      </c>
      <c r="R107" s="77" t="inlineStr">
        <is>
          <t>Not reviewed</t>
        </is>
      </c>
      <c r="S107" s="77" t="inlineStr">
        <is>
          <t>Not reviewed</t>
        </is>
      </c>
      <c r="T107" s="77" t="inlineStr"/>
      <c r="U107" s="77" t="inlineStr"/>
      <c r="V107" s="77" t="inlineStr">
        <is>
          <t>Not reviewed</t>
        </is>
      </c>
      <c r="W107" s="77" t="inlineStr"/>
      <c r="X107" s="77" t="inlineStr"/>
    </row>
    <row r="108">
      <c r="A108" s="77" t="inlineStr">
        <is>
          <t>EU08</t>
        </is>
      </c>
      <c r="B108" s="79" t="inlineStr">
        <is>
          <t>Heidelberg</t>
        </is>
      </c>
      <c r="C108" s="77" t="inlineStr">
        <is>
          <t>Germany</t>
        </is>
      </c>
      <c r="D108" s="77" t="inlineStr">
        <is>
          <t>EU sample</t>
        </is>
      </c>
      <c r="E108" s="77" t="inlineStr">
        <is>
          <t>EU</t>
        </is>
      </c>
      <c r="F108" s="77" t="n">
        <v>2027</v>
      </c>
      <c r="G108" s="77" t="n">
        <v>86</v>
      </c>
      <c r="H108" s="77" t="inlineStr">
        <is>
          <t>Not started</t>
        </is>
      </c>
      <c r="I108" s="77">
        <f>COUNTIFS('EL scheme register'!$A$7:$A$7,$A108,'EL scheme register'!$C$7:$C$7,"University-wide",'EL scheme register'!$AJ$7:$AJ$7,"Yes")</f>
        <v/>
      </c>
      <c r="J108" s="77">
        <f>COUNTIFS('EL scheme register'!$A$7:$A$7,$A108,'EL scheme register'!$C$7:$C$7,"Cross-faculty",'EL scheme register'!$AJ$7:$AJ$7,"Yes")</f>
        <v/>
      </c>
      <c r="K108" s="77">
        <f>COUNTIFS('EL scheme register'!$A$7:$A$7,$A108,'EL scheme register'!$C$7:$C$7,"Faculty/school",'EL scheme register'!$AJ$7:$AJ$7,"Yes")</f>
        <v/>
      </c>
      <c r="L108" s="77">
        <f>COUNTIFS('EL scheme register'!$A$7:$A$7,$A108,'EL scheme register'!$C$7:$C$7,"Programme/course",'EL scheme register'!$AJ$7:$AJ$7,"Yes")</f>
        <v/>
      </c>
      <c r="M108" s="77">
        <f>COUNTIFS('EL scheme register'!$A$7:$A$7,$A108,'EL scheme register'!$C$7:$C$7,"Unclear",'EL scheme register'!$AJ$7:$AJ$7,"Yes")</f>
        <v/>
      </c>
      <c r="N108" s="77">
        <f>SUM(I108:M108)</f>
        <v/>
      </c>
      <c r="O108" s="77">
        <f>COUNTIFS('EL scheme register'!$A$7:$A$7,$A108,'EL scheme register'!$AF$7:$AF$7,"Potentially relevant; evidence incomplete",'EL scheme register'!$AI$7:$AI$7,"Yes")</f>
        <v/>
      </c>
      <c r="P108" s="77">
        <f>COUNTIFS('EL scheme register'!$A$7:$A$7,$A108,'EL scheme register'!$AF$7:$AF$7,"Outside strict definition")</f>
        <v/>
      </c>
      <c r="Q108" s="77">
        <f>COUNTIF('EL exclusions &amp; gaps'!$B$7:$B$5000,$A108)</f>
        <v/>
      </c>
      <c r="R108" s="77" t="inlineStr">
        <is>
          <t>Not reviewed</t>
        </is>
      </c>
      <c r="S108" s="77" t="inlineStr">
        <is>
          <t>Not reviewed</t>
        </is>
      </c>
      <c r="T108" s="77" t="inlineStr"/>
      <c r="U108" s="77" t="inlineStr"/>
      <c r="V108" s="77" t="inlineStr">
        <is>
          <t>Not reviewed</t>
        </is>
      </c>
      <c r="W108" s="77" t="inlineStr"/>
      <c r="X108" s="77" t="inlineStr"/>
    </row>
    <row r="109">
      <c r="A109" s="77" t="inlineStr">
        <is>
          <t>EU09</t>
        </is>
      </c>
      <c r="B109" s="79" t="inlineStr">
        <is>
          <t>RWTH Aachen</t>
        </is>
      </c>
      <c r="C109" s="77" t="inlineStr">
        <is>
          <t>Germany</t>
        </is>
      </c>
      <c r="D109" s="77" t="inlineStr">
        <is>
          <t>EU sample</t>
        </is>
      </c>
      <c r="E109" s="77" t="inlineStr">
        <is>
          <t>EU</t>
        </is>
      </c>
      <c r="F109" s="77" t="n">
        <v>2027</v>
      </c>
      <c r="G109" s="77" t="n">
        <v>104</v>
      </c>
      <c r="H109" s="77" t="inlineStr">
        <is>
          <t>Not started</t>
        </is>
      </c>
      <c r="I109" s="77">
        <f>COUNTIFS('EL scheme register'!$A$7:$A$7,$A109,'EL scheme register'!$C$7:$C$7,"University-wide",'EL scheme register'!$AJ$7:$AJ$7,"Yes")</f>
        <v/>
      </c>
      <c r="J109" s="77">
        <f>COUNTIFS('EL scheme register'!$A$7:$A$7,$A109,'EL scheme register'!$C$7:$C$7,"Cross-faculty",'EL scheme register'!$AJ$7:$AJ$7,"Yes")</f>
        <v/>
      </c>
      <c r="K109" s="77">
        <f>COUNTIFS('EL scheme register'!$A$7:$A$7,$A109,'EL scheme register'!$C$7:$C$7,"Faculty/school",'EL scheme register'!$AJ$7:$AJ$7,"Yes")</f>
        <v/>
      </c>
      <c r="L109" s="77">
        <f>COUNTIFS('EL scheme register'!$A$7:$A$7,$A109,'EL scheme register'!$C$7:$C$7,"Programme/course",'EL scheme register'!$AJ$7:$AJ$7,"Yes")</f>
        <v/>
      </c>
      <c r="M109" s="77">
        <f>COUNTIFS('EL scheme register'!$A$7:$A$7,$A109,'EL scheme register'!$C$7:$C$7,"Unclear",'EL scheme register'!$AJ$7:$AJ$7,"Yes")</f>
        <v/>
      </c>
      <c r="N109" s="77">
        <f>SUM(I109:M109)</f>
        <v/>
      </c>
      <c r="O109" s="77">
        <f>COUNTIFS('EL scheme register'!$A$7:$A$7,$A109,'EL scheme register'!$AF$7:$AF$7,"Potentially relevant; evidence incomplete",'EL scheme register'!$AI$7:$AI$7,"Yes")</f>
        <v/>
      </c>
      <c r="P109" s="77">
        <f>COUNTIFS('EL scheme register'!$A$7:$A$7,$A109,'EL scheme register'!$AF$7:$AF$7,"Outside strict definition")</f>
        <v/>
      </c>
      <c r="Q109" s="77">
        <f>COUNTIF('EL exclusions &amp; gaps'!$B$7:$B$5000,$A109)</f>
        <v/>
      </c>
      <c r="R109" s="77" t="inlineStr">
        <is>
          <t>Not reviewed</t>
        </is>
      </c>
      <c r="S109" s="77" t="inlineStr">
        <is>
          <t>Not reviewed</t>
        </is>
      </c>
      <c r="T109" s="77" t="inlineStr"/>
      <c r="U109" s="77" t="inlineStr"/>
      <c r="V109" s="77" t="inlineStr">
        <is>
          <t>Not reviewed</t>
        </is>
      </c>
      <c r="W109" s="77" t="inlineStr"/>
      <c r="X109" s="77" t="inlineStr"/>
    </row>
    <row r="110">
      <c r="A110" s="77" t="inlineStr">
        <is>
          <t>EU10</t>
        </is>
      </c>
      <c r="B110" s="79" t="inlineStr">
        <is>
          <t>Karlsruhe Institute of Technology</t>
        </is>
      </c>
      <c r="C110" s="77" t="inlineStr">
        <is>
          <t>Germany</t>
        </is>
      </c>
      <c r="D110" s="77" t="inlineStr">
        <is>
          <t>EU sample</t>
        </is>
      </c>
      <c r="E110" s="77" t="inlineStr">
        <is>
          <t>EU</t>
        </is>
      </c>
      <c r="F110" s="77" t="n">
        <v>2027</v>
      </c>
      <c r="G110" s="77" t="n">
        <v>110</v>
      </c>
      <c r="H110" s="77" t="inlineStr">
        <is>
          <t>Not started</t>
        </is>
      </c>
      <c r="I110" s="77">
        <f>COUNTIFS('EL scheme register'!$A$7:$A$7,$A110,'EL scheme register'!$C$7:$C$7,"University-wide",'EL scheme register'!$AJ$7:$AJ$7,"Yes")</f>
        <v/>
      </c>
      <c r="J110" s="77">
        <f>COUNTIFS('EL scheme register'!$A$7:$A$7,$A110,'EL scheme register'!$C$7:$C$7,"Cross-faculty",'EL scheme register'!$AJ$7:$AJ$7,"Yes")</f>
        <v/>
      </c>
      <c r="K110" s="77">
        <f>COUNTIFS('EL scheme register'!$A$7:$A$7,$A110,'EL scheme register'!$C$7:$C$7,"Faculty/school",'EL scheme register'!$AJ$7:$AJ$7,"Yes")</f>
        <v/>
      </c>
      <c r="L110" s="77">
        <f>COUNTIFS('EL scheme register'!$A$7:$A$7,$A110,'EL scheme register'!$C$7:$C$7,"Programme/course",'EL scheme register'!$AJ$7:$AJ$7,"Yes")</f>
        <v/>
      </c>
      <c r="M110" s="77">
        <f>COUNTIFS('EL scheme register'!$A$7:$A$7,$A110,'EL scheme register'!$C$7:$C$7,"Unclear",'EL scheme register'!$AJ$7:$AJ$7,"Yes")</f>
        <v/>
      </c>
      <c r="N110" s="77">
        <f>SUM(I110:M110)</f>
        <v/>
      </c>
      <c r="O110" s="77">
        <f>COUNTIFS('EL scheme register'!$A$7:$A$7,$A110,'EL scheme register'!$AF$7:$AF$7,"Potentially relevant; evidence incomplete",'EL scheme register'!$AI$7:$AI$7,"Yes")</f>
        <v/>
      </c>
      <c r="P110" s="77">
        <f>COUNTIFS('EL scheme register'!$A$7:$A$7,$A110,'EL scheme register'!$AF$7:$AF$7,"Outside strict definition")</f>
        <v/>
      </c>
      <c r="Q110" s="77">
        <f>COUNTIF('EL exclusions &amp; gaps'!$B$7:$B$5000,$A110)</f>
        <v/>
      </c>
      <c r="R110" s="77" t="inlineStr">
        <is>
          <t>Not reviewed</t>
        </is>
      </c>
      <c r="S110" s="77" t="inlineStr">
        <is>
          <t>Not reviewed</t>
        </is>
      </c>
      <c r="T110" s="77" t="inlineStr"/>
      <c r="U110" s="77" t="inlineStr"/>
      <c r="V110" s="77" t="inlineStr">
        <is>
          <t>Not reviewed</t>
        </is>
      </c>
      <c r="W110" s="77" t="inlineStr"/>
      <c r="X110" s="77" t="inlineStr"/>
    </row>
    <row r="111">
      <c r="A111" s="77" t="inlineStr">
        <is>
          <t>EU11</t>
        </is>
      </c>
      <c r="B111" s="79" t="inlineStr">
        <is>
          <t>Humboldt Berlin</t>
        </is>
      </c>
      <c r="C111" s="77" t="inlineStr">
        <is>
          <t>Germany</t>
        </is>
      </c>
      <c r="D111" s="77" t="inlineStr">
        <is>
          <t>EU sample</t>
        </is>
      </c>
      <c r="E111" s="77" t="inlineStr">
        <is>
          <t>EU</t>
        </is>
      </c>
      <c r="F111" s="77" t="n">
        <v>2027</v>
      </c>
      <c r="G111" s="77" t="n">
        <v>140</v>
      </c>
      <c r="H111" s="77" t="inlineStr">
        <is>
          <t>Not started</t>
        </is>
      </c>
      <c r="I111" s="77">
        <f>COUNTIFS('EL scheme register'!$A$7:$A$7,$A111,'EL scheme register'!$C$7:$C$7,"University-wide",'EL scheme register'!$AJ$7:$AJ$7,"Yes")</f>
        <v/>
      </c>
      <c r="J111" s="77">
        <f>COUNTIFS('EL scheme register'!$A$7:$A$7,$A111,'EL scheme register'!$C$7:$C$7,"Cross-faculty",'EL scheme register'!$AJ$7:$AJ$7,"Yes")</f>
        <v/>
      </c>
      <c r="K111" s="77">
        <f>COUNTIFS('EL scheme register'!$A$7:$A$7,$A111,'EL scheme register'!$C$7:$C$7,"Faculty/school",'EL scheme register'!$AJ$7:$AJ$7,"Yes")</f>
        <v/>
      </c>
      <c r="L111" s="77">
        <f>COUNTIFS('EL scheme register'!$A$7:$A$7,$A111,'EL scheme register'!$C$7:$C$7,"Programme/course",'EL scheme register'!$AJ$7:$AJ$7,"Yes")</f>
        <v/>
      </c>
      <c r="M111" s="77">
        <f>COUNTIFS('EL scheme register'!$A$7:$A$7,$A111,'EL scheme register'!$C$7:$C$7,"Unclear",'EL scheme register'!$AJ$7:$AJ$7,"Yes")</f>
        <v/>
      </c>
      <c r="N111" s="77">
        <f>SUM(I111:M111)</f>
        <v/>
      </c>
      <c r="O111" s="77">
        <f>COUNTIFS('EL scheme register'!$A$7:$A$7,$A111,'EL scheme register'!$AF$7:$AF$7,"Potentially relevant; evidence incomplete",'EL scheme register'!$AI$7:$AI$7,"Yes")</f>
        <v/>
      </c>
      <c r="P111" s="77">
        <f>COUNTIFS('EL scheme register'!$A$7:$A$7,$A111,'EL scheme register'!$AF$7:$AF$7,"Outside strict definition")</f>
        <v/>
      </c>
      <c r="Q111" s="77">
        <f>COUNTIF('EL exclusions &amp; gaps'!$B$7:$B$5000,$A111)</f>
        <v/>
      </c>
      <c r="R111" s="77" t="inlineStr">
        <is>
          <t>Not reviewed</t>
        </is>
      </c>
      <c r="S111" s="77" t="inlineStr">
        <is>
          <t>Not reviewed</t>
        </is>
      </c>
      <c r="T111" s="77" t="inlineStr"/>
      <c r="U111" s="77" t="inlineStr"/>
      <c r="V111" s="77" t="inlineStr">
        <is>
          <t>Not reviewed</t>
        </is>
      </c>
      <c r="W111" s="77" t="inlineStr"/>
      <c r="X111" s="77" t="inlineStr"/>
    </row>
    <row r="112">
      <c r="A112" s="77" t="inlineStr">
        <is>
          <t>EU12</t>
        </is>
      </c>
      <c r="B112" s="79" t="inlineStr">
        <is>
          <t>Delft University of Technology</t>
        </is>
      </c>
      <c r="C112" s="77" t="inlineStr">
        <is>
          <t>Netherlands</t>
        </is>
      </c>
      <c r="D112" s="77" t="inlineStr">
        <is>
          <t>EU sample</t>
        </is>
      </c>
      <c r="E112" s="77" t="inlineStr">
        <is>
          <t>EU</t>
        </is>
      </c>
      <c r="F112" s="77" t="n">
        <v>2027</v>
      </c>
      <c r="G112" s="77" t="n">
        <v>48</v>
      </c>
      <c r="H112" s="77" t="inlineStr">
        <is>
          <t>Not started</t>
        </is>
      </c>
      <c r="I112" s="77">
        <f>COUNTIFS('EL scheme register'!$A$7:$A$7,$A112,'EL scheme register'!$C$7:$C$7,"University-wide",'EL scheme register'!$AJ$7:$AJ$7,"Yes")</f>
        <v/>
      </c>
      <c r="J112" s="77">
        <f>COUNTIFS('EL scheme register'!$A$7:$A$7,$A112,'EL scheme register'!$C$7:$C$7,"Cross-faculty",'EL scheme register'!$AJ$7:$AJ$7,"Yes")</f>
        <v/>
      </c>
      <c r="K112" s="77">
        <f>COUNTIFS('EL scheme register'!$A$7:$A$7,$A112,'EL scheme register'!$C$7:$C$7,"Faculty/school",'EL scheme register'!$AJ$7:$AJ$7,"Yes")</f>
        <v/>
      </c>
      <c r="L112" s="77">
        <f>COUNTIFS('EL scheme register'!$A$7:$A$7,$A112,'EL scheme register'!$C$7:$C$7,"Programme/course",'EL scheme register'!$AJ$7:$AJ$7,"Yes")</f>
        <v/>
      </c>
      <c r="M112" s="77">
        <f>COUNTIFS('EL scheme register'!$A$7:$A$7,$A112,'EL scheme register'!$C$7:$C$7,"Unclear",'EL scheme register'!$AJ$7:$AJ$7,"Yes")</f>
        <v/>
      </c>
      <c r="N112" s="77">
        <f>SUM(I112:M112)</f>
        <v/>
      </c>
      <c r="O112" s="77">
        <f>COUNTIFS('EL scheme register'!$A$7:$A$7,$A112,'EL scheme register'!$AF$7:$AF$7,"Potentially relevant; evidence incomplete",'EL scheme register'!$AI$7:$AI$7,"Yes")</f>
        <v/>
      </c>
      <c r="P112" s="77">
        <f>COUNTIFS('EL scheme register'!$A$7:$A$7,$A112,'EL scheme register'!$AF$7:$AF$7,"Outside strict definition")</f>
        <v/>
      </c>
      <c r="Q112" s="77">
        <f>COUNTIF('EL exclusions &amp; gaps'!$B$7:$B$5000,$A112)</f>
        <v/>
      </c>
      <c r="R112" s="77" t="inlineStr">
        <is>
          <t>Not reviewed</t>
        </is>
      </c>
      <c r="S112" s="77" t="inlineStr">
        <is>
          <t>Not reviewed</t>
        </is>
      </c>
      <c r="T112" s="77" t="inlineStr"/>
      <c r="U112" s="77" t="inlineStr"/>
      <c r="V112" s="77" t="inlineStr">
        <is>
          <t>Not reviewed</t>
        </is>
      </c>
      <c r="W112" s="77" t="inlineStr"/>
      <c r="X112" s="77" t="inlineStr"/>
    </row>
    <row r="113">
      <c r="A113" s="77" t="inlineStr">
        <is>
          <t>EU13</t>
        </is>
      </c>
      <c r="B113" s="79" t="inlineStr">
        <is>
          <t>Amsterdam</t>
        </is>
      </c>
      <c r="C113" s="77" t="inlineStr">
        <is>
          <t>Netherlands</t>
        </is>
      </c>
      <c r="D113" s="77" t="inlineStr">
        <is>
          <t>EU sample</t>
        </is>
      </c>
      <c r="E113" s="77" t="inlineStr">
        <is>
          <t>EU</t>
        </is>
      </c>
      <c r="F113" s="77" t="n">
        <v>2027</v>
      </c>
      <c r="G113" s="77" t="n">
        <v>60</v>
      </c>
      <c r="H113" s="77" t="inlineStr">
        <is>
          <t>Not started</t>
        </is>
      </c>
      <c r="I113" s="77">
        <f>COUNTIFS('EL scheme register'!$A$7:$A$7,$A113,'EL scheme register'!$C$7:$C$7,"University-wide",'EL scheme register'!$AJ$7:$AJ$7,"Yes")</f>
        <v/>
      </c>
      <c r="J113" s="77">
        <f>COUNTIFS('EL scheme register'!$A$7:$A$7,$A113,'EL scheme register'!$C$7:$C$7,"Cross-faculty",'EL scheme register'!$AJ$7:$AJ$7,"Yes")</f>
        <v/>
      </c>
      <c r="K113" s="77">
        <f>COUNTIFS('EL scheme register'!$A$7:$A$7,$A113,'EL scheme register'!$C$7:$C$7,"Faculty/school",'EL scheme register'!$AJ$7:$AJ$7,"Yes")</f>
        <v/>
      </c>
      <c r="L113" s="77">
        <f>COUNTIFS('EL scheme register'!$A$7:$A$7,$A113,'EL scheme register'!$C$7:$C$7,"Programme/course",'EL scheme register'!$AJ$7:$AJ$7,"Yes")</f>
        <v/>
      </c>
      <c r="M113" s="77">
        <f>COUNTIFS('EL scheme register'!$A$7:$A$7,$A113,'EL scheme register'!$C$7:$C$7,"Unclear",'EL scheme register'!$AJ$7:$AJ$7,"Yes")</f>
        <v/>
      </c>
      <c r="N113" s="77">
        <f>SUM(I113:M113)</f>
        <v/>
      </c>
      <c r="O113" s="77">
        <f>COUNTIFS('EL scheme register'!$A$7:$A$7,$A113,'EL scheme register'!$AF$7:$AF$7,"Potentially relevant; evidence incomplete",'EL scheme register'!$AI$7:$AI$7,"Yes")</f>
        <v/>
      </c>
      <c r="P113" s="77">
        <f>COUNTIFS('EL scheme register'!$A$7:$A$7,$A113,'EL scheme register'!$AF$7:$AF$7,"Outside strict definition")</f>
        <v/>
      </c>
      <c r="Q113" s="77">
        <f>COUNTIF('EL exclusions &amp; gaps'!$B$7:$B$5000,$A113)</f>
        <v/>
      </c>
      <c r="R113" s="77" t="inlineStr">
        <is>
          <t>Not reviewed</t>
        </is>
      </c>
      <c r="S113" s="77" t="inlineStr">
        <is>
          <t>Not reviewed</t>
        </is>
      </c>
      <c r="T113" s="77" t="inlineStr"/>
      <c r="U113" s="77" t="inlineStr"/>
      <c r="V113" s="77" t="inlineStr">
        <is>
          <t>Not reviewed</t>
        </is>
      </c>
      <c r="W113" s="77" t="inlineStr"/>
      <c r="X113" s="77" t="inlineStr"/>
    </row>
    <row r="114">
      <c r="A114" s="77" t="inlineStr">
        <is>
          <t>EU14</t>
        </is>
      </c>
      <c r="B114" s="79" t="inlineStr">
        <is>
          <t>Utrecht</t>
        </is>
      </c>
      <c r="C114" s="77" t="inlineStr">
        <is>
          <t>Netherlands</t>
        </is>
      </c>
      <c r="D114" s="77" t="inlineStr">
        <is>
          <t>EU sample</t>
        </is>
      </c>
      <c r="E114" s="77" t="inlineStr">
        <is>
          <t>EU</t>
        </is>
      </c>
      <c r="F114" s="77" t="n">
        <v>2027</v>
      </c>
      <c r="G114" s="77" t="n">
        <v>113</v>
      </c>
      <c r="H114" s="77" t="inlineStr">
        <is>
          <t>Not started</t>
        </is>
      </c>
      <c r="I114" s="77">
        <f>COUNTIFS('EL scheme register'!$A$7:$A$7,$A114,'EL scheme register'!$C$7:$C$7,"University-wide",'EL scheme register'!$AJ$7:$AJ$7,"Yes")</f>
        <v/>
      </c>
      <c r="J114" s="77">
        <f>COUNTIFS('EL scheme register'!$A$7:$A$7,$A114,'EL scheme register'!$C$7:$C$7,"Cross-faculty",'EL scheme register'!$AJ$7:$AJ$7,"Yes")</f>
        <v/>
      </c>
      <c r="K114" s="77">
        <f>COUNTIFS('EL scheme register'!$A$7:$A$7,$A114,'EL scheme register'!$C$7:$C$7,"Faculty/school",'EL scheme register'!$AJ$7:$AJ$7,"Yes")</f>
        <v/>
      </c>
      <c r="L114" s="77">
        <f>COUNTIFS('EL scheme register'!$A$7:$A$7,$A114,'EL scheme register'!$C$7:$C$7,"Programme/course",'EL scheme register'!$AJ$7:$AJ$7,"Yes")</f>
        <v/>
      </c>
      <c r="M114" s="77">
        <f>COUNTIFS('EL scheme register'!$A$7:$A$7,$A114,'EL scheme register'!$C$7:$C$7,"Unclear",'EL scheme register'!$AJ$7:$AJ$7,"Yes")</f>
        <v/>
      </c>
      <c r="N114" s="77">
        <f>SUM(I114:M114)</f>
        <v/>
      </c>
      <c r="O114" s="77">
        <f>COUNTIFS('EL scheme register'!$A$7:$A$7,$A114,'EL scheme register'!$AF$7:$AF$7,"Potentially relevant; evidence incomplete",'EL scheme register'!$AI$7:$AI$7,"Yes")</f>
        <v/>
      </c>
      <c r="P114" s="77">
        <f>COUNTIFS('EL scheme register'!$A$7:$A$7,$A114,'EL scheme register'!$AF$7:$AF$7,"Outside strict definition")</f>
        <v/>
      </c>
      <c r="Q114" s="77">
        <f>COUNTIF('EL exclusions &amp; gaps'!$B$7:$B$5000,$A114)</f>
        <v/>
      </c>
      <c r="R114" s="77" t="inlineStr">
        <is>
          <t>Not reviewed</t>
        </is>
      </c>
      <c r="S114" s="77" t="inlineStr">
        <is>
          <t>Not reviewed</t>
        </is>
      </c>
      <c r="T114" s="77" t="inlineStr"/>
      <c r="U114" s="77" t="inlineStr"/>
      <c r="V114" s="77" t="inlineStr">
        <is>
          <t>Not reviewed</t>
        </is>
      </c>
      <c r="W114" s="77" t="inlineStr"/>
      <c r="X114" s="77" t="inlineStr"/>
    </row>
    <row r="115">
      <c r="A115" s="77" t="inlineStr">
        <is>
          <t>EU15</t>
        </is>
      </c>
      <c r="B115" s="79" t="inlineStr">
        <is>
          <t>Leiden</t>
        </is>
      </c>
      <c r="C115" s="77" t="inlineStr">
        <is>
          <t>Netherlands</t>
        </is>
      </c>
      <c r="D115" s="77" t="inlineStr">
        <is>
          <t>EU sample</t>
        </is>
      </c>
      <c r="E115" s="77" t="inlineStr">
        <is>
          <t>EU</t>
        </is>
      </c>
      <c r="F115" s="77" t="n">
        <v>2027</v>
      </c>
      <c r="G115" s="77" t="n">
        <v>119</v>
      </c>
      <c r="H115" s="77" t="inlineStr">
        <is>
          <t>Not started</t>
        </is>
      </c>
      <c r="I115" s="77">
        <f>COUNTIFS('EL scheme register'!$A$7:$A$7,$A115,'EL scheme register'!$C$7:$C$7,"University-wide",'EL scheme register'!$AJ$7:$AJ$7,"Yes")</f>
        <v/>
      </c>
      <c r="J115" s="77">
        <f>COUNTIFS('EL scheme register'!$A$7:$A$7,$A115,'EL scheme register'!$C$7:$C$7,"Cross-faculty",'EL scheme register'!$AJ$7:$AJ$7,"Yes")</f>
        <v/>
      </c>
      <c r="K115" s="77">
        <f>COUNTIFS('EL scheme register'!$A$7:$A$7,$A115,'EL scheme register'!$C$7:$C$7,"Faculty/school",'EL scheme register'!$AJ$7:$AJ$7,"Yes")</f>
        <v/>
      </c>
      <c r="L115" s="77">
        <f>COUNTIFS('EL scheme register'!$A$7:$A$7,$A115,'EL scheme register'!$C$7:$C$7,"Programme/course",'EL scheme register'!$AJ$7:$AJ$7,"Yes")</f>
        <v/>
      </c>
      <c r="M115" s="77">
        <f>COUNTIFS('EL scheme register'!$A$7:$A$7,$A115,'EL scheme register'!$C$7:$C$7,"Unclear",'EL scheme register'!$AJ$7:$AJ$7,"Yes")</f>
        <v/>
      </c>
      <c r="N115" s="77">
        <f>SUM(I115:M115)</f>
        <v/>
      </c>
      <c r="O115" s="77">
        <f>COUNTIFS('EL scheme register'!$A$7:$A$7,$A115,'EL scheme register'!$AF$7:$AF$7,"Potentially relevant; evidence incomplete",'EL scheme register'!$AI$7:$AI$7,"Yes")</f>
        <v/>
      </c>
      <c r="P115" s="77">
        <f>COUNTIFS('EL scheme register'!$A$7:$A$7,$A115,'EL scheme register'!$AF$7:$AF$7,"Outside strict definition")</f>
        <v/>
      </c>
      <c r="Q115" s="77">
        <f>COUNTIF('EL exclusions &amp; gaps'!$B$7:$B$5000,$A115)</f>
        <v/>
      </c>
      <c r="R115" s="77" t="inlineStr">
        <is>
          <t>Not reviewed</t>
        </is>
      </c>
      <c r="S115" s="77" t="inlineStr">
        <is>
          <t>Not reviewed</t>
        </is>
      </c>
      <c r="T115" s="77" t="inlineStr"/>
      <c r="U115" s="77" t="inlineStr"/>
      <c r="V115" s="77" t="inlineStr">
        <is>
          <t>Not reviewed</t>
        </is>
      </c>
      <c r="W115" s="77" t="inlineStr"/>
      <c r="X115" s="77" t="inlineStr"/>
    </row>
    <row r="116">
      <c r="A116" s="77" t="inlineStr">
        <is>
          <t>EU16</t>
        </is>
      </c>
      <c r="B116" s="79" t="inlineStr">
        <is>
          <t>Wageningen</t>
        </is>
      </c>
      <c r="C116" s="77" t="inlineStr">
        <is>
          <t>Netherlands</t>
        </is>
      </c>
      <c r="D116" s="77" t="inlineStr">
        <is>
          <t>EU sample</t>
        </is>
      </c>
      <c r="E116" s="77" t="inlineStr">
        <is>
          <t>EU</t>
        </is>
      </c>
      <c r="F116" s="77" t="n">
        <v>2027</v>
      </c>
      <c r="G116" s="77" t="n">
        <v>154</v>
      </c>
      <c r="H116" s="77" t="inlineStr">
        <is>
          <t>Not started</t>
        </is>
      </c>
      <c r="I116" s="77">
        <f>COUNTIFS('EL scheme register'!$A$7:$A$7,$A116,'EL scheme register'!$C$7:$C$7,"University-wide",'EL scheme register'!$AJ$7:$AJ$7,"Yes")</f>
        <v/>
      </c>
      <c r="J116" s="77">
        <f>COUNTIFS('EL scheme register'!$A$7:$A$7,$A116,'EL scheme register'!$C$7:$C$7,"Cross-faculty",'EL scheme register'!$AJ$7:$AJ$7,"Yes")</f>
        <v/>
      </c>
      <c r="K116" s="77">
        <f>COUNTIFS('EL scheme register'!$A$7:$A$7,$A116,'EL scheme register'!$C$7:$C$7,"Faculty/school",'EL scheme register'!$AJ$7:$AJ$7,"Yes")</f>
        <v/>
      </c>
      <c r="L116" s="77">
        <f>COUNTIFS('EL scheme register'!$A$7:$A$7,$A116,'EL scheme register'!$C$7:$C$7,"Programme/course",'EL scheme register'!$AJ$7:$AJ$7,"Yes")</f>
        <v/>
      </c>
      <c r="M116" s="77">
        <f>COUNTIFS('EL scheme register'!$A$7:$A$7,$A116,'EL scheme register'!$C$7:$C$7,"Unclear",'EL scheme register'!$AJ$7:$AJ$7,"Yes")</f>
        <v/>
      </c>
      <c r="N116" s="77">
        <f>SUM(I116:M116)</f>
        <v/>
      </c>
      <c r="O116" s="77">
        <f>COUNTIFS('EL scheme register'!$A$7:$A$7,$A116,'EL scheme register'!$AF$7:$AF$7,"Potentially relevant; evidence incomplete",'EL scheme register'!$AI$7:$AI$7,"Yes")</f>
        <v/>
      </c>
      <c r="P116" s="77">
        <f>COUNTIFS('EL scheme register'!$A$7:$A$7,$A116,'EL scheme register'!$AF$7:$AF$7,"Outside strict definition")</f>
        <v/>
      </c>
      <c r="Q116" s="77">
        <f>COUNTIF('EL exclusions &amp; gaps'!$B$7:$B$5000,$A116)</f>
        <v/>
      </c>
      <c r="R116" s="77" t="inlineStr">
        <is>
          <t>Not reviewed</t>
        </is>
      </c>
      <c r="S116" s="77" t="inlineStr">
        <is>
          <t>Not reviewed</t>
        </is>
      </c>
      <c r="T116" s="77" t="inlineStr"/>
      <c r="U116" s="77" t="inlineStr"/>
      <c r="V116" s="77" t="inlineStr">
        <is>
          <t>Not reviewed</t>
        </is>
      </c>
      <c r="W116" s="77" t="inlineStr"/>
      <c r="X116" s="77" t="inlineStr"/>
    </row>
    <row r="117">
      <c r="A117" s="77" t="inlineStr">
        <is>
          <t>EU17</t>
        </is>
      </c>
      <c r="B117" s="79" t="inlineStr">
        <is>
          <t>KU Leuven</t>
        </is>
      </c>
      <c r="C117" s="77" t="inlineStr">
        <is>
          <t>Belgium</t>
        </is>
      </c>
      <c r="D117" s="77" t="inlineStr">
        <is>
          <t>EU sample</t>
        </is>
      </c>
      <c r="E117" s="77" t="inlineStr">
        <is>
          <t>EU</t>
        </is>
      </c>
      <c r="F117" s="77" t="n">
        <v>2027</v>
      </c>
      <c r="G117" s="77" t="n">
        <v>59</v>
      </c>
      <c r="H117" s="77" t="inlineStr">
        <is>
          <t>Not started</t>
        </is>
      </c>
      <c r="I117" s="77">
        <f>COUNTIFS('EL scheme register'!$A$7:$A$7,$A117,'EL scheme register'!$C$7:$C$7,"University-wide",'EL scheme register'!$AJ$7:$AJ$7,"Yes")</f>
        <v/>
      </c>
      <c r="J117" s="77">
        <f>COUNTIFS('EL scheme register'!$A$7:$A$7,$A117,'EL scheme register'!$C$7:$C$7,"Cross-faculty",'EL scheme register'!$AJ$7:$AJ$7,"Yes")</f>
        <v/>
      </c>
      <c r="K117" s="77">
        <f>COUNTIFS('EL scheme register'!$A$7:$A$7,$A117,'EL scheme register'!$C$7:$C$7,"Faculty/school",'EL scheme register'!$AJ$7:$AJ$7,"Yes")</f>
        <v/>
      </c>
      <c r="L117" s="77">
        <f>COUNTIFS('EL scheme register'!$A$7:$A$7,$A117,'EL scheme register'!$C$7:$C$7,"Programme/course",'EL scheme register'!$AJ$7:$AJ$7,"Yes")</f>
        <v/>
      </c>
      <c r="M117" s="77">
        <f>COUNTIFS('EL scheme register'!$A$7:$A$7,$A117,'EL scheme register'!$C$7:$C$7,"Unclear",'EL scheme register'!$AJ$7:$AJ$7,"Yes")</f>
        <v/>
      </c>
      <c r="N117" s="77">
        <f>SUM(I117:M117)</f>
        <v/>
      </c>
      <c r="O117" s="77">
        <f>COUNTIFS('EL scheme register'!$A$7:$A$7,$A117,'EL scheme register'!$AF$7:$AF$7,"Potentially relevant; evidence incomplete",'EL scheme register'!$AI$7:$AI$7,"Yes")</f>
        <v/>
      </c>
      <c r="P117" s="77">
        <f>COUNTIFS('EL scheme register'!$A$7:$A$7,$A117,'EL scheme register'!$AF$7:$AF$7,"Outside strict definition")</f>
        <v/>
      </c>
      <c r="Q117" s="77">
        <f>COUNTIF('EL exclusions &amp; gaps'!$B$7:$B$5000,$A117)</f>
        <v/>
      </c>
      <c r="R117" s="77" t="inlineStr">
        <is>
          <t>Not reviewed</t>
        </is>
      </c>
      <c r="S117" s="77" t="inlineStr">
        <is>
          <t>Not reviewed</t>
        </is>
      </c>
      <c r="T117" s="77" t="inlineStr"/>
      <c r="U117" s="77" t="inlineStr"/>
      <c r="V117" s="77" t="inlineStr">
        <is>
          <t>Not reviewed</t>
        </is>
      </c>
      <c r="W117" s="77" t="inlineStr"/>
      <c r="X117" s="77" t="inlineStr"/>
    </row>
    <row r="118">
      <c r="A118" s="77" t="inlineStr">
        <is>
          <t>EU18</t>
        </is>
      </c>
      <c r="B118" s="79" t="inlineStr">
        <is>
          <t>Ghent</t>
        </is>
      </c>
      <c r="C118" s="77" t="inlineStr">
        <is>
          <t>Belgium</t>
        </is>
      </c>
      <c r="D118" s="77" t="inlineStr">
        <is>
          <t>EU sample</t>
        </is>
      </c>
      <c r="E118" s="77" t="inlineStr">
        <is>
          <t>EU</t>
        </is>
      </c>
      <c r="F118" s="77" t="n">
        <v>2027</v>
      </c>
      <c r="G118" s="77" t="n">
        <v>150</v>
      </c>
      <c r="H118" s="77" t="inlineStr">
        <is>
          <t>Not started</t>
        </is>
      </c>
      <c r="I118" s="77">
        <f>COUNTIFS('EL scheme register'!$A$7:$A$7,$A118,'EL scheme register'!$C$7:$C$7,"University-wide",'EL scheme register'!$AJ$7:$AJ$7,"Yes")</f>
        <v/>
      </c>
      <c r="J118" s="77">
        <f>COUNTIFS('EL scheme register'!$A$7:$A$7,$A118,'EL scheme register'!$C$7:$C$7,"Cross-faculty",'EL scheme register'!$AJ$7:$AJ$7,"Yes")</f>
        <v/>
      </c>
      <c r="K118" s="77">
        <f>COUNTIFS('EL scheme register'!$A$7:$A$7,$A118,'EL scheme register'!$C$7:$C$7,"Faculty/school",'EL scheme register'!$AJ$7:$AJ$7,"Yes")</f>
        <v/>
      </c>
      <c r="L118" s="77">
        <f>COUNTIFS('EL scheme register'!$A$7:$A$7,$A118,'EL scheme register'!$C$7:$C$7,"Programme/course",'EL scheme register'!$AJ$7:$AJ$7,"Yes")</f>
        <v/>
      </c>
      <c r="M118" s="77">
        <f>COUNTIFS('EL scheme register'!$A$7:$A$7,$A118,'EL scheme register'!$C$7:$C$7,"Unclear",'EL scheme register'!$AJ$7:$AJ$7,"Yes")</f>
        <v/>
      </c>
      <c r="N118" s="77">
        <f>SUM(I118:M118)</f>
        <v/>
      </c>
      <c r="O118" s="77">
        <f>COUNTIFS('EL scheme register'!$A$7:$A$7,$A118,'EL scheme register'!$AF$7:$AF$7,"Potentially relevant; evidence incomplete",'EL scheme register'!$AI$7:$AI$7,"Yes")</f>
        <v/>
      </c>
      <c r="P118" s="77">
        <f>COUNTIFS('EL scheme register'!$A$7:$A$7,$A118,'EL scheme register'!$AF$7:$AF$7,"Outside strict definition")</f>
        <v/>
      </c>
      <c r="Q118" s="77">
        <f>COUNTIF('EL exclusions &amp; gaps'!$B$7:$B$5000,$A118)</f>
        <v/>
      </c>
      <c r="R118" s="77" t="inlineStr">
        <is>
          <t>Not reviewed</t>
        </is>
      </c>
      <c r="S118" s="77" t="inlineStr">
        <is>
          <t>Not reviewed</t>
        </is>
      </c>
      <c r="T118" s="77" t="inlineStr"/>
      <c r="U118" s="77" t="inlineStr"/>
      <c r="V118" s="77" t="inlineStr">
        <is>
          <t>Not reviewed</t>
        </is>
      </c>
      <c r="W118" s="77" t="inlineStr"/>
      <c r="X118" s="77" t="inlineStr"/>
    </row>
    <row r="119">
      <c r="A119" s="77" t="inlineStr">
        <is>
          <t>EU19</t>
        </is>
      </c>
      <c r="B119" s="79" t="inlineStr">
        <is>
          <t>Trinity College Dublin</t>
        </is>
      </c>
      <c r="C119" s="77" t="inlineStr">
        <is>
          <t>Ireland</t>
        </is>
      </c>
      <c r="D119" s="77" t="inlineStr">
        <is>
          <t>EU sample</t>
        </is>
      </c>
      <c r="E119" s="77" t="inlineStr">
        <is>
          <t>EU</t>
        </is>
      </c>
      <c r="F119" s="77" t="n">
        <v>2027</v>
      </c>
      <c r="G119" s="77" t="n">
        <v>75</v>
      </c>
      <c r="H119" s="77" t="inlineStr">
        <is>
          <t>Not started</t>
        </is>
      </c>
      <c r="I119" s="77">
        <f>COUNTIFS('EL scheme register'!$A$7:$A$7,$A119,'EL scheme register'!$C$7:$C$7,"University-wide",'EL scheme register'!$AJ$7:$AJ$7,"Yes")</f>
        <v/>
      </c>
      <c r="J119" s="77">
        <f>COUNTIFS('EL scheme register'!$A$7:$A$7,$A119,'EL scheme register'!$C$7:$C$7,"Cross-faculty",'EL scheme register'!$AJ$7:$AJ$7,"Yes")</f>
        <v/>
      </c>
      <c r="K119" s="77">
        <f>COUNTIFS('EL scheme register'!$A$7:$A$7,$A119,'EL scheme register'!$C$7:$C$7,"Faculty/school",'EL scheme register'!$AJ$7:$AJ$7,"Yes")</f>
        <v/>
      </c>
      <c r="L119" s="77">
        <f>COUNTIFS('EL scheme register'!$A$7:$A$7,$A119,'EL scheme register'!$C$7:$C$7,"Programme/course",'EL scheme register'!$AJ$7:$AJ$7,"Yes")</f>
        <v/>
      </c>
      <c r="M119" s="77">
        <f>COUNTIFS('EL scheme register'!$A$7:$A$7,$A119,'EL scheme register'!$C$7:$C$7,"Unclear",'EL scheme register'!$AJ$7:$AJ$7,"Yes")</f>
        <v/>
      </c>
      <c r="N119" s="77">
        <f>SUM(I119:M119)</f>
        <v/>
      </c>
      <c r="O119" s="77">
        <f>COUNTIFS('EL scheme register'!$A$7:$A$7,$A119,'EL scheme register'!$AF$7:$AF$7,"Potentially relevant; evidence incomplete",'EL scheme register'!$AI$7:$AI$7,"Yes")</f>
        <v/>
      </c>
      <c r="P119" s="77">
        <f>COUNTIFS('EL scheme register'!$A$7:$A$7,$A119,'EL scheme register'!$AF$7:$AF$7,"Outside strict definition")</f>
        <v/>
      </c>
      <c r="Q119" s="77">
        <f>COUNTIF('EL exclusions &amp; gaps'!$B$7:$B$5000,$A119)</f>
        <v/>
      </c>
      <c r="R119" s="77" t="inlineStr">
        <is>
          <t>Not reviewed</t>
        </is>
      </c>
      <c r="S119" s="77" t="inlineStr">
        <is>
          <t>Not reviewed</t>
        </is>
      </c>
      <c r="T119" s="77" t="inlineStr"/>
      <c r="U119" s="77" t="inlineStr"/>
      <c r="V119" s="77" t="inlineStr">
        <is>
          <t>Not reviewed</t>
        </is>
      </c>
      <c r="W119" s="77" t="inlineStr"/>
      <c r="X119" s="77" t="inlineStr"/>
    </row>
    <row r="120">
      <c r="A120" s="77" t="inlineStr">
        <is>
          <t>EU20</t>
        </is>
      </c>
      <c r="B120" s="79" t="inlineStr">
        <is>
          <t>University College Dublin</t>
        </is>
      </c>
      <c r="C120" s="77" t="inlineStr">
        <is>
          <t>Ireland</t>
        </is>
      </c>
      <c r="D120" s="77" t="inlineStr">
        <is>
          <t>EU sample</t>
        </is>
      </c>
      <c r="E120" s="77" t="inlineStr">
        <is>
          <t>EU</t>
        </is>
      </c>
      <c r="F120" s="77" t="n">
        <v>2027</v>
      </c>
      <c r="G120" s="77" t="n">
        <v>100</v>
      </c>
      <c r="H120" s="77" t="inlineStr">
        <is>
          <t>Not started</t>
        </is>
      </c>
      <c r="I120" s="77">
        <f>COUNTIFS('EL scheme register'!$A$7:$A$7,$A120,'EL scheme register'!$C$7:$C$7,"University-wide",'EL scheme register'!$AJ$7:$AJ$7,"Yes")</f>
        <v/>
      </c>
      <c r="J120" s="77">
        <f>COUNTIFS('EL scheme register'!$A$7:$A$7,$A120,'EL scheme register'!$C$7:$C$7,"Cross-faculty",'EL scheme register'!$AJ$7:$AJ$7,"Yes")</f>
        <v/>
      </c>
      <c r="K120" s="77">
        <f>COUNTIFS('EL scheme register'!$A$7:$A$7,$A120,'EL scheme register'!$C$7:$C$7,"Faculty/school",'EL scheme register'!$AJ$7:$AJ$7,"Yes")</f>
        <v/>
      </c>
      <c r="L120" s="77">
        <f>COUNTIFS('EL scheme register'!$A$7:$A$7,$A120,'EL scheme register'!$C$7:$C$7,"Programme/course",'EL scheme register'!$AJ$7:$AJ$7,"Yes")</f>
        <v/>
      </c>
      <c r="M120" s="77">
        <f>COUNTIFS('EL scheme register'!$A$7:$A$7,$A120,'EL scheme register'!$C$7:$C$7,"Unclear",'EL scheme register'!$AJ$7:$AJ$7,"Yes")</f>
        <v/>
      </c>
      <c r="N120" s="77">
        <f>SUM(I120:M120)</f>
        <v/>
      </c>
      <c r="O120" s="77">
        <f>COUNTIFS('EL scheme register'!$A$7:$A$7,$A120,'EL scheme register'!$AF$7:$AF$7,"Potentially relevant; evidence incomplete",'EL scheme register'!$AI$7:$AI$7,"Yes")</f>
        <v/>
      </c>
      <c r="P120" s="77">
        <f>COUNTIFS('EL scheme register'!$A$7:$A$7,$A120,'EL scheme register'!$AF$7:$AF$7,"Outside strict definition")</f>
        <v/>
      </c>
      <c r="Q120" s="77">
        <f>COUNTIF('EL exclusions &amp; gaps'!$B$7:$B$5000,$A120)</f>
        <v/>
      </c>
      <c r="R120" s="77" t="inlineStr">
        <is>
          <t>Not reviewed</t>
        </is>
      </c>
      <c r="S120" s="77" t="inlineStr">
        <is>
          <t>Not reviewed</t>
        </is>
      </c>
      <c r="T120" s="77" t="inlineStr"/>
      <c r="U120" s="77" t="inlineStr"/>
      <c r="V120" s="77" t="inlineStr">
        <is>
          <t>Not reviewed</t>
        </is>
      </c>
      <c r="W120" s="77" t="inlineStr"/>
      <c r="X120" s="77" t="inlineStr"/>
    </row>
    <row r="121">
      <c r="A121" s="77" t="inlineStr">
        <is>
          <t>EU21</t>
        </is>
      </c>
      <c r="B121" s="79" t="inlineStr">
        <is>
          <t>Copenhagen</t>
        </is>
      </c>
      <c r="C121" s="77" t="inlineStr">
        <is>
          <t>Denmark</t>
        </is>
      </c>
      <c r="D121" s="77" t="inlineStr">
        <is>
          <t>EU sample</t>
        </is>
      </c>
      <c r="E121" s="77" t="inlineStr">
        <is>
          <t>EU</t>
        </is>
      </c>
      <c r="F121" s="77" t="n">
        <v>2027</v>
      </c>
      <c r="G121" s="77" t="n">
        <v>90</v>
      </c>
      <c r="H121" s="77" t="inlineStr">
        <is>
          <t>Not started</t>
        </is>
      </c>
      <c r="I121" s="77">
        <f>COUNTIFS('EL scheme register'!$A$7:$A$7,$A121,'EL scheme register'!$C$7:$C$7,"University-wide",'EL scheme register'!$AJ$7:$AJ$7,"Yes")</f>
        <v/>
      </c>
      <c r="J121" s="77">
        <f>COUNTIFS('EL scheme register'!$A$7:$A$7,$A121,'EL scheme register'!$C$7:$C$7,"Cross-faculty",'EL scheme register'!$AJ$7:$AJ$7,"Yes")</f>
        <v/>
      </c>
      <c r="K121" s="77">
        <f>COUNTIFS('EL scheme register'!$A$7:$A$7,$A121,'EL scheme register'!$C$7:$C$7,"Faculty/school",'EL scheme register'!$AJ$7:$AJ$7,"Yes")</f>
        <v/>
      </c>
      <c r="L121" s="77">
        <f>COUNTIFS('EL scheme register'!$A$7:$A$7,$A121,'EL scheme register'!$C$7:$C$7,"Programme/course",'EL scheme register'!$AJ$7:$AJ$7,"Yes")</f>
        <v/>
      </c>
      <c r="M121" s="77">
        <f>COUNTIFS('EL scheme register'!$A$7:$A$7,$A121,'EL scheme register'!$C$7:$C$7,"Unclear",'EL scheme register'!$AJ$7:$AJ$7,"Yes")</f>
        <v/>
      </c>
      <c r="N121" s="77">
        <f>SUM(I121:M121)</f>
        <v/>
      </c>
      <c r="O121" s="77">
        <f>COUNTIFS('EL scheme register'!$A$7:$A$7,$A121,'EL scheme register'!$AF$7:$AF$7,"Potentially relevant; evidence incomplete",'EL scheme register'!$AI$7:$AI$7,"Yes")</f>
        <v/>
      </c>
      <c r="P121" s="77">
        <f>COUNTIFS('EL scheme register'!$A$7:$A$7,$A121,'EL scheme register'!$AF$7:$AF$7,"Outside strict definition")</f>
        <v/>
      </c>
      <c r="Q121" s="77">
        <f>COUNTIF('EL exclusions &amp; gaps'!$B$7:$B$5000,$A121)</f>
        <v/>
      </c>
      <c r="R121" s="77" t="inlineStr">
        <is>
          <t>Not reviewed</t>
        </is>
      </c>
      <c r="S121" s="77" t="inlineStr">
        <is>
          <t>Not reviewed</t>
        </is>
      </c>
      <c r="T121" s="77" t="inlineStr"/>
      <c r="U121" s="77" t="inlineStr"/>
      <c r="V121" s="77" t="inlineStr">
        <is>
          <t>Not reviewed</t>
        </is>
      </c>
      <c r="W121" s="77" t="inlineStr"/>
      <c r="X121" s="77" t="inlineStr"/>
    </row>
    <row r="122">
      <c r="A122" s="77" t="inlineStr">
        <is>
          <t>EU22</t>
        </is>
      </c>
      <c r="B122" s="79" t="inlineStr">
        <is>
          <t>Aarhus</t>
        </is>
      </c>
      <c r="C122" s="77" t="inlineStr">
        <is>
          <t>Denmark</t>
        </is>
      </c>
      <c r="D122" s="77" t="inlineStr">
        <is>
          <t>EU sample</t>
        </is>
      </c>
      <c r="E122" s="77" t="inlineStr">
        <is>
          <t>EU</t>
        </is>
      </c>
      <c r="F122" s="77" t="n">
        <v>2027</v>
      </c>
      <c r="G122" s="77" t="n">
        <v>128</v>
      </c>
      <c r="H122" s="77" t="inlineStr">
        <is>
          <t>Not started</t>
        </is>
      </c>
      <c r="I122" s="77">
        <f>COUNTIFS('EL scheme register'!$A$7:$A$7,$A122,'EL scheme register'!$C$7:$C$7,"University-wide",'EL scheme register'!$AJ$7:$AJ$7,"Yes")</f>
        <v/>
      </c>
      <c r="J122" s="77">
        <f>COUNTIFS('EL scheme register'!$A$7:$A$7,$A122,'EL scheme register'!$C$7:$C$7,"Cross-faculty",'EL scheme register'!$AJ$7:$AJ$7,"Yes")</f>
        <v/>
      </c>
      <c r="K122" s="77">
        <f>COUNTIFS('EL scheme register'!$A$7:$A$7,$A122,'EL scheme register'!$C$7:$C$7,"Faculty/school",'EL scheme register'!$AJ$7:$AJ$7,"Yes")</f>
        <v/>
      </c>
      <c r="L122" s="77">
        <f>COUNTIFS('EL scheme register'!$A$7:$A$7,$A122,'EL scheme register'!$C$7:$C$7,"Programme/course",'EL scheme register'!$AJ$7:$AJ$7,"Yes")</f>
        <v/>
      </c>
      <c r="M122" s="77">
        <f>COUNTIFS('EL scheme register'!$A$7:$A$7,$A122,'EL scheme register'!$C$7:$C$7,"Unclear",'EL scheme register'!$AJ$7:$AJ$7,"Yes")</f>
        <v/>
      </c>
      <c r="N122" s="77">
        <f>SUM(I122:M122)</f>
        <v/>
      </c>
      <c r="O122" s="77">
        <f>COUNTIFS('EL scheme register'!$A$7:$A$7,$A122,'EL scheme register'!$AF$7:$AF$7,"Potentially relevant; evidence incomplete",'EL scheme register'!$AI$7:$AI$7,"Yes")</f>
        <v/>
      </c>
      <c r="P122" s="77">
        <f>COUNTIFS('EL scheme register'!$A$7:$A$7,$A122,'EL scheme register'!$AF$7:$AF$7,"Outside strict definition")</f>
        <v/>
      </c>
      <c r="Q122" s="77">
        <f>COUNTIF('EL exclusions &amp; gaps'!$B$7:$B$5000,$A122)</f>
        <v/>
      </c>
      <c r="R122" s="77" t="inlineStr">
        <is>
          <t>Not reviewed</t>
        </is>
      </c>
      <c r="S122" s="77" t="inlineStr">
        <is>
          <t>Not reviewed</t>
        </is>
      </c>
      <c r="T122" s="77" t="inlineStr"/>
      <c r="U122" s="77" t="inlineStr"/>
      <c r="V122" s="77" t="inlineStr">
        <is>
          <t>Not reviewed</t>
        </is>
      </c>
      <c r="W122" s="77" t="inlineStr"/>
      <c r="X122" s="77" t="inlineStr"/>
    </row>
    <row r="123">
      <c r="A123" s="77" t="inlineStr">
        <is>
          <t>EU23</t>
        </is>
      </c>
      <c r="B123" s="79" t="inlineStr">
        <is>
          <t>Lund</t>
        </is>
      </c>
      <c r="C123" s="77" t="inlineStr">
        <is>
          <t>Sweden</t>
        </is>
      </c>
      <c r="D123" s="77" t="inlineStr">
        <is>
          <t>EU sample</t>
        </is>
      </c>
      <c r="E123" s="77" t="inlineStr">
        <is>
          <t>EU</t>
        </is>
      </c>
      <c r="F123" s="77" t="n">
        <v>2027</v>
      </c>
      <c r="G123" s="77" t="n">
        <v>71</v>
      </c>
      <c r="H123" s="77" t="inlineStr">
        <is>
          <t>Not started</t>
        </is>
      </c>
      <c r="I123" s="77">
        <f>COUNTIFS('EL scheme register'!$A$7:$A$7,$A123,'EL scheme register'!$C$7:$C$7,"University-wide",'EL scheme register'!$AJ$7:$AJ$7,"Yes")</f>
        <v/>
      </c>
      <c r="J123" s="77">
        <f>COUNTIFS('EL scheme register'!$A$7:$A$7,$A123,'EL scheme register'!$C$7:$C$7,"Cross-faculty",'EL scheme register'!$AJ$7:$AJ$7,"Yes")</f>
        <v/>
      </c>
      <c r="K123" s="77">
        <f>COUNTIFS('EL scheme register'!$A$7:$A$7,$A123,'EL scheme register'!$C$7:$C$7,"Faculty/school",'EL scheme register'!$AJ$7:$AJ$7,"Yes")</f>
        <v/>
      </c>
      <c r="L123" s="77">
        <f>COUNTIFS('EL scheme register'!$A$7:$A$7,$A123,'EL scheme register'!$C$7:$C$7,"Programme/course",'EL scheme register'!$AJ$7:$AJ$7,"Yes")</f>
        <v/>
      </c>
      <c r="M123" s="77">
        <f>COUNTIFS('EL scheme register'!$A$7:$A$7,$A123,'EL scheme register'!$C$7:$C$7,"Unclear",'EL scheme register'!$AJ$7:$AJ$7,"Yes")</f>
        <v/>
      </c>
      <c r="N123" s="77">
        <f>SUM(I123:M123)</f>
        <v/>
      </c>
      <c r="O123" s="77">
        <f>COUNTIFS('EL scheme register'!$A$7:$A$7,$A123,'EL scheme register'!$AF$7:$AF$7,"Potentially relevant; evidence incomplete",'EL scheme register'!$AI$7:$AI$7,"Yes")</f>
        <v/>
      </c>
      <c r="P123" s="77">
        <f>COUNTIFS('EL scheme register'!$A$7:$A$7,$A123,'EL scheme register'!$AF$7:$AF$7,"Outside strict definition")</f>
        <v/>
      </c>
      <c r="Q123" s="77">
        <f>COUNTIF('EL exclusions &amp; gaps'!$B$7:$B$5000,$A123)</f>
        <v/>
      </c>
      <c r="R123" s="77" t="inlineStr">
        <is>
          <t>Not reviewed</t>
        </is>
      </c>
      <c r="S123" s="77" t="inlineStr">
        <is>
          <t>Not reviewed</t>
        </is>
      </c>
      <c r="T123" s="77" t="inlineStr"/>
      <c r="U123" s="77" t="inlineStr"/>
      <c r="V123" s="77" t="inlineStr">
        <is>
          <t>Not reviewed</t>
        </is>
      </c>
      <c r="W123" s="77" t="inlineStr"/>
      <c r="X123" s="77" t="inlineStr"/>
    </row>
    <row r="124">
      <c r="A124" s="77" t="inlineStr">
        <is>
          <t>EU24</t>
        </is>
      </c>
      <c r="B124" s="79" t="inlineStr">
        <is>
          <t>KTH Royal Institute of Technology</t>
        </is>
      </c>
      <c r="C124" s="77" t="inlineStr">
        <is>
          <t>Sweden</t>
        </is>
      </c>
      <c r="D124" s="77" t="inlineStr">
        <is>
          <t>EU sample</t>
        </is>
      </c>
      <c r="E124" s="77" t="inlineStr">
        <is>
          <t>EU</t>
        </is>
      </c>
      <c r="F124" s="77" t="n">
        <v>2027</v>
      </c>
      <c r="G124" s="77" t="n">
        <v>82</v>
      </c>
      <c r="H124" s="77" t="inlineStr">
        <is>
          <t>Not started</t>
        </is>
      </c>
      <c r="I124" s="77">
        <f>COUNTIFS('EL scheme register'!$A$7:$A$7,$A124,'EL scheme register'!$C$7:$C$7,"University-wide",'EL scheme register'!$AJ$7:$AJ$7,"Yes")</f>
        <v/>
      </c>
      <c r="J124" s="77">
        <f>COUNTIFS('EL scheme register'!$A$7:$A$7,$A124,'EL scheme register'!$C$7:$C$7,"Cross-faculty",'EL scheme register'!$AJ$7:$AJ$7,"Yes")</f>
        <v/>
      </c>
      <c r="K124" s="77">
        <f>COUNTIFS('EL scheme register'!$A$7:$A$7,$A124,'EL scheme register'!$C$7:$C$7,"Faculty/school",'EL scheme register'!$AJ$7:$AJ$7,"Yes")</f>
        <v/>
      </c>
      <c r="L124" s="77">
        <f>COUNTIFS('EL scheme register'!$A$7:$A$7,$A124,'EL scheme register'!$C$7:$C$7,"Programme/course",'EL scheme register'!$AJ$7:$AJ$7,"Yes")</f>
        <v/>
      </c>
      <c r="M124" s="77">
        <f>COUNTIFS('EL scheme register'!$A$7:$A$7,$A124,'EL scheme register'!$C$7:$C$7,"Unclear",'EL scheme register'!$AJ$7:$AJ$7,"Yes")</f>
        <v/>
      </c>
      <c r="N124" s="77">
        <f>SUM(I124:M124)</f>
        <v/>
      </c>
      <c r="O124" s="77">
        <f>COUNTIFS('EL scheme register'!$A$7:$A$7,$A124,'EL scheme register'!$AF$7:$AF$7,"Potentially relevant; evidence incomplete",'EL scheme register'!$AI$7:$AI$7,"Yes")</f>
        <v/>
      </c>
      <c r="P124" s="77">
        <f>COUNTIFS('EL scheme register'!$A$7:$A$7,$A124,'EL scheme register'!$AF$7:$AF$7,"Outside strict definition")</f>
        <v/>
      </c>
      <c r="Q124" s="77">
        <f>COUNTIF('EL exclusions &amp; gaps'!$B$7:$B$5000,$A124)</f>
        <v/>
      </c>
      <c r="R124" s="77" t="inlineStr">
        <is>
          <t>Not reviewed</t>
        </is>
      </c>
      <c r="S124" s="77" t="inlineStr">
        <is>
          <t>Not reviewed</t>
        </is>
      </c>
      <c r="T124" s="77" t="inlineStr"/>
      <c r="U124" s="77" t="inlineStr"/>
      <c r="V124" s="77" t="inlineStr">
        <is>
          <t>Not reviewed</t>
        </is>
      </c>
      <c r="W124" s="77" t="inlineStr"/>
      <c r="X124" s="77" t="inlineStr"/>
    </row>
    <row r="125">
      <c r="A125" s="77" t="inlineStr">
        <is>
          <t>EU25</t>
        </is>
      </c>
      <c r="B125" s="79" t="inlineStr">
        <is>
          <t>Uppsala</t>
        </is>
      </c>
      <c r="C125" s="77" t="inlineStr">
        <is>
          <t>Sweden</t>
        </is>
      </c>
      <c r="D125" s="77" t="inlineStr">
        <is>
          <t>EU sample</t>
        </is>
      </c>
      <c r="E125" s="77" t="inlineStr">
        <is>
          <t>EU</t>
        </is>
      </c>
      <c r="F125" s="77" t="n">
        <v>2027</v>
      </c>
      <c r="G125" s="77" t="n">
        <v>87</v>
      </c>
      <c r="H125" s="77" t="inlineStr">
        <is>
          <t>Not started</t>
        </is>
      </c>
      <c r="I125" s="77">
        <f>COUNTIFS('EL scheme register'!$A$7:$A$7,$A125,'EL scheme register'!$C$7:$C$7,"University-wide",'EL scheme register'!$AJ$7:$AJ$7,"Yes")</f>
        <v/>
      </c>
      <c r="J125" s="77">
        <f>COUNTIFS('EL scheme register'!$A$7:$A$7,$A125,'EL scheme register'!$C$7:$C$7,"Cross-faculty",'EL scheme register'!$AJ$7:$AJ$7,"Yes")</f>
        <v/>
      </c>
      <c r="K125" s="77">
        <f>COUNTIFS('EL scheme register'!$A$7:$A$7,$A125,'EL scheme register'!$C$7:$C$7,"Faculty/school",'EL scheme register'!$AJ$7:$AJ$7,"Yes")</f>
        <v/>
      </c>
      <c r="L125" s="77">
        <f>COUNTIFS('EL scheme register'!$A$7:$A$7,$A125,'EL scheme register'!$C$7:$C$7,"Programme/course",'EL scheme register'!$AJ$7:$AJ$7,"Yes")</f>
        <v/>
      </c>
      <c r="M125" s="77">
        <f>COUNTIFS('EL scheme register'!$A$7:$A$7,$A125,'EL scheme register'!$C$7:$C$7,"Unclear",'EL scheme register'!$AJ$7:$AJ$7,"Yes")</f>
        <v/>
      </c>
      <c r="N125" s="77">
        <f>SUM(I125:M125)</f>
        <v/>
      </c>
      <c r="O125" s="77">
        <f>COUNTIFS('EL scheme register'!$A$7:$A$7,$A125,'EL scheme register'!$AF$7:$AF$7,"Potentially relevant; evidence incomplete",'EL scheme register'!$AI$7:$AI$7,"Yes")</f>
        <v/>
      </c>
      <c r="P125" s="77">
        <f>COUNTIFS('EL scheme register'!$A$7:$A$7,$A125,'EL scheme register'!$AF$7:$AF$7,"Outside strict definition")</f>
        <v/>
      </c>
      <c r="Q125" s="77">
        <f>COUNTIF('EL exclusions &amp; gaps'!$B$7:$B$5000,$A125)</f>
        <v/>
      </c>
      <c r="R125" s="77" t="inlineStr">
        <is>
          <t>Not reviewed</t>
        </is>
      </c>
      <c r="S125" s="77" t="inlineStr">
        <is>
          <t>Not reviewed</t>
        </is>
      </c>
      <c r="T125" s="77" t="inlineStr"/>
      <c r="U125" s="77" t="inlineStr"/>
      <c r="V125" s="77" t="inlineStr">
        <is>
          <t>Not reviewed</t>
        </is>
      </c>
      <c r="W125" s="77" t="inlineStr"/>
      <c r="X125" s="77" t="inlineStr"/>
    </row>
    <row r="126">
      <c r="A126" s="77" t="inlineStr">
        <is>
          <t>EU26</t>
        </is>
      </c>
      <c r="B126" s="79" t="inlineStr">
        <is>
          <t>Aalto</t>
        </is>
      </c>
      <c r="C126" s="77" t="inlineStr">
        <is>
          <t>Finland</t>
        </is>
      </c>
      <c r="D126" s="77" t="inlineStr">
        <is>
          <t>EU sample</t>
        </is>
      </c>
      <c r="E126" s="77" t="inlineStr">
        <is>
          <t>EU</t>
        </is>
      </c>
      <c r="F126" s="77" t="n">
        <v>2027</v>
      </c>
      <c r="G126" s="77" t="n">
        <v>126</v>
      </c>
      <c r="H126" s="77" t="inlineStr">
        <is>
          <t>Not started</t>
        </is>
      </c>
      <c r="I126" s="77">
        <f>COUNTIFS('EL scheme register'!$A$7:$A$7,$A126,'EL scheme register'!$C$7:$C$7,"University-wide",'EL scheme register'!$AJ$7:$AJ$7,"Yes")</f>
        <v/>
      </c>
      <c r="J126" s="77">
        <f>COUNTIFS('EL scheme register'!$A$7:$A$7,$A126,'EL scheme register'!$C$7:$C$7,"Cross-faculty",'EL scheme register'!$AJ$7:$AJ$7,"Yes")</f>
        <v/>
      </c>
      <c r="K126" s="77">
        <f>COUNTIFS('EL scheme register'!$A$7:$A$7,$A126,'EL scheme register'!$C$7:$C$7,"Faculty/school",'EL scheme register'!$AJ$7:$AJ$7,"Yes")</f>
        <v/>
      </c>
      <c r="L126" s="77">
        <f>COUNTIFS('EL scheme register'!$A$7:$A$7,$A126,'EL scheme register'!$C$7:$C$7,"Programme/course",'EL scheme register'!$AJ$7:$AJ$7,"Yes")</f>
        <v/>
      </c>
      <c r="M126" s="77">
        <f>COUNTIFS('EL scheme register'!$A$7:$A$7,$A126,'EL scheme register'!$C$7:$C$7,"Unclear",'EL scheme register'!$AJ$7:$AJ$7,"Yes")</f>
        <v/>
      </c>
      <c r="N126" s="77">
        <f>SUM(I126:M126)</f>
        <v/>
      </c>
      <c r="O126" s="77">
        <f>COUNTIFS('EL scheme register'!$A$7:$A$7,$A126,'EL scheme register'!$AF$7:$AF$7,"Potentially relevant; evidence incomplete",'EL scheme register'!$AI$7:$AI$7,"Yes")</f>
        <v/>
      </c>
      <c r="P126" s="77">
        <f>COUNTIFS('EL scheme register'!$A$7:$A$7,$A126,'EL scheme register'!$AF$7:$AF$7,"Outside strict definition")</f>
        <v/>
      </c>
      <c r="Q126" s="77">
        <f>COUNTIF('EL exclusions &amp; gaps'!$B$7:$B$5000,$A126)</f>
        <v/>
      </c>
      <c r="R126" s="77" t="inlineStr">
        <is>
          <t>Not reviewed</t>
        </is>
      </c>
      <c r="S126" s="77" t="inlineStr">
        <is>
          <t>Not reviewed</t>
        </is>
      </c>
      <c r="T126" s="77" t="inlineStr"/>
      <c r="U126" s="77" t="inlineStr"/>
      <c r="V126" s="77" t="inlineStr">
        <is>
          <t>Not reviewed</t>
        </is>
      </c>
      <c r="W126" s="77" t="inlineStr"/>
      <c r="X126" s="77" t="inlineStr"/>
    </row>
    <row r="127">
      <c r="A127" s="77" t="inlineStr">
        <is>
          <t>EU27</t>
        </is>
      </c>
      <c r="B127" s="79" t="inlineStr">
        <is>
          <t>Helsinki</t>
        </is>
      </c>
      <c r="C127" s="77" t="inlineStr">
        <is>
          <t>Finland</t>
        </is>
      </c>
      <c r="D127" s="77" t="inlineStr">
        <is>
          <t>EU sample</t>
        </is>
      </c>
      <c r="E127" s="77" t="inlineStr">
        <is>
          <t>EU</t>
        </is>
      </c>
      <c r="F127" s="77" t="n">
        <v>2027</v>
      </c>
      <c r="G127" s="77" t="n">
        <v>123</v>
      </c>
      <c r="H127" s="77" t="inlineStr">
        <is>
          <t>Not started</t>
        </is>
      </c>
      <c r="I127" s="77">
        <f>COUNTIFS('EL scheme register'!$A$7:$A$7,$A127,'EL scheme register'!$C$7:$C$7,"University-wide",'EL scheme register'!$AJ$7:$AJ$7,"Yes")</f>
        <v/>
      </c>
      <c r="J127" s="77">
        <f>COUNTIFS('EL scheme register'!$A$7:$A$7,$A127,'EL scheme register'!$C$7:$C$7,"Cross-faculty",'EL scheme register'!$AJ$7:$AJ$7,"Yes")</f>
        <v/>
      </c>
      <c r="K127" s="77">
        <f>COUNTIFS('EL scheme register'!$A$7:$A$7,$A127,'EL scheme register'!$C$7:$C$7,"Faculty/school",'EL scheme register'!$AJ$7:$AJ$7,"Yes")</f>
        <v/>
      </c>
      <c r="L127" s="77">
        <f>COUNTIFS('EL scheme register'!$A$7:$A$7,$A127,'EL scheme register'!$C$7:$C$7,"Programme/course",'EL scheme register'!$AJ$7:$AJ$7,"Yes")</f>
        <v/>
      </c>
      <c r="M127" s="77">
        <f>COUNTIFS('EL scheme register'!$A$7:$A$7,$A127,'EL scheme register'!$C$7:$C$7,"Unclear",'EL scheme register'!$AJ$7:$AJ$7,"Yes")</f>
        <v/>
      </c>
      <c r="N127" s="77">
        <f>SUM(I127:M127)</f>
        <v/>
      </c>
      <c r="O127" s="77">
        <f>COUNTIFS('EL scheme register'!$A$7:$A$7,$A127,'EL scheme register'!$AF$7:$AF$7,"Potentially relevant; evidence incomplete",'EL scheme register'!$AI$7:$AI$7,"Yes")</f>
        <v/>
      </c>
      <c r="P127" s="77">
        <f>COUNTIFS('EL scheme register'!$A$7:$A$7,$A127,'EL scheme register'!$AF$7:$AF$7,"Outside strict definition")</f>
        <v/>
      </c>
      <c r="Q127" s="77">
        <f>COUNTIF('EL exclusions &amp; gaps'!$B$7:$B$5000,$A127)</f>
        <v/>
      </c>
      <c r="R127" s="77" t="inlineStr">
        <is>
          <t>Not reviewed</t>
        </is>
      </c>
      <c r="S127" s="77" t="inlineStr">
        <is>
          <t>Not reviewed</t>
        </is>
      </c>
      <c r="T127" s="77" t="inlineStr"/>
      <c r="U127" s="77" t="inlineStr"/>
      <c r="V127" s="77" t="inlineStr">
        <is>
          <t>Not reviewed</t>
        </is>
      </c>
      <c r="W127" s="77" t="inlineStr"/>
      <c r="X127" s="77" t="inlineStr"/>
    </row>
    <row r="128">
      <c r="A128" s="77" t="inlineStr">
        <is>
          <t>EU28</t>
        </is>
      </c>
      <c r="B128" s="79" t="inlineStr">
        <is>
          <t>Barcelona</t>
        </is>
      </c>
      <c r="C128" s="77" t="inlineStr">
        <is>
          <t>Spain</t>
        </is>
      </c>
      <c r="D128" s="77" t="inlineStr">
        <is>
          <t>EU sample</t>
        </is>
      </c>
      <c r="E128" s="77" t="inlineStr">
        <is>
          <t>EU</t>
        </is>
      </c>
      <c r="F128" s="77" t="n">
        <v>2027</v>
      </c>
      <c r="G128" s="77" t="n">
        <v>165</v>
      </c>
      <c r="H128" s="77" t="inlineStr">
        <is>
          <t>Not started</t>
        </is>
      </c>
      <c r="I128" s="77">
        <f>COUNTIFS('EL scheme register'!$A$7:$A$7,$A128,'EL scheme register'!$C$7:$C$7,"University-wide",'EL scheme register'!$AJ$7:$AJ$7,"Yes")</f>
        <v/>
      </c>
      <c r="J128" s="77">
        <f>COUNTIFS('EL scheme register'!$A$7:$A$7,$A128,'EL scheme register'!$C$7:$C$7,"Cross-faculty",'EL scheme register'!$AJ$7:$AJ$7,"Yes")</f>
        <v/>
      </c>
      <c r="K128" s="77">
        <f>COUNTIFS('EL scheme register'!$A$7:$A$7,$A128,'EL scheme register'!$C$7:$C$7,"Faculty/school",'EL scheme register'!$AJ$7:$AJ$7,"Yes")</f>
        <v/>
      </c>
      <c r="L128" s="77">
        <f>COUNTIFS('EL scheme register'!$A$7:$A$7,$A128,'EL scheme register'!$C$7:$C$7,"Programme/course",'EL scheme register'!$AJ$7:$AJ$7,"Yes")</f>
        <v/>
      </c>
      <c r="M128" s="77">
        <f>COUNTIFS('EL scheme register'!$A$7:$A$7,$A128,'EL scheme register'!$C$7:$C$7,"Unclear",'EL scheme register'!$AJ$7:$AJ$7,"Yes")</f>
        <v/>
      </c>
      <c r="N128" s="77">
        <f>SUM(I128:M128)</f>
        <v/>
      </c>
      <c r="O128" s="77">
        <f>COUNTIFS('EL scheme register'!$A$7:$A$7,$A128,'EL scheme register'!$AF$7:$AF$7,"Potentially relevant; evidence incomplete",'EL scheme register'!$AI$7:$AI$7,"Yes")</f>
        <v/>
      </c>
      <c r="P128" s="77">
        <f>COUNTIFS('EL scheme register'!$A$7:$A$7,$A128,'EL scheme register'!$AF$7:$AF$7,"Outside strict definition")</f>
        <v/>
      </c>
      <c r="Q128" s="77">
        <f>COUNTIF('EL exclusions &amp; gaps'!$B$7:$B$5000,$A128)</f>
        <v/>
      </c>
      <c r="R128" s="77" t="inlineStr">
        <is>
          <t>Not reviewed</t>
        </is>
      </c>
      <c r="S128" s="77" t="inlineStr">
        <is>
          <t>Not reviewed</t>
        </is>
      </c>
      <c r="T128" s="77" t="inlineStr"/>
      <c r="U128" s="77" t="inlineStr"/>
      <c r="V128" s="77" t="inlineStr">
        <is>
          <t>Not reviewed</t>
        </is>
      </c>
      <c r="W128" s="77" t="inlineStr"/>
      <c r="X128" s="77" t="inlineStr"/>
    </row>
    <row r="129">
      <c r="A129" s="77" t="inlineStr">
        <is>
          <t>EU29</t>
        </is>
      </c>
      <c r="B129" s="79" t="inlineStr">
        <is>
          <t>Pompeu Fabra</t>
        </is>
      </c>
      <c r="C129" s="77" t="inlineStr">
        <is>
          <t>Spain</t>
        </is>
      </c>
      <c r="D129" s="77" t="inlineStr">
        <is>
          <t>EU sample</t>
        </is>
      </c>
      <c r="E129" s="77" t="inlineStr">
        <is>
          <t>EU</t>
        </is>
      </c>
      <c r="F129" s="77" t="n">
        <v>2027</v>
      </c>
      <c r="G129" s="77" t="n">
        <v>263</v>
      </c>
      <c r="H129" s="77" t="inlineStr">
        <is>
          <t>Not started</t>
        </is>
      </c>
      <c r="I129" s="77">
        <f>COUNTIFS('EL scheme register'!$A$7:$A$7,$A129,'EL scheme register'!$C$7:$C$7,"University-wide",'EL scheme register'!$AJ$7:$AJ$7,"Yes")</f>
        <v/>
      </c>
      <c r="J129" s="77">
        <f>COUNTIFS('EL scheme register'!$A$7:$A$7,$A129,'EL scheme register'!$C$7:$C$7,"Cross-faculty",'EL scheme register'!$AJ$7:$AJ$7,"Yes")</f>
        <v/>
      </c>
      <c r="K129" s="77">
        <f>COUNTIFS('EL scheme register'!$A$7:$A$7,$A129,'EL scheme register'!$C$7:$C$7,"Faculty/school",'EL scheme register'!$AJ$7:$AJ$7,"Yes")</f>
        <v/>
      </c>
      <c r="L129" s="77">
        <f>COUNTIFS('EL scheme register'!$A$7:$A$7,$A129,'EL scheme register'!$C$7:$C$7,"Programme/course",'EL scheme register'!$AJ$7:$AJ$7,"Yes")</f>
        <v/>
      </c>
      <c r="M129" s="77">
        <f>COUNTIFS('EL scheme register'!$A$7:$A$7,$A129,'EL scheme register'!$C$7:$C$7,"Unclear",'EL scheme register'!$AJ$7:$AJ$7,"Yes")</f>
        <v/>
      </c>
      <c r="N129" s="77">
        <f>SUM(I129:M129)</f>
        <v/>
      </c>
      <c r="O129" s="77">
        <f>COUNTIFS('EL scheme register'!$A$7:$A$7,$A129,'EL scheme register'!$AF$7:$AF$7,"Potentially relevant; evidence incomplete",'EL scheme register'!$AI$7:$AI$7,"Yes")</f>
        <v/>
      </c>
      <c r="P129" s="77">
        <f>COUNTIFS('EL scheme register'!$A$7:$A$7,$A129,'EL scheme register'!$AF$7:$AF$7,"Outside strict definition")</f>
        <v/>
      </c>
      <c r="Q129" s="77">
        <f>COUNTIF('EL exclusions &amp; gaps'!$B$7:$B$5000,$A129)</f>
        <v/>
      </c>
      <c r="R129" s="77" t="inlineStr">
        <is>
          <t>Not reviewed</t>
        </is>
      </c>
      <c r="S129" s="77" t="inlineStr">
        <is>
          <t>Not reviewed</t>
        </is>
      </c>
      <c r="T129" s="77" t="inlineStr"/>
      <c r="U129" s="77" t="inlineStr"/>
      <c r="V129" s="77" t="inlineStr">
        <is>
          <t>Not reviewed</t>
        </is>
      </c>
      <c r="W129" s="77" t="inlineStr"/>
      <c r="X129" s="77" t="inlineStr"/>
    </row>
    <row r="130">
      <c r="A130" s="77" t="inlineStr">
        <is>
          <t>EU30</t>
        </is>
      </c>
      <c r="B130" s="79" t="inlineStr">
        <is>
          <t>Politecnico di Milano</t>
        </is>
      </c>
      <c r="C130" s="77" t="inlineStr">
        <is>
          <t>Italy</t>
        </is>
      </c>
      <c r="D130" s="77" t="inlineStr">
        <is>
          <t>EU sample</t>
        </is>
      </c>
      <c r="E130" s="77" t="inlineStr">
        <is>
          <t>EU</t>
        </is>
      </c>
      <c r="F130" s="77" t="n">
        <v>2027</v>
      </c>
      <c r="G130" s="77" t="n">
        <v>87</v>
      </c>
      <c r="H130" s="77" t="inlineStr">
        <is>
          <t>Not started</t>
        </is>
      </c>
      <c r="I130" s="77">
        <f>COUNTIFS('EL scheme register'!$A$7:$A$7,$A130,'EL scheme register'!$C$7:$C$7,"University-wide",'EL scheme register'!$AJ$7:$AJ$7,"Yes")</f>
        <v/>
      </c>
      <c r="J130" s="77">
        <f>COUNTIFS('EL scheme register'!$A$7:$A$7,$A130,'EL scheme register'!$C$7:$C$7,"Cross-faculty",'EL scheme register'!$AJ$7:$AJ$7,"Yes")</f>
        <v/>
      </c>
      <c r="K130" s="77">
        <f>COUNTIFS('EL scheme register'!$A$7:$A$7,$A130,'EL scheme register'!$C$7:$C$7,"Faculty/school",'EL scheme register'!$AJ$7:$AJ$7,"Yes")</f>
        <v/>
      </c>
      <c r="L130" s="77">
        <f>COUNTIFS('EL scheme register'!$A$7:$A$7,$A130,'EL scheme register'!$C$7:$C$7,"Programme/course",'EL scheme register'!$AJ$7:$AJ$7,"Yes")</f>
        <v/>
      </c>
      <c r="M130" s="77">
        <f>COUNTIFS('EL scheme register'!$A$7:$A$7,$A130,'EL scheme register'!$C$7:$C$7,"Unclear",'EL scheme register'!$AJ$7:$AJ$7,"Yes")</f>
        <v/>
      </c>
      <c r="N130" s="77">
        <f>SUM(I130:M130)</f>
        <v/>
      </c>
      <c r="O130" s="77">
        <f>COUNTIFS('EL scheme register'!$A$7:$A$7,$A130,'EL scheme register'!$AF$7:$AF$7,"Potentially relevant; evidence incomplete",'EL scheme register'!$AI$7:$AI$7,"Yes")</f>
        <v/>
      </c>
      <c r="P130" s="77">
        <f>COUNTIFS('EL scheme register'!$A$7:$A$7,$A130,'EL scheme register'!$AF$7:$AF$7,"Outside strict definition")</f>
        <v/>
      </c>
      <c r="Q130" s="77">
        <f>COUNTIF('EL exclusions &amp; gaps'!$B$7:$B$5000,$A130)</f>
        <v/>
      </c>
      <c r="R130" s="77" t="inlineStr">
        <is>
          <t>Not reviewed</t>
        </is>
      </c>
      <c r="S130" s="77" t="inlineStr">
        <is>
          <t>Not reviewed</t>
        </is>
      </c>
      <c r="T130" s="77" t="inlineStr"/>
      <c r="U130" s="77" t="inlineStr"/>
      <c r="V130" s="77" t="inlineStr">
        <is>
          <t>Not reviewed</t>
        </is>
      </c>
      <c r="W130" s="77" t="inlineStr"/>
      <c r="X130" s="77" t="inlineStr"/>
    </row>
  </sheetData>
  <conditionalFormatting sqref="N7:N130">
    <cfRule type="expression" priority="1" dxfId="4">
      <formula>N7&gt;0</formula>
    </cfRule>
  </conditionalFormatting>
  <conditionalFormatting sqref="H7:H130">
    <cfRule type="expression" priority="2" dxfId="5">
      <formula>H7="Partial"</formula>
    </cfRule>
    <cfRule type="expression" priority="3" dxfId="6">
      <formula>H7="Not started"</formula>
    </cfRule>
  </conditionalFormatting>
  <dataValidations count="1">
    <dataValidation sqref="H7:H130" showDropDown="0" showInputMessage="0" showErrorMessage="0" allowBlank="1" type="list">
      <formula1>"Complete,Partial,Not started"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P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7" customWidth="1" min="3" max="3"/>
    <col width="12" customWidth="1" min="4" max="4"/>
    <col width="12" customWidth="1" min="5" max="5"/>
    <col width="11" customWidth="1" min="6" max="6"/>
    <col width="34" customWidth="1" min="7" max="7"/>
    <col width="26" customWidth="1" min="8" max="8"/>
    <col width="16" customWidth="1" min="9" max="9"/>
    <col width="70" customWidth="1" min="10" max="10"/>
    <col width="26" customWidth="1" min="11" max="11"/>
    <col width="34" customWidth="1" min="12" max="12"/>
    <col width="20" customWidth="1" min="13" max="13"/>
    <col width="14" customWidth="1" min="14" max="14"/>
    <col width="14" customWidth="1" min="15" max="15"/>
    <col width="30" customWidth="1" min="16" max="16"/>
    <col width="20" customWidth="1" min="17" max="17"/>
    <col width="13" customWidth="1" min="18" max="18"/>
    <col width="32" customWidth="1" min="19" max="19"/>
    <col width="16" customWidth="1" min="20" max="20"/>
    <col width="18" customWidth="1" min="21" max="21"/>
    <col width="11" customWidth="1" min="22" max="22"/>
    <col width="40" customWidth="1" min="23" max="23"/>
    <col width="11" customWidth="1" min="24" max="24"/>
    <col width="40" customWidth="1" min="25" max="25"/>
    <col width="12" customWidth="1" min="26" max="26"/>
    <col width="46" customWidth="1" min="27" max="27"/>
    <col width="17" customWidth="1" min="28" max="28"/>
    <col width="30" customWidth="1" min="29" max="29"/>
    <col width="30" customWidth="1" min="30" max="30"/>
    <col width="28" customWidth="1" min="31" max="31"/>
    <col width="22" customWidth="1" min="32" max="32"/>
    <col width="20" customWidth="1" min="33" max="33"/>
    <col width="12" customWidth="1" min="34" max="34"/>
    <col width="12" customWidth="1" min="35" max="35"/>
    <col width="13" customWidth="1" min="36" max="36"/>
    <col width="30" customWidth="1" min="37" max="37"/>
    <col width="24" customWidth="1" min="38" max="38"/>
    <col width="40" customWidth="1" min="39" max="39"/>
    <col width="24" customWidth="1" min="40" max="40"/>
    <col width="12" customWidth="1" min="41" max="41"/>
    <col width="18" customWidth="1" min="42" max="42"/>
  </cols>
  <sheetData>
    <row r="2">
      <c r="A2" s="78" t="inlineStr">
        <is>
          <t>Experiential learning: scheme register (strict three-criterion test)</t>
        </is>
      </c>
    </row>
    <row r="3">
      <c r="A3" s="71" t="inlineStr">
        <is>
          <t>One row per distinct scheme or materially different participation route. Criteria A/B/C are three-state: Yes = explicit evidence; No = evidence shows not met; Unclear = insufficient evidence.</t>
        </is>
      </c>
    </row>
    <row r="4">
      <c r="A4" s="71" t="inlineStr">
        <is>
          <t>Column C = academic reach (controlled). Column AF is calculated from A/B/C. Column AJ = counted scheme (not an umbrella), meets all three and current delivery confirmed. Evidence retrieved via search-index extracts (see EL method &amp; QC).</t>
        </is>
      </c>
    </row>
    <row r="6">
      <c r="A6" s="75" t="inlineStr">
        <is>
          <t>Institution ID</t>
        </is>
      </c>
      <c r="B6" s="75" t="inlineStr">
        <is>
          <t>Institution</t>
        </is>
      </c>
      <c r="C6" s="75" t="inlineStr">
        <is>
          <t>Academic reach</t>
        </is>
      </c>
      <c r="D6" s="75" t="inlineStr">
        <is>
          <t>Scheme ID</t>
        </is>
      </c>
      <c r="E6" s="75" t="inlineStr">
        <is>
          <t>Parent ID</t>
        </is>
      </c>
      <c r="F6" s="75" t="inlineStr">
        <is>
          <t>Umbrella with counted children?</t>
        </is>
      </c>
      <c r="G6" s="75" t="inlineStr">
        <is>
          <t>Official scheme name</t>
        </is>
      </c>
      <c r="H6" s="75" t="inlineStr">
        <is>
          <t>English name / translation</t>
        </is>
      </c>
      <c r="I6" s="75" t="inlineStr">
        <is>
          <t>Module / subject code</t>
        </is>
      </c>
      <c r="J6" s="75" t="inlineStr">
        <is>
          <t>What students actually do</t>
        </is>
      </c>
      <c r="K6" s="75" t="inlineStr">
        <is>
          <t>Administrative host</t>
        </is>
      </c>
      <c r="L6" s="75" t="inlineStr">
        <is>
          <t>Eligible faculties / programmes</t>
        </is>
      </c>
      <c r="M6" s="75" t="inlineStr">
        <is>
          <t>Faculty areas</t>
        </is>
      </c>
      <c r="N6" s="75" t="inlineStr">
        <is>
          <t>Student level</t>
        </is>
      </c>
      <c r="O6" s="75" t="inlineStr">
        <is>
          <t>Year of study</t>
        </is>
      </c>
      <c r="P6" s="75" t="inlineStr">
        <is>
          <t>Eligibility restrictions</t>
        </is>
      </c>
      <c r="Q6" s="75" t="inlineStr">
        <is>
          <t>Participation requirement</t>
        </is>
      </c>
      <c r="R6" s="75" t="inlineStr">
        <is>
          <t>Curricular status</t>
        </is>
      </c>
      <c r="S6" s="75" t="inlineStr">
        <is>
          <t>Credit and assessment</t>
        </is>
      </c>
      <c r="T6" s="75" t="inlineStr">
        <is>
          <t>Duration</t>
        </is>
      </c>
      <c r="U6" s="75" t="inlineStr">
        <is>
          <t>Delivery format</t>
        </is>
      </c>
      <c r="V6" s="75" t="inlineStr">
        <is>
          <t>A. Project-based</t>
        </is>
      </c>
      <c r="W6" s="75" t="inlineStr">
        <is>
          <t>A. Evidence</t>
        </is>
      </c>
      <c r="X6" s="75" t="inlineStr">
        <is>
          <t>B. Group working</t>
        </is>
      </c>
      <c r="Y6" s="75" t="inlineStr">
        <is>
          <t>B. Evidence</t>
        </is>
      </c>
      <c r="Z6" s="75" t="inlineStr">
        <is>
          <t>C. Employer / external organisation</t>
        </is>
      </c>
      <c r="AA6" s="75" t="inlineStr">
        <is>
          <t>C. Evidence: how the organisation participates</t>
        </is>
      </c>
      <c r="AB6" s="75" t="inlineStr">
        <is>
          <t>External partner type</t>
        </is>
      </c>
      <c r="AC6" s="75" t="inlineStr">
        <is>
          <t>Partner role</t>
        </is>
      </c>
      <c r="AD6" s="75" t="inlineStr">
        <is>
          <t>Named partners (evidenced)</t>
        </is>
      </c>
      <c r="AE6" s="75" t="inlineStr">
        <is>
          <t>Student deliverable</t>
        </is>
      </c>
      <c r="AF6" s="75" t="inlineStr">
        <is>
          <t>Qualification classification</t>
        </is>
      </c>
      <c r="AG6" s="75" t="inlineStr">
        <is>
          <t>Operating status</t>
        </is>
      </c>
      <c r="AH6" s="75" t="inlineStr">
        <is>
          <t>Latest evidenced delivery year</t>
        </is>
      </c>
      <c r="AI6" s="75" t="inlineStr">
        <is>
          <t>Counts as distinct scheme</t>
        </is>
      </c>
      <c r="AJ6" s="75" t="inlineStr">
        <is>
          <t>Current &amp; meets all three (counted)</t>
        </is>
      </c>
      <c r="AK6" s="75" t="inlineStr">
        <is>
          <t>Published participation data</t>
        </is>
      </c>
      <c r="AL6" s="75" t="inlineStr">
        <is>
          <t>Source IDs (see EL sources)</t>
        </is>
      </c>
      <c r="AM6" s="75" t="inlineStr">
        <is>
          <t>Unresolved points</t>
        </is>
      </c>
      <c r="AN6" s="75" t="inlineStr">
        <is>
          <t>Legacy row reassessed</t>
        </is>
      </c>
      <c r="AO6" s="75" t="inlineStr">
        <is>
          <t>Country</t>
        </is>
      </c>
      <c r="AP6" s="75" t="inlineStr">
        <is>
          <t>Region group</t>
        </is>
      </c>
    </row>
    <row r="7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K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18" customWidth="1" min="4" max="4"/>
    <col width="36" customWidth="1" min="5" max="5"/>
    <col width="10" customWidth="1" min="6" max="6"/>
    <col width="10" customWidth="1" min="7" max="7"/>
    <col width="26" customWidth="1" min="8" max="8"/>
    <col width="70" customWidth="1" min="9" max="9"/>
    <col width="40" customWidth="1" min="10" max="10"/>
    <col width="30" customWidth="1" min="11" max="11"/>
  </cols>
  <sheetData>
    <row r="2">
      <c r="A2" s="78" t="inlineStr">
        <is>
          <t>Experiential learning: exclusions, near-misses and evidence gaps</t>
        </is>
      </c>
    </row>
    <row r="3">
      <c r="A3" s="71" t="inlineStr">
        <is>
          <t>Previously included frameworks and near-misses, with the reason they do not meet the strict definition or cannot yet be verified.</t>
        </is>
      </c>
    </row>
    <row r="4">
      <c r="A4" s="71" t="inlineStr">
        <is>
          <t>Legacy rows link back to 'Legacy schemes (v3)' (row number in column G; disposition in that tab's column Q).</t>
        </is>
      </c>
    </row>
    <row r="6">
      <c r="A6" s="75" t="inlineStr">
        <is>
          <t>Exclusion ID</t>
        </is>
      </c>
      <c r="B6" s="75" t="inlineStr">
        <is>
          <t>Institution ID</t>
        </is>
      </c>
      <c r="C6" s="75" t="inlineStr">
        <is>
          <t>Institution</t>
        </is>
      </c>
      <c r="D6" s="75" t="inlineStr">
        <is>
          <t>Region group</t>
        </is>
      </c>
      <c r="E6" s="75" t="inlineStr">
        <is>
          <t>Scheme / activity</t>
        </is>
      </c>
      <c r="F6" s="75" t="inlineStr">
        <is>
          <t>From legacy research?</t>
        </is>
      </c>
      <c r="G6" s="75" t="inlineStr">
        <is>
          <t>Legacy row no. (Legacy schemes tab)</t>
        </is>
      </c>
      <c r="H6" s="75" t="inlineStr">
        <is>
          <t>Category</t>
        </is>
      </c>
      <c r="I6" s="75" t="inlineStr">
        <is>
          <t>Reason it does not qualify / evidence missing</t>
        </is>
      </c>
      <c r="J6" s="75" t="inlineStr">
        <is>
          <t>Source URL</t>
        </is>
      </c>
      <c r="K6" s="75" t="inlineStr">
        <is>
          <t>Status note</t>
        </is>
      </c>
    </row>
    <row r="7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30" customWidth="1" min="4" max="4"/>
    <col width="22" customWidth="1" min="5" max="5"/>
    <col width="50" customWidth="1" min="6" max="6"/>
    <col width="34" customWidth="1" min="7" max="7"/>
    <col width="24" customWidth="1" min="8" max="8"/>
    <col width="14" customWidth="1" min="9" max="9"/>
    <col width="11" customWidth="1" min="10" max="10"/>
    <col width="16" customWidth="1" min="11" max="11"/>
    <col width="80" customWidth="1" min="12" max="12"/>
  </cols>
  <sheetData>
    <row r="2">
      <c r="A2" s="78" t="inlineStr">
        <is>
          <t>Experiential learning: claim-level sources</t>
        </is>
      </c>
    </row>
    <row r="3">
      <c r="A3" s="71" t="inlineStr">
        <is>
          <t>Each row is one source supporting named claims for one scheme. 'Supports' lists the criteria/fields it evidences.</t>
        </is>
      </c>
    </row>
    <row r="4">
      <c r="A4" s="71" t="inlineStr">
        <is>
          <t>Retrieval method 'search-index extract': page text obtained through web-search extracts because direct page fetching was blocked by this environment's network policy. Re-open URLs to confirm before external publication.</t>
        </is>
      </c>
    </row>
    <row r="6">
      <c r="A6" s="75" t="inlineStr">
        <is>
          <t>Source ID</t>
        </is>
      </c>
      <c r="B6" s="75" t="inlineStr">
        <is>
          <t>Institution ID</t>
        </is>
      </c>
      <c r="C6" s="75" t="inlineStr">
        <is>
          <t>Scheme ID</t>
        </is>
      </c>
      <c r="D6" s="75" t="inlineStr">
        <is>
          <t>Scheme</t>
        </is>
      </c>
      <c r="E6" s="75" t="inlineStr">
        <is>
          <t>Supports (claim / criterion)</t>
        </is>
      </c>
      <c r="F6" s="75" t="inlineStr">
        <is>
          <t>URL</t>
        </is>
      </c>
      <c r="G6" s="75" t="inlineStr">
        <is>
          <t>Title</t>
        </is>
      </c>
      <c r="H6" s="75" t="inlineStr">
        <is>
          <t>Section / subpage / PDF page</t>
        </is>
      </c>
      <c r="I6" s="75" t="inlineStr">
        <is>
          <t>Publication / academic year</t>
        </is>
      </c>
      <c r="J6" s="75" t="inlineStr">
        <is>
          <t>Access date</t>
        </is>
      </c>
      <c r="K6" s="75" t="inlineStr">
        <is>
          <t>Retrieval method</t>
        </is>
      </c>
      <c r="L6" s="75" t="inlineStr">
        <is>
          <t>Supporting extract or precise paraphrase</t>
        </is>
      </c>
    </row>
    <row r="7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14" customWidth="1" min="4" max="4"/>
    <col width="60" customWidth="1" min="5" max="5"/>
    <col width="50" customWidth="1" min="6" max="6"/>
    <col width="60" customWidth="1" min="7" max="7"/>
  </cols>
  <sheetData>
    <row r="2">
      <c r="A2" s="78" t="inlineStr">
        <is>
          <t>Experiential learning: institution-level search coverage log</t>
        </is>
      </c>
    </row>
    <row r="3">
      <c r="A3" s="71" t="inlineStr">
        <is>
          <t>Six areas per institution: central provision, business, engineering/computing, science, arts/humanities/social sciences, other.</t>
        </is>
      </c>
    </row>
    <row r="4">
      <c r="A4" s="71" t="inlineStr">
        <is>
          <t>Status: Searched / Not applicable (no such faculty) / Not searched (with reason). Institutions not yet researched have no rows.</t>
        </is>
      </c>
    </row>
    <row r="6">
      <c r="A6" s="75" t="inlineStr">
        <is>
          <t>Institution ID</t>
        </is>
      </c>
      <c r="B6" s="75" t="inlineStr">
        <is>
          <t>Institution</t>
        </is>
      </c>
      <c r="C6" s="75" t="inlineStr">
        <is>
          <t>Faculty / provision area</t>
        </is>
      </c>
      <c r="D6" s="75" t="inlineStr">
        <is>
          <t>Search status</t>
        </is>
      </c>
      <c r="E6" s="75" t="inlineStr">
        <is>
          <t>Queries run</t>
        </is>
      </c>
      <c r="F6" s="75" t="inlineStr">
        <is>
          <t>Key sources examined</t>
        </is>
      </c>
      <c r="G6" s="75" t="inlineStr">
        <is>
          <t>Finding</t>
        </is>
      </c>
    </row>
    <row r="7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B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2">
      <c r="A2" s="78" t="inlineStr">
        <is>
          <t>Experiential learning review: method, definitions, sample reconciliation and quality control</t>
        </is>
      </c>
    </row>
    <row r="4" ht="30" customHeight="1">
      <c r="A4" s="79" t="inlineStr">
        <is>
          <t>Research question</t>
        </is>
      </c>
      <c r="B4" s="77" t="inlineStr">
        <is>
          <t>Where do universities provide structured opportunities for students to work collaboratively on substantive projects connected to real employers or businesses, and how widely are these opportunities embedded across each institution?</t>
        </is>
      </c>
    </row>
    <row r="5" ht="30" customHeight="1">
      <c r="A5" s="79" t="inlineStr">
        <is>
          <t>A. Project-based</t>
        </is>
      </c>
      <c r="B5" s="77" t="inlineStr">
        <is>
          <t>Substantive bounded project with a defined problem/brief/research question and identifiable output. Lectures, workshops, talks, visits, networking: insufficient. Placements only with an evidenced project component.</t>
        </is>
      </c>
    </row>
    <row r="6" ht="30" customHeight="1">
      <c r="A6" s="79" t="inlineStr">
        <is>
          <t>B. Group working</t>
        </is>
      </c>
      <c r="B6" s="77" t="inlineStr">
        <is>
          <t>Students work together as a team on the project or joint output. Same class, employer mentor, supervisor collaboration or colleagues during an individual placement do not count. Mixed individual/group schemes are split by route or marked Unclear.</t>
        </is>
      </c>
    </row>
    <row r="7" ht="45" customHeight="1">
      <c r="A7" s="79" t="inlineStr">
        <is>
          <t>C. Employer / external organisation</t>
        </is>
      </c>
      <c r="B7" s="77" t="inlineStr">
        <is>
          <t>Documented participation of a real external organisation: supplies live brief/problem/data; commissions the work; participates in supervision/mentoring/feedback/assessment; or receives the outputs. Generic industry relevance, hypothetical clients, teaching cases, guest speakers, logos: insufficient. Partner types recorded separately so business-linked provision can be isolated.</t>
        </is>
      </c>
    </row>
    <row r="8" ht="30" customHeight="1">
      <c r="A8" s="79" t="inlineStr">
        <is>
          <t>Three-state values</t>
        </is>
      </c>
      <c r="B8" s="77" t="inlineStr">
        <is>
          <t>Yes = explicit supporting evidence; No = evidence establishes the criterion is not met; Unclear = insufficient evidence. Visual fills: green/red/amber; underlying values remain text.</t>
        </is>
      </c>
    </row>
    <row r="9" ht="30" customHeight="1">
      <c r="A9" s="79" t="inlineStr">
        <is>
          <t>Classification</t>
        </is>
      </c>
      <c r="B9" s="77" t="inlineStr">
        <is>
          <t>Meets all three = Yes/Yes/Yes. Potentially relevant; evidence incomplete = no No, at least one Unclear. Outside strict definition = at least one No. All three must apply to the same scheme and participation route.</t>
        </is>
      </c>
    </row>
    <row r="10" ht="30" customHeight="1">
      <c r="A10" s="79" t="inlineStr">
        <is>
          <t>Academic reach</t>
        </is>
      </c>
      <c r="B10" s="77" t="inlineStr">
        <is>
          <t>University-wide | Cross-faculty | Faculty/school | Programme/course | Unclear — based on published eligibility; administrative host recorded separately.</t>
        </is>
      </c>
    </row>
    <row r="11" ht="30" customHeight="1">
      <c r="A11" s="79" t="inlineStr">
        <is>
          <t>Operating status</t>
        </is>
      </c>
      <c r="B11" s="77" t="inlineStr">
        <is>
          <t>Current delivery confirmed | Announced/forthcoming | Historical delivery only | Paused/discontinued | Current status unclear; latest evidenced delivery year recorded separately. A working page is not proof of current delivery.</t>
        </is>
      </c>
    </row>
    <row r="12" ht="30" customHeight="1">
      <c r="A12" s="79" t="inlineStr">
        <is>
          <t>Counting</t>
        </is>
      </c>
      <c r="B12" s="77" t="inlineStr">
        <is>
          <t>Distinct scheme or materially different participation route. Umbrella programmes with recorded child routes are flagged and not counted (children are). Annual cohorts, client examples and duplicate webpages are not split.</t>
        </is>
      </c>
    </row>
    <row r="13" ht="45" customHeight="1">
      <c r="A13" s="79" t="inlineStr">
        <is>
          <t>Search protocol</t>
        </is>
      </c>
      <c r="B13" s="77" t="inlineStr">
        <is>
          <t>Each institution: central provision + business + engineering/computing + science + arts/humanities/social sciences + other (law/health/design/architecture), using targeted site: searches, module catalogues/handbooks, employer-facing project pages and local-language terms for EU institutions. 'Reviewed' = all applicable areas documented in EL search log; otherwise Partial.</t>
        </is>
      </c>
    </row>
    <row r="14" ht="60" customHeight="1">
      <c r="A14" s="79" t="inlineStr">
        <is>
          <t>EVIDENCE LIMITATION</t>
        </is>
      </c>
      <c r="B14" s="77" t="inlineStr">
        <is>
          <t>The research environment's network policy blocked direct page fetching (all hosts denied, Oct 2026). Evidence was therefore obtained through web-search extracts that quote and attribute text to specific official URLs ('search-index extract'). Extracts were not checked against a live copy of each page. Handbook years shown in URLs were recorded; undated pages were not taken as proof of current delivery. Before external publication, re-open source URLs (a spot-check sample at minimum) — enabling network access to university domains in the environment settings would allow this.</t>
        </is>
      </c>
    </row>
    <row r="15" ht="30" customHeight="1">
      <c r="A15" s="79" t="inlineStr">
        <is>
          <t>Sample reconciliation</t>
        </is>
      </c>
      <c r="B15" s="77" t="inlineStr">
        <is>
          <t>Expected 124; found 124 (Russell Group 24, additional UK 30, Australia 10, US 30, EU 30 across 10 member states). No duplicate institutions; every legacy scheme row maps to an index institution; every institution had ≥1 legacy row. Sample preserved unchanged; no substitutions.</t>
        </is>
      </c>
    </row>
    <row r="16" ht="60" customHeight="1">
      <c r="A16" s="79" t="inlineStr">
        <is>
          <t>QS reconciliation</t>
        </is>
      </c>
      <c r="B16" s="77" t="inlineStr">
        <is>
          <t>All rows record QS World University Rankings 2027 edition. 95 ranks cite the ranking table; 29 cite individual QS profile pages (mostly ranks &gt;200) — not re-verified in this review because QS pages could not be opened. Tie flags were internally consistent for ranks shared within the sample. Notes: Adelaide University is the 2026 merger of the University of Adelaide and UniSA; City St George's is the 2024 merger of City and St George's; US/EU rows are not listed in rank order (cosmetic). See Institution index column O.</t>
        </is>
      </c>
    </row>
    <row r="17" ht="30" customHeight="1">
      <c r="A17" s="79" t="inlineStr">
        <is>
          <t>Financial data</t>
        </is>
      </c>
      <c r="B17" s="77" t="inlineStr">
        <is>
          <t>Dashboard (lifelong-learning income), UK providers, Revenue evidence tabs and formulas are unchanged; the two Dashboard charts are preserved. Lifelong-learning revenue must not be interpreted as revenue from experiential learning schemes.</t>
        </is>
      </c>
    </row>
    <row r="18" ht="30" customHeight="1">
      <c r="A18" s="79" t="inlineStr">
        <is>
          <t>Legacy research</t>
        </is>
      </c>
      <c r="B18" s="77" t="inlineStr">
        <is>
          <t>The 152 legacy rows are retained in 'Legacy schemes (v3)' with a disposition column (Q) pointing to the register or exclusions tab. Institution index columns I–M still count legacy rows.</t>
        </is>
      </c>
    </row>
    <row r="21">
      <c r="A21" s="74" t="inlineStr">
        <is>
          <t>Automated QC findings (build time)</t>
        </is>
      </c>
    </row>
    <row r="22">
      <c r="A22" s="24" t="inlineStr">
        <is>
          <t>Summary</t>
        </is>
      </c>
      <c r="B22" s="32" t="inlineStr">
        <is>
          <t>0 errors, 0 warnings across 0 researched institutions (listed below; resolved items are removed on rebuild).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03B60"/>
    <outlinePr summaryBelow="1" summaryRight="1"/>
    <pageSetUpPr/>
  </sheetPr>
  <dimension ref="A1:O14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7" customWidth="1" min="1" max="1"/>
    <col width="35" customWidth="1" min="2" max="2"/>
    <col width="29" customWidth="1" min="3" max="3"/>
    <col width="17" customWidth="1" min="4" max="4"/>
    <col width="17" customWidth="1" min="5" max="5"/>
    <col width="18" customWidth="1" min="6" max="6"/>
    <col width="77" customWidth="1" min="7" max="7"/>
    <col width="19" customWidth="1" min="8" max="8"/>
    <col width="22" customWidth="1" min="9" max="9"/>
    <col width="29" customWidth="1" min="10" max="10"/>
    <col width="24" customWidth="1" min="11" max="11"/>
    <col width="31" customWidth="1" min="12" max="12"/>
    <col width="51" customWidth="1" min="13" max="13"/>
    <col width="12" customWidth="1" min="14" max="14"/>
    <col width="50" customWidth="1" min="15" max="15"/>
  </cols>
  <sheetData>
    <row r="1"/>
    <row r="2" ht="28" customHeight="1">
      <c r="A2" s="4" t="inlineStr">
        <is>
          <t>Institution coverage, QS eligibility and scheme reach</t>
        </is>
      </c>
      <c r="G2" s="2" t="n"/>
      <c r="H2" s="2" t="n"/>
      <c r="I2" s="2" t="n"/>
      <c r="J2" s="2" t="n"/>
      <c r="K2" s="2" t="n"/>
      <c r="L2" s="2" t="n"/>
      <c r="M2" s="2" t="n"/>
    </row>
    <row r="3" ht="36" customHeight="1">
      <c r="A3" s="6" t="inlineStr">
        <is>
          <t>QS World University Rankings 2027. 30 additional UK institutions outside the Russell Group, 30 US and 30 EU institutions in 10 member states: all within top 1000.</t>
        </is>
      </c>
      <c r="G3" s="2" t="n"/>
      <c r="H3" s="2" t="n"/>
      <c r="I3" s="2" t="n"/>
      <c r="J3" s="2" t="n"/>
      <c r="K3" s="2" t="n"/>
      <c r="L3" s="2" t="n"/>
      <c r="M3" s="2" t="n"/>
    </row>
    <row r="4" ht="36" customHeight="1">
      <c r="A4" s="6" t="inlineStr">
        <is>
          <t>Purposive selection across places and disciplines, not a random prevalence sample. Scheme counts are documented examples; failure to verify a broader scheme does not mean none exists. Research date: 8 October 2026. NOTE (Oct 2026): columns I–M count LEGACY scheme rows; see 'EL institution summary' for the strict-definition review.</t>
        </is>
      </c>
      <c r="G4" s="2" t="n"/>
      <c r="H4" s="2" t="n"/>
      <c r="I4" s="2" t="n"/>
      <c r="J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 ht="40" customHeight="1">
      <c r="A6" s="9" t="inlineStr">
        <is>
          <t>Country</t>
        </is>
      </c>
      <c r="B6" s="9" t="inlineStr">
        <is>
          <t>University</t>
        </is>
      </c>
      <c r="C6" s="9" t="inlineStr">
        <is>
          <t>Cohort</t>
        </is>
      </c>
      <c r="D6" s="9" t="inlineStr">
        <is>
          <t>QS edition</t>
        </is>
      </c>
      <c r="E6" s="9" t="inlineStr">
        <is>
          <t>QS rank</t>
        </is>
      </c>
      <c r="F6" s="9" t="inlineStr">
        <is>
          <t>Tied rank?</t>
        </is>
      </c>
      <c r="G6" s="9" t="inlineStr">
        <is>
          <t>Official ranking source</t>
        </is>
      </c>
      <c r="H6" s="9" t="inlineStr">
        <is>
          <t>UKPRN</t>
        </is>
      </c>
      <c r="I6" s="9" t="inlineStr">
        <is>
          <t>Scheme examples</t>
        </is>
      </c>
      <c r="J6" s="9" t="inlineStr">
        <is>
          <t>University-wide examples</t>
        </is>
      </c>
      <c r="K6" s="9" t="inlineStr">
        <is>
          <t>Narrower examples</t>
        </is>
      </c>
      <c r="L6" s="9" t="inlineStr">
        <is>
          <t>Unconfirmed reach examples</t>
        </is>
      </c>
      <c r="M6" s="9" t="inlineStr">
        <is>
          <t>Broadest documented reach</t>
        </is>
      </c>
      <c r="N6" s="75" t="inlineStr">
        <is>
          <t>EL review ID</t>
        </is>
      </c>
      <c r="O6" s="75" t="inlineStr">
        <is>
          <t>Sample / QS note (Oct 2026 reconciliation)</t>
        </is>
      </c>
    </row>
    <row r="7" ht="53" customHeight="1">
      <c r="A7" s="10" t="inlineStr">
        <is>
          <t>UK</t>
        </is>
      </c>
      <c r="B7" s="11" t="inlineStr">
        <is>
          <t>Birmingham</t>
        </is>
      </c>
      <c r="C7" s="10" t="inlineStr">
        <is>
          <t>Russell Group</t>
        </is>
      </c>
      <c r="D7" s="80" t="n">
        <v>2027</v>
      </c>
      <c r="E7" s="80" t="n">
        <v>68</v>
      </c>
      <c r="F7" s="10" t="inlineStr">
        <is>
          <t>Yes</t>
        </is>
      </c>
      <c r="G7" s="10" t="inlineStr">
        <is>
          <t>https://www.topuniversities.com/qs-top-uni-wur</t>
        </is>
      </c>
      <c r="H7" s="10" t="inlineStr">
        <is>
          <t>10006840</t>
        </is>
      </c>
      <c r="I7" s="80">
        <f>COUNTIF('Legacy schemes (v3)'!$B$7:$B$158,B7)</f>
        <v/>
      </c>
      <c r="J7" s="80">
        <f>COUNTIFS('Legacy schemes (v3)'!$B$7:$B$158,B7,'Legacy schemes (v3)'!$C$7:$C$158,"University-wide")</f>
        <v/>
      </c>
      <c r="K7" s="80">
        <f>COUNTIFS('Legacy schemes (v3)'!$B$7:$B$158,B7,'Legacy schemes (v3)'!$C$7:$C$158,"Cross-faculty")+COUNTIFS('Legacy schemes (v3)'!$B$7:$B$158,B7,'Legacy schemes (v3)'!$C$7:$C$158,"Faculty/school")+COUNTIFS('Legacy schemes (v3)'!$B$7:$B$158,B7,'Legacy schemes (v3)'!$C$7:$C$158,"Programme/course")</f>
        <v/>
      </c>
      <c r="L7" s="80">
        <f>COUNTIFS('Legacy schemes (v3)'!$B$7:$B$158,B7,'Legacy schemes (v3)'!$C$7:$C$158,"Not confirmed")</f>
        <v/>
      </c>
      <c r="M7" s="10">
        <f>IF(J7&gt;0,"University-wide scheme/framework documented",IF(COUNTIFS('Legacy schemes (v3)'!$B$7:$B$158,B7,'Legacy schemes (v3)'!$C$7:$C$158,"Cross-faculty")&gt;0,"Cross-faculty; broader reach unverified",IF(COUNTIFS('Legacy schemes (v3)'!$B$7:$B$158,B7,'Legacy schemes (v3)'!$C$7:$C$158,"Faculty/school")&gt;0,"Faculty/school; broader reach unverified",IF(K7&gt;0,"Programme/course; broader reach unverified","Scheme documented; reach unconfirmed"))))</f>
        <v/>
      </c>
      <c r="N7" s="32" t="inlineStr">
        <is>
          <t>RG01</t>
        </is>
      </c>
      <c r="O7" s="77" t="inlineStr"/>
    </row>
    <row r="8" ht="53" customHeight="1">
      <c r="A8" s="10" t="inlineStr">
        <is>
          <t>UK</t>
        </is>
      </c>
      <c r="B8" s="11" t="inlineStr">
        <is>
          <t>Bristol</t>
        </is>
      </c>
      <c r="C8" s="10" t="inlineStr">
        <is>
          <t>Russell Group</t>
        </is>
      </c>
      <c r="D8" s="80" t="n">
        <v>2027</v>
      </c>
      <c r="E8" s="80" t="n">
        <v>57</v>
      </c>
      <c r="F8" s="10" t="inlineStr">
        <is>
          <t>No</t>
        </is>
      </c>
      <c r="G8" s="10" t="inlineStr">
        <is>
          <t>https://www.topuniversities.com/qs-top-uni-wur</t>
        </is>
      </c>
      <c r="H8" s="10" t="inlineStr">
        <is>
          <t>10007786</t>
        </is>
      </c>
      <c r="I8" s="80">
        <f>COUNTIF('Legacy schemes (v3)'!$B$7:$B$158,B8)</f>
        <v/>
      </c>
      <c r="J8" s="80">
        <f>COUNTIFS('Legacy schemes (v3)'!$B$7:$B$158,B8,'Legacy schemes (v3)'!$C$7:$C$158,"University-wide")</f>
        <v/>
      </c>
      <c r="K8" s="80">
        <f>COUNTIFS('Legacy schemes (v3)'!$B$7:$B$158,B8,'Legacy schemes (v3)'!$C$7:$C$158,"Cross-faculty")+COUNTIFS('Legacy schemes (v3)'!$B$7:$B$158,B8,'Legacy schemes (v3)'!$C$7:$C$158,"Faculty/school")+COUNTIFS('Legacy schemes (v3)'!$B$7:$B$158,B8,'Legacy schemes (v3)'!$C$7:$C$158,"Programme/course")</f>
        <v/>
      </c>
      <c r="L8" s="80">
        <f>COUNTIFS('Legacy schemes (v3)'!$B$7:$B$158,B8,'Legacy schemes (v3)'!$C$7:$C$158,"Not confirmed")</f>
        <v/>
      </c>
      <c r="M8" s="10">
        <f>IF(J8&gt;0,"University-wide scheme/framework documented",IF(COUNTIFS('Legacy schemes (v3)'!$B$7:$B$158,B8,'Legacy schemes (v3)'!$C$7:$C$158,"Cross-faculty")&gt;0,"Cross-faculty; broader reach unverified",IF(COUNTIFS('Legacy schemes (v3)'!$B$7:$B$158,B8,'Legacy schemes (v3)'!$C$7:$C$158,"Faculty/school")&gt;0,"Faculty/school; broader reach unverified",IF(K8&gt;0,"Programme/course; broader reach unverified","Scheme documented; reach unconfirmed"))))</f>
        <v/>
      </c>
      <c r="N8" s="32" t="inlineStr">
        <is>
          <t>RG02</t>
        </is>
      </c>
      <c r="O8" s="77" t="inlineStr"/>
    </row>
    <row r="9" ht="53" customHeight="1">
      <c r="A9" s="10" t="inlineStr">
        <is>
          <t>UK</t>
        </is>
      </c>
      <c r="B9" s="11" t="inlineStr">
        <is>
          <t>Cambridge</t>
        </is>
      </c>
      <c r="C9" s="10" t="inlineStr">
        <is>
          <t>Russell Group</t>
        </is>
      </c>
      <c r="D9" s="80" t="n">
        <v>2027</v>
      </c>
      <c r="E9" s="80" t="n">
        <v>6</v>
      </c>
      <c r="F9" s="10" t="inlineStr">
        <is>
          <t>No</t>
        </is>
      </c>
      <c r="G9" s="10" t="inlineStr">
        <is>
          <t>https://www.topuniversities.com/qs-top-uni-wur</t>
        </is>
      </c>
      <c r="H9" s="10" t="inlineStr">
        <is>
          <t>10007788</t>
        </is>
      </c>
      <c r="I9" s="80">
        <f>COUNTIF('Legacy schemes (v3)'!$B$7:$B$158,B9)</f>
        <v/>
      </c>
      <c r="J9" s="80">
        <f>COUNTIFS('Legacy schemes (v3)'!$B$7:$B$158,B9,'Legacy schemes (v3)'!$C$7:$C$158,"University-wide")</f>
        <v/>
      </c>
      <c r="K9" s="80">
        <f>COUNTIFS('Legacy schemes (v3)'!$B$7:$B$158,B9,'Legacy schemes (v3)'!$C$7:$C$158,"Cross-faculty")+COUNTIFS('Legacy schemes (v3)'!$B$7:$B$158,B9,'Legacy schemes (v3)'!$C$7:$C$158,"Faculty/school")+COUNTIFS('Legacy schemes (v3)'!$B$7:$B$158,B9,'Legacy schemes (v3)'!$C$7:$C$158,"Programme/course")</f>
        <v/>
      </c>
      <c r="L9" s="80">
        <f>COUNTIFS('Legacy schemes (v3)'!$B$7:$B$158,B9,'Legacy schemes (v3)'!$C$7:$C$158,"Not confirmed")</f>
        <v/>
      </c>
      <c r="M9" s="10">
        <f>IF(J9&gt;0,"University-wide scheme/framework documented",IF(COUNTIFS('Legacy schemes (v3)'!$B$7:$B$158,B9,'Legacy schemes (v3)'!$C$7:$C$158,"Cross-faculty")&gt;0,"Cross-faculty; broader reach unverified",IF(COUNTIFS('Legacy schemes (v3)'!$B$7:$B$158,B9,'Legacy schemes (v3)'!$C$7:$C$158,"Faculty/school")&gt;0,"Faculty/school; broader reach unverified",IF(K9&gt;0,"Programme/course; broader reach unverified","Scheme documented; reach unconfirmed"))))</f>
        <v/>
      </c>
      <c r="N9" s="32" t="inlineStr">
        <is>
          <t>RG03</t>
        </is>
      </c>
      <c r="O9" s="77" t="inlineStr"/>
    </row>
    <row r="10" ht="53" customHeight="1">
      <c r="A10" s="10" t="inlineStr">
        <is>
          <t>UK</t>
        </is>
      </c>
      <c r="B10" s="11" t="inlineStr">
        <is>
          <t>Cardiff</t>
        </is>
      </c>
      <c r="C10" s="10" t="inlineStr">
        <is>
          <t>Russell Group</t>
        </is>
      </c>
      <c r="D10" s="80" t="n">
        <v>2027</v>
      </c>
      <c r="E10" s="80" t="n">
        <v>179</v>
      </c>
      <c r="F10" s="10" t="inlineStr">
        <is>
          <t>Yes</t>
        </is>
      </c>
      <c r="G10" s="10" t="inlineStr">
        <is>
          <t>https://www.topuniversities.com/qs-top-uni-wur</t>
        </is>
      </c>
      <c r="H10" s="10" t="inlineStr">
        <is>
          <t>10007814</t>
        </is>
      </c>
      <c r="I10" s="80">
        <f>COUNTIF('Legacy schemes (v3)'!$B$7:$B$158,B10)</f>
        <v/>
      </c>
      <c r="J10" s="80">
        <f>COUNTIFS('Legacy schemes (v3)'!$B$7:$B$158,B10,'Legacy schemes (v3)'!$C$7:$C$158,"University-wide")</f>
        <v/>
      </c>
      <c r="K10" s="80">
        <f>COUNTIFS('Legacy schemes (v3)'!$B$7:$B$158,B10,'Legacy schemes (v3)'!$C$7:$C$158,"Cross-faculty")+COUNTIFS('Legacy schemes (v3)'!$B$7:$B$158,B10,'Legacy schemes (v3)'!$C$7:$C$158,"Faculty/school")+COUNTIFS('Legacy schemes (v3)'!$B$7:$B$158,B10,'Legacy schemes (v3)'!$C$7:$C$158,"Programme/course")</f>
        <v/>
      </c>
      <c r="L10" s="80">
        <f>COUNTIFS('Legacy schemes (v3)'!$B$7:$B$158,B10,'Legacy schemes (v3)'!$C$7:$C$158,"Not confirmed")</f>
        <v/>
      </c>
      <c r="M10" s="10">
        <f>IF(J10&gt;0,"University-wide scheme/framework documented",IF(COUNTIFS('Legacy schemes (v3)'!$B$7:$B$158,B10,'Legacy schemes (v3)'!$C$7:$C$158,"Cross-faculty")&gt;0,"Cross-faculty; broader reach unverified",IF(COUNTIFS('Legacy schemes (v3)'!$B$7:$B$158,B10,'Legacy schemes (v3)'!$C$7:$C$158,"Faculty/school")&gt;0,"Faculty/school; broader reach unverified",IF(K10&gt;0,"Programme/course; broader reach unverified","Scheme documented; reach unconfirmed"))))</f>
        <v/>
      </c>
      <c r="N10" s="32" t="inlineStr">
        <is>
          <t>RG04</t>
        </is>
      </c>
      <c r="O10" s="77" t="inlineStr"/>
    </row>
    <row r="11" ht="53" customHeight="1">
      <c r="A11" s="10" t="inlineStr">
        <is>
          <t>UK</t>
        </is>
      </c>
      <c r="B11" s="11" t="inlineStr">
        <is>
          <t>Durham</t>
        </is>
      </c>
      <c r="C11" s="10" t="inlineStr">
        <is>
          <t>Russell Group</t>
        </is>
      </c>
      <c r="D11" s="80" t="n">
        <v>2027</v>
      </c>
      <c r="E11" s="80" t="n">
        <v>85</v>
      </c>
      <c r="F11" s="10" t="inlineStr">
        <is>
          <t>No</t>
        </is>
      </c>
      <c r="G11" s="10" t="inlineStr">
        <is>
          <t>https://www.topuniversities.com/qs-top-uni-wur</t>
        </is>
      </c>
      <c r="H11" s="10" t="inlineStr">
        <is>
          <t>10007143</t>
        </is>
      </c>
      <c r="I11" s="80">
        <f>COUNTIF('Legacy schemes (v3)'!$B$7:$B$158,B11)</f>
        <v/>
      </c>
      <c r="J11" s="80">
        <f>COUNTIFS('Legacy schemes (v3)'!$B$7:$B$158,B11,'Legacy schemes (v3)'!$C$7:$C$158,"University-wide")</f>
        <v/>
      </c>
      <c r="K11" s="80">
        <f>COUNTIFS('Legacy schemes (v3)'!$B$7:$B$158,B11,'Legacy schemes (v3)'!$C$7:$C$158,"Cross-faculty")+COUNTIFS('Legacy schemes (v3)'!$B$7:$B$158,B11,'Legacy schemes (v3)'!$C$7:$C$158,"Faculty/school")+COUNTIFS('Legacy schemes (v3)'!$B$7:$B$158,B11,'Legacy schemes (v3)'!$C$7:$C$158,"Programme/course")</f>
        <v/>
      </c>
      <c r="L11" s="80">
        <f>COUNTIFS('Legacy schemes (v3)'!$B$7:$B$158,B11,'Legacy schemes (v3)'!$C$7:$C$158,"Not confirmed")</f>
        <v/>
      </c>
      <c r="M11" s="10">
        <f>IF(J11&gt;0,"University-wide scheme/framework documented",IF(COUNTIFS('Legacy schemes (v3)'!$B$7:$B$158,B11,'Legacy schemes (v3)'!$C$7:$C$158,"Cross-faculty")&gt;0,"Cross-faculty; broader reach unverified",IF(COUNTIFS('Legacy schemes (v3)'!$B$7:$B$158,B11,'Legacy schemes (v3)'!$C$7:$C$158,"Faculty/school")&gt;0,"Faculty/school; broader reach unverified",IF(K11&gt;0,"Programme/course; broader reach unverified","Scheme documented; reach unconfirmed"))))</f>
        <v/>
      </c>
      <c r="N11" s="32" t="inlineStr">
        <is>
          <t>RG05</t>
        </is>
      </c>
      <c r="O11" s="77" t="inlineStr"/>
    </row>
    <row r="12" ht="53" customHeight="1">
      <c r="A12" s="10" t="inlineStr">
        <is>
          <t>UK</t>
        </is>
      </c>
      <c r="B12" s="11" t="inlineStr">
        <is>
          <t>Edinburgh</t>
        </is>
      </c>
      <c r="C12" s="10" t="inlineStr">
        <is>
          <t>Russell Group</t>
        </is>
      </c>
      <c r="D12" s="80" t="n">
        <v>2027</v>
      </c>
      <c r="E12" s="80" t="n">
        <v>35</v>
      </c>
      <c r="F12" s="10" t="inlineStr">
        <is>
          <t>No</t>
        </is>
      </c>
      <c r="G12" s="10" t="inlineStr">
        <is>
          <t>https://www.topuniversities.com/qs-top-uni-wur</t>
        </is>
      </c>
      <c r="H12" s="10" t="inlineStr">
        <is>
          <t>10007790</t>
        </is>
      </c>
      <c r="I12" s="80">
        <f>COUNTIF('Legacy schemes (v3)'!$B$7:$B$158,B12)</f>
        <v/>
      </c>
      <c r="J12" s="80">
        <f>COUNTIFS('Legacy schemes (v3)'!$B$7:$B$158,B12,'Legacy schemes (v3)'!$C$7:$C$158,"University-wide")</f>
        <v/>
      </c>
      <c r="K12" s="80">
        <f>COUNTIFS('Legacy schemes (v3)'!$B$7:$B$158,B12,'Legacy schemes (v3)'!$C$7:$C$158,"Cross-faculty")+COUNTIFS('Legacy schemes (v3)'!$B$7:$B$158,B12,'Legacy schemes (v3)'!$C$7:$C$158,"Faculty/school")+COUNTIFS('Legacy schemes (v3)'!$B$7:$B$158,B12,'Legacy schemes (v3)'!$C$7:$C$158,"Programme/course")</f>
        <v/>
      </c>
      <c r="L12" s="80">
        <f>COUNTIFS('Legacy schemes (v3)'!$B$7:$B$158,B12,'Legacy schemes (v3)'!$C$7:$C$158,"Not confirmed")</f>
        <v/>
      </c>
      <c r="M12" s="10">
        <f>IF(J12&gt;0,"University-wide scheme/framework documented",IF(COUNTIFS('Legacy schemes (v3)'!$B$7:$B$158,B12,'Legacy schemes (v3)'!$C$7:$C$158,"Cross-faculty")&gt;0,"Cross-faculty; broader reach unverified",IF(COUNTIFS('Legacy schemes (v3)'!$B$7:$B$158,B12,'Legacy schemes (v3)'!$C$7:$C$158,"Faculty/school")&gt;0,"Faculty/school; broader reach unverified",IF(K12&gt;0,"Programme/course; broader reach unverified","Scheme documented; reach unconfirmed"))))</f>
        <v/>
      </c>
      <c r="N12" s="32" t="inlineStr">
        <is>
          <t>RG06</t>
        </is>
      </c>
      <c r="O12" s="77" t="inlineStr"/>
    </row>
    <row r="13" ht="53" customHeight="1">
      <c r="A13" s="10" t="inlineStr">
        <is>
          <t>UK</t>
        </is>
      </c>
      <c r="B13" s="11" t="inlineStr">
        <is>
          <t>Exeter</t>
        </is>
      </c>
      <c r="C13" s="10" t="inlineStr">
        <is>
          <t>Russell Group</t>
        </is>
      </c>
      <c r="D13" s="80" t="n">
        <v>2027</v>
      </c>
      <c r="E13" s="80" t="n">
        <v>136</v>
      </c>
      <c r="F13" s="10" t="inlineStr">
        <is>
          <t>No</t>
        </is>
      </c>
      <c r="G13" s="10" t="inlineStr">
        <is>
          <t>https://www.topuniversities.com/qs-top-uni-wur</t>
        </is>
      </c>
      <c r="H13" s="10" t="inlineStr">
        <is>
          <t>10007792</t>
        </is>
      </c>
      <c r="I13" s="80">
        <f>COUNTIF('Legacy schemes (v3)'!$B$7:$B$158,B13)</f>
        <v/>
      </c>
      <c r="J13" s="80">
        <f>COUNTIFS('Legacy schemes (v3)'!$B$7:$B$158,B13,'Legacy schemes (v3)'!$C$7:$C$158,"University-wide")</f>
        <v/>
      </c>
      <c r="K13" s="80">
        <f>COUNTIFS('Legacy schemes (v3)'!$B$7:$B$158,B13,'Legacy schemes (v3)'!$C$7:$C$158,"Cross-faculty")+COUNTIFS('Legacy schemes (v3)'!$B$7:$B$158,B13,'Legacy schemes (v3)'!$C$7:$C$158,"Faculty/school")+COUNTIFS('Legacy schemes (v3)'!$B$7:$B$158,B13,'Legacy schemes (v3)'!$C$7:$C$158,"Programme/course")</f>
        <v/>
      </c>
      <c r="L13" s="80">
        <f>COUNTIFS('Legacy schemes (v3)'!$B$7:$B$158,B13,'Legacy schemes (v3)'!$C$7:$C$158,"Not confirmed")</f>
        <v/>
      </c>
      <c r="M13" s="10">
        <f>IF(J13&gt;0,"University-wide scheme/framework documented",IF(COUNTIFS('Legacy schemes (v3)'!$B$7:$B$158,B13,'Legacy schemes (v3)'!$C$7:$C$158,"Cross-faculty")&gt;0,"Cross-faculty; broader reach unverified",IF(COUNTIFS('Legacy schemes (v3)'!$B$7:$B$158,B13,'Legacy schemes (v3)'!$C$7:$C$158,"Faculty/school")&gt;0,"Faculty/school; broader reach unverified",IF(K13&gt;0,"Programme/course; broader reach unverified","Scheme documented; reach unconfirmed"))))</f>
        <v/>
      </c>
      <c r="N13" s="32" t="inlineStr">
        <is>
          <t>RG07</t>
        </is>
      </c>
      <c r="O13" s="77" t="inlineStr"/>
    </row>
    <row r="14" ht="53" customHeight="1">
      <c r="A14" s="10" t="inlineStr">
        <is>
          <t>UK</t>
        </is>
      </c>
      <c r="B14" s="11" t="inlineStr">
        <is>
          <t>Glasgow</t>
        </is>
      </c>
      <c r="C14" s="10" t="inlineStr">
        <is>
          <t>Russell Group</t>
        </is>
      </c>
      <c r="D14" s="80" t="n">
        <v>2027</v>
      </c>
      <c r="E14" s="80" t="n">
        <v>80</v>
      </c>
      <c r="F14" s="10" t="inlineStr">
        <is>
          <t>No</t>
        </is>
      </c>
      <c r="G14" s="10" t="inlineStr">
        <is>
          <t>https://www.topuniversities.com/qs-top-uni-wur</t>
        </is>
      </c>
      <c r="H14" s="10" t="inlineStr">
        <is>
          <t>10007794</t>
        </is>
      </c>
      <c r="I14" s="80">
        <f>COUNTIF('Legacy schemes (v3)'!$B$7:$B$158,B14)</f>
        <v/>
      </c>
      <c r="J14" s="80">
        <f>COUNTIFS('Legacy schemes (v3)'!$B$7:$B$158,B14,'Legacy schemes (v3)'!$C$7:$C$158,"University-wide")</f>
        <v/>
      </c>
      <c r="K14" s="80">
        <f>COUNTIFS('Legacy schemes (v3)'!$B$7:$B$158,B14,'Legacy schemes (v3)'!$C$7:$C$158,"Cross-faculty")+COUNTIFS('Legacy schemes (v3)'!$B$7:$B$158,B14,'Legacy schemes (v3)'!$C$7:$C$158,"Faculty/school")+COUNTIFS('Legacy schemes (v3)'!$B$7:$B$158,B14,'Legacy schemes (v3)'!$C$7:$C$158,"Programme/course")</f>
        <v/>
      </c>
      <c r="L14" s="80">
        <f>COUNTIFS('Legacy schemes (v3)'!$B$7:$B$158,B14,'Legacy schemes (v3)'!$C$7:$C$158,"Not confirmed")</f>
        <v/>
      </c>
      <c r="M14" s="10">
        <f>IF(J14&gt;0,"University-wide scheme/framework documented",IF(COUNTIFS('Legacy schemes (v3)'!$B$7:$B$158,B14,'Legacy schemes (v3)'!$C$7:$C$158,"Cross-faculty")&gt;0,"Cross-faculty; broader reach unverified",IF(COUNTIFS('Legacy schemes (v3)'!$B$7:$B$158,B14,'Legacy schemes (v3)'!$C$7:$C$158,"Faculty/school")&gt;0,"Faculty/school; broader reach unverified",IF(K14&gt;0,"Programme/course; broader reach unverified","Scheme documented; reach unconfirmed"))))</f>
        <v/>
      </c>
      <c r="N14" s="32" t="inlineStr">
        <is>
          <t>RG08</t>
        </is>
      </c>
      <c r="O14" s="77" t="inlineStr"/>
    </row>
    <row r="15" ht="53" customHeight="1">
      <c r="A15" s="10" t="inlineStr">
        <is>
          <t>UK</t>
        </is>
      </c>
      <c r="B15" s="11" t="inlineStr">
        <is>
          <t>Imperial College London</t>
        </is>
      </c>
      <c r="C15" s="10" t="inlineStr">
        <is>
          <t>Russell Group</t>
        </is>
      </c>
      <c r="D15" s="80" t="n">
        <v>2027</v>
      </c>
      <c r="E15" s="80" t="n">
        <v>2</v>
      </c>
      <c r="F15" s="10" t="inlineStr">
        <is>
          <t>Yes</t>
        </is>
      </c>
      <c r="G15" s="10" t="inlineStr">
        <is>
          <t>https://www.topuniversities.com/qs-top-uni-wur</t>
        </is>
      </c>
      <c r="H15" s="10" t="inlineStr">
        <is>
          <t>10003270</t>
        </is>
      </c>
      <c r="I15" s="80">
        <f>COUNTIF('Legacy schemes (v3)'!$B$7:$B$158,B15)</f>
        <v/>
      </c>
      <c r="J15" s="80">
        <f>COUNTIFS('Legacy schemes (v3)'!$B$7:$B$158,B15,'Legacy schemes (v3)'!$C$7:$C$158,"University-wide")</f>
        <v/>
      </c>
      <c r="K15" s="80">
        <f>COUNTIFS('Legacy schemes (v3)'!$B$7:$B$158,B15,'Legacy schemes (v3)'!$C$7:$C$158,"Cross-faculty")+COUNTIFS('Legacy schemes (v3)'!$B$7:$B$158,B15,'Legacy schemes (v3)'!$C$7:$C$158,"Faculty/school")+COUNTIFS('Legacy schemes (v3)'!$B$7:$B$158,B15,'Legacy schemes (v3)'!$C$7:$C$158,"Programme/course")</f>
        <v/>
      </c>
      <c r="L15" s="80">
        <f>COUNTIFS('Legacy schemes (v3)'!$B$7:$B$158,B15,'Legacy schemes (v3)'!$C$7:$C$158,"Not confirmed")</f>
        <v/>
      </c>
      <c r="M15" s="10">
        <f>IF(J15&gt;0,"University-wide scheme/framework documented",IF(COUNTIFS('Legacy schemes (v3)'!$B$7:$B$158,B15,'Legacy schemes (v3)'!$C$7:$C$158,"Cross-faculty")&gt;0,"Cross-faculty; broader reach unverified",IF(COUNTIFS('Legacy schemes (v3)'!$B$7:$B$158,B15,'Legacy schemes (v3)'!$C$7:$C$158,"Faculty/school")&gt;0,"Faculty/school; broader reach unverified",IF(K15&gt;0,"Programme/course; broader reach unverified","Scheme documented; reach unconfirmed"))))</f>
        <v/>
      </c>
      <c r="N15" s="32" t="inlineStr">
        <is>
          <t>RG09</t>
        </is>
      </c>
      <c r="O15" s="77" t="inlineStr"/>
    </row>
    <row r="16" ht="53" customHeight="1">
      <c r="A16" s="10" t="inlineStr">
        <is>
          <t>UK</t>
        </is>
      </c>
      <c r="B16" s="11" t="inlineStr">
        <is>
          <t>King’s College London</t>
        </is>
      </c>
      <c r="C16" s="10" t="inlineStr">
        <is>
          <t>Russell Group</t>
        </is>
      </c>
      <c r="D16" s="80" t="n">
        <v>2027</v>
      </c>
      <c r="E16" s="80" t="n">
        <v>37</v>
      </c>
      <c r="F16" s="10" t="inlineStr">
        <is>
          <t>No</t>
        </is>
      </c>
      <c r="G16" s="10" t="inlineStr">
        <is>
          <t>https://www.topuniversities.com/qs-top-uni-wur</t>
        </is>
      </c>
      <c r="H16" s="10" t="inlineStr">
        <is>
          <t>10003645</t>
        </is>
      </c>
      <c r="I16" s="80">
        <f>COUNTIF('Legacy schemes (v3)'!$B$7:$B$158,B16)</f>
        <v/>
      </c>
      <c r="J16" s="80">
        <f>COUNTIFS('Legacy schemes (v3)'!$B$7:$B$158,B16,'Legacy schemes (v3)'!$C$7:$C$158,"University-wide")</f>
        <v/>
      </c>
      <c r="K16" s="80">
        <f>COUNTIFS('Legacy schemes (v3)'!$B$7:$B$158,B16,'Legacy schemes (v3)'!$C$7:$C$158,"Cross-faculty")+COUNTIFS('Legacy schemes (v3)'!$B$7:$B$158,B16,'Legacy schemes (v3)'!$C$7:$C$158,"Faculty/school")+COUNTIFS('Legacy schemes (v3)'!$B$7:$B$158,B16,'Legacy schemes (v3)'!$C$7:$C$158,"Programme/course")</f>
        <v/>
      </c>
      <c r="L16" s="80">
        <f>COUNTIFS('Legacy schemes (v3)'!$B$7:$B$158,B16,'Legacy schemes (v3)'!$C$7:$C$158,"Not confirmed")</f>
        <v/>
      </c>
      <c r="M16" s="10">
        <f>IF(J16&gt;0,"University-wide scheme/framework documented",IF(COUNTIFS('Legacy schemes (v3)'!$B$7:$B$158,B16,'Legacy schemes (v3)'!$C$7:$C$158,"Cross-faculty")&gt;0,"Cross-faculty; broader reach unverified",IF(COUNTIFS('Legacy schemes (v3)'!$B$7:$B$158,B16,'Legacy schemes (v3)'!$C$7:$C$158,"Faculty/school")&gt;0,"Faculty/school; broader reach unverified",IF(K16&gt;0,"Programme/course; broader reach unverified","Scheme documented; reach unconfirmed"))))</f>
        <v/>
      </c>
      <c r="N16" s="32" t="inlineStr">
        <is>
          <t>RG10</t>
        </is>
      </c>
      <c r="O16" s="77" t="inlineStr"/>
    </row>
    <row r="17" ht="53" customHeight="1">
      <c r="A17" s="10" t="inlineStr">
        <is>
          <t>UK</t>
        </is>
      </c>
      <c r="B17" s="11" t="inlineStr">
        <is>
          <t>Leeds</t>
        </is>
      </c>
      <c r="C17" s="10" t="inlineStr">
        <is>
          <t>Russell Group</t>
        </is>
      </c>
      <c r="D17" s="80" t="n">
        <v>2027</v>
      </c>
      <c r="E17" s="80" t="n">
        <v>77</v>
      </c>
      <c r="F17" s="10" t="inlineStr">
        <is>
          <t>Yes</t>
        </is>
      </c>
      <c r="G17" s="10" t="inlineStr">
        <is>
          <t>https://www.topuniversities.com/qs-top-uni-wur</t>
        </is>
      </c>
      <c r="H17" s="10" t="inlineStr">
        <is>
          <t>10007795</t>
        </is>
      </c>
      <c r="I17" s="80">
        <f>COUNTIF('Legacy schemes (v3)'!$B$7:$B$158,B17)</f>
        <v/>
      </c>
      <c r="J17" s="80">
        <f>COUNTIFS('Legacy schemes (v3)'!$B$7:$B$158,B17,'Legacy schemes (v3)'!$C$7:$C$158,"University-wide")</f>
        <v/>
      </c>
      <c r="K17" s="80">
        <f>COUNTIFS('Legacy schemes (v3)'!$B$7:$B$158,B17,'Legacy schemes (v3)'!$C$7:$C$158,"Cross-faculty")+COUNTIFS('Legacy schemes (v3)'!$B$7:$B$158,B17,'Legacy schemes (v3)'!$C$7:$C$158,"Faculty/school")+COUNTIFS('Legacy schemes (v3)'!$B$7:$B$158,B17,'Legacy schemes (v3)'!$C$7:$C$158,"Programme/course")</f>
        <v/>
      </c>
      <c r="L17" s="80">
        <f>COUNTIFS('Legacy schemes (v3)'!$B$7:$B$158,B17,'Legacy schemes (v3)'!$C$7:$C$158,"Not confirmed")</f>
        <v/>
      </c>
      <c r="M17" s="10">
        <f>IF(J17&gt;0,"University-wide scheme/framework documented",IF(COUNTIFS('Legacy schemes (v3)'!$B$7:$B$158,B17,'Legacy schemes (v3)'!$C$7:$C$158,"Cross-faculty")&gt;0,"Cross-faculty; broader reach unverified",IF(COUNTIFS('Legacy schemes (v3)'!$B$7:$B$158,B17,'Legacy schemes (v3)'!$C$7:$C$158,"Faculty/school")&gt;0,"Faculty/school; broader reach unverified",IF(K17&gt;0,"Programme/course; broader reach unverified","Scheme documented; reach unconfirmed"))))</f>
        <v/>
      </c>
      <c r="N17" s="32" t="inlineStr">
        <is>
          <t>RG11</t>
        </is>
      </c>
      <c r="O17" s="77" t="inlineStr"/>
    </row>
    <row r="18" ht="53" customHeight="1">
      <c r="A18" s="10" t="inlineStr">
        <is>
          <t>UK</t>
        </is>
      </c>
      <c r="B18" s="11" t="inlineStr">
        <is>
          <t>Liverpool</t>
        </is>
      </c>
      <c r="C18" s="10" t="inlineStr">
        <is>
          <t>Russell Group</t>
        </is>
      </c>
      <c r="D18" s="80" t="n">
        <v>2027</v>
      </c>
      <c r="E18" s="80" t="n">
        <v>139</v>
      </c>
      <c r="F18" s="10" t="inlineStr">
        <is>
          <t>No</t>
        </is>
      </c>
      <c r="G18" s="10" t="inlineStr">
        <is>
          <t>https://www.topuniversities.com/qs-top-uni-wur</t>
        </is>
      </c>
      <c r="H18" s="10" t="inlineStr">
        <is>
          <t>10006842</t>
        </is>
      </c>
      <c r="I18" s="80">
        <f>COUNTIF('Legacy schemes (v3)'!$B$7:$B$158,B18)</f>
        <v/>
      </c>
      <c r="J18" s="80">
        <f>COUNTIFS('Legacy schemes (v3)'!$B$7:$B$158,B18,'Legacy schemes (v3)'!$C$7:$C$158,"University-wide")</f>
        <v/>
      </c>
      <c r="K18" s="80">
        <f>COUNTIFS('Legacy schemes (v3)'!$B$7:$B$158,B18,'Legacy schemes (v3)'!$C$7:$C$158,"Cross-faculty")+COUNTIFS('Legacy schemes (v3)'!$B$7:$B$158,B18,'Legacy schemes (v3)'!$C$7:$C$158,"Faculty/school")+COUNTIFS('Legacy schemes (v3)'!$B$7:$B$158,B18,'Legacy schemes (v3)'!$C$7:$C$158,"Programme/course")</f>
        <v/>
      </c>
      <c r="L18" s="80">
        <f>COUNTIFS('Legacy schemes (v3)'!$B$7:$B$158,B18,'Legacy schemes (v3)'!$C$7:$C$158,"Not confirmed")</f>
        <v/>
      </c>
      <c r="M18" s="10">
        <f>IF(J18&gt;0,"University-wide scheme/framework documented",IF(COUNTIFS('Legacy schemes (v3)'!$B$7:$B$158,B18,'Legacy schemes (v3)'!$C$7:$C$158,"Cross-faculty")&gt;0,"Cross-faculty; broader reach unverified",IF(COUNTIFS('Legacy schemes (v3)'!$B$7:$B$158,B18,'Legacy schemes (v3)'!$C$7:$C$158,"Faculty/school")&gt;0,"Faculty/school; broader reach unverified",IF(K18&gt;0,"Programme/course; broader reach unverified","Scheme documented; reach unconfirmed"))))</f>
        <v/>
      </c>
      <c r="N18" s="32" t="inlineStr">
        <is>
          <t>RG12</t>
        </is>
      </c>
      <c r="O18" s="77" t="inlineStr"/>
    </row>
    <row r="19" ht="53" customHeight="1">
      <c r="A19" s="10" t="inlineStr">
        <is>
          <t>UK</t>
        </is>
      </c>
      <c r="B19" s="11" t="inlineStr">
        <is>
          <t>London School of Economics</t>
        </is>
      </c>
      <c r="C19" s="10" t="inlineStr">
        <is>
          <t>Russell Group</t>
        </is>
      </c>
      <c r="D19" s="80" t="n">
        <v>2027</v>
      </c>
      <c r="E19" s="80" t="n">
        <v>62</v>
      </c>
      <c r="F19" s="10" t="inlineStr">
        <is>
          <t>No</t>
        </is>
      </c>
      <c r="G19" s="10" t="inlineStr">
        <is>
          <t>https://www.topuniversities.com/qs-top-uni-wur</t>
        </is>
      </c>
      <c r="H19" s="10" t="inlineStr">
        <is>
          <t>10004063</t>
        </is>
      </c>
      <c r="I19" s="80">
        <f>COUNTIF('Legacy schemes (v3)'!$B$7:$B$158,B19)</f>
        <v/>
      </c>
      <c r="J19" s="80">
        <f>COUNTIFS('Legacy schemes (v3)'!$B$7:$B$158,B19,'Legacy schemes (v3)'!$C$7:$C$158,"University-wide")</f>
        <v/>
      </c>
      <c r="K19" s="80">
        <f>COUNTIFS('Legacy schemes (v3)'!$B$7:$B$158,B19,'Legacy schemes (v3)'!$C$7:$C$158,"Cross-faculty")+COUNTIFS('Legacy schemes (v3)'!$B$7:$B$158,B19,'Legacy schemes (v3)'!$C$7:$C$158,"Faculty/school")+COUNTIFS('Legacy schemes (v3)'!$B$7:$B$158,B19,'Legacy schemes (v3)'!$C$7:$C$158,"Programme/course")</f>
        <v/>
      </c>
      <c r="L19" s="80">
        <f>COUNTIFS('Legacy schemes (v3)'!$B$7:$B$158,B19,'Legacy schemes (v3)'!$C$7:$C$158,"Not confirmed")</f>
        <v/>
      </c>
      <c r="M19" s="10">
        <f>IF(J19&gt;0,"University-wide scheme/framework documented",IF(COUNTIFS('Legacy schemes (v3)'!$B$7:$B$158,B19,'Legacy schemes (v3)'!$C$7:$C$158,"Cross-faculty")&gt;0,"Cross-faculty; broader reach unverified",IF(COUNTIFS('Legacy schemes (v3)'!$B$7:$B$158,B19,'Legacy schemes (v3)'!$C$7:$C$158,"Faculty/school")&gt;0,"Faculty/school; broader reach unverified",IF(K19&gt;0,"Programme/course; broader reach unverified","Scheme documented; reach unconfirmed"))))</f>
        <v/>
      </c>
      <c r="N19" s="32" t="inlineStr">
        <is>
          <t>RG13</t>
        </is>
      </c>
      <c r="O19" s="77" t="inlineStr"/>
    </row>
    <row r="20" ht="53" customHeight="1">
      <c r="A20" s="10" t="inlineStr">
        <is>
          <t>UK</t>
        </is>
      </c>
      <c r="B20" s="11" t="inlineStr">
        <is>
          <t>Manchester</t>
        </is>
      </c>
      <c r="C20" s="10" t="inlineStr">
        <is>
          <t>Russell Group</t>
        </is>
      </c>
      <c r="D20" s="80" t="n">
        <v>2027</v>
      </c>
      <c r="E20" s="80" t="n">
        <v>40</v>
      </c>
      <c r="F20" s="10" t="inlineStr">
        <is>
          <t>Yes</t>
        </is>
      </c>
      <c r="G20" s="10" t="inlineStr">
        <is>
          <t>https://www.topuniversities.com/qs-top-uni-wur</t>
        </is>
      </c>
      <c r="H20" s="10" t="inlineStr">
        <is>
          <t>10007798</t>
        </is>
      </c>
      <c r="I20" s="80">
        <f>COUNTIF('Legacy schemes (v3)'!$B$7:$B$158,B20)</f>
        <v/>
      </c>
      <c r="J20" s="80">
        <f>COUNTIFS('Legacy schemes (v3)'!$B$7:$B$158,B20,'Legacy schemes (v3)'!$C$7:$C$158,"University-wide")</f>
        <v/>
      </c>
      <c r="K20" s="80">
        <f>COUNTIFS('Legacy schemes (v3)'!$B$7:$B$158,B20,'Legacy schemes (v3)'!$C$7:$C$158,"Cross-faculty")+COUNTIFS('Legacy schemes (v3)'!$B$7:$B$158,B20,'Legacy schemes (v3)'!$C$7:$C$158,"Faculty/school")+COUNTIFS('Legacy schemes (v3)'!$B$7:$B$158,B20,'Legacy schemes (v3)'!$C$7:$C$158,"Programme/course")</f>
        <v/>
      </c>
      <c r="L20" s="80">
        <f>COUNTIFS('Legacy schemes (v3)'!$B$7:$B$158,B20,'Legacy schemes (v3)'!$C$7:$C$158,"Not confirmed")</f>
        <v/>
      </c>
      <c r="M20" s="10">
        <f>IF(J20&gt;0,"University-wide scheme/framework documented",IF(COUNTIFS('Legacy schemes (v3)'!$B$7:$B$158,B20,'Legacy schemes (v3)'!$C$7:$C$158,"Cross-faculty")&gt;0,"Cross-faculty; broader reach unverified",IF(COUNTIFS('Legacy schemes (v3)'!$B$7:$B$158,B20,'Legacy schemes (v3)'!$C$7:$C$158,"Faculty/school")&gt;0,"Faculty/school; broader reach unverified",IF(K20&gt;0,"Programme/course; broader reach unverified","Scheme documented; reach unconfirmed"))))</f>
        <v/>
      </c>
      <c r="N20" s="32" t="inlineStr">
        <is>
          <t>RG14</t>
        </is>
      </c>
      <c r="O20" s="77" t="inlineStr"/>
    </row>
    <row r="21" ht="53" customHeight="1">
      <c r="A21" s="10" t="inlineStr">
        <is>
          <t>UK</t>
        </is>
      </c>
      <c r="B21" s="11" t="inlineStr">
        <is>
          <t>Newcastle</t>
        </is>
      </c>
      <c r="C21" s="10" t="inlineStr">
        <is>
          <t>Russell Group</t>
        </is>
      </c>
      <c r="D21" s="80" t="n">
        <v>2027</v>
      </c>
      <c r="E21" s="80" t="n">
        <v>149</v>
      </c>
      <c r="F21" s="10" t="inlineStr">
        <is>
          <t>No</t>
        </is>
      </c>
      <c r="G21" s="10" t="inlineStr">
        <is>
          <t>https://www.topuniversities.com/qs-top-uni-wur</t>
        </is>
      </c>
      <c r="H21" s="10" t="inlineStr">
        <is>
          <t>10007799</t>
        </is>
      </c>
      <c r="I21" s="80">
        <f>COUNTIF('Legacy schemes (v3)'!$B$7:$B$158,B21)</f>
        <v/>
      </c>
      <c r="J21" s="80">
        <f>COUNTIFS('Legacy schemes (v3)'!$B$7:$B$158,B21,'Legacy schemes (v3)'!$C$7:$C$158,"University-wide")</f>
        <v/>
      </c>
      <c r="K21" s="80">
        <f>COUNTIFS('Legacy schemes (v3)'!$B$7:$B$158,B21,'Legacy schemes (v3)'!$C$7:$C$158,"Cross-faculty")+COUNTIFS('Legacy schemes (v3)'!$B$7:$B$158,B21,'Legacy schemes (v3)'!$C$7:$C$158,"Faculty/school")+COUNTIFS('Legacy schemes (v3)'!$B$7:$B$158,B21,'Legacy schemes (v3)'!$C$7:$C$158,"Programme/course")</f>
        <v/>
      </c>
      <c r="L21" s="80">
        <f>COUNTIFS('Legacy schemes (v3)'!$B$7:$B$158,B21,'Legacy schemes (v3)'!$C$7:$C$158,"Not confirmed")</f>
        <v/>
      </c>
      <c r="M21" s="10">
        <f>IF(J21&gt;0,"University-wide scheme/framework documented",IF(COUNTIFS('Legacy schemes (v3)'!$B$7:$B$158,B21,'Legacy schemes (v3)'!$C$7:$C$158,"Cross-faculty")&gt;0,"Cross-faculty; broader reach unverified",IF(COUNTIFS('Legacy schemes (v3)'!$B$7:$B$158,B21,'Legacy schemes (v3)'!$C$7:$C$158,"Faculty/school")&gt;0,"Faculty/school; broader reach unverified",IF(K21&gt;0,"Programme/course; broader reach unverified","Scheme documented; reach unconfirmed"))))</f>
        <v/>
      </c>
      <c r="N21" s="32" t="inlineStr">
        <is>
          <t>RG15</t>
        </is>
      </c>
      <c r="O21" s="77" t="inlineStr"/>
    </row>
    <row r="22" ht="53" customHeight="1">
      <c r="A22" s="10" t="inlineStr">
        <is>
          <t>UK</t>
        </is>
      </c>
      <c r="B22" s="11" t="inlineStr">
        <is>
          <t>Nottingham</t>
        </is>
      </c>
      <c r="C22" s="10" t="inlineStr">
        <is>
          <t>Russell Group</t>
        </is>
      </c>
      <c r="D22" s="80" t="n">
        <v>2027</v>
      </c>
      <c r="E22" s="80" t="n">
        <v>97</v>
      </c>
      <c r="F22" s="10" t="inlineStr">
        <is>
          <t>Yes</t>
        </is>
      </c>
      <c r="G22" s="10" t="inlineStr">
        <is>
          <t>https://www.topuniversities.com/qs-top-uni-wur</t>
        </is>
      </c>
      <c r="H22" s="10" t="inlineStr">
        <is>
          <t>10007154</t>
        </is>
      </c>
      <c r="I22" s="80">
        <f>COUNTIF('Legacy schemes (v3)'!$B$7:$B$158,B22)</f>
        <v/>
      </c>
      <c r="J22" s="80">
        <f>COUNTIFS('Legacy schemes (v3)'!$B$7:$B$158,B22,'Legacy schemes (v3)'!$C$7:$C$158,"University-wide")</f>
        <v/>
      </c>
      <c r="K22" s="80">
        <f>COUNTIFS('Legacy schemes (v3)'!$B$7:$B$158,B22,'Legacy schemes (v3)'!$C$7:$C$158,"Cross-faculty")+COUNTIFS('Legacy schemes (v3)'!$B$7:$B$158,B22,'Legacy schemes (v3)'!$C$7:$C$158,"Faculty/school")+COUNTIFS('Legacy schemes (v3)'!$B$7:$B$158,B22,'Legacy schemes (v3)'!$C$7:$C$158,"Programme/course")</f>
        <v/>
      </c>
      <c r="L22" s="80">
        <f>COUNTIFS('Legacy schemes (v3)'!$B$7:$B$158,B22,'Legacy schemes (v3)'!$C$7:$C$158,"Not confirmed")</f>
        <v/>
      </c>
      <c r="M22" s="10">
        <f>IF(J22&gt;0,"University-wide scheme/framework documented",IF(COUNTIFS('Legacy schemes (v3)'!$B$7:$B$158,B22,'Legacy schemes (v3)'!$C$7:$C$158,"Cross-faculty")&gt;0,"Cross-faculty; broader reach unverified",IF(COUNTIFS('Legacy schemes (v3)'!$B$7:$B$158,B22,'Legacy schemes (v3)'!$C$7:$C$158,"Faculty/school")&gt;0,"Faculty/school; broader reach unverified",IF(K22&gt;0,"Programme/course; broader reach unverified","Scheme documented; reach unconfirmed"))))</f>
        <v/>
      </c>
      <c r="N22" s="32" t="inlineStr">
        <is>
          <t>RG16</t>
        </is>
      </c>
      <c r="O22" s="77" t="inlineStr"/>
    </row>
    <row r="23" ht="53" customHeight="1">
      <c r="A23" s="10" t="inlineStr">
        <is>
          <t>UK</t>
        </is>
      </c>
      <c r="B23" s="11" t="inlineStr">
        <is>
          <t>Oxford</t>
        </is>
      </c>
      <c r="C23" s="10" t="inlineStr">
        <is>
          <t>Russell Group</t>
        </is>
      </c>
      <c r="D23" s="80" t="n">
        <v>2027</v>
      </c>
      <c r="E23" s="80" t="n">
        <v>4</v>
      </c>
      <c r="F23" s="10" t="inlineStr">
        <is>
          <t>No</t>
        </is>
      </c>
      <c r="G23" s="10" t="inlineStr">
        <is>
          <t>https://www.topuniversities.com/qs-top-uni-wur</t>
        </is>
      </c>
      <c r="H23" s="10" t="inlineStr">
        <is>
          <t>10007774</t>
        </is>
      </c>
      <c r="I23" s="80">
        <f>COUNTIF('Legacy schemes (v3)'!$B$7:$B$158,B23)</f>
        <v/>
      </c>
      <c r="J23" s="80">
        <f>COUNTIFS('Legacy schemes (v3)'!$B$7:$B$158,B23,'Legacy schemes (v3)'!$C$7:$C$158,"University-wide")</f>
        <v/>
      </c>
      <c r="K23" s="80">
        <f>COUNTIFS('Legacy schemes (v3)'!$B$7:$B$158,B23,'Legacy schemes (v3)'!$C$7:$C$158,"Cross-faculty")+COUNTIFS('Legacy schemes (v3)'!$B$7:$B$158,B23,'Legacy schemes (v3)'!$C$7:$C$158,"Faculty/school")+COUNTIFS('Legacy schemes (v3)'!$B$7:$B$158,B23,'Legacy schemes (v3)'!$C$7:$C$158,"Programme/course")</f>
        <v/>
      </c>
      <c r="L23" s="80">
        <f>COUNTIFS('Legacy schemes (v3)'!$B$7:$B$158,B23,'Legacy schemes (v3)'!$C$7:$C$158,"Not confirmed")</f>
        <v/>
      </c>
      <c r="M23" s="10">
        <f>IF(J23&gt;0,"University-wide scheme/framework documented",IF(COUNTIFS('Legacy schemes (v3)'!$B$7:$B$158,B23,'Legacy schemes (v3)'!$C$7:$C$158,"Cross-faculty")&gt;0,"Cross-faculty; broader reach unverified",IF(COUNTIFS('Legacy schemes (v3)'!$B$7:$B$158,B23,'Legacy schemes (v3)'!$C$7:$C$158,"Faculty/school")&gt;0,"Faculty/school; broader reach unverified",IF(K23&gt;0,"Programme/course; broader reach unverified","Scheme documented; reach unconfirmed"))))</f>
        <v/>
      </c>
      <c r="N23" s="32" t="inlineStr">
        <is>
          <t>RG17</t>
        </is>
      </c>
      <c r="O23" s="77" t="inlineStr"/>
    </row>
    <row r="24" ht="53" customHeight="1">
      <c r="A24" s="10" t="inlineStr">
        <is>
          <t>UK</t>
        </is>
      </c>
      <c r="B24" s="11" t="inlineStr">
        <is>
          <t>Queen Mary University of London</t>
        </is>
      </c>
      <c r="C24" s="10" t="inlineStr">
        <is>
          <t>Russell Group</t>
        </is>
      </c>
      <c r="D24" s="80" t="n">
        <v>2027</v>
      </c>
      <c r="E24" s="80" t="n">
        <v>103</v>
      </c>
      <c r="F24" s="10" t="inlineStr">
        <is>
          <t>No</t>
        </is>
      </c>
      <c r="G24" s="10" t="inlineStr">
        <is>
          <t>https://www.topuniversities.com/qs-top-uni-wur</t>
        </is>
      </c>
      <c r="H24" s="10" t="inlineStr">
        <is>
          <t>10007775</t>
        </is>
      </c>
      <c r="I24" s="80">
        <f>COUNTIF('Legacy schemes (v3)'!$B$7:$B$158,B24)</f>
        <v/>
      </c>
      <c r="J24" s="80">
        <f>COUNTIFS('Legacy schemes (v3)'!$B$7:$B$158,B24,'Legacy schemes (v3)'!$C$7:$C$158,"University-wide")</f>
        <v/>
      </c>
      <c r="K24" s="80">
        <f>COUNTIFS('Legacy schemes (v3)'!$B$7:$B$158,B24,'Legacy schemes (v3)'!$C$7:$C$158,"Cross-faculty")+COUNTIFS('Legacy schemes (v3)'!$B$7:$B$158,B24,'Legacy schemes (v3)'!$C$7:$C$158,"Faculty/school")+COUNTIFS('Legacy schemes (v3)'!$B$7:$B$158,B24,'Legacy schemes (v3)'!$C$7:$C$158,"Programme/course")</f>
        <v/>
      </c>
      <c r="L24" s="80">
        <f>COUNTIFS('Legacy schemes (v3)'!$B$7:$B$158,B24,'Legacy schemes (v3)'!$C$7:$C$158,"Not confirmed")</f>
        <v/>
      </c>
      <c r="M24" s="10">
        <f>IF(J24&gt;0,"University-wide scheme/framework documented",IF(COUNTIFS('Legacy schemes (v3)'!$B$7:$B$158,B24,'Legacy schemes (v3)'!$C$7:$C$158,"Cross-faculty")&gt;0,"Cross-faculty; broader reach unverified",IF(COUNTIFS('Legacy schemes (v3)'!$B$7:$B$158,B24,'Legacy schemes (v3)'!$C$7:$C$158,"Faculty/school")&gt;0,"Faculty/school; broader reach unverified",IF(K24&gt;0,"Programme/course; broader reach unverified","Scheme documented; reach unconfirmed"))))</f>
        <v/>
      </c>
      <c r="N24" s="32" t="inlineStr">
        <is>
          <t>RG18</t>
        </is>
      </c>
      <c r="O24" s="77" t="inlineStr"/>
    </row>
    <row r="25" ht="53" customHeight="1">
      <c r="A25" s="10" t="inlineStr">
        <is>
          <t>UK</t>
        </is>
      </c>
      <c r="B25" s="11" t="inlineStr">
        <is>
          <t>Queen’s University Belfast</t>
        </is>
      </c>
      <c r="C25" s="10" t="inlineStr">
        <is>
          <t>Russell Group</t>
        </is>
      </c>
      <c r="D25" s="80" t="n">
        <v>2027</v>
      </c>
      <c r="E25" s="80" t="n">
        <v>174</v>
      </c>
      <c r="F25" s="10" t="inlineStr">
        <is>
          <t>Yes</t>
        </is>
      </c>
      <c r="G25" s="10" t="inlineStr">
        <is>
          <t>https://www.topuniversities.com/qs-top-uni-wur</t>
        </is>
      </c>
      <c r="H25" s="10" t="inlineStr">
        <is>
          <t>10005343</t>
        </is>
      </c>
      <c r="I25" s="80">
        <f>COUNTIF('Legacy schemes (v3)'!$B$7:$B$158,B25)</f>
        <v/>
      </c>
      <c r="J25" s="80">
        <f>COUNTIFS('Legacy schemes (v3)'!$B$7:$B$158,B25,'Legacy schemes (v3)'!$C$7:$C$158,"University-wide")</f>
        <v/>
      </c>
      <c r="K25" s="80">
        <f>COUNTIFS('Legacy schemes (v3)'!$B$7:$B$158,B25,'Legacy schemes (v3)'!$C$7:$C$158,"Cross-faculty")+COUNTIFS('Legacy schemes (v3)'!$B$7:$B$158,B25,'Legacy schemes (v3)'!$C$7:$C$158,"Faculty/school")+COUNTIFS('Legacy schemes (v3)'!$B$7:$B$158,B25,'Legacy schemes (v3)'!$C$7:$C$158,"Programme/course")</f>
        <v/>
      </c>
      <c r="L25" s="80">
        <f>COUNTIFS('Legacy schemes (v3)'!$B$7:$B$158,B25,'Legacy schemes (v3)'!$C$7:$C$158,"Not confirmed")</f>
        <v/>
      </c>
      <c r="M25" s="10">
        <f>IF(J25&gt;0,"University-wide scheme/framework documented",IF(COUNTIFS('Legacy schemes (v3)'!$B$7:$B$158,B25,'Legacy schemes (v3)'!$C$7:$C$158,"Cross-faculty")&gt;0,"Cross-faculty; broader reach unverified",IF(COUNTIFS('Legacy schemes (v3)'!$B$7:$B$158,B25,'Legacy schemes (v3)'!$C$7:$C$158,"Faculty/school")&gt;0,"Faculty/school; broader reach unverified",IF(K25&gt;0,"Programme/course; broader reach unverified","Scheme documented; reach unconfirmed"))))</f>
        <v/>
      </c>
      <c r="N25" s="32" t="inlineStr">
        <is>
          <t>RG19</t>
        </is>
      </c>
      <c r="O25" s="77" t="inlineStr"/>
    </row>
    <row r="26" ht="53" customHeight="1">
      <c r="A26" s="10" t="inlineStr">
        <is>
          <t>UK</t>
        </is>
      </c>
      <c r="B26" s="11" t="inlineStr">
        <is>
          <t>Sheffield</t>
        </is>
      </c>
      <c r="C26" s="10" t="inlineStr">
        <is>
          <t>Russell Group</t>
        </is>
      </c>
      <c r="D26" s="80" t="n">
        <v>2027</v>
      </c>
      <c r="E26" s="80" t="n">
        <v>82</v>
      </c>
      <c r="F26" s="10" t="inlineStr">
        <is>
          <t>Yes</t>
        </is>
      </c>
      <c r="G26" s="10" t="inlineStr">
        <is>
          <t>https://www.topuniversities.com/qs-top-uni-wur</t>
        </is>
      </c>
      <c r="H26" s="10" t="inlineStr">
        <is>
          <t>10007157</t>
        </is>
      </c>
      <c r="I26" s="80">
        <f>COUNTIF('Legacy schemes (v3)'!$B$7:$B$158,B26)</f>
        <v/>
      </c>
      <c r="J26" s="80">
        <f>COUNTIFS('Legacy schemes (v3)'!$B$7:$B$158,B26,'Legacy schemes (v3)'!$C$7:$C$158,"University-wide")</f>
        <v/>
      </c>
      <c r="K26" s="80">
        <f>COUNTIFS('Legacy schemes (v3)'!$B$7:$B$158,B26,'Legacy schemes (v3)'!$C$7:$C$158,"Cross-faculty")+COUNTIFS('Legacy schemes (v3)'!$B$7:$B$158,B26,'Legacy schemes (v3)'!$C$7:$C$158,"Faculty/school")+COUNTIFS('Legacy schemes (v3)'!$B$7:$B$158,B26,'Legacy schemes (v3)'!$C$7:$C$158,"Programme/course")</f>
        <v/>
      </c>
      <c r="L26" s="80">
        <f>COUNTIFS('Legacy schemes (v3)'!$B$7:$B$158,B26,'Legacy schemes (v3)'!$C$7:$C$158,"Not confirmed")</f>
        <v/>
      </c>
      <c r="M26" s="10">
        <f>IF(J26&gt;0,"University-wide scheme/framework documented",IF(COUNTIFS('Legacy schemes (v3)'!$B$7:$B$158,B26,'Legacy schemes (v3)'!$C$7:$C$158,"Cross-faculty")&gt;0,"Cross-faculty; broader reach unverified",IF(COUNTIFS('Legacy schemes (v3)'!$B$7:$B$158,B26,'Legacy schemes (v3)'!$C$7:$C$158,"Faculty/school")&gt;0,"Faculty/school; broader reach unverified",IF(K26&gt;0,"Programme/course; broader reach unverified","Scheme documented; reach unconfirmed"))))</f>
        <v/>
      </c>
      <c r="N26" s="32" t="inlineStr">
        <is>
          <t>RG20</t>
        </is>
      </c>
      <c r="O26" s="77" t="inlineStr"/>
    </row>
    <row r="27" ht="53" customHeight="1">
      <c r="A27" s="10" t="inlineStr">
        <is>
          <t>UK</t>
        </is>
      </c>
      <c r="B27" s="11" t="inlineStr">
        <is>
          <t>Southampton</t>
        </is>
      </c>
      <c r="C27" s="10" t="inlineStr">
        <is>
          <t>Russell Group</t>
        </is>
      </c>
      <c r="D27" s="80" t="n">
        <v>2027</v>
      </c>
      <c r="E27" s="80" t="n">
        <v>111</v>
      </c>
      <c r="F27" s="10" t="inlineStr">
        <is>
          <t>Yes</t>
        </is>
      </c>
      <c r="G27" s="10" t="inlineStr">
        <is>
          <t>https://www.topuniversities.com/qs-top-uni-wur</t>
        </is>
      </c>
      <c r="H27" s="10" t="inlineStr">
        <is>
          <t>10007158</t>
        </is>
      </c>
      <c r="I27" s="80">
        <f>COUNTIF('Legacy schemes (v3)'!$B$7:$B$158,B27)</f>
        <v/>
      </c>
      <c r="J27" s="80">
        <f>COUNTIFS('Legacy schemes (v3)'!$B$7:$B$158,B27,'Legacy schemes (v3)'!$C$7:$C$158,"University-wide")</f>
        <v/>
      </c>
      <c r="K27" s="80">
        <f>COUNTIFS('Legacy schemes (v3)'!$B$7:$B$158,B27,'Legacy schemes (v3)'!$C$7:$C$158,"Cross-faculty")+COUNTIFS('Legacy schemes (v3)'!$B$7:$B$158,B27,'Legacy schemes (v3)'!$C$7:$C$158,"Faculty/school")+COUNTIFS('Legacy schemes (v3)'!$B$7:$B$158,B27,'Legacy schemes (v3)'!$C$7:$C$158,"Programme/course")</f>
        <v/>
      </c>
      <c r="L27" s="80">
        <f>COUNTIFS('Legacy schemes (v3)'!$B$7:$B$158,B27,'Legacy schemes (v3)'!$C$7:$C$158,"Not confirmed")</f>
        <v/>
      </c>
      <c r="M27" s="10">
        <f>IF(J27&gt;0,"University-wide scheme/framework documented",IF(COUNTIFS('Legacy schemes (v3)'!$B$7:$B$158,B27,'Legacy schemes (v3)'!$C$7:$C$158,"Cross-faculty")&gt;0,"Cross-faculty; broader reach unverified",IF(COUNTIFS('Legacy schemes (v3)'!$B$7:$B$158,B27,'Legacy schemes (v3)'!$C$7:$C$158,"Faculty/school")&gt;0,"Faculty/school; broader reach unverified",IF(K27&gt;0,"Programme/course; broader reach unverified","Scheme documented; reach unconfirmed"))))</f>
        <v/>
      </c>
      <c r="N27" s="32" t="inlineStr">
        <is>
          <t>RG21</t>
        </is>
      </c>
      <c r="O27" s="77" t="inlineStr"/>
    </row>
    <row r="28" ht="53" customHeight="1">
      <c r="A28" s="10" t="inlineStr">
        <is>
          <t>UK</t>
        </is>
      </c>
      <c r="B28" s="11" t="inlineStr">
        <is>
          <t>UCL</t>
        </is>
      </c>
      <c r="C28" s="10" t="inlineStr">
        <is>
          <t>Russell Group</t>
        </is>
      </c>
      <c r="D28" s="80" t="n">
        <v>2027</v>
      </c>
      <c r="E28" s="80" t="n">
        <v>8</v>
      </c>
      <c r="F28" s="10" t="inlineStr">
        <is>
          <t>Yes</t>
        </is>
      </c>
      <c r="G28" s="10" t="inlineStr">
        <is>
          <t>https://www.topuniversities.com/qs-top-uni-wur</t>
        </is>
      </c>
      <c r="H28" s="10" t="inlineStr">
        <is>
          <t>10007784</t>
        </is>
      </c>
      <c r="I28" s="80">
        <f>COUNTIF('Legacy schemes (v3)'!$B$7:$B$158,B28)</f>
        <v/>
      </c>
      <c r="J28" s="80">
        <f>COUNTIFS('Legacy schemes (v3)'!$B$7:$B$158,B28,'Legacy schemes (v3)'!$C$7:$C$158,"University-wide")</f>
        <v/>
      </c>
      <c r="K28" s="80">
        <f>COUNTIFS('Legacy schemes (v3)'!$B$7:$B$158,B28,'Legacy schemes (v3)'!$C$7:$C$158,"Cross-faculty")+COUNTIFS('Legacy schemes (v3)'!$B$7:$B$158,B28,'Legacy schemes (v3)'!$C$7:$C$158,"Faculty/school")+COUNTIFS('Legacy schemes (v3)'!$B$7:$B$158,B28,'Legacy schemes (v3)'!$C$7:$C$158,"Programme/course")</f>
        <v/>
      </c>
      <c r="L28" s="80">
        <f>COUNTIFS('Legacy schemes (v3)'!$B$7:$B$158,B28,'Legacy schemes (v3)'!$C$7:$C$158,"Not confirmed")</f>
        <v/>
      </c>
      <c r="M28" s="10">
        <f>IF(J28&gt;0,"University-wide scheme/framework documented",IF(COUNTIFS('Legacy schemes (v3)'!$B$7:$B$158,B28,'Legacy schemes (v3)'!$C$7:$C$158,"Cross-faculty")&gt;0,"Cross-faculty; broader reach unverified",IF(COUNTIFS('Legacy schemes (v3)'!$B$7:$B$158,B28,'Legacy schemes (v3)'!$C$7:$C$158,"Faculty/school")&gt;0,"Faculty/school; broader reach unverified",IF(K28&gt;0,"Programme/course; broader reach unverified","Scheme documented; reach unconfirmed"))))</f>
        <v/>
      </c>
      <c r="N28" s="32" t="inlineStr">
        <is>
          <t>RG22</t>
        </is>
      </c>
      <c r="O28" s="77" t="inlineStr"/>
    </row>
    <row r="29" ht="53" customHeight="1">
      <c r="A29" s="10" t="inlineStr">
        <is>
          <t>UK</t>
        </is>
      </c>
      <c r="B29" s="11" t="inlineStr">
        <is>
          <t>Warwick</t>
        </is>
      </c>
      <c r="C29" s="10" t="inlineStr">
        <is>
          <t>Russell Group</t>
        </is>
      </c>
      <c r="D29" s="80" t="n">
        <v>2027</v>
      </c>
      <c r="E29" s="80" t="n">
        <v>68</v>
      </c>
      <c r="F29" s="10" t="inlineStr">
        <is>
          <t>Yes</t>
        </is>
      </c>
      <c r="G29" s="10" t="inlineStr">
        <is>
          <t>https://www.topuniversities.com/qs-top-uni-wur</t>
        </is>
      </c>
      <c r="H29" s="10" t="inlineStr">
        <is>
          <t>10007163</t>
        </is>
      </c>
      <c r="I29" s="80">
        <f>COUNTIF('Legacy schemes (v3)'!$B$7:$B$158,B29)</f>
        <v/>
      </c>
      <c r="J29" s="80">
        <f>COUNTIFS('Legacy schemes (v3)'!$B$7:$B$158,B29,'Legacy schemes (v3)'!$C$7:$C$158,"University-wide")</f>
        <v/>
      </c>
      <c r="K29" s="80">
        <f>COUNTIFS('Legacy schemes (v3)'!$B$7:$B$158,B29,'Legacy schemes (v3)'!$C$7:$C$158,"Cross-faculty")+COUNTIFS('Legacy schemes (v3)'!$B$7:$B$158,B29,'Legacy schemes (v3)'!$C$7:$C$158,"Faculty/school")+COUNTIFS('Legacy schemes (v3)'!$B$7:$B$158,B29,'Legacy schemes (v3)'!$C$7:$C$158,"Programme/course")</f>
        <v/>
      </c>
      <c r="L29" s="80">
        <f>COUNTIFS('Legacy schemes (v3)'!$B$7:$B$158,B29,'Legacy schemes (v3)'!$C$7:$C$158,"Not confirmed")</f>
        <v/>
      </c>
      <c r="M29" s="10">
        <f>IF(J29&gt;0,"University-wide scheme/framework documented",IF(COUNTIFS('Legacy schemes (v3)'!$B$7:$B$158,B29,'Legacy schemes (v3)'!$C$7:$C$158,"Cross-faculty")&gt;0,"Cross-faculty; broader reach unverified",IF(COUNTIFS('Legacy schemes (v3)'!$B$7:$B$158,B29,'Legacy schemes (v3)'!$C$7:$C$158,"Faculty/school")&gt;0,"Faculty/school; broader reach unverified",IF(K29&gt;0,"Programme/course; broader reach unverified","Scheme documented; reach unconfirmed"))))</f>
        <v/>
      </c>
      <c r="N29" s="32" t="inlineStr">
        <is>
          <t>RG23</t>
        </is>
      </c>
      <c r="O29" s="77" t="inlineStr"/>
    </row>
    <row r="30" ht="53" customHeight="1">
      <c r="A30" s="10" t="inlineStr">
        <is>
          <t>UK</t>
        </is>
      </c>
      <c r="B30" s="11" t="inlineStr">
        <is>
          <t>York</t>
        </is>
      </c>
      <c r="C30" s="10" t="inlineStr">
        <is>
          <t>Russell Group</t>
        </is>
      </c>
      <c r="D30" s="80" t="n">
        <v>2027</v>
      </c>
      <c r="E30" s="80" t="n">
        <v>158</v>
      </c>
      <c r="F30" s="10" t="inlineStr">
        <is>
          <t>Yes</t>
        </is>
      </c>
      <c r="G30" s="10" t="inlineStr">
        <is>
          <t>https://www.topuniversities.com/qs-top-uni-wur</t>
        </is>
      </c>
      <c r="H30" s="10" t="inlineStr">
        <is>
          <t>10007167</t>
        </is>
      </c>
      <c r="I30" s="80">
        <f>COUNTIF('Legacy schemes (v3)'!$B$7:$B$158,B30)</f>
        <v/>
      </c>
      <c r="J30" s="80">
        <f>COUNTIFS('Legacy schemes (v3)'!$B$7:$B$158,B30,'Legacy schemes (v3)'!$C$7:$C$158,"University-wide")</f>
        <v/>
      </c>
      <c r="K30" s="80">
        <f>COUNTIFS('Legacy schemes (v3)'!$B$7:$B$158,B30,'Legacy schemes (v3)'!$C$7:$C$158,"Cross-faculty")+COUNTIFS('Legacy schemes (v3)'!$B$7:$B$158,B30,'Legacy schemes (v3)'!$C$7:$C$158,"Faculty/school")+COUNTIFS('Legacy schemes (v3)'!$B$7:$B$158,B30,'Legacy schemes (v3)'!$C$7:$C$158,"Programme/course")</f>
        <v/>
      </c>
      <c r="L30" s="80">
        <f>COUNTIFS('Legacy schemes (v3)'!$B$7:$B$158,B30,'Legacy schemes (v3)'!$C$7:$C$158,"Not confirmed")</f>
        <v/>
      </c>
      <c r="M30" s="10">
        <f>IF(J30&gt;0,"University-wide scheme/framework documented",IF(COUNTIFS('Legacy schemes (v3)'!$B$7:$B$158,B30,'Legacy schemes (v3)'!$C$7:$C$158,"Cross-faculty")&gt;0,"Cross-faculty; broader reach unverified",IF(COUNTIFS('Legacy schemes (v3)'!$B$7:$B$158,B30,'Legacy schemes (v3)'!$C$7:$C$158,"Faculty/school")&gt;0,"Faculty/school; broader reach unverified",IF(K30&gt;0,"Programme/course; broader reach unverified","Scheme documented; reach unconfirmed"))))</f>
        <v/>
      </c>
      <c r="N30" s="32" t="inlineStr">
        <is>
          <t>RG24</t>
        </is>
      </c>
      <c r="O30" s="77" t="inlineStr"/>
    </row>
    <row r="31" ht="53" customHeight="1">
      <c r="A31" s="10" t="inlineStr">
        <is>
          <t>Australia</t>
        </is>
      </c>
      <c r="B31" s="11" t="inlineStr">
        <is>
          <t>UNSW Sydney</t>
        </is>
      </c>
      <c r="C31" s="10" t="inlineStr">
        <is>
          <t>Australia top 10</t>
        </is>
      </c>
      <c r="D31" s="80" t="n">
        <v>2027</v>
      </c>
      <c r="E31" s="80" t="n">
        <v>19</v>
      </c>
      <c r="F31" s="10" t="inlineStr">
        <is>
          <t>No</t>
        </is>
      </c>
      <c r="G31" s="10" t="inlineStr">
        <is>
          <t>https://www.topuniversities.com/qs-top-uni-wur</t>
        </is>
      </c>
      <c r="H31" s="10" t="inlineStr">
        <is>
          <t>n.a.</t>
        </is>
      </c>
      <c r="I31" s="80">
        <f>COUNTIF('Legacy schemes (v3)'!$B$7:$B$158,B31)</f>
        <v/>
      </c>
      <c r="J31" s="80">
        <f>COUNTIFS('Legacy schemes (v3)'!$B$7:$B$158,B31,'Legacy schemes (v3)'!$C$7:$C$158,"University-wide")</f>
        <v/>
      </c>
      <c r="K31" s="80">
        <f>COUNTIFS('Legacy schemes (v3)'!$B$7:$B$158,B31,'Legacy schemes (v3)'!$C$7:$C$158,"Cross-faculty")+COUNTIFS('Legacy schemes (v3)'!$B$7:$B$158,B31,'Legacy schemes (v3)'!$C$7:$C$158,"Faculty/school")+COUNTIFS('Legacy schemes (v3)'!$B$7:$B$158,B31,'Legacy schemes (v3)'!$C$7:$C$158,"Programme/course")</f>
        <v/>
      </c>
      <c r="L31" s="80">
        <f>COUNTIFS('Legacy schemes (v3)'!$B$7:$B$158,B31,'Legacy schemes (v3)'!$C$7:$C$158,"Not confirmed")</f>
        <v/>
      </c>
      <c r="M31" s="10">
        <f>IF(J31&gt;0,"University-wide scheme/framework documented",IF(COUNTIFS('Legacy schemes (v3)'!$B$7:$B$158,B31,'Legacy schemes (v3)'!$C$7:$C$158,"Cross-faculty")&gt;0,"Cross-faculty; broader reach unverified",IF(COUNTIFS('Legacy schemes (v3)'!$B$7:$B$158,B31,'Legacy schemes (v3)'!$C$7:$C$158,"Faculty/school")&gt;0,"Faculty/school; broader reach unverified",IF(K31&gt;0,"Programme/course; broader reach unverified","Scheme documented; reach unconfirmed"))))</f>
        <v/>
      </c>
      <c r="N31" s="32" t="inlineStr">
        <is>
          <t>AU01</t>
        </is>
      </c>
      <c r="O31" s="77" t="inlineStr"/>
    </row>
    <row r="32" ht="53" customHeight="1">
      <c r="A32" s="10" t="inlineStr">
        <is>
          <t>Australia</t>
        </is>
      </c>
      <c r="B32" s="11" t="inlineStr">
        <is>
          <t>Melbourne</t>
        </is>
      </c>
      <c r="C32" s="10" t="inlineStr">
        <is>
          <t>Australia top 10</t>
        </is>
      </c>
      <c r="D32" s="80" t="n">
        <v>2027</v>
      </c>
      <c r="E32" s="80" t="n">
        <v>22</v>
      </c>
      <c r="F32" s="10" t="inlineStr">
        <is>
          <t>Yes</t>
        </is>
      </c>
      <c r="G32" s="10" t="inlineStr">
        <is>
          <t>https://www.topuniversities.com/qs-top-uni-wur</t>
        </is>
      </c>
      <c r="H32" s="10" t="inlineStr">
        <is>
          <t>n.a.</t>
        </is>
      </c>
      <c r="I32" s="80">
        <f>COUNTIF('Legacy schemes (v3)'!$B$7:$B$158,B32)</f>
        <v/>
      </c>
      <c r="J32" s="80">
        <f>COUNTIFS('Legacy schemes (v3)'!$B$7:$B$158,B32,'Legacy schemes (v3)'!$C$7:$C$158,"University-wide")</f>
        <v/>
      </c>
      <c r="K32" s="80">
        <f>COUNTIFS('Legacy schemes (v3)'!$B$7:$B$158,B32,'Legacy schemes (v3)'!$C$7:$C$158,"Cross-faculty")+COUNTIFS('Legacy schemes (v3)'!$B$7:$B$158,B32,'Legacy schemes (v3)'!$C$7:$C$158,"Faculty/school")+COUNTIFS('Legacy schemes (v3)'!$B$7:$B$158,B32,'Legacy schemes (v3)'!$C$7:$C$158,"Programme/course")</f>
        <v/>
      </c>
      <c r="L32" s="80">
        <f>COUNTIFS('Legacy schemes (v3)'!$B$7:$B$158,B32,'Legacy schemes (v3)'!$C$7:$C$158,"Not confirmed")</f>
        <v/>
      </c>
      <c r="M32" s="10">
        <f>IF(J32&gt;0,"University-wide scheme/framework documented",IF(COUNTIFS('Legacy schemes (v3)'!$B$7:$B$158,B32,'Legacy schemes (v3)'!$C$7:$C$158,"Cross-faculty")&gt;0,"Cross-faculty; broader reach unverified",IF(COUNTIFS('Legacy schemes (v3)'!$B$7:$B$158,B32,'Legacy schemes (v3)'!$C$7:$C$158,"Faculty/school")&gt;0,"Faculty/school; broader reach unverified",IF(K32&gt;0,"Programme/course; broader reach unverified","Scheme documented; reach unconfirmed"))))</f>
        <v/>
      </c>
      <c r="N32" s="32" t="inlineStr">
        <is>
          <t>AU02</t>
        </is>
      </c>
      <c r="O32" s="77" t="inlineStr"/>
    </row>
    <row r="33" ht="53" customHeight="1">
      <c r="A33" s="10" t="inlineStr">
        <is>
          <t>Australia</t>
        </is>
      </c>
      <c r="B33" s="11" t="inlineStr">
        <is>
          <t>Sydney</t>
        </is>
      </c>
      <c r="C33" s="10" t="inlineStr">
        <is>
          <t>Australia top 10</t>
        </is>
      </c>
      <c r="D33" s="80" t="n">
        <v>2027</v>
      </c>
      <c r="E33" s="80" t="n">
        <v>28</v>
      </c>
      <c r="F33" s="10" t="inlineStr">
        <is>
          <t>No</t>
        </is>
      </c>
      <c r="G33" s="10" t="inlineStr">
        <is>
          <t>https://www.topuniversities.com/qs-top-uni-wur</t>
        </is>
      </c>
      <c r="H33" s="10" t="inlineStr">
        <is>
          <t>n.a.</t>
        </is>
      </c>
      <c r="I33" s="80">
        <f>COUNTIF('Legacy schemes (v3)'!$B$7:$B$158,B33)</f>
        <v/>
      </c>
      <c r="J33" s="80">
        <f>COUNTIFS('Legacy schemes (v3)'!$B$7:$B$158,B33,'Legacy schemes (v3)'!$C$7:$C$158,"University-wide")</f>
        <v/>
      </c>
      <c r="K33" s="80">
        <f>COUNTIFS('Legacy schemes (v3)'!$B$7:$B$158,B33,'Legacy schemes (v3)'!$C$7:$C$158,"Cross-faculty")+COUNTIFS('Legacy schemes (v3)'!$B$7:$B$158,B33,'Legacy schemes (v3)'!$C$7:$C$158,"Faculty/school")+COUNTIFS('Legacy schemes (v3)'!$B$7:$B$158,B33,'Legacy schemes (v3)'!$C$7:$C$158,"Programme/course")</f>
        <v/>
      </c>
      <c r="L33" s="80">
        <f>COUNTIFS('Legacy schemes (v3)'!$B$7:$B$158,B33,'Legacy schemes (v3)'!$C$7:$C$158,"Not confirmed")</f>
        <v/>
      </c>
      <c r="M33" s="10">
        <f>IF(J33&gt;0,"University-wide scheme/framework documented",IF(COUNTIFS('Legacy schemes (v3)'!$B$7:$B$158,B33,'Legacy schemes (v3)'!$C$7:$C$158,"Cross-faculty")&gt;0,"Cross-faculty; broader reach unverified",IF(COUNTIFS('Legacy schemes (v3)'!$B$7:$B$158,B33,'Legacy schemes (v3)'!$C$7:$C$158,"Faculty/school")&gt;0,"Faculty/school; broader reach unverified",IF(K33&gt;0,"Programme/course; broader reach unverified","Scheme documented; reach unconfirmed"))))</f>
        <v/>
      </c>
      <c r="N33" s="32" t="inlineStr">
        <is>
          <t>AU03</t>
        </is>
      </c>
      <c r="O33" s="77" t="inlineStr"/>
    </row>
    <row r="34" ht="53" customHeight="1">
      <c r="A34" s="10" t="inlineStr">
        <is>
          <t>Australia</t>
        </is>
      </c>
      <c r="B34" s="11" t="inlineStr">
        <is>
          <t>Australian National University</t>
        </is>
      </c>
      <c r="C34" s="10" t="inlineStr">
        <is>
          <t>Australia top 10</t>
        </is>
      </c>
      <c r="D34" s="80" t="n">
        <v>2027</v>
      </c>
      <c r="E34" s="80" t="n">
        <v>29</v>
      </c>
      <c r="F34" s="10" t="inlineStr">
        <is>
          <t>No</t>
        </is>
      </c>
      <c r="G34" s="10" t="inlineStr">
        <is>
          <t>https://www.topuniversities.com/qs-top-uni-wur</t>
        </is>
      </c>
      <c r="H34" s="10" t="inlineStr">
        <is>
          <t>n.a.</t>
        </is>
      </c>
      <c r="I34" s="80">
        <f>COUNTIF('Legacy schemes (v3)'!$B$7:$B$158,B34)</f>
        <v/>
      </c>
      <c r="J34" s="80">
        <f>COUNTIFS('Legacy schemes (v3)'!$B$7:$B$158,B34,'Legacy schemes (v3)'!$C$7:$C$158,"University-wide")</f>
        <v/>
      </c>
      <c r="K34" s="80">
        <f>COUNTIFS('Legacy schemes (v3)'!$B$7:$B$158,B34,'Legacy schemes (v3)'!$C$7:$C$158,"Cross-faculty")+COUNTIFS('Legacy schemes (v3)'!$B$7:$B$158,B34,'Legacy schemes (v3)'!$C$7:$C$158,"Faculty/school")+COUNTIFS('Legacy schemes (v3)'!$B$7:$B$158,B34,'Legacy schemes (v3)'!$C$7:$C$158,"Programme/course")</f>
        <v/>
      </c>
      <c r="L34" s="80">
        <f>COUNTIFS('Legacy schemes (v3)'!$B$7:$B$158,B34,'Legacy schemes (v3)'!$C$7:$C$158,"Not confirmed")</f>
        <v/>
      </c>
      <c r="M34" s="10">
        <f>IF(J34&gt;0,"University-wide scheme/framework documented",IF(COUNTIFS('Legacy schemes (v3)'!$B$7:$B$158,B34,'Legacy schemes (v3)'!$C$7:$C$158,"Cross-faculty")&gt;0,"Cross-faculty; broader reach unverified",IF(COUNTIFS('Legacy schemes (v3)'!$B$7:$B$158,B34,'Legacy schemes (v3)'!$C$7:$C$158,"Faculty/school")&gt;0,"Faculty/school; broader reach unverified",IF(K34&gt;0,"Programme/course; broader reach unverified","Scheme documented; reach unconfirmed"))))</f>
        <v/>
      </c>
      <c r="N34" s="32" t="inlineStr">
        <is>
          <t>AU04</t>
        </is>
      </c>
      <c r="O34" s="77" t="inlineStr"/>
    </row>
    <row r="35" ht="53" customHeight="1">
      <c r="A35" s="10" t="inlineStr">
        <is>
          <t>Australia</t>
        </is>
      </c>
      <c r="B35" s="11" t="inlineStr">
        <is>
          <t>Monash</t>
        </is>
      </c>
      <c r="C35" s="10" t="inlineStr">
        <is>
          <t>Australia top 10</t>
        </is>
      </c>
      <c r="D35" s="80" t="n">
        <v>2027</v>
      </c>
      <c r="E35" s="80" t="n">
        <v>31</v>
      </c>
      <c r="F35" s="10" t="inlineStr">
        <is>
          <t>No</t>
        </is>
      </c>
      <c r="G35" s="10" t="inlineStr">
        <is>
          <t>https://www.topuniversities.com/qs-top-uni-wur</t>
        </is>
      </c>
      <c r="H35" s="10" t="inlineStr">
        <is>
          <t>n.a.</t>
        </is>
      </c>
      <c r="I35" s="80">
        <f>COUNTIF('Legacy schemes (v3)'!$B$7:$B$158,B35)</f>
        <v/>
      </c>
      <c r="J35" s="80">
        <f>COUNTIFS('Legacy schemes (v3)'!$B$7:$B$158,B35,'Legacy schemes (v3)'!$C$7:$C$158,"University-wide")</f>
        <v/>
      </c>
      <c r="K35" s="80">
        <f>COUNTIFS('Legacy schemes (v3)'!$B$7:$B$158,B35,'Legacy schemes (v3)'!$C$7:$C$158,"Cross-faculty")+COUNTIFS('Legacy schemes (v3)'!$B$7:$B$158,B35,'Legacy schemes (v3)'!$C$7:$C$158,"Faculty/school")+COUNTIFS('Legacy schemes (v3)'!$B$7:$B$158,B35,'Legacy schemes (v3)'!$C$7:$C$158,"Programme/course")</f>
        <v/>
      </c>
      <c r="L35" s="80">
        <f>COUNTIFS('Legacy schemes (v3)'!$B$7:$B$158,B35,'Legacy schemes (v3)'!$C$7:$C$158,"Not confirmed")</f>
        <v/>
      </c>
      <c r="M35" s="10">
        <f>IF(J35&gt;0,"University-wide scheme/framework documented",IF(COUNTIFS('Legacy schemes (v3)'!$B$7:$B$158,B35,'Legacy schemes (v3)'!$C$7:$C$158,"Cross-faculty")&gt;0,"Cross-faculty; broader reach unverified",IF(COUNTIFS('Legacy schemes (v3)'!$B$7:$B$158,B35,'Legacy schemes (v3)'!$C$7:$C$158,"Faculty/school")&gt;0,"Faculty/school; broader reach unverified",IF(K35&gt;0,"Programme/course; broader reach unverified","Scheme documented; reach unconfirmed"))))</f>
        <v/>
      </c>
      <c r="N35" s="32" t="inlineStr">
        <is>
          <t>AU05</t>
        </is>
      </c>
      <c r="O35" s="77" t="inlineStr"/>
    </row>
    <row r="36" ht="53" customHeight="1">
      <c r="A36" s="10" t="inlineStr">
        <is>
          <t>Australia</t>
        </is>
      </c>
      <c r="B36" s="11" t="inlineStr">
        <is>
          <t>Queensland</t>
        </is>
      </c>
      <c r="C36" s="10" t="inlineStr">
        <is>
          <t>Australia top 10</t>
        </is>
      </c>
      <c r="D36" s="80" t="n">
        <v>2027</v>
      </c>
      <c r="E36" s="80" t="n">
        <v>40</v>
      </c>
      <c r="F36" s="10" t="inlineStr">
        <is>
          <t>Yes</t>
        </is>
      </c>
      <c r="G36" s="10" t="inlineStr">
        <is>
          <t>https://www.topuniversities.com/qs-top-uni-wur</t>
        </is>
      </c>
      <c r="H36" s="10" t="inlineStr">
        <is>
          <t>n.a.</t>
        </is>
      </c>
      <c r="I36" s="80">
        <f>COUNTIF('Legacy schemes (v3)'!$B$7:$B$158,B36)</f>
        <v/>
      </c>
      <c r="J36" s="80">
        <f>COUNTIFS('Legacy schemes (v3)'!$B$7:$B$158,B36,'Legacy schemes (v3)'!$C$7:$C$158,"University-wide")</f>
        <v/>
      </c>
      <c r="K36" s="80">
        <f>COUNTIFS('Legacy schemes (v3)'!$B$7:$B$158,B36,'Legacy schemes (v3)'!$C$7:$C$158,"Cross-faculty")+COUNTIFS('Legacy schemes (v3)'!$B$7:$B$158,B36,'Legacy schemes (v3)'!$C$7:$C$158,"Faculty/school")+COUNTIFS('Legacy schemes (v3)'!$B$7:$B$158,B36,'Legacy schemes (v3)'!$C$7:$C$158,"Programme/course")</f>
        <v/>
      </c>
      <c r="L36" s="80">
        <f>COUNTIFS('Legacy schemes (v3)'!$B$7:$B$158,B36,'Legacy schemes (v3)'!$C$7:$C$158,"Not confirmed")</f>
        <v/>
      </c>
      <c r="M36" s="10">
        <f>IF(J36&gt;0,"University-wide scheme/framework documented",IF(COUNTIFS('Legacy schemes (v3)'!$B$7:$B$158,B36,'Legacy schemes (v3)'!$C$7:$C$158,"Cross-faculty")&gt;0,"Cross-faculty; broader reach unverified",IF(COUNTIFS('Legacy schemes (v3)'!$B$7:$B$158,B36,'Legacy schemes (v3)'!$C$7:$C$158,"Faculty/school")&gt;0,"Faculty/school; broader reach unverified",IF(K36&gt;0,"Programme/course; broader reach unverified","Scheme documented; reach unconfirmed"))))</f>
        <v/>
      </c>
      <c r="N36" s="32" t="inlineStr">
        <is>
          <t>AU06</t>
        </is>
      </c>
      <c r="O36" s="77" t="inlineStr"/>
    </row>
    <row r="37" ht="53" customHeight="1">
      <c r="A37" s="10" t="inlineStr">
        <is>
          <t>Australia</t>
        </is>
      </c>
      <c r="B37" s="11" t="inlineStr">
        <is>
          <t>Western Australia</t>
        </is>
      </c>
      <c r="C37" s="10" t="inlineStr">
        <is>
          <t>Australia top 10</t>
        </is>
      </c>
      <c r="D37" s="80" t="n">
        <v>2027</v>
      </c>
      <c r="E37" s="80" t="n">
        <v>77</v>
      </c>
      <c r="F37" s="10" t="inlineStr">
        <is>
          <t>Yes</t>
        </is>
      </c>
      <c r="G37" s="10" t="inlineStr">
        <is>
          <t>https://www.topuniversities.com/qs-top-uni-wur</t>
        </is>
      </c>
      <c r="H37" s="10" t="inlineStr">
        <is>
          <t>n.a.</t>
        </is>
      </c>
      <c r="I37" s="80">
        <f>COUNTIF('Legacy schemes (v3)'!$B$7:$B$158,B37)</f>
        <v/>
      </c>
      <c r="J37" s="80">
        <f>COUNTIFS('Legacy schemes (v3)'!$B$7:$B$158,B37,'Legacy schemes (v3)'!$C$7:$C$158,"University-wide")</f>
        <v/>
      </c>
      <c r="K37" s="80">
        <f>COUNTIFS('Legacy schemes (v3)'!$B$7:$B$158,B37,'Legacy schemes (v3)'!$C$7:$C$158,"Cross-faculty")+COUNTIFS('Legacy schemes (v3)'!$B$7:$B$158,B37,'Legacy schemes (v3)'!$C$7:$C$158,"Faculty/school")+COUNTIFS('Legacy schemes (v3)'!$B$7:$B$158,B37,'Legacy schemes (v3)'!$C$7:$C$158,"Programme/course")</f>
        <v/>
      </c>
      <c r="L37" s="80">
        <f>COUNTIFS('Legacy schemes (v3)'!$B$7:$B$158,B37,'Legacy schemes (v3)'!$C$7:$C$158,"Not confirmed")</f>
        <v/>
      </c>
      <c r="M37" s="10">
        <f>IF(J37&gt;0,"University-wide scheme/framework documented",IF(COUNTIFS('Legacy schemes (v3)'!$B$7:$B$158,B37,'Legacy schemes (v3)'!$C$7:$C$158,"Cross-faculty")&gt;0,"Cross-faculty; broader reach unverified",IF(COUNTIFS('Legacy schemes (v3)'!$B$7:$B$158,B37,'Legacy schemes (v3)'!$C$7:$C$158,"Faculty/school")&gt;0,"Faculty/school; broader reach unverified",IF(K37&gt;0,"Programme/course; broader reach unverified","Scheme documented; reach unconfirmed"))))</f>
        <v/>
      </c>
      <c r="N37" s="32" t="inlineStr">
        <is>
          <t>AU07</t>
        </is>
      </c>
      <c r="O37" s="77" t="inlineStr"/>
    </row>
    <row r="38" ht="53" customHeight="1">
      <c r="A38" s="10" t="inlineStr">
        <is>
          <t>Australia</t>
        </is>
      </c>
      <c r="B38" s="11" t="inlineStr">
        <is>
          <t>Adelaide University</t>
        </is>
      </c>
      <c r="C38" s="10" t="inlineStr">
        <is>
          <t>Australia top 10</t>
        </is>
      </c>
      <c r="D38" s="80" t="n">
        <v>2027</v>
      </c>
      <c r="E38" s="80" t="n">
        <v>79</v>
      </c>
      <c r="F38" s="10" t="inlineStr">
        <is>
          <t>No</t>
        </is>
      </c>
      <c r="G38" s="10" t="inlineStr">
        <is>
          <t>https://www.topuniversities.com/qs-top-uni-wur</t>
        </is>
      </c>
      <c r="H38" s="10" t="inlineStr">
        <is>
          <t>n.a.</t>
        </is>
      </c>
      <c r="I38" s="80">
        <f>COUNTIF('Legacy schemes (v3)'!$B$7:$B$158,B38)</f>
        <v/>
      </c>
      <c r="J38" s="80">
        <f>COUNTIFS('Legacy schemes (v3)'!$B$7:$B$158,B38,'Legacy schemes (v3)'!$C$7:$C$158,"University-wide")</f>
        <v/>
      </c>
      <c r="K38" s="80">
        <f>COUNTIFS('Legacy schemes (v3)'!$B$7:$B$158,B38,'Legacy schemes (v3)'!$C$7:$C$158,"Cross-faculty")+COUNTIFS('Legacy schemes (v3)'!$B$7:$B$158,B38,'Legacy schemes (v3)'!$C$7:$C$158,"Faculty/school")+COUNTIFS('Legacy schemes (v3)'!$B$7:$B$158,B38,'Legacy schemes (v3)'!$C$7:$C$158,"Programme/course")</f>
        <v/>
      </c>
      <c r="L38" s="80">
        <f>COUNTIFS('Legacy schemes (v3)'!$B$7:$B$158,B38,'Legacy schemes (v3)'!$C$7:$C$158,"Not confirmed")</f>
        <v/>
      </c>
      <c r="M38" s="10">
        <f>IF(J38&gt;0,"University-wide scheme/framework documented",IF(COUNTIFS('Legacy schemes (v3)'!$B$7:$B$158,B38,'Legacy schemes (v3)'!$C$7:$C$158,"Cross-faculty")&gt;0,"Cross-faculty; broader reach unverified",IF(COUNTIFS('Legacy schemes (v3)'!$B$7:$B$158,B38,'Legacy schemes (v3)'!$C$7:$C$158,"Faculty/school")&gt;0,"Faculty/school; broader reach unverified",IF(K38&gt;0,"Programme/course; broader reach unverified","Scheme documented; reach unconfirmed"))))</f>
        <v/>
      </c>
      <c r="N38" s="32" t="inlineStr">
        <is>
          <t>AU08</t>
        </is>
      </c>
      <c r="O38" s="77" t="inlineStr">
        <is>
          <t>Merged institution (University of Adelaide + UniSA) operating from 2026; pre-2026 scheme evidence relates to predecessor universities.</t>
        </is>
      </c>
    </row>
    <row r="39" ht="53" customHeight="1">
      <c r="A39" s="10" t="inlineStr">
        <is>
          <t>Australia</t>
        </is>
      </c>
      <c r="B39" s="11" t="inlineStr">
        <is>
          <t>University of Technology Sydney</t>
        </is>
      </c>
      <c r="C39" s="10" t="inlineStr">
        <is>
          <t>Australia top 10</t>
        </is>
      </c>
      <c r="D39" s="80" t="n">
        <v>2027</v>
      </c>
      <c r="E39" s="80" t="n">
        <v>87</v>
      </c>
      <c r="F39" s="10" t="inlineStr">
        <is>
          <t>Yes</t>
        </is>
      </c>
      <c r="G39" s="10" t="inlineStr">
        <is>
          <t>https://www.topuniversities.com/qs-top-uni-wur</t>
        </is>
      </c>
      <c r="H39" s="10" t="inlineStr">
        <is>
          <t>n.a.</t>
        </is>
      </c>
      <c r="I39" s="80">
        <f>COUNTIF('Legacy schemes (v3)'!$B$7:$B$158,B39)</f>
        <v/>
      </c>
      <c r="J39" s="80">
        <f>COUNTIFS('Legacy schemes (v3)'!$B$7:$B$158,B39,'Legacy schemes (v3)'!$C$7:$C$158,"University-wide")</f>
        <v/>
      </c>
      <c r="K39" s="80">
        <f>COUNTIFS('Legacy schemes (v3)'!$B$7:$B$158,B39,'Legacy schemes (v3)'!$C$7:$C$158,"Cross-faculty")+COUNTIFS('Legacy schemes (v3)'!$B$7:$B$158,B39,'Legacy schemes (v3)'!$C$7:$C$158,"Faculty/school")+COUNTIFS('Legacy schemes (v3)'!$B$7:$B$158,B39,'Legacy schemes (v3)'!$C$7:$C$158,"Programme/course")</f>
        <v/>
      </c>
      <c r="L39" s="80">
        <f>COUNTIFS('Legacy schemes (v3)'!$B$7:$B$158,B39,'Legacy schemes (v3)'!$C$7:$C$158,"Not confirmed")</f>
        <v/>
      </c>
      <c r="M39" s="10">
        <f>IF(J39&gt;0,"University-wide scheme/framework documented",IF(COUNTIFS('Legacy schemes (v3)'!$B$7:$B$158,B39,'Legacy schemes (v3)'!$C$7:$C$158,"Cross-faculty")&gt;0,"Cross-faculty; broader reach unverified",IF(COUNTIFS('Legacy schemes (v3)'!$B$7:$B$158,B39,'Legacy schemes (v3)'!$C$7:$C$158,"Faculty/school")&gt;0,"Faculty/school; broader reach unverified",IF(K39&gt;0,"Programme/course; broader reach unverified","Scheme documented; reach unconfirmed"))))</f>
        <v/>
      </c>
      <c r="N39" s="32" t="inlineStr">
        <is>
          <t>AU09</t>
        </is>
      </c>
      <c r="O39" s="77" t="inlineStr"/>
    </row>
    <row r="40" ht="53" customHeight="1">
      <c r="A40" s="10" t="inlineStr">
        <is>
          <t>Australia</t>
        </is>
      </c>
      <c r="B40" s="11" t="inlineStr">
        <is>
          <t>RMIT</t>
        </is>
      </c>
      <c r="C40" s="10" t="inlineStr">
        <is>
          <t>Australia top 10</t>
        </is>
      </c>
      <c r="D40" s="80" t="n">
        <v>2027</v>
      </c>
      <c r="E40" s="80" t="n">
        <v>119</v>
      </c>
      <c r="F40" s="10" t="inlineStr">
        <is>
          <t>Yes</t>
        </is>
      </c>
      <c r="G40" s="10" t="inlineStr">
        <is>
          <t>https://www.topuniversities.com/qs-top-uni-wur</t>
        </is>
      </c>
      <c r="H40" s="10" t="inlineStr">
        <is>
          <t>n.a.</t>
        </is>
      </c>
      <c r="I40" s="80">
        <f>COUNTIF('Legacy schemes (v3)'!$B$7:$B$158,B40)</f>
        <v/>
      </c>
      <c r="J40" s="80">
        <f>COUNTIFS('Legacy schemes (v3)'!$B$7:$B$158,B40,'Legacy schemes (v3)'!$C$7:$C$158,"University-wide")</f>
        <v/>
      </c>
      <c r="K40" s="80">
        <f>COUNTIFS('Legacy schemes (v3)'!$B$7:$B$158,B40,'Legacy schemes (v3)'!$C$7:$C$158,"Cross-faculty")+COUNTIFS('Legacy schemes (v3)'!$B$7:$B$158,B40,'Legacy schemes (v3)'!$C$7:$C$158,"Faculty/school")+COUNTIFS('Legacy schemes (v3)'!$B$7:$B$158,B40,'Legacy schemes (v3)'!$C$7:$C$158,"Programme/course")</f>
        <v/>
      </c>
      <c r="L40" s="80">
        <f>COUNTIFS('Legacy schemes (v3)'!$B$7:$B$158,B40,'Legacy schemes (v3)'!$C$7:$C$158,"Not confirmed")</f>
        <v/>
      </c>
      <c r="M40" s="10">
        <f>IF(J40&gt;0,"University-wide scheme/framework documented",IF(COUNTIFS('Legacy schemes (v3)'!$B$7:$B$158,B40,'Legacy schemes (v3)'!$C$7:$C$158,"Cross-faculty")&gt;0,"Cross-faculty; broader reach unverified",IF(COUNTIFS('Legacy schemes (v3)'!$B$7:$B$158,B40,'Legacy schemes (v3)'!$C$7:$C$158,"Faculty/school")&gt;0,"Faculty/school; broader reach unverified",IF(K40&gt;0,"Programme/course; broader reach unverified","Scheme documented; reach unconfirmed"))))</f>
        <v/>
      </c>
      <c r="N40" s="32" t="inlineStr">
        <is>
          <t>AU10</t>
        </is>
      </c>
      <c r="O40" s="77" t="inlineStr"/>
    </row>
    <row r="41" ht="53" customHeight="1">
      <c r="A41" s="10" t="inlineStr">
        <is>
          <t>UK</t>
        </is>
      </c>
      <c r="B41" s="11" t="inlineStr">
        <is>
          <t>Bath</t>
        </is>
      </c>
      <c r="C41" s="10" t="inlineStr">
        <is>
          <t>Additional UK sample</t>
        </is>
      </c>
      <c r="D41" s="80" t="n">
        <v>2027</v>
      </c>
      <c r="E41" s="80" t="n">
        <v>125</v>
      </c>
      <c r="F41" s="10" t="inlineStr">
        <is>
          <t>No</t>
        </is>
      </c>
      <c r="G41" s="10" t="inlineStr">
        <is>
          <t>https://www.topuniversities.com/qs-top-uni-wur</t>
        </is>
      </c>
      <c r="H41" s="10" t="inlineStr">
        <is>
          <t>10007850</t>
        </is>
      </c>
      <c r="I41" s="80">
        <f>COUNTIF('Legacy schemes (v3)'!$B$7:$B$158,B41)</f>
        <v/>
      </c>
      <c r="J41" s="80">
        <f>COUNTIFS('Legacy schemes (v3)'!$B$7:$B$158,B41,'Legacy schemes (v3)'!$C$7:$C$158,"University-wide")</f>
        <v/>
      </c>
      <c r="K41" s="80">
        <f>COUNTIFS('Legacy schemes (v3)'!$B$7:$B$158,B41,'Legacy schemes (v3)'!$C$7:$C$158,"Cross-faculty")+COUNTIFS('Legacy schemes (v3)'!$B$7:$B$158,B41,'Legacy schemes (v3)'!$C$7:$C$158,"Faculty/school")+COUNTIFS('Legacy schemes (v3)'!$B$7:$B$158,B41,'Legacy schemes (v3)'!$C$7:$C$158,"Programme/course")</f>
        <v/>
      </c>
      <c r="L41" s="80">
        <f>COUNTIFS('Legacy schemes (v3)'!$B$7:$B$158,B41,'Legacy schemes (v3)'!$C$7:$C$158,"Not confirmed")</f>
        <v/>
      </c>
      <c r="M41" s="10">
        <f>IF(J41&gt;0,"University-wide scheme/framework documented",IF(COUNTIFS('Legacy schemes (v3)'!$B$7:$B$158,B41,'Legacy schemes (v3)'!$C$7:$C$158,"Cross-faculty")&gt;0,"Cross-faculty; broader reach unverified",IF(COUNTIFS('Legacy schemes (v3)'!$B$7:$B$158,B41,'Legacy schemes (v3)'!$C$7:$C$158,"Faculty/school")&gt;0,"Faculty/school; broader reach unverified",IF(K41&gt;0,"Programme/course; broader reach unverified","Scheme documented; reach unconfirmed"))))</f>
        <v/>
      </c>
      <c r="N41" s="32" t="inlineStr">
        <is>
          <t>UK01</t>
        </is>
      </c>
      <c r="O41" s="77" t="inlineStr"/>
    </row>
    <row r="42" ht="53" customHeight="1">
      <c r="A42" s="10" t="inlineStr">
        <is>
          <t>UK</t>
        </is>
      </c>
      <c r="B42" s="11" t="inlineStr">
        <is>
          <t>St Andrews</t>
        </is>
      </c>
      <c r="C42" s="10" t="inlineStr">
        <is>
          <t>Additional UK sample</t>
        </is>
      </c>
      <c r="D42" s="80" t="n">
        <v>2027</v>
      </c>
      <c r="E42" s="80" t="n">
        <v>115</v>
      </c>
      <c r="F42" s="10" t="inlineStr">
        <is>
          <t>Yes</t>
        </is>
      </c>
      <c r="G42" s="10" t="inlineStr">
        <is>
          <t>https://www.topuniversities.com/qs-top-uni-wur</t>
        </is>
      </c>
      <c r="H42" s="10" t="inlineStr">
        <is>
          <t>10007803</t>
        </is>
      </c>
      <c r="I42" s="80">
        <f>COUNTIF('Legacy schemes (v3)'!$B$7:$B$158,B42)</f>
        <v/>
      </c>
      <c r="J42" s="80">
        <f>COUNTIFS('Legacy schemes (v3)'!$B$7:$B$158,B42,'Legacy schemes (v3)'!$C$7:$C$158,"University-wide")</f>
        <v/>
      </c>
      <c r="K42" s="80">
        <f>COUNTIFS('Legacy schemes (v3)'!$B$7:$B$158,B42,'Legacy schemes (v3)'!$C$7:$C$158,"Cross-faculty")+COUNTIFS('Legacy schemes (v3)'!$B$7:$B$158,B42,'Legacy schemes (v3)'!$C$7:$C$158,"Faculty/school")+COUNTIFS('Legacy schemes (v3)'!$B$7:$B$158,B42,'Legacy schemes (v3)'!$C$7:$C$158,"Programme/course")</f>
        <v/>
      </c>
      <c r="L42" s="80">
        <f>COUNTIFS('Legacy schemes (v3)'!$B$7:$B$158,B42,'Legacy schemes (v3)'!$C$7:$C$158,"Not confirmed")</f>
        <v/>
      </c>
      <c r="M42" s="10">
        <f>IF(J42&gt;0,"University-wide scheme/framework documented",IF(COUNTIFS('Legacy schemes (v3)'!$B$7:$B$158,B42,'Legacy schemes (v3)'!$C$7:$C$158,"Cross-faculty")&gt;0,"Cross-faculty; broader reach unverified",IF(COUNTIFS('Legacy schemes (v3)'!$B$7:$B$158,B42,'Legacy schemes (v3)'!$C$7:$C$158,"Faculty/school")&gt;0,"Faculty/school; broader reach unverified",IF(K42&gt;0,"Programme/course; broader reach unverified","Scheme documented; reach unconfirmed"))))</f>
        <v/>
      </c>
      <c r="N42" s="32" t="inlineStr">
        <is>
          <t>UK02</t>
        </is>
      </c>
      <c r="O42" s="77" t="inlineStr"/>
    </row>
    <row r="43" ht="53" customHeight="1">
      <c r="A43" s="10" t="inlineStr">
        <is>
          <t>UK</t>
        </is>
      </c>
      <c r="B43" s="11" t="inlineStr">
        <is>
          <t>Lancaster</t>
        </is>
      </c>
      <c r="C43" s="10" t="inlineStr">
        <is>
          <t>Additional UK sample</t>
        </is>
      </c>
      <c r="D43" s="80" t="n">
        <v>2027</v>
      </c>
      <c r="E43" s="80" t="n">
        <v>164</v>
      </c>
      <c r="F43" s="10" t="inlineStr">
        <is>
          <t>No</t>
        </is>
      </c>
      <c r="G43" s="10" t="inlineStr">
        <is>
          <t>https://www.topuniversities.com/qs-top-uni-wur</t>
        </is>
      </c>
      <c r="H43" s="10" t="inlineStr">
        <is>
          <t>10007768</t>
        </is>
      </c>
      <c r="I43" s="80">
        <f>COUNTIF('Legacy schemes (v3)'!$B$7:$B$158,B43)</f>
        <v/>
      </c>
      <c r="J43" s="80">
        <f>COUNTIFS('Legacy schemes (v3)'!$B$7:$B$158,B43,'Legacy schemes (v3)'!$C$7:$C$158,"University-wide")</f>
        <v/>
      </c>
      <c r="K43" s="80">
        <f>COUNTIFS('Legacy schemes (v3)'!$B$7:$B$158,B43,'Legacy schemes (v3)'!$C$7:$C$158,"Cross-faculty")+COUNTIFS('Legacy schemes (v3)'!$B$7:$B$158,B43,'Legacy schemes (v3)'!$C$7:$C$158,"Faculty/school")+COUNTIFS('Legacy schemes (v3)'!$B$7:$B$158,B43,'Legacy schemes (v3)'!$C$7:$C$158,"Programme/course")</f>
        <v/>
      </c>
      <c r="L43" s="80">
        <f>COUNTIFS('Legacy schemes (v3)'!$B$7:$B$158,B43,'Legacy schemes (v3)'!$C$7:$C$158,"Not confirmed")</f>
        <v/>
      </c>
      <c r="M43" s="10">
        <f>IF(J43&gt;0,"University-wide scheme/framework documented",IF(COUNTIFS('Legacy schemes (v3)'!$B$7:$B$158,B43,'Legacy schemes (v3)'!$C$7:$C$158,"Cross-faculty")&gt;0,"Cross-faculty; broader reach unverified",IF(COUNTIFS('Legacy schemes (v3)'!$B$7:$B$158,B43,'Legacy schemes (v3)'!$C$7:$C$158,"Faculty/school")&gt;0,"Faculty/school; broader reach unverified",IF(K43&gt;0,"Programme/course; broader reach unverified","Scheme documented; reach unconfirmed"))))</f>
        <v/>
      </c>
      <c r="N43" s="32" t="inlineStr">
        <is>
          <t>UK03</t>
        </is>
      </c>
      <c r="O43" s="77" t="inlineStr"/>
    </row>
    <row r="44" ht="53" customHeight="1">
      <c r="A44" s="10" t="inlineStr">
        <is>
          <t>UK</t>
        </is>
      </c>
      <c r="B44" s="11" t="inlineStr">
        <is>
          <t>Loughborough</t>
        </is>
      </c>
      <c r="C44" s="10" t="inlineStr">
        <is>
          <t>Additional UK sample</t>
        </is>
      </c>
      <c r="D44" s="80" t="n">
        <v>2027</v>
      </c>
      <c r="E44" s="80" t="n">
        <v>203</v>
      </c>
      <c r="F44" s="10" t="inlineStr">
        <is>
          <t>No</t>
        </is>
      </c>
      <c r="G44" s="10" t="inlineStr">
        <is>
          <t>https://www.topuniversities.com/universities/loughborough-university</t>
        </is>
      </c>
      <c r="H44" s="10" t="inlineStr">
        <is>
          <t>10004113</t>
        </is>
      </c>
      <c r="I44" s="80">
        <f>COUNTIF('Legacy schemes (v3)'!$B$7:$B$158,B44)</f>
        <v/>
      </c>
      <c r="J44" s="80">
        <f>COUNTIFS('Legacy schemes (v3)'!$B$7:$B$158,B44,'Legacy schemes (v3)'!$C$7:$C$158,"University-wide")</f>
        <v/>
      </c>
      <c r="K44" s="80">
        <f>COUNTIFS('Legacy schemes (v3)'!$B$7:$B$158,B44,'Legacy schemes (v3)'!$C$7:$C$158,"Cross-faculty")+COUNTIFS('Legacy schemes (v3)'!$B$7:$B$158,B44,'Legacy schemes (v3)'!$C$7:$C$158,"Faculty/school")+COUNTIFS('Legacy schemes (v3)'!$B$7:$B$158,B44,'Legacy schemes (v3)'!$C$7:$C$158,"Programme/course")</f>
        <v/>
      </c>
      <c r="L44" s="80">
        <f>COUNTIFS('Legacy schemes (v3)'!$B$7:$B$158,B44,'Legacy schemes (v3)'!$C$7:$C$158,"Not confirmed")</f>
        <v/>
      </c>
      <c r="M44" s="10">
        <f>IF(J44&gt;0,"University-wide scheme/framework documented",IF(COUNTIFS('Legacy schemes (v3)'!$B$7:$B$158,B44,'Legacy schemes (v3)'!$C$7:$C$158,"Cross-faculty")&gt;0,"Cross-faculty; broader reach unverified",IF(COUNTIFS('Legacy schemes (v3)'!$B$7:$B$158,B44,'Legacy schemes (v3)'!$C$7:$C$158,"Faculty/school")&gt;0,"Faculty/school; broader reach unverified",IF(K44&gt;0,"Programme/course; broader reach unverified","Scheme documented; reach unconfirmed"))))</f>
        <v/>
      </c>
      <c r="N44" s="32" t="inlineStr">
        <is>
          <t>UK04</t>
        </is>
      </c>
      <c r="O44" s="77" t="inlineStr">
        <is>
          <t>QS rank sourced from institution profile page (not ranking table); not re-verified in this review.</t>
        </is>
      </c>
    </row>
    <row r="45" ht="53" customHeight="1">
      <c r="A45" s="10" t="inlineStr">
        <is>
          <t>UK</t>
        </is>
      </c>
      <c r="B45" s="11" t="inlineStr">
        <is>
          <t>Aberdeen</t>
        </is>
      </c>
      <c r="C45" s="10" t="inlineStr">
        <is>
          <t>Additional UK sample</t>
        </is>
      </c>
      <c r="D45" s="80" t="n">
        <v>2027</v>
      </c>
      <c r="E45" s="80" t="n">
        <v>288</v>
      </c>
      <c r="F45" s="10" t="inlineStr">
        <is>
          <t>No</t>
        </is>
      </c>
      <c r="G45" s="10" t="inlineStr">
        <is>
          <t>https://www.topuniversities.com/universities/university-aberdeen</t>
        </is>
      </c>
      <c r="H45" s="10" t="inlineStr">
        <is>
          <t>10007783</t>
        </is>
      </c>
      <c r="I45" s="80">
        <f>COUNTIF('Legacy schemes (v3)'!$B$7:$B$158,B45)</f>
        <v/>
      </c>
      <c r="J45" s="80">
        <f>COUNTIFS('Legacy schemes (v3)'!$B$7:$B$158,B45,'Legacy schemes (v3)'!$C$7:$C$158,"University-wide")</f>
        <v/>
      </c>
      <c r="K45" s="80">
        <f>COUNTIFS('Legacy schemes (v3)'!$B$7:$B$158,B45,'Legacy schemes (v3)'!$C$7:$C$158,"Cross-faculty")+COUNTIFS('Legacy schemes (v3)'!$B$7:$B$158,B45,'Legacy schemes (v3)'!$C$7:$C$158,"Faculty/school")+COUNTIFS('Legacy schemes (v3)'!$B$7:$B$158,B45,'Legacy schemes (v3)'!$C$7:$C$158,"Programme/course")</f>
        <v/>
      </c>
      <c r="L45" s="80">
        <f>COUNTIFS('Legacy schemes (v3)'!$B$7:$B$158,B45,'Legacy schemes (v3)'!$C$7:$C$158,"Not confirmed")</f>
        <v/>
      </c>
      <c r="M45" s="10">
        <f>IF(J45&gt;0,"University-wide scheme/framework documented",IF(COUNTIFS('Legacy schemes (v3)'!$B$7:$B$158,B45,'Legacy schemes (v3)'!$C$7:$C$158,"Cross-faculty")&gt;0,"Cross-faculty; broader reach unverified",IF(COUNTIFS('Legacy schemes (v3)'!$B$7:$B$158,B45,'Legacy schemes (v3)'!$C$7:$C$158,"Faculty/school")&gt;0,"Faculty/school; broader reach unverified",IF(K45&gt;0,"Programme/course; broader reach unverified","Scheme documented; reach unconfirmed"))))</f>
        <v/>
      </c>
      <c r="N45" s="32" t="inlineStr">
        <is>
          <t>UK05</t>
        </is>
      </c>
      <c r="O45" s="77" t="inlineStr">
        <is>
          <t>QS rank sourced from institution profile page (not ranking table); not re-verified in this review.</t>
        </is>
      </c>
    </row>
    <row r="46" ht="53" customHeight="1">
      <c r="A46" s="10" t="inlineStr">
        <is>
          <t>UK</t>
        </is>
      </c>
      <c r="B46" s="11" t="inlineStr">
        <is>
          <t>Reading</t>
        </is>
      </c>
      <c r="C46" s="10" t="inlineStr">
        <is>
          <t>Additional UK sample</t>
        </is>
      </c>
      <c r="D46" s="80" t="n">
        <v>2027</v>
      </c>
      <c r="E46" s="80" t="n">
        <v>196</v>
      </c>
      <c r="F46" s="10" t="inlineStr">
        <is>
          <t>Yes</t>
        </is>
      </c>
      <c r="G46" s="10" t="inlineStr">
        <is>
          <t>https://www.topuniversities.com/qs-top-uni-wur</t>
        </is>
      </c>
      <c r="H46" s="10" t="inlineStr">
        <is>
          <t>10007802</t>
        </is>
      </c>
      <c r="I46" s="80">
        <f>COUNTIF('Legacy schemes (v3)'!$B$7:$B$158,B46)</f>
        <v/>
      </c>
      <c r="J46" s="80">
        <f>COUNTIFS('Legacy schemes (v3)'!$B$7:$B$158,B46,'Legacy schemes (v3)'!$C$7:$C$158,"University-wide")</f>
        <v/>
      </c>
      <c r="K46" s="80">
        <f>COUNTIFS('Legacy schemes (v3)'!$B$7:$B$158,B46,'Legacy schemes (v3)'!$C$7:$C$158,"Cross-faculty")+COUNTIFS('Legacy schemes (v3)'!$B$7:$B$158,B46,'Legacy schemes (v3)'!$C$7:$C$158,"Faculty/school")+COUNTIFS('Legacy schemes (v3)'!$B$7:$B$158,B46,'Legacy schemes (v3)'!$C$7:$C$158,"Programme/course")</f>
        <v/>
      </c>
      <c r="L46" s="80">
        <f>COUNTIFS('Legacy schemes (v3)'!$B$7:$B$158,B46,'Legacy schemes (v3)'!$C$7:$C$158,"Not confirmed")</f>
        <v/>
      </c>
      <c r="M46" s="10">
        <f>IF(J46&gt;0,"University-wide scheme/framework documented",IF(COUNTIFS('Legacy schemes (v3)'!$B$7:$B$158,B46,'Legacy schemes (v3)'!$C$7:$C$158,"Cross-faculty")&gt;0,"Cross-faculty; broader reach unverified",IF(COUNTIFS('Legacy schemes (v3)'!$B$7:$B$158,B46,'Legacy schemes (v3)'!$C$7:$C$158,"Faculty/school")&gt;0,"Faculty/school; broader reach unverified",IF(K46&gt;0,"Programme/course; broader reach unverified","Scheme documented; reach unconfirmed"))))</f>
        <v/>
      </c>
      <c r="N46" s="32" t="inlineStr">
        <is>
          <t>UK06</t>
        </is>
      </c>
      <c r="O46" s="77" t="inlineStr"/>
    </row>
    <row r="47" ht="53" customHeight="1">
      <c r="A47" s="10" t="inlineStr">
        <is>
          <t>UK</t>
        </is>
      </c>
      <c r="B47" s="11" t="inlineStr">
        <is>
          <t>Surrey</t>
        </is>
      </c>
      <c r="C47" s="10" t="inlineStr">
        <is>
          <t>Additional UK sample</t>
        </is>
      </c>
      <c r="D47" s="80" t="n">
        <v>2027</v>
      </c>
      <c r="E47" s="80" t="n">
        <v>246</v>
      </c>
      <c r="F47" s="10" t="inlineStr">
        <is>
          <t>Yes</t>
        </is>
      </c>
      <c r="G47" s="10" t="inlineStr">
        <is>
          <t>https://www.topuniversities.com/universities/university-surrey</t>
        </is>
      </c>
      <c r="H47" s="10" t="inlineStr">
        <is>
          <t>10007160</t>
        </is>
      </c>
      <c r="I47" s="80">
        <f>COUNTIF('Legacy schemes (v3)'!$B$7:$B$158,B47)</f>
        <v/>
      </c>
      <c r="J47" s="80">
        <f>COUNTIFS('Legacy schemes (v3)'!$B$7:$B$158,B47,'Legacy schemes (v3)'!$C$7:$C$158,"University-wide")</f>
        <v/>
      </c>
      <c r="K47" s="80">
        <f>COUNTIFS('Legacy schemes (v3)'!$B$7:$B$158,B47,'Legacy schemes (v3)'!$C$7:$C$158,"Cross-faculty")+COUNTIFS('Legacy schemes (v3)'!$B$7:$B$158,B47,'Legacy schemes (v3)'!$C$7:$C$158,"Faculty/school")+COUNTIFS('Legacy schemes (v3)'!$B$7:$B$158,B47,'Legacy schemes (v3)'!$C$7:$C$158,"Programme/course")</f>
        <v/>
      </c>
      <c r="L47" s="80">
        <f>COUNTIFS('Legacy schemes (v3)'!$B$7:$B$158,B47,'Legacy schemes (v3)'!$C$7:$C$158,"Not confirmed")</f>
        <v/>
      </c>
      <c r="M47" s="10">
        <f>IF(J47&gt;0,"University-wide scheme/framework documented",IF(COUNTIFS('Legacy schemes (v3)'!$B$7:$B$158,B47,'Legacy schemes (v3)'!$C$7:$C$158,"Cross-faculty")&gt;0,"Cross-faculty; broader reach unverified",IF(COUNTIFS('Legacy schemes (v3)'!$B$7:$B$158,B47,'Legacy schemes (v3)'!$C$7:$C$158,"Faculty/school")&gt;0,"Faculty/school; broader reach unverified",IF(K47&gt;0,"Programme/course; broader reach unverified","Scheme documented; reach unconfirmed"))))</f>
        <v/>
      </c>
      <c r="N47" s="32" t="inlineStr">
        <is>
          <t>UK07</t>
        </is>
      </c>
      <c r="O47" s="77" t="inlineStr">
        <is>
          <t>QS rank sourced from institution profile page (not ranking table); not re-verified in this review.</t>
        </is>
      </c>
    </row>
    <row r="48" ht="53" customHeight="1">
      <c r="A48" s="10" t="inlineStr">
        <is>
          <t>UK</t>
        </is>
      </c>
      <c r="B48" s="11" t="inlineStr">
        <is>
          <t>Sussex</t>
        </is>
      </c>
      <c r="C48" s="10" t="inlineStr">
        <is>
          <t>Additional UK sample</t>
        </is>
      </c>
      <c r="D48" s="80" t="n">
        <v>2027</v>
      </c>
      <c r="E48" s="80" t="n">
        <v>273</v>
      </c>
      <c r="F48" s="10" t="inlineStr">
        <is>
          <t>Yes</t>
        </is>
      </c>
      <c r="G48" s="10" t="inlineStr">
        <is>
          <t>https://www.topuniversities.com/universities/university-sussex</t>
        </is>
      </c>
      <c r="H48" s="10" t="inlineStr">
        <is>
          <t>10007806</t>
        </is>
      </c>
      <c r="I48" s="80">
        <f>COUNTIF('Legacy schemes (v3)'!$B$7:$B$158,B48)</f>
        <v/>
      </c>
      <c r="J48" s="80">
        <f>COUNTIFS('Legacy schemes (v3)'!$B$7:$B$158,B48,'Legacy schemes (v3)'!$C$7:$C$158,"University-wide")</f>
        <v/>
      </c>
      <c r="K48" s="80">
        <f>COUNTIFS('Legacy schemes (v3)'!$B$7:$B$158,B48,'Legacy schemes (v3)'!$C$7:$C$158,"Cross-faculty")+COUNTIFS('Legacy schemes (v3)'!$B$7:$B$158,B48,'Legacy schemes (v3)'!$C$7:$C$158,"Faculty/school")+COUNTIFS('Legacy schemes (v3)'!$B$7:$B$158,B48,'Legacy schemes (v3)'!$C$7:$C$158,"Programme/course")</f>
        <v/>
      </c>
      <c r="L48" s="80">
        <f>COUNTIFS('Legacy schemes (v3)'!$B$7:$B$158,B48,'Legacy schemes (v3)'!$C$7:$C$158,"Not confirmed")</f>
        <v/>
      </c>
      <c r="M48" s="10">
        <f>IF(J48&gt;0,"University-wide scheme/framework documented",IF(COUNTIFS('Legacy schemes (v3)'!$B$7:$B$158,B48,'Legacy schemes (v3)'!$C$7:$C$158,"Cross-faculty")&gt;0,"Cross-faculty; broader reach unverified",IF(COUNTIFS('Legacy schemes (v3)'!$B$7:$B$158,B48,'Legacy schemes (v3)'!$C$7:$C$158,"Faculty/school")&gt;0,"Faculty/school; broader reach unverified",IF(K48&gt;0,"Programme/course; broader reach unverified","Scheme documented; reach unconfirmed"))))</f>
        <v/>
      </c>
      <c r="N48" s="32" t="inlineStr">
        <is>
          <t>UK08</t>
        </is>
      </c>
      <c r="O48" s="77" t="inlineStr">
        <is>
          <t>QS rank sourced from institution profile page (not ranking table); not re-verified in this review.</t>
        </is>
      </c>
    </row>
    <row r="49" ht="53" customHeight="1">
      <c r="A49" s="10" t="inlineStr">
        <is>
          <t>UK</t>
        </is>
      </c>
      <c r="B49" s="11" t="inlineStr">
        <is>
          <t>Leicester</t>
        </is>
      </c>
      <c r="C49" s="10" t="inlineStr">
        <is>
          <t>Additional UK sample</t>
        </is>
      </c>
      <c r="D49" s="80" t="n">
        <v>2027</v>
      </c>
      <c r="E49" s="80" t="n">
        <v>314</v>
      </c>
      <c r="F49" s="10" t="inlineStr">
        <is>
          <t>Yes</t>
        </is>
      </c>
      <c r="G49" s="10" t="inlineStr">
        <is>
          <t>https://www.topuniversities.com/universities/university-leicester</t>
        </is>
      </c>
      <c r="H49" s="10" t="inlineStr">
        <is>
          <t>10007796</t>
        </is>
      </c>
      <c r="I49" s="80">
        <f>COUNTIF('Legacy schemes (v3)'!$B$7:$B$158,B49)</f>
        <v/>
      </c>
      <c r="J49" s="80">
        <f>COUNTIFS('Legacy schemes (v3)'!$B$7:$B$158,B49,'Legacy schemes (v3)'!$C$7:$C$158,"University-wide")</f>
        <v/>
      </c>
      <c r="K49" s="80">
        <f>COUNTIFS('Legacy schemes (v3)'!$B$7:$B$158,B49,'Legacy schemes (v3)'!$C$7:$C$158,"Cross-faculty")+COUNTIFS('Legacy schemes (v3)'!$B$7:$B$158,B49,'Legacy schemes (v3)'!$C$7:$C$158,"Faculty/school")+COUNTIFS('Legacy schemes (v3)'!$B$7:$B$158,B49,'Legacy schemes (v3)'!$C$7:$C$158,"Programme/course")</f>
        <v/>
      </c>
      <c r="L49" s="80">
        <f>COUNTIFS('Legacy schemes (v3)'!$B$7:$B$158,B49,'Legacy schemes (v3)'!$C$7:$C$158,"Not confirmed")</f>
        <v/>
      </c>
      <c r="M49" s="10">
        <f>IF(J49&gt;0,"University-wide scheme/framework documented",IF(COUNTIFS('Legacy schemes (v3)'!$B$7:$B$158,B49,'Legacy schemes (v3)'!$C$7:$C$158,"Cross-faculty")&gt;0,"Cross-faculty; broader reach unverified",IF(COUNTIFS('Legacy schemes (v3)'!$B$7:$B$158,B49,'Legacy schemes (v3)'!$C$7:$C$158,"Faculty/school")&gt;0,"Faculty/school; broader reach unverified",IF(K49&gt;0,"Programme/course; broader reach unverified","Scheme documented; reach unconfirmed"))))</f>
        <v/>
      </c>
      <c r="N49" s="32" t="inlineStr">
        <is>
          <t>UK09</t>
        </is>
      </c>
      <c r="O49" s="77" t="inlineStr">
        <is>
          <t>QS rank sourced from institution profile page (not ranking table); not re-verified in this review.</t>
        </is>
      </c>
    </row>
    <row r="50" ht="53" customHeight="1">
      <c r="A50" s="10" t="inlineStr">
        <is>
          <t>UK</t>
        </is>
      </c>
      <c r="B50" s="11" t="inlineStr">
        <is>
          <t>Strathclyde</t>
        </is>
      </c>
      <c r="C50" s="10" t="inlineStr">
        <is>
          <t>Additional UK sample</t>
        </is>
      </c>
      <c r="D50" s="80" t="n">
        <v>2027</v>
      </c>
      <c r="E50" s="80" t="n">
        <v>230</v>
      </c>
      <c r="F50" s="10" t="inlineStr">
        <is>
          <t>Yes</t>
        </is>
      </c>
      <c r="G50" s="10" t="inlineStr">
        <is>
          <t>https://www.topuniversities.com/universities/university-strathclyde</t>
        </is>
      </c>
      <c r="H50" s="10" t="inlineStr">
        <is>
          <t>10007805</t>
        </is>
      </c>
      <c r="I50" s="80">
        <f>COUNTIF('Legacy schemes (v3)'!$B$7:$B$158,B50)</f>
        <v/>
      </c>
      <c r="J50" s="80">
        <f>COUNTIFS('Legacy schemes (v3)'!$B$7:$B$158,B50,'Legacy schemes (v3)'!$C$7:$C$158,"University-wide")</f>
        <v/>
      </c>
      <c r="K50" s="80">
        <f>COUNTIFS('Legacy schemes (v3)'!$B$7:$B$158,B50,'Legacy schemes (v3)'!$C$7:$C$158,"Cross-faculty")+COUNTIFS('Legacy schemes (v3)'!$B$7:$B$158,B50,'Legacy schemes (v3)'!$C$7:$C$158,"Faculty/school")+COUNTIFS('Legacy schemes (v3)'!$B$7:$B$158,B50,'Legacy schemes (v3)'!$C$7:$C$158,"Programme/course")</f>
        <v/>
      </c>
      <c r="L50" s="80">
        <f>COUNTIFS('Legacy schemes (v3)'!$B$7:$B$158,B50,'Legacy schemes (v3)'!$C$7:$C$158,"Not confirmed")</f>
        <v/>
      </c>
      <c r="M50" s="10">
        <f>IF(J50&gt;0,"University-wide scheme/framework documented",IF(COUNTIFS('Legacy schemes (v3)'!$B$7:$B$158,B50,'Legacy schemes (v3)'!$C$7:$C$158,"Cross-faculty")&gt;0,"Cross-faculty; broader reach unverified",IF(COUNTIFS('Legacy schemes (v3)'!$B$7:$B$158,B50,'Legacy schemes (v3)'!$C$7:$C$158,"Faculty/school")&gt;0,"Faculty/school; broader reach unverified",IF(K50&gt;0,"Programme/course; broader reach unverified","Scheme documented; reach unconfirmed"))))</f>
        <v/>
      </c>
      <c r="N50" s="32" t="inlineStr">
        <is>
          <t>UK10</t>
        </is>
      </c>
      <c r="O50" s="77" t="inlineStr">
        <is>
          <t>QS rank sourced from institution profile page (not ranking table); not re-verified in this review.</t>
        </is>
      </c>
    </row>
    <row r="51" ht="53" customHeight="1">
      <c r="A51" s="10" t="inlineStr">
        <is>
          <t>UK</t>
        </is>
      </c>
      <c r="B51" s="11" t="inlineStr">
        <is>
          <t>Heriot-Watt</t>
        </is>
      </c>
      <c r="C51" s="10" t="inlineStr">
        <is>
          <t>Additional UK sample</t>
        </is>
      </c>
      <c r="D51" s="80" t="n">
        <v>2027</v>
      </c>
      <c r="E51" s="80" t="n">
        <v>325</v>
      </c>
      <c r="F51" s="10" t="inlineStr">
        <is>
          <t>No</t>
        </is>
      </c>
      <c r="G51" s="10" t="inlineStr">
        <is>
          <t>https://www.topuniversities.com/universities/heriot-watt-university</t>
        </is>
      </c>
      <c r="H51" s="10" t="inlineStr">
        <is>
          <t>10007764</t>
        </is>
      </c>
      <c r="I51" s="80">
        <f>COUNTIF('Legacy schemes (v3)'!$B$7:$B$158,B51)</f>
        <v/>
      </c>
      <c r="J51" s="80">
        <f>COUNTIFS('Legacy schemes (v3)'!$B$7:$B$158,B51,'Legacy schemes (v3)'!$C$7:$C$158,"University-wide")</f>
        <v/>
      </c>
      <c r="K51" s="80">
        <f>COUNTIFS('Legacy schemes (v3)'!$B$7:$B$158,B51,'Legacy schemes (v3)'!$C$7:$C$158,"Cross-faculty")+COUNTIFS('Legacy schemes (v3)'!$B$7:$B$158,B51,'Legacy schemes (v3)'!$C$7:$C$158,"Faculty/school")+COUNTIFS('Legacy schemes (v3)'!$B$7:$B$158,B51,'Legacy schemes (v3)'!$C$7:$C$158,"Programme/course")</f>
        <v/>
      </c>
      <c r="L51" s="80">
        <f>COUNTIFS('Legacy schemes (v3)'!$B$7:$B$158,B51,'Legacy schemes (v3)'!$C$7:$C$158,"Not confirmed")</f>
        <v/>
      </c>
      <c r="M51" s="10">
        <f>IF(J51&gt;0,"University-wide scheme/framework documented",IF(COUNTIFS('Legacy schemes (v3)'!$B$7:$B$158,B51,'Legacy schemes (v3)'!$C$7:$C$158,"Cross-faculty")&gt;0,"Cross-faculty; broader reach unverified",IF(COUNTIFS('Legacy schemes (v3)'!$B$7:$B$158,B51,'Legacy schemes (v3)'!$C$7:$C$158,"Faculty/school")&gt;0,"Faculty/school; broader reach unverified",IF(K51&gt;0,"Programme/course; broader reach unverified","Scheme documented; reach unconfirmed"))))</f>
        <v/>
      </c>
      <c r="N51" s="32" t="inlineStr">
        <is>
          <t>UK11</t>
        </is>
      </c>
      <c r="O51" s="77" t="inlineStr">
        <is>
          <t>QS rank sourced from institution profile page (not ranking table); not re-verified in this review.</t>
        </is>
      </c>
    </row>
    <row r="52" ht="53" customHeight="1">
      <c r="A52" s="10" t="inlineStr">
        <is>
          <t>UK</t>
        </is>
      </c>
      <c r="B52" s="11" t="inlineStr">
        <is>
          <t>East Anglia</t>
        </is>
      </c>
      <c r="C52" s="10" t="inlineStr">
        <is>
          <t>Additional UK sample</t>
        </is>
      </c>
      <c r="D52" s="80" t="n">
        <v>2027</v>
      </c>
      <c r="E52" s="80" t="n">
        <v>381</v>
      </c>
      <c r="F52" s="10" t="inlineStr">
        <is>
          <t>Yes</t>
        </is>
      </c>
      <c r="G52" s="10" t="inlineStr">
        <is>
          <t>https://www.topuniversities.com/universities/university-east-anglia-uea</t>
        </is>
      </c>
      <c r="H52" s="10" t="inlineStr">
        <is>
          <t>10007789</t>
        </is>
      </c>
      <c r="I52" s="80">
        <f>COUNTIF('Legacy schemes (v3)'!$B$7:$B$158,B52)</f>
        <v/>
      </c>
      <c r="J52" s="80">
        <f>COUNTIFS('Legacy schemes (v3)'!$B$7:$B$158,B52,'Legacy schemes (v3)'!$C$7:$C$158,"University-wide")</f>
        <v/>
      </c>
      <c r="K52" s="80">
        <f>COUNTIFS('Legacy schemes (v3)'!$B$7:$B$158,B52,'Legacy schemes (v3)'!$C$7:$C$158,"Cross-faculty")+COUNTIFS('Legacy schemes (v3)'!$B$7:$B$158,B52,'Legacy schemes (v3)'!$C$7:$C$158,"Faculty/school")+COUNTIFS('Legacy schemes (v3)'!$B$7:$B$158,B52,'Legacy schemes (v3)'!$C$7:$C$158,"Programme/course")</f>
        <v/>
      </c>
      <c r="L52" s="80">
        <f>COUNTIFS('Legacy schemes (v3)'!$B$7:$B$158,B52,'Legacy schemes (v3)'!$C$7:$C$158,"Not confirmed")</f>
        <v/>
      </c>
      <c r="M52" s="10">
        <f>IF(J52&gt;0,"University-wide scheme/framework documented",IF(COUNTIFS('Legacy schemes (v3)'!$B$7:$B$158,B52,'Legacy schemes (v3)'!$C$7:$C$158,"Cross-faculty")&gt;0,"Cross-faculty; broader reach unverified",IF(COUNTIFS('Legacy schemes (v3)'!$B$7:$B$158,B52,'Legacy schemes (v3)'!$C$7:$C$158,"Faculty/school")&gt;0,"Faculty/school; broader reach unverified",IF(K52&gt;0,"Programme/course; broader reach unverified","Scheme documented; reach unconfirmed"))))</f>
        <v/>
      </c>
      <c r="N52" s="32" t="inlineStr">
        <is>
          <t>UK12</t>
        </is>
      </c>
      <c r="O52" s="77" t="inlineStr">
        <is>
          <t>QS rank sourced from institution profile page (not ranking table); not re-verified in this review.</t>
        </is>
      </c>
    </row>
    <row r="53" ht="53" customHeight="1">
      <c r="A53" s="10" t="inlineStr">
        <is>
          <t>UK</t>
        </is>
      </c>
      <c r="B53" s="11" t="inlineStr">
        <is>
          <t>Dundee</t>
        </is>
      </c>
      <c r="C53" s="10" t="inlineStr">
        <is>
          <t>Additional UK sample</t>
        </is>
      </c>
      <c r="D53" s="80" t="n">
        <v>2027</v>
      </c>
      <c r="E53" s="80" t="n">
        <v>447</v>
      </c>
      <c r="F53" s="10" t="inlineStr">
        <is>
          <t>Yes</t>
        </is>
      </c>
      <c r="G53" s="10" t="inlineStr">
        <is>
          <t>https://www.topuniversities.com/universities/university-dundee</t>
        </is>
      </c>
      <c r="H53" s="10" t="inlineStr">
        <is>
          <t>10007852</t>
        </is>
      </c>
      <c r="I53" s="80">
        <f>COUNTIF('Legacy schemes (v3)'!$B$7:$B$158,B53)</f>
        <v/>
      </c>
      <c r="J53" s="80">
        <f>COUNTIFS('Legacy schemes (v3)'!$B$7:$B$158,B53,'Legacy schemes (v3)'!$C$7:$C$158,"University-wide")</f>
        <v/>
      </c>
      <c r="K53" s="80">
        <f>COUNTIFS('Legacy schemes (v3)'!$B$7:$B$158,B53,'Legacy schemes (v3)'!$C$7:$C$158,"Cross-faculty")+COUNTIFS('Legacy schemes (v3)'!$B$7:$B$158,B53,'Legacy schemes (v3)'!$C$7:$C$158,"Faculty/school")+COUNTIFS('Legacy schemes (v3)'!$B$7:$B$158,B53,'Legacy schemes (v3)'!$C$7:$C$158,"Programme/course")</f>
        <v/>
      </c>
      <c r="L53" s="80">
        <f>COUNTIFS('Legacy schemes (v3)'!$B$7:$B$158,B53,'Legacy schemes (v3)'!$C$7:$C$158,"Not confirmed")</f>
        <v/>
      </c>
      <c r="M53" s="10">
        <f>IF(J53&gt;0,"University-wide scheme/framework documented",IF(COUNTIFS('Legacy schemes (v3)'!$B$7:$B$158,B53,'Legacy schemes (v3)'!$C$7:$C$158,"Cross-faculty")&gt;0,"Cross-faculty; broader reach unverified",IF(COUNTIFS('Legacy schemes (v3)'!$B$7:$B$158,B53,'Legacy schemes (v3)'!$C$7:$C$158,"Faculty/school")&gt;0,"Faculty/school; broader reach unverified",IF(K53&gt;0,"Programme/course; broader reach unverified","Scheme documented; reach unconfirmed"))))</f>
        <v/>
      </c>
      <c r="N53" s="32" t="inlineStr">
        <is>
          <t>UK13</t>
        </is>
      </c>
      <c r="O53" s="77" t="inlineStr">
        <is>
          <t>QS rank sourced from institution profile page (not ranking table); not re-verified in this review.</t>
        </is>
      </c>
    </row>
    <row r="54" ht="53" customHeight="1">
      <c r="A54" s="10" t="inlineStr">
        <is>
          <t>UK</t>
        </is>
      </c>
      <c r="B54" s="11" t="inlineStr">
        <is>
          <t>Swansea</t>
        </is>
      </c>
      <c r="C54" s="10" t="inlineStr">
        <is>
          <t>Additional UK sample</t>
        </is>
      </c>
      <c r="D54" s="80" t="n">
        <v>2027</v>
      </c>
      <c r="E54" s="80" t="n">
        <v>322</v>
      </c>
      <c r="F54" s="10" t="inlineStr">
        <is>
          <t>Yes</t>
        </is>
      </c>
      <c r="G54" s="10" t="inlineStr">
        <is>
          <t>https://www.topuniversities.com/universities/swansea-university</t>
        </is>
      </c>
      <c r="H54" s="10" t="inlineStr">
        <is>
          <t>10007855</t>
        </is>
      </c>
      <c r="I54" s="80">
        <f>COUNTIF('Legacy schemes (v3)'!$B$7:$B$158,B54)</f>
        <v/>
      </c>
      <c r="J54" s="80">
        <f>COUNTIFS('Legacy schemes (v3)'!$B$7:$B$158,B54,'Legacy schemes (v3)'!$C$7:$C$158,"University-wide")</f>
        <v/>
      </c>
      <c r="K54" s="80">
        <f>COUNTIFS('Legacy schemes (v3)'!$B$7:$B$158,B54,'Legacy schemes (v3)'!$C$7:$C$158,"Cross-faculty")+COUNTIFS('Legacy schemes (v3)'!$B$7:$B$158,B54,'Legacy schemes (v3)'!$C$7:$C$158,"Faculty/school")+COUNTIFS('Legacy schemes (v3)'!$B$7:$B$158,B54,'Legacy schemes (v3)'!$C$7:$C$158,"Programme/course")</f>
        <v/>
      </c>
      <c r="L54" s="80">
        <f>COUNTIFS('Legacy schemes (v3)'!$B$7:$B$158,B54,'Legacy schemes (v3)'!$C$7:$C$158,"Not confirmed")</f>
        <v/>
      </c>
      <c r="M54" s="10">
        <f>IF(J54&gt;0,"University-wide scheme/framework documented",IF(COUNTIFS('Legacy schemes (v3)'!$B$7:$B$158,B54,'Legacy schemes (v3)'!$C$7:$C$158,"Cross-faculty")&gt;0,"Cross-faculty; broader reach unverified",IF(COUNTIFS('Legacy schemes (v3)'!$B$7:$B$158,B54,'Legacy schemes (v3)'!$C$7:$C$158,"Faculty/school")&gt;0,"Faculty/school; broader reach unverified",IF(K54&gt;0,"Programme/course; broader reach unverified","Scheme documented; reach unconfirmed"))))</f>
        <v/>
      </c>
      <c r="N54" s="32" t="inlineStr">
        <is>
          <t>UK14</t>
        </is>
      </c>
      <c r="O54" s="77" t="inlineStr">
        <is>
          <t>QS rank sourced from institution profile page (not ranking table); not re-verified in this review.</t>
        </is>
      </c>
    </row>
    <row r="55" ht="53" customHeight="1">
      <c r="A55" s="10" t="inlineStr">
        <is>
          <t>UK</t>
        </is>
      </c>
      <c r="B55" s="11" t="inlineStr">
        <is>
          <t>Essex</t>
        </is>
      </c>
      <c r="C55" s="10" t="inlineStr">
        <is>
          <t>Additional UK sample</t>
        </is>
      </c>
      <c r="D55" s="80" t="n">
        <v>2027</v>
      </c>
      <c r="E55" s="80" t="n">
        <v>438</v>
      </c>
      <c r="F55" s="10" t="inlineStr">
        <is>
          <t>Yes</t>
        </is>
      </c>
      <c r="G55" s="10" t="inlineStr">
        <is>
          <t>https://www.topuniversities.com/universities/essex-university</t>
        </is>
      </c>
      <c r="H55" s="10" t="inlineStr">
        <is>
          <t>10007791</t>
        </is>
      </c>
      <c r="I55" s="80">
        <f>COUNTIF('Legacy schemes (v3)'!$B$7:$B$158,B55)</f>
        <v/>
      </c>
      <c r="J55" s="80">
        <f>COUNTIFS('Legacy schemes (v3)'!$B$7:$B$158,B55,'Legacy schemes (v3)'!$C$7:$C$158,"University-wide")</f>
        <v/>
      </c>
      <c r="K55" s="80">
        <f>COUNTIFS('Legacy schemes (v3)'!$B$7:$B$158,B55,'Legacy schemes (v3)'!$C$7:$C$158,"Cross-faculty")+COUNTIFS('Legacy schemes (v3)'!$B$7:$B$158,B55,'Legacy schemes (v3)'!$C$7:$C$158,"Faculty/school")+COUNTIFS('Legacy schemes (v3)'!$B$7:$B$158,B55,'Legacy schemes (v3)'!$C$7:$C$158,"Programme/course")</f>
        <v/>
      </c>
      <c r="L55" s="80">
        <f>COUNTIFS('Legacy schemes (v3)'!$B$7:$B$158,B55,'Legacy schemes (v3)'!$C$7:$C$158,"Not confirmed")</f>
        <v/>
      </c>
      <c r="M55" s="10">
        <f>IF(J55&gt;0,"University-wide scheme/framework documented",IF(COUNTIFS('Legacy schemes (v3)'!$B$7:$B$158,B55,'Legacy schemes (v3)'!$C$7:$C$158,"Cross-faculty")&gt;0,"Cross-faculty; broader reach unverified",IF(COUNTIFS('Legacy schemes (v3)'!$B$7:$B$158,B55,'Legacy schemes (v3)'!$C$7:$C$158,"Faculty/school")&gt;0,"Faculty/school; broader reach unverified",IF(K55&gt;0,"Programme/course; broader reach unverified","Scheme documented; reach unconfirmed"))))</f>
        <v/>
      </c>
      <c r="N55" s="32" t="inlineStr">
        <is>
          <t>UK15</t>
        </is>
      </c>
      <c r="O55" s="77" t="inlineStr">
        <is>
          <t>QS rank sourced from institution profile page (not ranking table); not re-verified in this review.</t>
        </is>
      </c>
    </row>
    <row r="56" ht="53" customHeight="1">
      <c r="A56" s="10" t="inlineStr">
        <is>
          <t>UK</t>
        </is>
      </c>
      <c r="B56" s="11" t="inlineStr">
        <is>
          <t>Kent</t>
        </is>
      </c>
      <c r="C56" s="10" t="inlineStr">
        <is>
          <t>Additional UK sample</t>
        </is>
      </c>
      <c r="D56" s="80" t="n">
        <v>2027</v>
      </c>
      <c r="E56" s="80" t="n">
        <v>415</v>
      </c>
      <c r="F56" s="10" t="inlineStr">
        <is>
          <t>No</t>
        </is>
      </c>
      <c r="G56" s="10" t="inlineStr">
        <is>
          <t>https://www.topuniversities.com/universities/university-kent</t>
        </is>
      </c>
      <c r="H56" s="10" t="inlineStr">
        <is>
          <t>10007150</t>
        </is>
      </c>
      <c r="I56" s="80">
        <f>COUNTIF('Legacy schemes (v3)'!$B$7:$B$158,B56)</f>
        <v/>
      </c>
      <c r="J56" s="80">
        <f>COUNTIFS('Legacy schemes (v3)'!$B$7:$B$158,B56,'Legacy schemes (v3)'!$C$7:$C$158,"University-wide")</f>
        <v/>
      </c>
      <c r="K56" s="80">
        <f>COUNTIFS('Legacy schemes (v3)'!$B$7:$B$158,B56,'Legacy schemes (v3)'!$C$7:$C$158,"Cross-faculty")+COUNTIFS('Legacy schemes (v3)'!$B$7:$B$158,B56,'Legacy schemes (v3)'!$C$7:$C$158,"Faculty/school")+COUNTIFS('Legacy schemes (v3)'!$B$7:$B$158,B56,'Legacy schemes (v3)'!$C$7:$C$158,"Programme/course")</f>
        <v/>
      </c>
      <c r="L56" s="80">
        <f>COUNTIFS('Legacy schemes (v3)'!$B$7:$B$158,B56,'Legacy schemes (v3)'!$C$7:$C$158,"Not confirmed")</f>
        <v/>
      </c>
      <c r="M56" s="10">
        <f>IF(J56&gt;0,"University-wide scheme/framework documented",IF(COUNTIFS('Legacy schemes (v3)'!$B$7:$B$158,B56,'Legacy schemes (v3)'!$C$7:$C$158,"Cross-faculty")&gt;0,"Cross-faculty; broader reach unverified",IF(COUNTIFS('Legacy schemes (v3)'!$B$7:$B$158,B56,'Legacy schemes (v3)'!$C$7:$C$158,"Faculty/school")&gt;0,"Faculty/school; broader reach unverified",IF(K56&gt;0,"Programme/course; broader reach unverified","Scheme documented; reach unconfirmed"))))</f>
        <v/>
      </c>
      <c r="N56" s="32" t="inlineStr">
        <is>
          <t>UK16</t>
        </is>
      </c>
      <c r="O56" s="77" t="inlineStr">
        <is>
          <t>QS rank sourced from institution profile page (not ranking table); not re-verified in this review.</t>
        </is>
      </c>
    </row>
    <row r="57" ht="53" customHeight="1">
      <c r="A57" s="10" t="inlineStr">
        <is>
          <t>UK</t>
        </is>
      </c>
      <c r="B57" s="11" t="inlineStr">
        <is>
          <t>Brunel</t>
        </is>
      </c>
      <c r="C57" s="10" t="inlineStr">
        <is>
          <t>Additional UK sample</t>
        </is>
      </c>
      <c r="D57" s="80" t="n">
        <v>2027</v>
      </c>
      <c r="E57" s="80" t="n">
        <v>353</v>
      </c>
      <c r="F57" s="10" t="inlineStr">
        <is>
          <t>No</t>
        </is>
      </c>
      <c r="G57" s="10" t="inlineStr">
        <is>
          <t>https://www.topuniversities.com/universities/brunel-university-london</t>
        </is>
      </c>
      <c r="H57" s="10" t="inlineStr">
        <is>
          <t>10000961</t>
        </is>
      </c>
      <c r="I57" s="80">
        <f>COUNTIF('Legacy schemes (v3)'!$B$7:$B$158,B57)</f>
        <v/>
      </c>
      <c r="J57" s="80">
        <f>COUNTIFS('Legacy schemes (v3)'!$B$7:$B$158,B57,'Legacy schemes (v3)'!$C$7:$C$158,"University-wide")</f>
        <v/>
      </c>
      <c r="K57" s="80">
        <f>COUNTIFS('Legacy schemes (v3)'!$B$7:$B$158,B57,'Legacy schemes (v3)'!$C$7:$C$158,"Cross-faculty")+COUNTIFS('Legacy schemes (v3)'!$B$7:$B$158,B57,'Legacy schemes (v3)'!$C$7:$C$158,"Faculty/school")+COUNTIFS('Legacy schemes (v3)'!$B$7:$B$158,B57,'Legacy schemes (v3)'!$C$7:$C$158,"Programme/course")</f>
        <v/>
      </c>
      <c r="L57" s="80">
        <f>COUNTIFS('Legacy schemes (v3)'!$B$7:$B$158,B57,'Legacy schemes (v3)'!$C$7:$C$158,"Not confirmed")</f>
        <v/>
      </c>
      <c r="M57" s="10">
        <f>IF(J57&gt;0,"University-wide scheme/framework documented",IF(COUNTIFS('Legacy schemes (v3)'!$B$7:$B$158,B57,'Legacy schemes (v3)'!$C$7:$C$158,"Cross-faculty")&gt;0,"Cross-faculty; broader reach unverified",IF(COUNTIFS('Legacy schemes (v3)'!$B$7:$B$158,B57,'Legacy schemes (v3)'!$C$7:$C$158,"Faculty/school")&gt;0,"Faculty/school; broader reach unverified",IF(K57&gt;0,"Programme/course; broader reach unverified","Scheme documented; reach unconfirmed"))))</f>
        <v/>
      </c>
      <c r="N57" s="32" t="inlineStr">
        <is>
          <t>UK17</t>
        </is>
      </c>
      <c r="O57" s="77" t="inlineStr">
        <is>
          <t>QS rank sourced from institution profile page (not ranking table); not re-verified in this review.</t>
        </is>
      </c>
    </row>
    <row r="58" ht="53" customHeight="1">
      <c r="A58" s="10" t="inlineStr">
        <is>
          <t>UK</t>
        </is>
      </c>
      <c r="B58" s="11" t="inlineStr">
        <is>
          <t>Aston</t>
        </is>
      </c>
      <c r="C58" s="10" t="inlineStr">
        <is>
          <t>Additional UK sample</t>
        </is>
      </c>
      <c r="D58" s="80" t="n">
        <v>2027</v>
      </c>
      <c r="E58" s="80" t="n">
        <v>416</v>
      </c>
      <c r="F58" s="10" t="inlineStr">
        <is>
          <t>Yes</t>
        </is>
      </c>
      <c r="G58" s="10" t="inlineStr">
        <is>
          <t>https://www.topuniversities.com/universities/aston-university</t>
        </is>
      </c>
      <c r="H58" s="10" t="inlineStr">
        <is>
          <t>10007759</t>
        </is>
      </c>
      <c r="I58" s="80">
        <f>COUNTIF('Legacy schemes (v3)'!$B$7:$B$158,B58)</f>
        <v/>
      </c>
      <c r="J58" s="80">
        <f>COUNTIFS('Legacy schemes (v3)'!$B$7:$B$158,B58,'Legacy schemes (v3)'!$C$7:$C$158,"University-wide")</f>
        <v/>
      </c>
      <c r="K58" s="80">
        <f>COUNTIFS('Legacy schemes (v3)'!$B$7:$B$158,B58,'Legacy schemes (v3)'!$C$7:$C$158,"Cross-faculty")+COUNTIFS('Legacy schemes (v3)'!$B$7:$B$158,B58,'Legacy schemes (v3)'!$C$7:$C$158,"Faculty/school")+COUNTIFS('Legacy schemes (v3)'!$B$7:$B$158,B58,'Legacy schemes (v3)'!$C$7:$C$158,"Programme/course")</f>
        <v/>
      </c>
      <c r="L58" s="80">
        <f>COUNTIFS('Legacy schemes (v3)'!$B$7:$B$158,B58,'Legacy schemes (v3)'!$C$7:$C$158,"Not confirmed")</f>
        <v/>
      </c>
      <c r="M58" s="10">
        <f>IF(J58&gt;0,"University-wide scheme/framework documented",IF(COUNTIFS('Legacy schemes (v3)'!$B$7:$B$158,B58,'Legacy schemes (v3)'!$C$7:$C$158,"Cross-faculty")&gt;0,"Cross-faculty; broader reach unverified",IF(COUNTIFS('Legacy schemes (v3)'!$B$7:$B$158,B58,'Legacy schemes (v3)'!$C$7:$C$158,"Faculty/school")&gt;0,"Faculty/school; broader reach unverified",IF(K58&gt;0,"Programme/course; broader reach unverified","Scheme documented; reach unconfirmed"))))</f>
        <v/>
      </c>
      <c r="N58" s="32" t="inlineStr">
        <is>
          <t>UK18</t>
        </is>
      </c>
      <c r="O58" s="77" t="inlineStr">
        <is>
          <t>QS rank sourced from institution profile page (not ranking table); not re-verified in this review.</t>
        </is>
      </c>
    </row>
    <row r="59" ht="53" customHeight="1">
      <c r="A59" s="10" t="inlineStr">
        <is>
          <t>UK</t>
        </is>
      </c>
      <c r="B59" s="11" t="inlineStr">
        <is>
          <t>Stirling</t>
        </is>
      </c>
      <c r="C59" s="10" t="inlineStr">
        <is>
          <t>Additional UK sample</t>
        </is>
      </c>
      <c r="D59" s="80" t="n">
        <v>2027</v>
      </c>
      <c r="E59" s="80" t="n">
        <v>560</v>
      </c>
      <c r="F59" s="10" t="inlineStr">
        <is>
          <t>Yes</t>
        </is>
      </c>
      <c r="G59" s="10" t="inlineStr">
        <is>
          <t>https://www.topuniversities.com/universities/university-stirling</t>
        </is>
      </c>
      <c r="H59" s="10" t="inlineStr">
        <is>
          <t>10007804</t>
        </is>
      </c>
      <c r="I59" s="80">
        <f>COUNTIF('Legacy schemes (v3)'!$B$7:$B$158,B59)</f>
        <v/>
      </c>
      <c r="J59" s="80">
        <f>COUNTIFS('Legacy schemes (v3)'!$B$7:$B$158,B59,'Legacy schemes (v3)'!$C$7:$C$158,"University-wide")</f>
        <v/>
      </c>
      <c r="K59" s="80">
        <f>COUNTIFS('Legacy schemes (v3)'!$B$7:$B$158,B59,'Legacy schemes (v3)'!$C$7:$C$158,"Cross-faculty")+COUNTIFS('Legacy schemes (v3)'!$B$7:$B$158,B59,'Legacy schemes (v3)'!$C$7:$C$158,"Faculty/school")+COUNTIFS('Legacy schemes (v3)'!$B$7:$B$158,B59,'Legacy schemes (v3)'!$C$7:$C$158,"Programme/course")</f>
        <v/>
      </c>
      <c r="L59" s="80">
        <f>COUNTIFS('Legacy schemes (v3)'!$B$7:$B$158,B59,'Legacy schemes (v3)'!$C$7:$C$158,"Not confirmed")</f>
        <v/>
      </c>
      <c r="M59" s="10">
        <f>IF(J59&gt;0,"University-wide scheme/framework documented",IF(COUNTIFS('Legacy schemes (v3)'!$B$7:$B$158,B59,'Legacy schemes (v3)'!$C$7:$C$158,"Cross-faculty")&gt;0,"Cross-faculty; broader reach unverified",IF(COUNTIFS('Legacy schemes (v3)'!$B$7:$B$158,B59,'Legacy schemes (v3)'!$C$7:$C$158,"Faculty/school")&gt;0,"Faculty/school; broader reach unverified",IF(K59&gt;0,"Programme/course; broader reach unverified","Scheme documented; reach unconfirmed"))))</f>
        <v/>
      </c>
      <c r="N59" s="32" t="inlineStr">
        <is>
          <t>UK19</t>
        </is>
      </c>
      <c r="O59" s="77" t="inlineStr">
        <is>
          <t>QS rank sourced from institution profile page (not ranking table); not re-verified in this review.</t>
        </is>
      </c>
    </row>
    <row r="60" ht="53" customHeight="1">
      <c r="A60" s="10" t="inlineStr">
        <is>
          <t>UK</t>
        </is>
      </c>
      <c r="B60" s="11" t="inlineStr">
        <is>
          <t>SOAS</t>
        </is>
      </c>
      <c r="C60" s="10" t="inlineStr">
        <is>
          <t>Additional UK sample</t>
        </is>
      </c>
      <c r="D60" s="80" t="n">
        <v>2027</v>
      </c>
      <c r="E60" s="80" t="n">
        <v>458</v>
      </c>
      <c r="F60" s="10" t="inlineStr">
        <is>
          <t>Yes</t>
        </is>
      </c>
      <c r="G60" s="10" t="inlineStr">
        <is>
          <t>https://www.topuniversities.com/universities/soas-university-london</t>
        </is>
      </c>
      <c r="H60" s="10" t="inlineStr">
        <is>
          <t>10007780</t>
        </is>
      </c>
      <c r="I60" s="80">
        <f>COUNTIF('Legacy schemes (v3)'!$B$7:$B$158,B60)</f>
        <v/>
      </c>
      <c r="J60" s="80">
        <f>COUNTIFS('Legacy schemes (v3)'!$B$7:$B$158,B60,'Legacy schemes (v3)'!$C$7:$C$158,"University-wide")</f>
        <v/>
      </c>
      <c r="K60" s="80">
        <f>COUNTIFS('Legacy schemes (v3)'!$B$7:$B$158,B60,'Legacy schemes (v3)'!$C$7:$C$158,"Cross-faculty")+COUNTIFS('Legacy schemes (v3)'!$B$7:$B$158,B60,'Legacy schemes (v3)'!$C$7:$C$158,"Faculty/school")+COUNTIFS('Legacy schemes (v3)'!$B$7:$B$158,B60,'Legacy schemes (v3)'!$C$7:$C$158,"Programme/course")</f>
        <v/>
      </c>
      <c r="L60" s="80">
        <f>COUNTIFS('Legacy schemes (v3)'!$B$7:$B$158,B60,'Legacy schemes (v3)'!$C$7:$C$158,"Not confirmed")</f>
        <v/>
      </c>
      <c r="M60" s="10">
        <f>IF(J60&gt;0,"University-wide scheme/framework documented",IF(COUNTIFS('Legacy schemes (v3)'!$B$7:$B$158,B60,'Legacy schemes (v3)'!$C$7:$C$158,"Cross-faculty")&gt;0,"Cross-faculty; broader reach unverified",IF(COUNTIFS('Legacy schemes (v3)'!$B$7:$B$158,B60,'Legacy schemes (v3)'!$C$7:$C$158,"Faculty/school")&gt;0,"Faculty/school; broader reach unverified",IF(K60&gt;0,"Programme/course; broader reach unverified","Scheme documented; reach unconfirmed"))))</f>
        <v/>
      </c>
      <c r="N60" s="32" t="inlineStr">
        <is>
          <t>UK20</t>
        </is>
      </c>
      <c r="O60" s="77" t="inlineStr">
        <is>
          <t>QS rank sourced from institution profile page (not ranking table); not re-verified in this review.</t>
        </is>
      </c>
    </row>
    <row r="61" ht="53" customHeight="1">
      <c r="A61" s="10" t="inlineStr">
        <is>
          <t>UK</t>
        </is>
      </c>
      <c r="B61" s="11" t="inlineStr">
        <is>
          <t>Birkbeck</t>
        </is>
      </c>
      <c r="C61" s="10" t="inlineStr">
        <is>
          <t>Additional UK sample</t>
        </is>
      </c>
      <c r="D61" s="80" t="n">
        <v>2027</v>
      </c>
      <c r="E61" s="80" t="n">
        <v>354</v>
      </c>
      <c r="F61" s="10" t="inlineStr">
        <is>
          <t>Yes</t>
        </is>
      </c>
      <c r="G61" s="10" t="inlineStr">
        <is>
          <t>https://www.topuniversities.com/universities/birkbeck-university-london</t>
        </is>
      </c>
      <c r="H61" s="10" t="inlineStr">
        <is>
          <t>10007760</t>
        </is>
      </c>
      <c r="I61" s="80">
        <f>COUNTIF('Legacy schemes (v3)'!$B$7:$B$158,B61)</f>
        <v/>
      </c>
      <c r="J61" s="80">
        <f>COUNTIFS('Legacy schemes (v3)'!$B$7:$B$158,B61,'Legacy schemes (v3)'!$C$7:$C$158,"University-wide")</f>
        <v/>
      </c>
      <c r="K61" s="80">
        <f>COUNTIFS('Legacy schemes (v3)'!$B$7:$B$158,B61,'Legacy schemes (v3)'!$C$7:$C$158,"Cross-faculty")+COUNTIFS('Legacy schemes (v3)'!$B$7:$B$158,B61,'Legacy schemes (v3)'!$C$7:$C$158,"Faculty/school")+COUNTIFS('Legacy schemes (v3)'!$B$7:$B$158,B61,'Legacy schemes (v3)'!$C$7:$C$158,"Programme/course")</f>
        <v/>
      </c>
      <c r="L61" s="80">
        <f>COUNTIFS('Legacy schemes (v3)'!$B$7:$B$158,B61,'Legacy schemes (v3)'!$C$7:$C$158,"Not confirmed")</f>
        <v/>
      </c>
      <c r="M61" s="10">
        <f>IF(J61&gt;0,"University-wide scheme/framework documented",IF(COUNTIFS('Legacy schemes (v3)'!$B$7:$B$158,B61,'Legacy schemes (v3)'!$C$7:$C$158,"Cross-faculty")&gt;0,"Cross-faculty; broader reach unverified",IF(COUNTIFS('Legacy schemes (v3)'!$B$7:$B$158,B61,'Legacy schemes (v3)'!$C$7:$C$158,"Faculty/school")&gt;0,"Faculty/school; broader reach unverified",IF(K61&gt;0,"Programme/course; broader reach unverified","Scheme documented; reach unconfirmed"))))</f>
        <v/>
      </c>
      <c r="N61" s="32" t="inlineStr">
        <is>
          <t>UK21</t>
        </is>
      </c>
      <c r="O61" s="77" t="inlineStr">
        <is>
          <t>QS rank sourced from institution profile page (not ranking table); not re-verified in this review.</t>
        </is>
      </c>
    </row>
    <row r="62" ht="53" customHeight="1">
      <c r="A62" s="10" t="inlineStr">
        <is>
          <t>UK</t>
        </is>
      </c>
      <c r="B62" s="11" t="inlineStr">
        <is>
          <t>Royal Holloway</t>
        </is>
      </c>
      <c r="C62" s="10" t="inlineStr">
        <is>
          <t>Additional UK sample</t>
        </is>
      </c>
      <c r="D62" s="80" t="n">
        <v>2027</v>
      </c>
      <c r="E62" s="80" t="n">
        <v>485</v>
      </c>
      <c r="F62" s="10" t="inlineStr">
        <is>
          <t>Yes</t>
        </is>
      </c>
      <c r="G62" s="10" t="inlineStr">
        <is>
          <t>https://www.topuniversities.com/universities/royal-holloway-university-london</t>
        </is>
      </c>
      <c r="H62" s="10" t="inlineStr">
        <is>
          <t>10005553</t>
        </is>
      </c>
      <c r="I62" s="80">
        <f>COUNTIF('Legacy schemes (v3)'!$B$7:$B$158,B62)</f>
        <v/>
      </c>
      <c r="J62" s="80">
        <f>COUNTIFS('Legacy schemes (v3)'!$B$7:$B$158,B62,'Legacy schemes (v3)'!$C$7:$C$158,"University-wide")</f>
        <v/>
      </c>
      <c r="K62" s="80">
        <f>COUNTIFS('Legacy schemes (v3)'!$B$7:$B$158,B62,'Legacy schemes (v3)'!$C$7:$C$158,"Cross-faculty")+COUNTIFS('Legacy schemes (v3)'!$B$7:$B$158,B62,'Legacy schemes (v3)'!$C$7:$C$158,"Faculty/school")+COUNTIFS('Legacy schemes (v3)'!$B$7:$B$158,B62,'Legacy schemes (v3)'!$C$7:$C$158,"Programme/course")</f>
        <v/>
      </c>
      <c r="L62" s="80">
        <f>COUNTIFS('Legacy schemes (v3)'!$B$7:$B$158,B62,'Legacy schemes (v3)'!$C$7:$C$158,"Not confirmed")</f>
        <v/>
      </c>
      <c r="M62" s="10">
        <f>IF(J62&gt;0,"University-wide scheme/framework documented",IF(COUNTIFS('Legacy schemes (v3)'!$B$7:$B$158,B62,'Legacy schemes (v3)'!$C$7:$C$158,"Cross-faculty")&gt;0,"Cross-faculty; broader reach unverified",IF(COUNTIFS('Legacy schemes (v3)'!$B$7:$B$158,B62,'Legacy schemes (v3)'!$C$7:$C$158,"Faculty/school")&gt;0,"Faculty/school; broader reach unverified",IF(K62&gt;0,"Programme/course; broader reach unverified","Scheme documented; reach unconfirmed"))))</f>
        <v/>
      </c>
      <c r="N62" s="32" t="inlineStr">
        <is>
          <t>UK22</t>
        </is>
      </c>
      <c r="O62" s="77" t="inlineStr">
        <is>
          <t>QS rank sourced from institution profile page (not ranking table); not re-verified in this review.</t>
        </is>
      </c>
    </row>
    <row r="63" ht="53" customHeight="1">
      <c r="A63" s="10" t="inlineStr">
        <is>
          <t>UK</t>
        </is>
      </c>
      <c r="B63" s="11" t="inlineStr">
        <is>
          <t>City St George’s</t>
        </is>
      </c>
      <c r="C63" s="10" t="inlineStr">
        <is>
          <t>Additional UK sample</t>
        </is>
      </c>
      <c r="D63" s="80" t="n">
        <v>2027</v>
      </c>
      <c r="E63" s="80" t="n">
        <v>361</v>
      </c>
      <c r="F63" s="10" t="inlineStr">
        <is>
          <t>Yes</t>
        </is>
      </c>
      <c r="G63" s="10" t="inlineStr">
        <is>
          <t>https://www.topuniversities.com/universities/city-st-georges-university-london</t>
        </is>
      </c>
      <c r="H63" s="10" t="inlineStr">
        <is>
          <t>10001478</t>
        </is>
      </c>
      <c r="I63" s="80">
        <f>COUNTIF('Legacy schemes (v3)'!$B$7:$B$158,B63)</f>
        <v/>
      </c>
      <c r="J63" s="80">
        <f>COUNTIFS('Legacy schemes (v3)'!$B$7:$B$158,B63,'Legacy schemes (v3)'!$C$7:$C$158,"University-wide")</f>
        <v/>
      </c>
      <c r="K63" s="80">
        <f>COUNTIFS('Legacy schemes (v3)'!$B$7:$B$158,B63,'Legacy schemes (v3)'!$C$7:$C$158,"Cross-faculty")+COUNTIFS('Legacy schemes (v3)'!$B$7:$B$158,B63,'Legacy schemes (v3)'!$C$7:$C$158,"Faculty/school")+COUNTIFS('Legacy schemes (v3)'!$B$7:$B$158,B63,'Legacy schemes (v3)'!$C$7:$C$158,"Programme/course")</f>
        <v/>
      </c>
      <c r="L63" s="80">
        <f>COUNTIFS('Legacy schemes (v3)'!$B$7:$B$158,B63,'Legacy schemes (v3)'!$C$7:$C$158,"Not confirmed")</f>
        <v/>
      </c>
      <c r="M63" s="10">
        <f>IF(J63&gt;0,"University-wide scheme/framework documented",IF(COUNTIFS('Legacy schemes (v3)'!$B$7:$B$158,B63,'Legacy schemes (v3)'!$C$7:$C$158,"Cross-faculty")&gt;0,"Cross-faculty; broader reach unverified",IF(COUNTIFS('Legacy schemes (v3)'!$B$7:$B$158,B63,'Legacy schemes (v3)'!$C$7:$C$158,"Faculty/school")&gt;0,"Faculty/school; broader reach unverified",IF(K63&gt;0,"Programme/course; broader reach unverified","Scheme documented; reach unconfirmed"))))</f>
        <v/>
      </c>
      <c r="N63" s="32" t="inlineStr">
        <is>
          <t>UK23</t>
        </is>
      </c>
      <c r="O63" s="77" t="inlineStr">
        <is>
          <t>Merged institution (City + St George's, 2024); evidence may be badged City or Bayes Business School.</t>
        </is>
      </c>
    </row>
    <row r="64" ht="53" customHeight="1">
      <c r="A64" s="10" t="inlineStr">
        <is>
          <t>UK</t>
        </is>
      </c>
      <c r="B64" s="11" t="inlineStr">
        <is>
          <t>Oxford Brookes</t>
        </is>
      </c>
      <c r="C64" s="10" t="inlineStr">
        <is>
          <t>Additional UK sample</t>
        </is>
      </c>
      <c r="D64" s="80" t="n">
        <v>2027</v>
      </c>
      <c r="E64" s="80" t="n">
        <v>411</v>
      </c>
      <c r="F64" s="10" t="inlineStr">
        <is>
          <t>Yes</t>
        </is>
      </c>
      <c r="G64" s="10" t="inlineStr">
        <is>
          <t>https://www.topuniversities.com/universities/oxford-brookes-university</t>
        </is>
      </c>
      <c r="H64" s="10" t="inlineStr">
        <is>
          <t>10004930</t>
        </is>
      </c>
      <c r="I64" s="80">
        <f>COUNTIF('Legacy schemes (v3)'!$B$7:$B$158,B64)</f>
        <v/>
      </c>
      <c r="J64" s="80">
        <f>COUNTIFS('Legacy schemes (v3)'!$B$7:$B$158,B64,'Legacy schemes (v3)'!$C$7:$C$158,"University-wide")</f>
        <v/>
      </c>
      <c r="K64" s="80">
        <f>COUNTIFS('Legacy schemes (v3)'!$B$7:$B$158,B64,'Legacy schemes (v3)'!$C$7:$C$158,"Cross-faculty")+COUNTIFS('Legacy schemes (v3)'!$B$7:$B$158,B64,'Legacy schemes (v3)'!$C$7:$C$158,"Faculty/school")+COUNTIFS('Legacy schemes (v3)'!$B$7:$B$158,B64,'Legacy schemes (v3)'!$C$7:$C$158,"Programme/course")</f>
        <v/>
      </c>
      <c r="L64" s="80">
        <f>COUNTIFS('Legacy schemes (v3)'!$B$7:$B$158,B64,'Legacy schemes (v3)'!$C$7:$C$158,"Not confirmed")</f>
        <v/>
      </c>
      <c r="M64" s="10">
        <f>IF(J64&gt;0,"University-wide scheme/framework documented",IF(COUNTIFS('Legacy schemes (v3)'!$B$7:$B$158,B64,'Legacy schemes (v3)'!$C$7:$C$158,"Cross-faculty")&gt;0,"Cross-faculty; broader reach unverified",IF(COUNTIFS('Legacy schemes (v3)'!$B$7:$B$158,B64,'Legacy schemes (v3)'!$C$7:$C$158,"Faculty/school")&gt;0,"Faculty/school; broader reach unverified",IF(K64&gt;0,"Programme/course; broader reach unverified","Scheme documented; reach unconfirmed"))))</f>
        <v/>
      </c>
      <c r="N64" s="32" t="inlineStr">
        <is>
          <t>UK24</t>
        </is>
      </c>
      <c r="O64" s="77" t="inlineStr">
        <is>
          <t>QS rank sourced from institution profile page (not ranking table); not re-verified in this review.</t>
        </is>
      </c>
    </row>
    <row r="65" ht="53" customHeight="1">
      <c r="A65" s="10" t="inlineStr">
        <is>
          <t>UK</t>
        </is>
      </c>
      <c r="B65" s="11" t="inlineStr">
        <is>
          <t>Northumbria</t>
        </is>
      </c>
      <c r="C65" s="10" t="inlineStr">
        <is>
          <t>Additional UK sample</t>
        </is>
      </c>
      <c r="D65" s="80" t="n">
        <v>2027</v>
      </c>
      <c r="E65" s="80" t="n">
        <v>528</v>
      </c>
      <c r="F65" s="10" t="inlineStr">
        <is>
          <t>Yes</t>
        </is>
      </c>
      <c r="G65" s="10" t="inlineStr">
        <is>
          <t>https://www.topuniversities.com/universities/northumbria-university-newcastle</t>
        </is>
      </c>
      <c r="H65" s="10" t="inlineStr">
        <is>
          <t>10001282</t>
        </is>
      </c>
      <c r="I65" s="80">
        <f>COUNTIF('Legacy schemes (v3)'!$B$7:$B$158,B65)</f>
        <v/>
      </c>
      <c r="J65" s="80">
        <f>COUNTIFS('Legacy schemes (v3)'!$B$7:$B$158,B65,'Legacy schemes (v3)'!$C$7:$C$158,"University-wide")</f>
        <v/>
      </c>
      <c r="K65" s="80">
        <f>COUNTIFS('Legacy schemes (v3)'!$B$7:$B$158,B65,'Legacy schemes (v3)'!$C$7:$C$158,"Cross-faculty")+COUNTIFS('Legacy schemes (v3)'!$B$7:$B$158,B65,'Legacy schemes (v3)'!$C$7:$C$158,"Faculty/school")+COUNTIFS('Legacy schemes (v3)'!$B$7:$B$158,B65,'Legacy schemes (v3)'!$C$7:$C$158,"Programme/course")</f>
        <v/>
      </c>
      <c r="L65" s="80">
        <f>COUNTIFS('Legacy schemes (v3)'!$B$7:$B$158,B65,'Legacy schemes (v3)'!$C$7:$C$158,"Not confirmed")</f>
        <v/>
      </c>
      <c r="M65" s="10">
        <f>IF(J65&gt;0,"University-wide scheme/framework documented",IF(COUNTIFS('Legacy schemes (v3)'!$B$7:$B$158,B65,'Legacy schemes (v3)'!$C$7:$C$158,"Cross-faculty")&gt;0,"Cross-faculty; broader reach unverified",IF(COUNTIFS('Legacy schemes (v3)'!$B$7:$B$158,B65,'Legacy schemes (v3)'!$C$7:$C$158,"Faculty/school")&gt;0,"Faculty/school; broader reach unverified",IF(K65&gt;0,"Programme/course; broader reach unverified","Scheme documented; reach unconfirmed"))))</f>
        <v/>
      </c>
      <c r="N65" s="32" t="inlineStr">
        <is>
          <t>UK25</t>
        </is>
      </c>
      <c r="O65" s="77" t="inlineStr">
        <is>
          <t>QS rank sourced from institution profile page (not ranking table); not re-verified in this review.</t>
        </is>
      </c>
    </row>
    <row r="66" ht="53" customHeight="1">
      <c r="A66" s="10" t="inlineStr">
        <is>
          <t>UK</t>
        </is>
      </c>
      <c r="B66" s="11" t="inlineStr">
        <is>
          <t>Portsmouth</t>
        </is>
      </c>
      <c r="C66" s="10" t="inlineStr">
        <is>
          <t>Additional UK sample</t>
        </is>
      </c>
      <c r="D66" s="80" t="n">
        <v>2027</v>
      </c>
      <c r="E66" s="80" t="n">
        <v>662</v>
      </c>
      <c r="F66" s="10" t="inlineStr">
        <is>
          <t>Yes</t>
        </is>
      </c>
      <c r="G66" s="10" t="inlineStr">
        <is>
          <t>https://www.topuniversities.com/universities/university-portsmouth</t>
        </is>
      </c>
      <c r="H66" s="10" t="inlineStr">
        <is>
          <t>10007155</t>
        </is>
      </c>
      <c r="I66" s="80">
        <f>COUNTIF('Legacy schemes (v3)'!$B$7:$B$158,B66)</f>
        <v/>
      </c>
      <c r="J66" s="80">
        <f>COUNTIFS('Legacy schemes (v3)'!$B$7:$B$158,B66,'Legacy schemes (v3)'!$C$7:$C$158,"University-wide")</f>
        <v/>
      </c>
      <c r="K66" s="80">
        <f>COUNTIFS('Legacy schemes (v3)'!$B$7:$B$158,B66,'Legacy schemes (v3)'!$C$7:$C$158,"Cross-faculty")+COUNTIFS('Legacy schemes (v3)'!$B$7:$B$158,B66,'Legacy schemes (v3)'!$C$7:$C$158,"Faculty/school")+COUNTIFS('Legacy schemes (v3)'!$B$7:$B$158,B66,'Legacy schemes (v3)'!$C$7:$C$158,"Programme/course")</f>
        <v/>
      </c>
      <c r="L66" s="80">
        <f>COUNTIFS('Legacy schemes (v3)'!$B$7:$B$158,B66,'Legacy schemes (v3)'!$C$7:$C$158,"Not confirmed")</f>
        <v/>
      </c>
      <c r="M66" s="10">
        <f>IF(J66&gt;0,"University-wide scheme/framework documented",IF(COUNTIFS('Legacy schemes (v3)'!$B$7:$B$158,B66,'Legacy schemes (v3)'!$C$7:$C$158,"Cross-faculty")&gt;0,"Cross-faculty; broader reach unverified",IF(COUNTIFS('Legacy schemes (v3)'!$B$7:$B$158,B66,'Legacy schemes (v3)'!$C$7:$C$158,"Faculty/school")&gt;0,"Faculty/school; broader reach unverified",IF(K66&gt;0,"Programme/course; broader reach unverified","Scheme documented; reach unconfirmed"))))</f>
        <v/>
      </c>
      <c r="N66" s="32" t="inlineStr">
        <is>
          <t>UK26</t>
        </is>
      </c>
      <c r="O66" s="77" t="inlineStr">
        <is>
          <t>QS rank sourced from institution profile page (not ranking table); not re-verified in this review.</t>
        </is>
      </c>
    </row>
    <row r="67" ht="53" customHeight="1">
      <c r="A67" s="10" t="inlineStr">
        <is>
          <t>UK</t>
        </is>
      </c>
      <c r="B67" s="11" t="inlineStr">
        <is>
          <t>Coventry</t>
        </is>
      </c>
      <c r="C67" s="10" t="inlineStr">
        <is>
          <t>Additional UK sample</t>
        </is>
      </c>
      <c r="D67" s="80" t="n">
        <v>2027</v>
      </c>
      <c r="E67" s="80" t="n">
        <v>581</v>
      </c>
      <c r="F67" s="10" t="inlineStr">
        <is>
          <t>Yes</t>
        </is>
      </c>
      <c r="G67" s="10" t="inlineStr">
        <is>
          <t>https://www.topuniversities.com/universities/coventry-university</t>
        </is>
      </c>
      <c r="H67" s="10" t="inlineStr">
        <is>
          <t>10001726</t>
        </is>
      </c>
      <c r="I67" s="80">
        <f>COUNTIF('Legacy schemes (v3)'!$B$7:$B$158,B67)</f>
        <v/>
      </c>
      <c r="J67" s="80">
        <f>COUNTIFS('Legacy schemes (v3)'!$B$7:$B$158,B67,'Legacy schemes (v3)'!$C$7:$C$158,"University-wide")</f>
        <v/>
      </c>
      <c r="K67" s="80">
        <f>COUNTIFS('Legacy schemes (v3)'!$B$7:$B$158,B67,'Legacy schemes (v3)'!$C$7:$C$158,"Cross-faculty")+COUNTIFS('Legacy schemes (v3)'!$B$7:$B$158,B67,'Legacy schemes (v3)'!$C$7:$C$158,"Faculty/school")+COUNTIFS('Legacy schemes (v3)'!$B$7:$B$158,B67,'Legacy schemes (v3)'!$C$7:$C$158,"Programme/course")</f>
        <v/>
      </c>
      <c r="L67" s="80">
        <f>COUNTIFS('Legacy schemes (v3)'!$B$7:$B$158,B67,'Legacy schemes (v3)'!$C$7:$C$158,"Not confirmed")</f>
        <v/>
      </c>
      <c r="M67" s="10">
        <f>IF(J67&gt;0,"University-wide scheme/framework documented",IF(COUNTIFS('Legacy schemes (v3)'!$B$7:$B$158,B67,'Legacy schemes (v3)'!$C$7:$C$158,"Cross-faculty")&gt;0,"Cross-faculty; broader reach unverified",IF(COUNTIFS('Legacy schemes (v3)'!$B$7:$B$158,B67,'Legacy schemes (v3)'!$C$7:$C$158,"Faculty/school")&gt;0,"Faculty/school; broader reach unverified",IF(K67&gt;0,"Programme/course; broader reach unverified","Scheme documented; reach unconfirmed"))))</f>
        <v/>
      </c>
      <c r="N67" s="32" t="inlineStr">
        <is>
          <t>UK27</t>
        </is>
      </c>
      <c r="O67" s="77" t="inlineStr">
        <is>
          <t>QS rank sourced from institution profile page (not ranking table); not re-verified in this review.</t>
        </is>
      </c>
    </row>
    <row r="68" ht="53" customHeight="1">
      <c r="A68" s="10" t="inlineStr">
        <is>
          <t>UK</t>
        </is>
      </c>
      <c r="B68" s="11" t="inlineStr">
        <is>
          <t>Nottingham Trent</t>
        </is>
      </c>
      <c r="C68" s="10" t="inlineStr">
        <is>
          <t>Additional UK sample</t>
        </is>
      </c>
      <c r="D68" s="80" t="n">
        <v>2027</v>
      </c>
      <c r="E68" s="80" t="n">
        <v>639</v>
      </c>
      <c r="F68" s="10" t="inlineStr">
        <is>
          <t>Yes</t>
        </is>
      </c>
      <c r="G68" s="10" t="inlineStr">
        <is>
          <t>https://www.topuniversities.com/universities/nottingham-trent-university</t>
        </is>
      </c>
      <c r="H68" s="10" t="inlineStr">
        <is>
          <t>10004797</t>
        </is>
      </c>
      <c r="I68" s="80">
        <f>COUNTIF('Legacy schemes (v3)'!$B$7:$B$158,B68)</f>
        <v/>
      </c>
      <c r="J68" s="80">
        <f>COUNTIFS('Legacy schemes (v3)'!$B$7:$B$158,B68,'Legacy schemes (v3)'!$C$7:$C$158,"University-wide")</f>
        <v/>
      </c>
      <c r="K68" s="80">
        <f>COUNTIFS('Legacy schemes (v3)'!$B$7:$B$158,B68,'Legacy schemes (v3)'!$C$7:$C$158,"Cross-faculty")+COUNTIFS('Legacy schemes (v3)'!$B$7:$B$158,B68,'Legacy schemes (v3)'!$C$7:$C$158,"Faculty/school")+COUNTIFS('Legacy schemes (v3)'!$B$7:$B$158,B68,'Legacy schemes (v3)'!$C$7:$C$158,"Programme/course")</f>
        <v/>
      </c>
      <c r="L68" s="80">
        <f>COUNTIFS('Legacy schemes (v3)'!$B$7:$B$158,B68,'Legacy schemes (v3)'!$C$7:$C$158,"Not confirmed")</f>
        <v/>
      </c>
      <c r="M68" s="10">
        <f>IF(J68&gt;0,"University-wide scheme/framework documented",IF(COUNTIFS('Legacy schemes (v3)'!$B$7:$B$158,B68,'Legacy schemes (v3)'!$C$7:$C$158,"Cross-faculty")&gt;0,"Cross-faculty; broader reach unverified",IF(COUNTIFS('Legacy schemes (v3)'!$B$7:$B$158,B68,'Legacy schemes (v3)'!$C$7:$C$158,"Faculty/school")&gt;0,"Faculty/school; broader reach unverified",IF(K68&gt;0,"Programme/course; broader reach unverified","Scheme documented; reach unconfirmed"))))</f>
        <v/>
      </c>
      <c r="N68" s="32" t="inlineStr">
        <is>
          <t>UK28</t>
        </is>
      </c>
      <c r="O68" s="77" t="inlineStr">
        <is>
          <t>QS rank sourced from institution profile page (not ranking table); not re-verified in this review.</t>
        </is>
      </c>
    </row>
    <row r="69" ht="53" customHeight="1">
      <c r="A69" s="10" t="inlineStr">
        <is>
          <t>UK</t>
        </is>
      </c>
      <c r="B69" s="11" t="inlineStr">
        <is>
          <t>Manchester Metropolitan</t>
        </is>
      </c>
      <c r="C69" s="10" t="inlineStr">
        <is>
          <t>Additional UK sample</t>
        </is>
      </c>
      <c r="D69" s="80" t="n">
        <v>2027</v>
      </c>
      <c r="E69" s="80" t="n">
        <v>600</v>
      </c>
      <c r="F69" s="10" t="inlineStr">
        <is>
          <t>Yes</t>
        </is>
      </c>
      <c r="G69" s="10" t="inlineStr">
        <is>
          <t>https://www.topuniversities.com/universities/manchester-metropolitan-university</t>
        </is>
      </c>
      <c r="H69" s="10" t="inlineStr">
        <is>
          <t>10004180</t>
        </is>
      </c>
      <c r="I69" s="80">
        <f>COUNTIF('Legacy schemes (v3)'!$B$7:$B$158,B69)</f>
        <v/>
      </c>
      <c r="J69" s="80">
        <f>COUNTIFS('Legacy schemes (v3)'!$B$7:$B$158,B69,'Legacy schemes (v3)'!$C$7:$C$158,"University-wide")</f>
        <v/>
      </c>
      <c r="K69" s="80">
        <f>COUNTIFS('Legacy schemes (v3)'!$B$7:$B$158,B69,'Legacy schemes (v3)'!$C$7:$C$158,"Cross-faculty")+COUNTIFS('Legacy schemes (v3)'!$B$7:$B$158,B69,'Legacy schemes (v3)'!$C$7:$C$158,"Faculty/school")+COUNTIFS('Legacy schemes (v3)'!$B$7:$B$158,B69,'Legacy schemes (v3)'!$C$7:$C$158,"Programme/course")</f>
        <v/>
      </c>
      <c r="L69" s="80">
        <f>COUNTIFS('Legacy schemes (v3)'!$B$7:$B$158,B69,'Legacy schemes (v3)'!$C$7:$C$158,"Not confirmed")</f>
        <v/>
      </c>
      <c r="M69" s="10">
        <f>IF(J69&gt;0,"University-wide scheme/framework documented",IF(COUNTIFS('Legacy schemes (v3)'!$B$7:$B$158,B69,'Legacy schemes (v3)'!$C$7:$C$158,"Cross-faculty")&gt;0,"Cross-faculty; broader reach unverified",IF(COUNTIFS('Legacy schemes (v3)'!$B$7:$B$158,B69,'Legacy schemes (v3)'!$C$7:$C$158,"Faculty/school")&gt;0,"Faculty/school; broader reach unverified",IF(K69&gt;0,"Programme/course; broader reach unverified","Scheme documented; reach unconfirmed"))))</f>
        <v/>
      </c>
      <c r="N69" s="32" t="inlineStr">
        <is>
          <t>UK29</t>
        </is>
      </c>
      <c r="O69" s="77" t="inlineStr">
        <is>
          <t>QS rank sourced from institution profile page (not ranking table); not re-verified in this review.</t>
        </is>
      </c>
    </row>
    <row r="70" ht="53" customHeight="1">
      <c r="A70" s="10" t="inlineStr">
        <is>
          <t>UK</t>
        </is>
      </c>
      <c r="B70" s="11" t="inlineStr">
        <is>
          <t>Plymouth</t>
        </is>
      </c>
      <c r="C70" s="10" t="inlineStr">
        <is>
          <t>Additional UK sample</t>
        </is>
      </c>
      <c r="D70" s="80" t="n">
        <v>2027</v>
      </c>
      <c r="E70" s="80" t="n">
        <v>691</v>
      </c>
      <c r="F70" s="10" t="inlineStr">
        <is>
          <t>Yes</t>
        </is>
      </c>
      <c r="G70" s="10" t="inlineStr">
        <is>
          <t>https://www.topuniversities.com/universities/university-plymouth</t>
        </is>
      </c>
      <c r="H70" s="10" t="inlineStr">
        <is>
          <t>10007801</t>
        </is>
      </c>
      <c r="I70" s="80">
        <f>COUNTIF('Legacy schemes (v3)'!$B$7:$B$158,B70)</f>
        <v/>
      </c>
      <c r="J70" s="80">
        <f>COUNTIFS('Legacy schemes (v3)'!$B$7:$B$158,B70,'Legacy schemes (v3)'!$C$7:$C$158,"University-wide")</f>
        <v/>
      </c>
      <c r="K70" s="80">
        <f>COUNTIFS('Legacy schemes (v3)'!$B$7:$B$158,B70,'Legacy schemes (v3)'!$C$7:$C$158,"Cross-faculty")+COUNTIFS('Legacy schemes (v3)'!$B$7:$B$158,B70,'Legacy schemes (v3)'!$C$7:$C$158,"Faculty/school")+COUNTIFS('Legacy schemes (v3)'!$B$7:$B$158,B70,'Legacy schemes (v3)'!$C$7:$C$158,"Programme/course")</f>
        <v/>
      </c>
      <c r="L70" s="80">
        <f>COUNTIFS('Legacy schemes (v3)'!$B$7:$B$158,B70,'Legacy schemes (v3)'!$C$7:$C$158,"Not confirmed")</f>
        <v/>
      </c>
      <c r="M70" s="10">
        <f>IF(J70&gt;0,"University-wide scheme/framework documented",IF(COUNTIFS('Legacy schemes (v3)'!$B$7:$B$158,B70,'Legacy schemes (v3)'!$C$7:$C$158,"Cross-faculty")&gt;0,"Cross-faculty; broader reach unverified",IF(COUNTIFS('Legacy schemes (v3)'!$B$7:$B$158,B70,'Legacy schemes (v3)'!$C$7:$C$158,"Faculty/school")&gt;0,"Faculty/school; broader reach unverified",IF(K70&gt;0,"Programme/course; broader reach unverified","Scheme documented; reach unconfirmed"))))</f>
        <v/>
      </c>
      <c r="N70" s="32" t="inlineStr">
        <is>
          <t>UK30</t>
        </is>
      </c>
      <c r="O70" s="77" t="inlineStr">
        <is>
          <t>QS rank sourced from institution profile page (not ranking table); not re-verified in this review.</t>
        </is>
      </c>
    </row>
    <row r="71" ht="53" customHeight="1">
      <c r="A71" s="10" t="inlineStr">
        <is>
          <t>US</t>
        </is>
      </c>
      <c r="B71" s="11" t="inlineStr">
        <is>
          <t>Massachusetts Institute of Technology</t>
        </is>
      </c>
      <c r="C71" s="10" t="inlineStr">
        <is>
          <t>US sample</t>
        </is>
      </c>
      <c r="D71" s="80" t="n">
        <v>2027</v>
      </c>
      <c r="E71" s="80" t="n">
        <v>1</v>
      </c>
      <c r="F71" s="10" t="inlineStr">
        <is>
          <t>No</t>
        </is>
      </c>
      <c r="G71" s="10" t="inlineStr">
        <is>
          <t>https://www.topuniversities.com/qs-top-uni-wur</t>
        </is>
      </c>
      <c r="H71" s="10" t="inlineStr">
        <is>
          <t>n.a.</t>
        </is>
      </c>
      <c r="I71" s="80">
        <f>COUNTIF('Legacy schemes (v3)'!$B$7:$B$158,B71)</f>
        <v/>
      </c>
      <c r="J71" s="80">
        <f>COUNTIFS('Legacy schemes (v3)'!$B$7:$B$158,B71,'Legacy schemes (v3)'!$C$7:$C$158,"University-wide")</f>
        <v/>
      </c>
      <c r="K71" s="80">
        <f>COUNTIFS('Legacy schemes (v3)'!$B$7:$B$158,B71,'Legacy schemes (v3)'!$C$7:$C$158,"Cross-faculty")+COUNTIFS('Legacy schemes (v3)'!$B$7:$B$158,B71,'Legacy schemes (v3)'!$C$7:$C$158,"Faculty/school")+COUNTIFS('Legacy schemes (v3)'!$B$7:$B$158,B71,'Legacy schemes (v3)'!$C$7:$C$158,"Programme/course")</f>
        <v/>
      </c>
      <c r="L71" s="80">
        <f>COUNTIFS('Legacy schemes (v3)'!$B$7:$B$158,B71,'Legacy schemes (v3)'!$C$7:$C$158,"Not confirmed")</f>
        <v/>
      </c>
      <c r="M71" s="10">
        <f>IF(J71&gt;0,"University-wide scheme/framework documented",IF(COUNTIFS('Legacy schemes (v3)'!$B$7:$B$158,B71,'Legacy schemes (v3)'!$C$7:$C$158,"Cross-faculty")&gt;0,"Cross-faculty; broader reach unverified",IF(COUNTIFS('Legacy schemes (v3)'!$B$7:$B$158,B71,'Legacy schemes (v3)'!$C$7:$C$158,"Faculty/school")&gt;0,"Faculty/school; broader reach unverified",IF(K71&gt;0,"Programme/course; broader reach unverified","Scheme documented; reach unconfirmed"))))</f>
        <v/>
      </c>
      <c r="N71" s="32" t="inlineStr">
        <is>
          <t>US01</t>
        </is>
      </c>
      <c r="O71" s="77" t="inlineStr"/>
    </row>
    <row r="72" ht="53" customHeight="1">
      <c r="A72" s="10" t="inlineStr">
        <is>
          <t>US</t>
        </is>
      </c>
      <c r="B72" s="11" t="inlineStr">
        <is>
          <t>Harvard</t>
        </is>
      </c>
      <c r="C72" s="10" t="inlineStr">
        <is>
          <t>US sample</t>
        </is>
      </c>
      <c r="D72" s="80" t="n">
        <v>2027</v>
      </c>
      <c r="E72" s="80" t="n">
        <v>5</v>
      </c>
      <c r="F72" s="10" t="inlineStr">
        <is>
          <t>No</t>
        </is>
      </c>
      <c r="G72" s="10" t="inlineStr">
        <is>
          <t>https://www.topuniversities.com/qs-top-uni-wur</t>
        </is>
      </c>
      <c r="H72" s="10" t="inlineStr">
        <is>
          <t>n.a.</t>
        </is>
      </c>
      <c r="I72" s="80">
        <f>COUNTIF('Legacy schemes (v3)'!$B$7:$B$158,B72)</f>
        <v/>
      </c>
      <c r="J72" s="80">
        <f>COUNTIFS('Legacy schemes (v3)'!$B$7:$B$158,B72,'Legacy schemes (v3)'!$C$7:$C$158,"University-wide")</f>
        <v/>
      </c>
      <c r="K72" s="80">
        <f>COUNTIFS('Legacy schemes (v3)'!$B$7:$B$158,B72,'Legacy schemes (v3)'!$C$7:$C$158,"Cross-faculty")+COUNTIFS('Legacy schemes (v3)'!$B$7:$B$158,B72,'Legacy schemes (v3)'!$C$7:$C$158,"Faculty/school")+COUNTIFS('Legacy schemes (v3)'!$B$7:$B$158,B72,'Legacy schemes (v3)'!$C$7:$C$158,"Programme/course")</f>
        <v/>
      </c>
      <c r="L72" s="80">
        <f>COUNTIFS('Legacy schemes (v3)'!$B$7:$B$158,B72,'Legacy schemes (v3)'!$C$7:$C$158,"Not confirmed")</f>
        <v/>
      </c>
      <c r="M72" s="10">
        <f>IF(J72&gt;0,"University-wide scheme/framework documented",IF(COUNTIFS('Legacy schemes (v3)'!$B$7:$B$158,B72,'Legacy schemes (v3)'!$C$7:$C$158,"Cross-faculty")&gt;0,"Cross-faculty; broader reach unverified",IF(COUNTIFS('Legacy schemes (v3)'!$B$7:$B$158,B72,'Legacy schemes (v3)'!$C$7:$C$158,"Faculty/school")&gt;0,"Faculty/school; broader reach unverified",IF(K72&gt;0,"Programme/course; broader reach unverified","Scheme documented; reach unconfirmed"))))</f>
        <v/>
      </c>
      <c r="N72" s="32" t="inlineStr">
        <is>
          <t>US02</t>
        </is>
      </c>
      <c r="O72" s="77" t="inlineStr"/>
    </row>
    <row r="73" ht="53" customHeight="1">
      <c r="A73" s="10" t="inlineStr">
        <is>
          <t>US</t>
        </is>
      </c>
      <c r="B73" s="11" t="inlineStr">
        <is>
          <t>Stanford</t>
        </is>
      </c>
      <c r="C73" s="10" t="inlineStr">
        <is>
          <t>US sample</t>
        </is>
      </c>
      <c r="D73" s="80" t="n">
        <v>2027</v>
      </c>
      <c r="E73" s="80" t="n">
        <v>2</v>
      </c>
      <c r="F73" s="10" t="inlineStr">
        <is>
          <t>Yes</t>
        </is>
      </c>
      <c r="G73" s="10" t="inlineStr">
        <is>
          <t>https://www.topuniversities.com/qs-top-uni-wur</t>
        </is>
      </c>
      <c r="H73" s="10" t="inlineStr">
        <is>
          <t>n.a.</t>
        </is>
      </c>
      <c r="I73" s="80">
        <f>COUNTIF('Legacy schemes (v3)'!$B$7:$B$158,B73)</f>
        <v/>
      </c>
      <c r="J73" s="80">
        <f>COUNTIFS('Legacy schemes (v3)'!$B$7:$B$158,B73,'Legacy schemes (v3)'!$C$7:$C$158,"University-wide")</f>
        <v/>
      </c>
      <c r="K73" s="80">
        <f>COUNTIFS('Legacy schemes (v3)'!$B$7:$B$158,B73,'Legacy schemes (v3)'!$C$7:$C$158,"Cross-faculty")+COUNTIFS('Legacy schemes (v3)'!$B$7:$B$158,B73,'Legacy schemes (v3)'!$C$7:$C$158,"Faculty/school")+COUNTIFS('Legacy schemes (v3)'!$B$7:$B$158,B73,'Legacy schemes (v3)'!$C$7:$C$158,"Programme/course")</f>
        <v/>
      </c>
      <c r="L73" s="80">
        <f>COUNTIFS('Legacy schemes (v3)'!$B$7:$B$158,B73,'Legacy schemes (v3)'!$C$7:$C$158,"Not confirmed")</f>
        <v/>
      </c>
      <c r="M73" s="10">
        <f>IF(J73&gt;0,"University-wide scheme/framework documented",IF(COUNTIFS('Legacy schemes (v3)'!$B$7:$B$158,B73,'Legacy schemes (v3)'!$C$7:$C$158,"Cross-faculty")&gt;0,"Cross-faculty; broader reach unverified",IF(COUNTIFS('Legacy schemes (v3)'!$B$7:$B$158,B73,'Legacy schemes (v3)'!$C$7:$C$158,"Faculty/school")&gt;0,"Faculty/school; broader reach unverified",IF(K73&gt;0,"Programme/course; broader reach unverified","Scheme documented; reach unconfirmed"))))</f>
        <v/>
      </c>
      <c r="N73" s="32" t="inlineStr">
        <is>
          <t>US03</t>
        </is>
      </c>
      <c r="O73" s="77" t="inlineStr"/>
    </row>
    <row r="74" ht="53" customHeight="1">
      <c r="A74" s="10" t="inlineStr">
        <is>
          <t>US</t>
        </is>
      </c>
      <c r="B74" s="11" t="inlineStr">
        <is>
          <t>California Institute of Technology</t>
        </is>
      </c>
      <c r="C74" s="10" t="inlineStr">
        <is>
          <t>US sample</t>
        </is>
      </c>
      <c r="D74" s="80" t="n">
        <v>2027</v>
      </c>
      <c r="E74" s="80" t="n">
        <v>7</v>
      </c>
      <c r="F74" s="10" t="inlineStr">
        <is>
          <t>No</t>
        </is>
      </c>
      <c r="G74" s="10" t="inlineStr">
        <is>
          <t>https://www.topuniversities.com/qs-top-uni-wur</t>
        </is>
      </c>
      <c r="H74" s="10" t="inlineStr">
        <is>
          <t>n.a.</t>
        </is>
      </c>
      <c r="I74" s="80">
        <f>COUNTIF('Legacy schemes (v3)'!$B$7:$B$158,B74)</f>
        <v/>
      </c>
      <c r="J74" s="80">
        <f>COUNTIFS('Legacy schemes (v3)'!$B$7:$B$158,B74,'Legacy schemes (v3)'!$C$7:$C$158,"University-wide")</f>
        <v/>
      </c>
      <c r="K74" s="80">
        <f>COUNTIFS('Legacy schemes (v3)'!$B$7:$B$158,B74,'Legacy schemes (v3)'!$C$7:$C$158,"Cross-faculty")+COUNTIFS('Legacy schemes (v3)'!$B$7:$B$158,B74,'Legacy schemes (v3)'!$C$7:$C$158,"Faculty/school")+COUNTIFS('Legacy schemes (v3)'!$B$7:$B$158,B74,'Legacy schemes (v3)'!$C$7:$C$158,"Programme/course")</f>
        <v/>
      </c>
      <c r="L74" s="80">
        <f>COUNTIFS('Legacy schemes (v3)'!$B$7:$B$158,B74,'Legacy schemes (v3)'!$C$7:$C$158,"Not confirmed")</f>
        <v/>
      </c>
      <c r="M74" s="10">
        <f>IF(J74&gt;0,"University-wide scheme/framework documented",IF(COUNTIFS('Legacy schemes (v3)'!$B$7:$B$158,B74,'Legacy schemes (v3)'!$C$7:$C$158,"Cross-faculty")&gt;0,"Cross-faculty; broader reach unverified",IF(COUNTIFS('Legacy schemes (v3)'!$B$7:$B$158,B74,'Legacy schemes (v3)'!$C$7:$C$158,"Faculty/school")&gt;0,"Faculty/school; broader reach unverified",IF(K74&gt;0,"Programme/course; broader reach unverified","Scheme documented; reach unconfirmed"))))</f>
        <v/>
      </c>
      <c r="N74" s="32" t="inlineStr">
        <is>
          <t>US04</t>
        </is>
      </c>
      <c r="O74" s="77" t="inlineStr"/>
    </row>
    <row r="75" ht="53" customHeight="1">
      <c r="A75" s="10" t="inlineStr">
        <is>
          <t>US</t>
        </is>
      </c>
      <c r="B75" s="11" t="inlineStr">
        <is>
          <t>California Berkeley</t>
        </is>
      </c>
      <c r="C75" s="10" t="inlineStr">
        <is>
          <t>US sample</t>
        </is>
      </c>
      <c r="D75" s="80" t="n">
        <v>2027</v>
      </c>
      <c r="E75" s="80" t="n">
        <v>20</v>
      </c>
      <c r="F75" s="10" t="inlineStr">
        <is>
          <t>Yes</t>
        </is>
      </c>
      <c r="G75" s="10" t="inlineStr">
        <is>
          <t>https://www.topuniversities.com/qs-top-uni-wur</t>
        </is>
      </c>
      <c r="H75" s="10" t="inlineStr">
        <is>
          <t>n.a.</t>
        </is>
      </c>
      <c r="I75" s="80">
        <f>COUNTIF('Legacy schemes (v3)'!$B$7:$B$158,B75)</f>
        <v/>
      </c>
      <c r="J75" s="80">
        <f>COUNTIFS('Legacy schemes (v3)'!$B$7:$B$158,B75,'Legacy schemes (v3)'!$C$7:$C$158,"University-wide")</f>
        <v/>
      </c>
      <c r="K75" s="80">
        <f>COUNTIFS('Legacy schemes (v3)'!$B$7:$B$158,B75,'Legacy schemes (v3)'!$C$7:$C$158,"Cross-faculty")+COUNTIFS('Legacy schemes (v3)'!$B$7:$B$158,B75,'Legacy schemes (v3)'!$C$7:$C$158,"Faculty/school")+COUNTIFS('Legacy schemes (v3)'!$B$7:$B$158,B75,'Legacy schemes (v3)'!$C$7:$C$158,"Programme/course")</f>
        <v/>
      </c>
      <c r="L75" s="80">
        <f>COUNTIFS('Legacy schemes (v3)'!$B$7:$B$158,B75,'Legacy schemes (v3)'!$C$7:$C$158,"Not confirmed")</f>
        <v/>
      </c>
      <c r="M75" s="10">
        <f>IF(J75&gt;0,"University-wide scheme/framework documented",IF(COUNTIFS('Legacy schemes (v3)'!$B$7:$B$158,B75,'Legacy schemes (v3)'!$C$7:$C$158,"Cross-faculty")&gt;0,"Cross-faculty; broader reach unverified",IF(COUNTIFS('Legacy schemes (v3)'!$B$7:$B$158,B75,'Legacy schemes (v3)'!$C$7:$C$158,"Faculty/school")&gt;0,"Faculty/school; broader reach unverified",IF(K75&gt;0,"Programme/course; broader reach unverified","Scheme documented; reach unconfirmed"))))</f>
        <v/>
      </c>
      <c r="N75" s="32" t="inlineStr">
        <is>
          <t>US05</t>
        </is>
      </c>
      <c r="O75" s="77" t="inlineStr"/>
    </row>
    <row r="76" ht="53" customHeight="1">
      <c r="A76" s="10" t="inlineStr">
        <is>
          <t>US</t>
        </is>
      </c>
      <c r="B76" s="11" t="inlineStr">
        <is>
          <t>Chicago</t>
        </is>
      </c>
      <c r="C76" s="10" t="inlineStr">
        <is>
          <t>US sample</t>
        </is>
      </c>
      <c r="D76" s="80" t="n">
        <v>2027</v>
      </c>
      <c r="E76" s="80" t="n">
        <v>24</v>
      </c>
      <c r="F76" s="10" t="inlineStr">
        <is>
          <t>No</t>
        </is>
      </c>
      <c r="G76" s="10" t="inlineStr">
        <is>
          <t>https://www.topuniversities.com/qs-top-uni-wur</t>
        </is>
      </c>
      <c r="H76" s="10" t="inlineStr">
        <is>
          <t>n.a.</t>
        </is>
      </c>
      <c r="I76" s="80">
        <f>COUNTIF('Legacy schemes (v3)'!$B$7:$B$158,B76)</f>
        <v/>
      </c>
      <c r="J76" s="80">
        <f>COUNTIFS('Legacy schemes (v3)'!$B$7:$B$158,B76,'Legacy schemes (v3)'!$C$7:$C$158,"University-wide")</f>
        <v/>
      </c>
      <c r="K76" s="80">
        <f>COUNTIFS('Legacy schemes (v3)'!$B$7:$B$158,B76,'Legacy schemes (v3)'!$C$7:$C$158,"Cross-faculty")+COUNTIFS('Legacy schemes (v3)'!$B$7:$B$158,B76,'Legacy schemes (v3)'!$C$7:$C$158,"Faculty/school")+COUNTIFS('Legacy schemes (v3)'!$B$7:$B$158,B76,'Legacy schemes (v3)'!$C$7:$C$158,"Programme/course")</f>
        <v/>
      </c>
      <c r="L76" s="80">
        <f>COUNTIFS('Legacy schemes (v3)'!$B$7:$B$158,B76,'Legacy schemes (v3)'!$C$7:$C$158,"Not confirmed")</f>
        <v/>
      </c>
      <c r="M76" s="10">
        <f>IF(J76&gt;0,"University-wide scheme/framework documented",IF(COUNTIFS('Legacy schemes (v3)'!$B$7:$B$158,B76,'Legacy schemes (v3)'!$C$7:$C$158,"Cross-faculty")&gt;0,"Cross-faculty; broader reach unverified",IF(COUNTIFS('Legacy schemes (v3)'!$B$7:$B$158,B76,'Legacy schemes (v3)'!$C$7:$C$158,"Faculty/school")&gt;0,"Faculty/school; broader reach unverified",IF(K76&gt;0,"Programme/course; broader reach unverified","Scheme documented; reach unconfirmed"))))</f>
        <v/>
      </c>
      <c r="N76" s="32" t="inlineStr">
        <is>
          <t>US06</t>
        </is>
      </c>
      <c r="O76" s="77" t="inlineStr"/>
    </row>
    <row r="77" ht="53" customHeight="1">
      <c r="A77" s="10" t="inlineStr">
        <is>
          <t>US</t>
        </is>
      </c>
      <c r="B77" s="11" t="inlineStr">
        <is>
          <t>Pennsylvania</t>
        </is>
      </c>
      <c r="C77" s="10" t="inlineStr">
        <is>
          <t>US sample</t>
        </is>
      </c>
      <c r="D77" s="80" t="n">
        <v>2027</v>
      </c>
      <c r="E77" s="80" t="n">
        <v>15</v>
      </c>
      <c r="F77" s="10" t="inlineStr">
        <is>
          <t>No</t>
        </is>
      </c>
      <c r="G77" s="10" t="inlineStr">
        <is>
          <t>https://www.topuniversities.com/qs-top-uni-wur</t>
        </is>
      </c>
      <c r="H77" s="10" t="inlineStr">
        <is>
          <t>n.a.</t>
        </is>
      </c>
      <c r="I77" s="80">
        <f>COUNTIF('Legacy schemes (v3)'!$B$7:$B$158,B77)</f>
        <v/>
      </c>
      <c r="J77" s="80">
        <f>COUNTIFS('Legacy schemes (v3)'!$B$7:$B$158,B77,'Legacy schemes (v3)'!$C$7:$C$158,"University-wide")</f>
        <v/>
      </c>
      <c r="K77" s="80">
        <f>COUNTIFS('Legacy schemes (v3)'!$B$7:$B$158,B77,'Legacy schemes (v3)'!$C$7:$C$158,"Cross-faculty")+COUNTIFS('Legacy schemes (v3)'!$B$7:$B$158,B77,'Legacy schemes (v3)'!$C$7:$C$158,"Faculty/school")+COUNTIFS('Legacy schemes (v3)'!$B$7:$B$158,B77,'Legacy schemes (v3)'!$C$7:$C$158,"Programme/course")</f>
        <v/>
      </c>
      <c r="L77" s="80">
        <f>COUNTIFS('Legacy schemes (v3)'!$B$7:$B$158,B77,'Legacy schemes (v3)'!$C$7:$C$158,"Not confirmed")</f>
        <v/>
      </c>
      <c r="M77" s="10">
        <f>IF(J77&gt;0,"University-wide scheme/framework documented",IF(COUNTIFS('Legacy schemes (v3)'!$B$7:$B$158,B77,'Legacy schemes (v3)'!$C$7:$C$158,"Cross-faculty")&gt;0,"Cross-faculty; broader reach unverified",IF(COUNTIFS('Legacy schemes (v3)'!$B$7:$B$158,B77,'Legacy schemes (v3)'!$C$7:$C$158,"Faculty/school")&gt;0,"Faculty/school; broader reach unverified",IF(K77&gt;0,"Programme/course; broader reach unverified","Scheme documented; reach unconfirmed"))))</f>
        <v/>
      </c>
      <c r="N77" s="32" t="inlineStr">
        <is>
          <t>US07</t>
        </is>
      </c>
      <c r="O77" s="77" t="inlineStr"/>
    </row>
    <row r="78" ht="53" customHeight="1">
      <c r="A78" s="10" t="inlineStr">
        <is>
          <t>US</t>
        </is>
      </c>
      <c r="B78" s="11" t="inlineStr">
        <is>
          <t>Cornell</t>
        </is>
      </c>
      <c r="C78" s="10" t="inlineStr">
        <is>
          <t>US sample</t>
        </is>
      </c>
      <c r="D78" s="80" t="n">
        <v>2027</v>
      </c>
      <c r="E78" s="80" t="n">
        <v>16</v>
      </c>
      <c r="F78" s="10" t="inlineStr">
        <is>
          <t>Yes</t>
        </is>
      </c>
      <c r="G78" s="10" t="inlineStr">
        <is>
          <t>https://www.topuniversities.com/qs-top-uni-wur</t>
        </is>
      </c>
      <c r="H78" s="10" t="inlineStr">
        <is>
          <t>n.a.</t>
        </is>
      </c>
      <c r="I78" s="80">
        <f>COUNTIF('Legacy schemes (v3)'!$B$7:$B$158,B78)</f>
        <v/>
      </c>
      <c r="J78" s="80">
        <f>COUNTIFS('Legacy schemes (v3)'!$B$7:$B$158,B78,'Legacy schemes (v3)'!$C$7:$C$158,"University-wide")</f>
        <v/>
      </c>
      <c r="K78" s="80">
        <f>COUNTIFS('Legacy schemes (v3)'!$B$7:$B$158,B78,'Legacy schemes (v3)'!$C$7:$C$158,"Cross-faculty")+COUNTIFS('Legacy schemes (v3)'!$B$7:$B$158,B78,'Legacy schemes (v3)'!$C$7:$C$158,"Faculty/school")+COUNTIFS('Legacy schemes (v3)'!$B$7:$B$158,B78,'Legacy schemes (v3)'!$C$7:$C$158,"Programme/course")</f>
        <v/>
      </c>
      <c r="L78" s="80">
        <f>COUNTIFS('Legacy schemes (v3)'!$B$7:$B$158,B78,'Legacy schemes (v3)'!$C$7:$C$158,"Not confirmed")</f>
        <v/>
      </c>
      <c r="M78" s="10">
        <f>IF(J78&gt;0,"University-wide scheme/framework documented",IF(COUNTIFS('Legacy schemes (v3)'!$B$7:$B$158,B78,'Legacy schemes (v3)'!$C$7:$C$158,"Cross-faculty")&gt;0,"Cross-faculty; broader reach unverified",IF(COUNTIFS('Legacy schemes (v3)'!$B$7:$B$158,B78,'Legacy schemes (v3)'!$C$7:$C$158,"Faculty/school")&gt;0,"Faculty/school; broader reach unverified",IF(K78&gt;0,"Programme/course; broader reach unverified","Scheme documented; reach unconfirmed"))))</f>
        <v/>
      </c>
      <c r="N78" s="32" t="inlineStr">
        <is>
          <t>US08</t>
        </is>
      </c>
      <c r="O78" s="77" t="inlineStr"/>
    </row>
    <row r="79" ht="53" customHeight="1">
      <c r="A79" s="10" t="inlineStr">
        <is>
          <t>US</t>
        </is>
      </c>
      <c r="B79" s="11" t="inlineStr">
        <is>
          <t>Yale</t>
        </is>
      </c>
      <c r="C79" s="10" t="inlineStr">
        <is>
          <t>US sample</t>
        </is>
      </c>
      <c r="D79" s="80" t="n">
        <v>2027</v>
      </c>
      <c r="E79" s="80" t="n">
        <v>16</v>
      </c>
      <c r="F79" s="10" t="inlineStr">
        <is>
          <t>Yes</t>
        </is>
      </c>
      <c r="G79" s="10" t="inlineStr">
        <is>
          <t>https://www.topuniversities.com/qs-top-uni-wur</t>
        </is>
      </c>
      <c r="H79" s="10" t="inlineStr">
        <is>
          <t>n.a.</t>
        </is>
      </c>
      <c r="I79" s="80">
        <f>COUNTIF('Legacy schemes (v3)'!$B$7:$B$158,B79)</f>
        <v/>
      </c>
      <c r="J79" s="80">
        <f>COUNTIFS('Legacy schemes (v3)'!$B$7:$B$158,B79,'Legacy schemes (v3)'!$C$7:$C$158,"University-wide")</f>
        <v/>
      </c>
      <c r="K79" s="80">
        <f>COUNTIFS('Legacy schemes (v3)'!$B$7:$B$158,B79,'Legacy schemes (v3)'!$C$7:$C$158,"Cross-faculty")+COUNTIFS('Legacy schemes (v3)'!$B$7:$B$158,B79,'Legacy schemes (v3)'!$C$7:$C$158,"Faculty/school")+COUNTIFS('Legacy schemes (v3)'!$B$7:$B$158,B79,'Legacy schemes (v3)'!$C$7:$C$158,"Programme/course")</f>
        <v/>
      </c>
      <c r="L79" s="80">
        <f>COUNTIFS('Legacy schemes (v3)'!$B$7:$B$158,B79,'Legacy schemes (v3)'!$C$7:$C$158,"Not confirmed")</f>
        <v/>
      </c>
      <c r="M79" s="10">
        <f>IF(J79&gt;0,"University-wide scheme/framework documented",IF(COUNTIFS('Legacy schemes (v3)'!$B$7:$B$158,B79,'Legacy schemes (v3)'!$C$7:$C$158,"Cross-faculty")&gt;0,"Cross-faculty; broader reach unverified",IF(COUNTIFS('Legacy schemes (v3)'!$B$7:$B$158,B79,'Legacy schemes (v3)'!$C$7:$C$158,"Faculty/school")&gt;0,"Faculty/school; broader reach unverified",IF(K79&gt;0,"Programme/course; broader reach unverified","Scheme documented; reach unconfirmed"))))</f>
        <v/>
      </c>
      <c r="N79" s="32" t="inlineStr">
        <is>
          <t>US09</t>
        </is>
      </c>
      <c r="O79" s="77" t="inlineStr"/>
    </row>
    <row r="80" ht="53" customHeight="1">
      <c r="A80" s="10" t="inlineStr">
        <is>
          <t>US</t>
        </is>
      </c>
      <c r="B80" s="11" t="inlineStr">
        <is>
          <t>Princeton</t>
        </is>
      </c>
      <c r="C80" s="10" t="inlineStr">
        <is>
          <t>US sample</t>
        </is>
      </c>
      <c r="D80" s="80" t="n">
        <v>2027</v>
      </c>
      <c r="E80" s="80" t="n">
        <v>27</v>
      </c>
      <c r="F80" s="10" t="inlineStr">
        <is>
          <t>No</t>
        </is>
      </c>
      <c r="G80" s="10" t="inlineStr">
        <is>
          <t>https://www.topuniversities.com/qs-top-uni-wur</t>
        </is>
      </c>
      <c r="H80" s="10" t="inlineStr">
        <is>
          <t>n.a.</t>
        </is>
      </c>
      <c r="I80" s="80">
        <f>COUNTIF('Legacy schemes (v3)'!$B$7:$B$158,B80)</f>
        <v/>
      </c>
      <c r="J80" s="80">
        <f>COUNTIFS('Legacy schemes (v3)'!$B$7:$B$158,B80,'Legacy schemes (v3)'!$C$7:$C$158,"University-wide")</f>
        <v/>
      </c>
      <c r="K80" s="80">
        <f>COUNTIFS('Legacy schemes (v3)'!$B$7:$B$158,B80,'Legacy schemes (v3)'!$C$7:$C$158,"Cross-faculty")+COUNTIFS('Legacy schemes (v3)'!$B$7:$B$158,B80,'Legacy schemes (v3)'!$C$7:$C$158,"Faculty/school")+COUNTIFS('Legacy schemes (v3)'!$B$7:$B$158,B80,'Legacy schemes (v3)'!$C$7:$C$158,"Programme/course")</f>
        <v/>
      </c>
      <c r="L80" s="80">
        <f>COUNTIFS('Legacy schemes (v3)'!$B$7:$B$158,B80,'Legacy schemes (v3)'!$C$7:$C$158,"Not confirmed")</f>
        <v/>
      </c>
      <c r="M80" s="10">
        <f>IF(J80&gt;0,"University-wide scheme/framework documented",IF(COUNTIFS('Legacy schemes (v3)'!$B$7:$B$158,B80,'Legacy schemes (v3)'!$C$7:$C$158,"Cross-faculty")&gt;0,"Cross-faculty; broader reach unverified",IF(COUNTIFS('Legacy schemes (v3)'!$B$7:$B$158,B80,'Legacy schemes (v3)'!$C$7:$C$158,"Faculty/school")&gt;0,"Faculty/school; broader reach unverified",IF(K80&gt;0,"Programme/course; broader reach unverified","Scheme documented; reach unconfirmed"))))</f>
        <v/>
      </c>
      <c r="N80" s="32" t="inlineStr">
        <is>
          <t>US10</t>
        </is>
      </c>
      <c r="O80" s="77" t="inlineStr"/>
    </row>
    <row r="81" ht="53" customHeight="1">
      <c r="A81" s="10" t="inlineStr">
        <is>
          <t>US</t>
        </is>
      </c>
      <c r="B81" s="11" t="inlineStr">
        <is>
          <t>Columbia</t>
        </is>
      </c>
      <c r="C81" s="10" t="inlineStr">
        <is>
          <t>US sample</t>
        </is>
      </c>
      <c r="D81" s="80" t="n">
        <v>2027</v>
      </c>
      <c r="E81" s="80" t="n">
        <v>43</v>
      </c>
      <c r="F81" s="10" t="inlineStr">
        <is>
          <t>Yes</t>
        </is>
      </c>
      <c r="G81" s="10" t="inlineStr">
        <is>
          <t>https://www.topuniversities.com/qs-top-uni-wur</t>
        </is>
      </c>
      <c r="H81" s="10" t="inlineStr">
        <is>
          <t>n.a.</t>
        </is>
      </c>
      <c r="I81" s="80">
        <f>COUNTIF('Legacy schemes (v3)'!$B$7:$B$158,B81)</f>
        <v/>
      </c>
      <c r="J81" s="80">
        <f>COUNTIFS('Legacy schemes (v3)'!$B$7:$B$158,B81,'Legacy schemes (v3)'!$C$7:$C$158,"University-wide")</f>
        <v/>
      </c>
      <c r="K81" s="80">
        <f>COUNTIFS('Legacy schemes (v3)'!$B$7:$B$158,B81,'Legacy schemes (v3)'!$C$7:$C$158,"Cross-faculty")+COUNTIFS('Legacy schemes (v3)'!$B$7:$B$158,B81,'Legacy schemes (v3)'!$C$7:$C$158,"Faculty/school")+COUNTIFS('Legacy schemes (v3)'!$B$7:$B$158,B81,'Legacy schemes (v3)'!$C$7:$C$158,"Programme/course")</f>
        <v/>
      </c>
      <c r="L81" s="80">
        <f>COUNTIFS('Legacy schemes (v3)'!$B$7:$B$158,B81,'Legacy schemes (v3)'!$C$7:$C$158,"Not confirmed")</f>
        <v/>
      </c>
      <c r="M81" s="10">
        <f>IF(J81&gt;0,"University-wide scheme/framework documented",IF(COUNTIFS('Legacy schemes (v3)'!$B$7:$B$158,B81,'Legacy schemes (v3)'!$C$7:$C$158,"Cross-faculty")&gt;0,"Cross-faculty; broader reach unverified",IF(COUNTIFS('Legacy schemes (v3)'!$B$7:$B$158,B81,'Legacy schemes (v3)'!$C$7:$C$158,"Faculty/school")&gt;0,"Faculty/school; broader reach unverified",IF(K81&gt;0,"Programme/course; broader reach unverified","Scheme documented; reach unconfirmed"))))</f>
        <v/>
      </c>
      <c r="N81" s="32" t="inlineStr">
        <is>
          <t>US11</t>
        </is>
      </c>
      <c r="O81" s="77" t="inlineStr"/>
    </row>
    <row r="82" ht="53" customHeight="1">
      <c r="A82" s="10" t="inlineStr">
        <is>
          <t>US</t>
        </is>
      </c>
      <c r="B82" s="11" t="inlineStr">
        <is>
          <t>Johns Hopkins</t>
        </is>
      </c>
      <c r="C82" s="10" t="inlineStr">
        <is>
          <t>US sample</t>
        </is>
      </c>
      <c r="D82" s="80" t="n">
        <v>2027</v>
      </c>
      <c r="E82" s="80" t="n">
        <v>20</v>
      </c>
      <c r="F82" s="10" t="inlineStr">
        <is>
          <t>Yes</t>
        </is>
      </c>
      <c r="G82" s="10" t="inlineStr">
        <is>
          <t>https://www.topuniversities.com/qs-top-uni-wur</t>
        </is>
      </c>
      <c r="H82" s="10" t="inlineStr">
        <is>
          <t>n.a.</t>
        </is>
      </c>
      <c r="I82" s="80">
        <f>COUNTIF('Legacy schemes (v3)'!$B$7:$B$158,B82)</f>
        <v/>
      </c>
      <c r="J82" s="80">
        <f>COUNTIFS('Legacy schemes (v3)'!$B$7:$B$158,B82,'Legacy schemes (v3)'!$C$7:$C$158,"University-wide")</f>
        <v/>
      </c>
      <c r="K82" s="80">
        <f>COUNTIFS('Legacy schemes (v3)'!$B$7:$B$158,B82,'Legacy schemes (v3)'!$C$7:$C$158,"Cross-faculty")+COUNTIFS('Legacy schemes (v3)'!$B$7:$B$158,B82,'Legacy schemes (v3)'!$C$7:$C$158,"Faculty/school")+COUNTIFS('Legacy schemes (v3)'!$B$7:$B$158,B82,'Legacy schemes (v3)'!$C$7:$C$158,"Programme/course")</f>
        <v/>
      </c>
      <c r="L82" s="80">
        <f>COUNTIFS('Legacy schemes (v3)'!$B$7:$B$158,B82,'Legacy schemes (v3)'!$C$7:$C$158,"Not confirmed")</f>
        <v/>
      </c>
      <c r="M82" s="10">
        <f>IF(J82&gt;0,"University-wide scheme/framework documented",IF(COUNTIFS('Legacy schemes (v3)'!$B$7:$B$158,B82,'Legacy schemes (v3)'!$C$7:$C$158,"Cross-faculty")&gt;0,"Cross-faculty; broader reach unverified",IF(COUNTIFS('Legacy schemes (v3)'!$B$7:$B$158,B82,'Legacy schemes (v3)'!$C$7:$C$158,"Faculty/school")&gt;0,"Faculty/school; broader reach unverified",IF(K82&gt;0,"Programme/course; broader reach unverified","Scheme documented; reach unconfirmed"))))</f>
        <v/>
      </c>
      <c r="N82" s="32" t="inlineStr">
        <is>
          <t>US12</t>
        </is>
      </c>
      <c r="O82" s="77" t="inlineStr"/>
    </row>
    <row r="83" ht="53" customHeight="1">
      <c r="A83" s="10" t="inlineStr">
        <is>
          <t>US</t>
        </is>
      </c>
      <c r="B83" s="11" t="inlineStr">
        <is>
          <t>Michigan Ann Arbor</t>
        </is>
      </c>
      <c r="C83" s="10" t="inlineStr">
        <is>
          <t>US sample</t>
        </is>
      </c>
      <c r="D83" s="80" t="n">
        <v>2027</v>
      </c>
      <c r="E83" s="80" t="n">
        <v>51</v>
      </c>
      <c r="F83" s="10" t="inlineStr">
        <is>
          <t>No</t>
        </is>
      </c>
      <c r="G83" s="10" t="inlineStr">
        <is>
          <t>https://www.topuniversities.com/qs-top-uni-wur</t>
        </is>
      </c>
      <c r="H83" s="10" t="inlineStr">
        <is>
          <t>n.a.</t>
        </is>
      </c>
      <c r="I83" s="80">
        <f>COUNTIF('Legacy schemes (v3)'!$B$7:$B$158,B83)</f>
        <v/>
      </c>
      <c r="J83" s="80">
        <f>COUNTIFS('Legacy schemes (v3)'!$B$7:$B$158,B83,'Legacy schemes (v3)'!$C$7:$C$158,"University-wide")</f>
        <v/>
      </c>
      <c r="K83" s="80">
        <f>COUNTIFS('Legacy schemes (v3)'!$B$7:$B$158,B83,'Legacy schemes (v3)'!$C$7:$C$158,"Cross-faculty")+COUNTIFS('Legacy schemes (v3)'!$B$7:$B$158,B83,'Legacy schemes (v3)'!$C$7:$C$158,"Faculty/school")+COUNTIFS('Legacy schemes (v3)'!$B$7:$B$158,B83,'Legacy schemes (v3)'!$C$7:$C$158,"Programme/course")</f>
        <v/>
      </c>
      <c r="L83" s="80">
        <f>COUNTIFS('Legacy schemes (v3)'!$B$7:$B$158,B83,'Legacy schemes (v3)'!$C$7:$C$158,"Not confirmed")</f>
        <v/>
      </c>
      <c r="M83" s="10">
        <f>IF(J83&gt;0,"University-wide scheme/framework documented",IF(COUNTIFS('Legacy schemes (v3)'!$B$7:$B$158,B83,'Legacy schemes (v3)'!$C$7:$C$158,"Cross-faculty")&gt;0,"Cross-faculty; broader reach unverified",IF(COUNTIFS('Legacy schemes (v3)'!$B$7:$B$158,B83,'Legacy schemes (v3)'!$C$7:$C$158,"Faculty/school")&gt;0,"Faculty/school; broader reach unverified",IF(K83&gt;0,"Programme/course; broader reach unverified","Scheme documented; reach unconfirmed"))))</f>
        <v/>
      </c>
      <c r="N83" s="32" t="inlineStr">
        <is>
          <t>US13</t>
        </is>
      </c>
      <c r="O83" s="77" t="inlineStr"/>
    </row>
    <row r="84" ht="53" customHeight="1">
      <c r="A84" s="10" t="inlineStr">
        <is>
          <t>US</t>
        </is>
      </c>
      <c r="B84" s="11" t="inlineStr">
        <is>
          <t>California Los Angeles</t>
        </is>
      </c>
      <c r="C84" s="10" t="inlineStr">
        <is>
          <t>US sample</t>
        </is>
      </c>
      <c r="D84" s="80" t="n">
        <v>2027</v>
      </c>
      <c r="E84" s="80" t="n">
        <v>49</v>
      </c>
      <c r="F84" s="10" t="inlineStr">
        <is>
          <t>No</t>
        </is>
      </c>
      <c r="G84" s="10" t="inlineStr">
        <is>
          <t>https://www.topuniversities.com/qs-top-uni-wur</t>
        </is>
      </c>
      <c r="H84" s="10" t="inlineStr">
        <is>
          <t>n.a.</t>
        </is>
      </c>
      <c r="I84" s="80">
        <f>COUNTIF('Legacy schemes (v3)'!$B$7:$B$158,B84)</f>
        <v/>
      </c>
      <c r="J84" s="80">
        <f>COUNTIFS('Legacy schemes (v3)'!$B$7:$B$158,B84,'Legacy schemes (v3)'!$C$7:$C$158,"University-wide")</f>
        <v/>
      </c>
      <c r="K84" s="80">
        <f>COUNTIFS('Legacy schemes (v3)'!$B$7:$B$158,B84,'Legacy schemes (v3)'!$C$7:$C$158,"Cross-faculty")+COUNTIFS('Legacy schemes (v3)'!$B$7:$B$158,B84,'Legacy schemes (v3)'!$C$7:$C$158,"Faculty/school")+COUNTIFS('Legacy schemes (v3)'!$B$7:$B$158,B84,'Legacy schemes (v3)'!$C$7:$C$158,"Programme/course")</f>
        <v/>
      </c>
      <c r="L84" s="80">
        <f>COUNTIFS('Legacy schemes (v3)'!$B$7:$B$158,B84,'Legacy schemes (v3)'!$C$7:$C$158,"Not confirmed")</f>
        <v/>
      </c>
      <c r="M84" s="10">
        <f>IF(J84&gt;0,"University-wide scheme/framework documented",IF(COUNTIFS('Legacy schemes (v3)'!$B$7:$B$158,B84,'Legacy schemes (v3)'!$C$7:$C$158,"Cross-faculty")&gt;0,"Cross-faculty; broader reach unverified",IF(COUNTIFS('Legacy schemes (v3)'!$B$7:$B$158,B84,'Legacy schemes (v3)'!$C$7:$C$158,"Faculty/school")&gt;0,"Faculty/school; broader reach unverified",IF(K84&gt;0,"Programme/course; broader reach unverified","Scheme documented; reach unconfirmed"))))</f>
        <v/>
      </c>
      <c r="N84" s="32" t="inlineStr">
        <is>
          <t>US14</t>
        </is>
      </c>
      <c r="O84" s="77" t="inlineStr"/>
    </row>
    <row r="85" ht="53" customHeight="1">
      <c r="A85" s="10" t="inlineStr">
        <is>
          <t>US</t>
        </is>
      </c>
      <c r="B85" s="11" t="inlineStr">
        <is>
          <t>Duke</t>
        </is>
      </c>
      <c r="C85" s="10" t="inlineStr">
        <is>
          <t>US sample</t>
        </is>
      </c>
      <c r="D85" s="80" t="n">
        <v>2027</v>
      </c>
      <c r="E85" s="80" t="n">
        <v>70</v>
      </c>
      <c r="F85" s="10" t="inlineStr">
        <is>
          <t>No</t>
        </is>
      </c>
      <c r="G85" s="10" t="inlineStr">
        <is>
          <t>https://www.topuniversities.com/qs-top-uni-wur</t>
        </is>
      </c>
      <c r="H85" s="10" t="inlineStr">
        <is>
          <t>n.a.</t>
        </is>
      </c>
      <c r="I85" s="80">
        <f>COUNTIF('Legacy schemes (v3)'!$B$7:$B$158,B85)</f>
        <v/>
      </c>
      <c r="J85" s="80">
        <f>COUNTIFS('Legacy schemes (v3)'!$B$7:$B$158,B85,'Legacy schemes (v3)'!$C$7:$C$158,"University-wide")</f>
        <v/>
      </c>
      <c r="K85" s="80">
        <f>COUNTIFS('Legacy schemes (v3)'!$B$7:$B$158,B85,'Legacy schemes (v3)'!$C$7:$C$158,"Cross-faculty")+COUNTIFS('Legacy schemes (v3)'!$B$7:$B$158,B85,'Legacy schemes (v3)'!$C$7:$C$158,"Faculty/school")+COUNTIFS('Legacy schemes (v3)'!$B$7:$B$158,B85,'Legacy schemes (v3)'!$C$7:$C$158,"Programme/course")</f>
        <v/>
      </c>
      <c r="L85" s="80">
        <f>COUNTIFS('Legacy schemes (v3)'!$B$7:$B$158,B85,'Legacy schemes (v3)'!$C$7:$C$158,"Not confirmed")</f>
        <v/>
      </c>
      <c r="M85" s="10">
        <f>IF(J85&gt;0,"University-wide scheme/framework documented",IF(COUNTIFS('Legacy schemes (v3)'!$B$7:$B$158,B85,'Legacy schemes (v3)'!$C$7:$C$158,"Cross-faculty")&gt;0,"Cross-faculty; broader reach unverified",IF(COUNTIFS('Legacy schemes (v3)'!$B$7:$B$158,B85,'Legacy schemes (v3)'!$C$7:$C$158,"Faculty/school")&gt;0,"Faculty/school; broader reach unverified",IF(K85&gt;0,"Programme/course; broader reach unverified","Scheme documented; reach unconfirmed"))))</f>
        <v/>
      </c>
      <c r="N85" s="32" t="inlineStr">
        <is>
          <t>US15</t>
        </is>
      </c>
      <c r="O85" s="77" t="inlineStr"/>
    </row>
    <row r="86" ht="53" customHeight="1">
      <c r="A86" s="10" t="inlineStr">
        <is>
          <t>US</t>
        </is>
      </c>
      <c r="B86" s="11" t="inlineStr">
        <is>
          <t>New York University</t>
        </is>
      </c>
      <c r="C86" s="10" t="inlineStr">
        <is>
          <t>US sample</t>
        </is>
      </c>
      <c r="D86" s="80" t="n">
        <v>2027</v>
      </c>
      <c r="E86" s="80" t="n">
        <v>58</v>
      </c>
      <c r="F86" s="10" t="inlineStr">
        <is>
          <t>No</t>
        </is>
      </c>
      <c r="G86" s="10" t="inlineStr">
        <is>
          <t>https://www.topuniversities.com/qs-top-uni-wur</t>
        </is>
      </c>
      <c r="H86" s="10" t="inlineStr">
        <is>
          <t>n.a.</t>
        </is>
      </c>
      <c r="I86" s="80">
        <f>COUNTIF('Legacy schemes (v3)'!$B$7:$B$158,B86)</f>
        <v/>
      </c>
      <c r="J86" s="80">
        <f>COUNTIFS('Legacy schemes (v3)'!$B$7:$B$158,B86,'Legacy schemes (v3)'!$C$7:$C$158,"University-wide")</f>
        <v/>
      </c>
      <c r="K86" s="80">
        <f>COUNTIFS('Legacy schemes (v3)'!$B$7:$B$158,B86,'Legacy schemes (v3)'!$C$7:$C$158,"Cross-faculty")+COUNTIFS('Legacy schemes (v3)'!$B$7:$B$158,B86,'Legacy schemes (v3)'!$C$7:$C$158,"Faculty/school")+COUNTIFS('Legacy schemes (v3)'!$B$7:$B$158,B86,'Legacy schemes (v3)'!$C$7:$C$158,"Programme/course")</f>
        <v/>
      </c>
      <c r="L86" s="80">
        <f>COUNTIFS('Legacy schemes (v3)'!$B$7:$B$158,B86,'Legacy schemes (v3)'!$C$7:$C$158,"Not confirmed")</f>
        <v/>
      </c>
      <c r="M86" s="10">
        <f>IF(J86&gt;0,"University-wide scheme/framework documented",IF(COUNTIFS('Legacy schemes (v3)'!$B$7:$B$158,B86,'Legacy schemes (v3)'!$C$7:$C$158,"Cross-faculty")&gt;0,"Cross-faculty; broader reach unverified",IF(COUNTIFS('Legacy schemes (v3)'!$B$7:$B$158,B86,'Legacy schemes (v3)'!$C$7:$C$158,"Faculty/school")&gt;0,"Faculty/school; broader reach unverified",IF(K86&gt;0,"Programme/course; broader reach unverified","Scheme documented; reach unconfirmed"))))</f>
        <v/>
      </c>
      <c r="N86" s="32" t="inlineStr">
        <is>
          <t>US16</t>
        </is>
      </c>
      <c r="O86" s="77" t="inlineStr"/>
    </row>
    <row r="87" ht="53" customHeight="1">
      <c r="A87" s="10" t="inlineStr">
        <is>
          <t>US</t>
        </is>
      </c>
      <c r="B87" s="11" t="inlineStr">
        <is>
          <t>Northwestern</t>
        </is>
      </c>
      <c r="C87" s="10" t="inlineStr">
        <is>
          <t>US sample</t>
        </is>
      </c>
      <c r="D87" s="80" t="n">
        <v>2027</v>
      </c>
      <c r="E87" s="80" t="n">
        <v>45</v>
      </c>
      <c r="F87" s="10" t="inlineStr">
        <is>
          <t>Yes</t>
        </is>
      </c>
      <c r="G87" s="10" t="inlineStr">
        <is>
          <t>https://www.topuniversities.com/qs-top-uni-wur</t>
        </is>
      </c>
      <c r="H87" s="10" t="inlineStr">
        <is>
          <t>n.a.</t>
        </is>
      </c>
      <c r="I87" s="80">
        <f>COUNTIF('Legacy schemes (v3)'!$B$7:$B$158,B87)</f>
        <v/>
      </c>
      <c r="J87" s="80">
        <f>COUNTIFS('Legacy schemes (v3)'!$B$7:$B$158,B87,'Legacy schemes (v3)'!$C$7:$C$158,"University-wide")</f>
        <v/>
      </c>
      <c r="K87" s="80">
        <f>COUNTIFS('Legacy schemes (v3)'!$B$7:$B$158,B87,'Legacy schemes (v3)'!$C$7:$C$158,"Cross-faculty")+COUNTIFS('Legacy schemes (v3)'!$B$7:$B$158,B87,'Legacy schemes (v3)'!$C$7:$C$158,"Faculty/school")+COUNTIFS('Legacy schemes (v3)'!$B$7:$B$158,B87,'Legacy schemes (v3)'!$C$7:$C$158,"Programme/course")</f>
        <v/>
      </c>
      <c r="L87" s="80">
        <f>COUNTIFS('Legacy schemes (v3)'!$B$7:$B$158,B87,'Legacy schemes (v3)'!$C$7:$C$158,"Not confirmed")</f>
        <v/>
      </c>
      <c r="M87" s="10">
        <f>IF(J87&gt;0,"University-wide scheme/framework documented",IF(COUNTIFS('Legacy schemes (v3)'!$B$7:$B$158,B87,'Legacy schemes (v3)'!$C$7:$C$158,"Cross-faculty")&gt;0,"Cross-faculty; broader reach unverified",IF(COUNTIFS('Legacy schemes (v3)'!$B$7:$B$158,B87,'Legacy schemes (v3)'!$C$7:$C$158,"Faculty/school")&gt;0,"Faculty/school; broader reach unverified",IF(K87&gt;0,"Programme/course; broader reach unverified","Scheme documented; reach unconfirmed"))))</f>
        <v/>
      </c>
      <c r="N87" s="32" t="inlineStr">
        <is>
          <t>US17</t>
        </is>
      </c>
      <c r="O87" s="77" t="inlineStr"/>
    </row>
    <row r="88" ht="53" customHeight="1">
      <c r="A88" s="10" t="inlineStr">
        <is>
          <t>US</t>
        </is>
      </c>
      <c r="B88" s="11" t="inlineStr">
        <is>
          <t>Carnegie Mellon</t>
        </is>
      </c>
      <c r="C88" s="10" t="inlineStr">
        <is>
          <t>US sample</t>
        </is>
      </c>
      <c r="D88" s="80" t="n">
        <v>2027</v>
      </c>
      <c r="E88" s="80" t="n">
        <v>55</v>
      </c>
      <c r="F88" s="10" t="inlineStr">
        <is>
          <t>No</t>
        </is>
      </c>
      <c r="G88" s="10" t="inlineStr">
        <is>
          <t>https://www.topuniversities.com/qs-top-uni-wur</t>
        </is>
      </c>
      <c r="H88" s="10" t="inlineStr">
        <is>
          <t>n.a.</t>
        </is>
      </c>
      <c r="I88" s="80">
        <f>COUNTIF('Legacy schemes (v3)'!$B$7:$B$158,B88)</f>
        <v/>
      </c>
      <c r="J88" s="80">
        <f>COUNTIFS('Legacy schemes (v3)'!$B$7:$B$158,B88,'Legacy schemes (v3)'!$C$7:$C$158,"University-wide")</f>
        <v/>
      </c>
      <c r="K88" s="80">
        <f>COUNTIFS('Legacy schemes (v3)'!$B$7:$B$158,B88,'Legacy schemes (v3)'!$C$7:$C$158,"Cross-faculty")+COUNTIFS('Legacy schemes (v3)'!$B$7:$B$158,B88,'Legacy schemes (v3)'!$C$7:$C$158,"Faculty/school")+COUNTIFS('Legacy schemes (v3)'!$B$7:$B$158,B88,'Legacy schemes (v3)'!$C$7:$C$158,"Programme/course")</f>
        <v/>
      </c>
      <c r="L88" s="80">
        <f>COUNTIFS('Legacy schemes (v3)'!$B$7:$B$158,B88,'Legacy schemes (v3)'!$C$7:$C$158,"Not confirmed")</f>
        <v/>
      </c>
      <c r="M88" s="10">
        <f>IF(J88&gt;0,"University-wide scheme/framework documented",IF(COUNTIFS('Legacy schemes (v3)'!$B$7:$B$158,B88,'Legacy schemes (v3)'!$C$7:$C$158,"Cross-faculty")&gt;0,"Cross-faculty; broader reach unverified",IF(COUNTIFS('Legacy schemes (v3)'!$B$7:$B$158,B88,'Legacy schemes (v3)'!$C$7:$C$158,"Faculty/school")&gt;0,"Faculty/school; broader reach unverified",IF(K88&gt;0,"Programme/course; broader reach unverified","Scheme documented; reach unconfirmed"))))</f>
        <v/>
      </c>
      <c r="N88" s="32" t="inlineStr">
        <is>
          <t>US18</t>
        </is>
      </c>
      <c r="O88" s="77" t="inlineStr"/>
    </row>
    <row r="89" ht="53" customHeight="1">
      <c r="A89" s="10" t="inlineStr">
        <is>
          <t>US</t>
        </is>
      </c>
      <c r="B89" s="11" t="inlineStr">
        <is>
          <t>Southern California</t>
        </is>
      </c>
      <c r="C89" s="10" t="inlineStr">
        <is>
          <t>US sample</t>
        </is>
      </c>
      <c r="D89" s="80" t="n">
        <v>2027</v>
      </c>
      <c r="E89" s="80" t="n">
        <v>153</v>
      </c>
      <c r="F89" s="10" t="inlineStr">
        <is>
          <t>No</t>
        </is>
      </c>
      <c r="G89" s="10" t="inlineStr">
        <is>
          <t>https://www.topuniversities.com/qs-top-uni-wur</t>
        </is>
      </c>
      <c r="H89" s="10" t="inlineStr">
        <is>
          <t>n.a.</t>
        </is>
      </c>
      <c r="I89" s="80">
        <f>COUNTIF('Legacy schemes (v3)'!$B$7:$B$158,B89)</f>
        <v/>
      </c>
      <c r="J89" s="80">
        <f>COUNTIFS('Legacy schemes (v3)'!$B$7:$B$158,B89,'Legacy schemes (v3)'!$C$7:$C$158,"University-wide")</f>
        <v/>
      </c>
      <c r="K89" s="80">
        <f>COUNTIFS('Legacy schemes (v3)'!$B$7:$B$158,B89,'Legacy schemes (v3)'!$C$7:$C$158,"Cross-faculty")+COUNTIFS('Legacy schemes (v3)'!$B$7:$B$158,B89,'Legacy schemes (v3)'!$C$7:$C$158,"Faculty/school")+COUNTIFS('Legacy schemes (v3)'!$B$7:$B$158,B89,'Legacy schemes (v3)'!$C$7:$C$158,"Programme/course")</f>
        <v/>
      </c>
      <c r="L89" s="80">
        <f>COUNTIFS('Legacy schemes (v3)'!$B$7:$B$158,B89,'Legacy schemes (v3)'!$C$7:$C$158,"Not confirmed")</f>
        <v/>
      </c>
      <c r="M89" s="10">
        <f>IF(J89&gt;0,"University-wide scheme/framework documented",IF(COUNTIFS('Legacy schemes (v3)'!$B$7:$B$158,B89,'Legacy schemes (v3)'!$C$7:$C$158,"Cross-faculty")&gt;0,"Cross-faculty; broader reach unverified",IF(COUNTIFS('Legacy schemes (v3)'!$B$7:$B$158,B89,'Legacy schemes (v3)'!$C$7:$C$158,"Faculty/school")&gt;0,"Faculty/school; broader reach unverified",IF(K89&gt;0,"Programme/course; broader reach unverified","Scheme documented; reach unconfirmed"))))</f>
        <v/>
      </c>
      <c r="N89" s="32" t="inlineStr">
        <is>
          <t>US19</t>
        </is>
      </c>
      <c r="O89" s="77" t="inlineStr"/>
    </row>
    <row r="90" ht="53" customHeight="1">
      <c r="A90" s="10" t="inlineStr">
        <is>
          <t>US</t>
        </is>
      </c>
      <c r="B90" s="11" t="inlineStr">
        <is>
          <t>Texas Austin</t>
        </is>
      </c>
      <c r="C90" s="10" t="inlineStr">
        <is>
          <t>US sample</t>
        </is>
      </c>
      <c r="D90" s="80" t="n">
        <v>2027</v>
      </c>
      <c r="E90" s="80" t="n">
        <v>72</v>
      </c>
      <c r="F90" s="10" t="inlineStr">
        <is>
          <t>No</t>
        </is>
      </c>
      <c r="G90" s="10" t="inlineStr">
        <is>
          <t>https://www.topuniversities.com/qs-top-uni-wur</t>
        </is>
      </c>
      <c r="H90" s="10" t="inlineStr">
        <is>
          <t>n.a.</t>
        </is>
      </c>
      <c r="I90" s="80">
        <f>COUNTIF('Legacy schemes (v3)'!$B$7:$B$158,B90)</f>
        <v/>
      </c>
      <c r="J90" s="80">
        <f>COUNTIFS('Legacy schemes (v3)'!$B$7:$B$158,B90,'Legacy schemes (v3)'!$C$7:$C$158,"University-wide")</f>
        <v/>
      </c>
      <c r="K90" s="80">
        <f>COUNTIFS('Legacy schemes (v3)'!$B$7:$B$158,B90,'Legacy schemes (v3)'!$C$7:$C$158,"Cross-faculty")+COUNTIFS('Legacy schemes (v3)'!$B$7:$B$158,B90,'Legacy schemes (v3)'!$C$7:$C$158,"Faculty/school")+COUNTIFS('Legacy schemes (v3)'!$B$7:$B$158,B90,'Legacy schemes (v3)'!$C$7:$C$158,"Programme/course")</f>
        <v/>
      </c>
      <c r="L90" s="80">
        <f>COUNTIFS('Legacy schemes (v3)'!$B$7:$B$158,B90,'Legacy schemes (v3)'!$C$7:$C$158,"Not confirmed")</f>
        <v/>
      </c>
      <c r="M90" s="10">
        <f>IF(J90&gt;0,"University-wide scheme/framework documented",IF(COUNTIFS('Legacy schemes (v3)'!$B$7:$B$158,B90,'Legacy schemes (v3)'!$C$7:$C$158,"Cross-faculty")&gt;0,"Cross-faculty; broader reach unverified",IF(COUNTIFS('Legacy schemes (v3)'!$B$7:$B$158,B90,'Legacy schemes (v3)'!$C$7:$C$158,"Faculty/school")&gt;0,"Faculty/school; broader reach unverified",IF(K90&gt;0,"Programme/course; broader reach unverified","Scheme documented; reach unconfirmed"))))</f>
        <v/>
      </c>
      <c r="N90" s="32" t="inlineStr">
        <is>
          <t>US20</t>
        </is>
      </c>
      <c r="O90" s="77" t="inlineStr"/>
    </row>
    <row r="91" ht="53" customHeight="1">
      <c r="A91" s="10" t="inlineStr">
        <is>
          <t>US</t>
        </is>
      </c>
      <c r="B91" s="11" t="inlineStr">
        <is>
          <t>California San Diego</t>
        </is>
      </c>
      <c r="C91" s="10" t="inlineStr">
        <is>
          <t>US sample</t>
        </is>
      </c>
      <c r="D91" s="80" t="n">
        <v>2027</v>
      </c>
      <c r="E91" s="80" t="n">
        <v>81</v>
      </c>
      <c r="F91" s="10" t="inlineStr">
        <is>
          <t>No</t>
        </is>
      </c>
      <c r="G91" s="10" t="inlineStr">
        <is>
          <t>https://www.topuniversities.com/qs-top-uni-wur</t>
        </is>
      </c>
      <c r="H91" s="10" t="inlineStr">
        <is>
          <t>n.a.</t>
        </is>
      </c>
      <c r="I91" s="80">
        <f>COUNTIF('Legacy schemes (v3)'!$B$7:$B$158,B91)</f>
        <v/>
      </c>
      <c r="J91" s="80">
        <f>COUNTIFS('Legacy schemes (v3)'!$B$7:$B$158,B91,'Legacy schemes (v3)'!$C$7:$C$158,"University-wide")</f>
        <v/>
      </c>
      <c r="K91" s="80">
        <f>COUNTIFS('Legacy schemes (v3)'!$B$7:$B$158,B91,'Legacy schemes (v3)'!$C$7:$C$158,"Cross-faculty")+COUNTIFS('Legacy schemes (v3)'!$B$7:$B$158,B91,'Legacy schemes (v3)'!$C$7:$C$158,"Faculty/school")+COUNTIFS('Legacy schemes (v3)'!$B$7:$B$158,B91,'Legacy schemes (v3)'!$C$7:$C$158,"Programme/course")</f>
        <v/>
      </c>
      <c r="L91" s="80">
        <f>COUNTIFS('Legacy schemes (v3)'!$B$7:$B$158,B91,'Legacy schemes (v3)'!$C$7:$C$158,"Not confirmed")</f>
        <v/>
      </c>
      <c r="M91" s="10">
        <f>IF(J91&gt;0,"University-wide scheme/framework documented",IF(COUNTIFS('Legacy schemes (v3)'!$B$7:$B$158,B91,'Legacy schemes (v3)'!$C$7:$C$158,"Cross-faculty")&gt;0,"Cross-faculty; broader reach unverified",IF(COUNTIFS('Legacy schemes (v3)'!$B$7:$B$158,B91,'Legacy schemes (v3)'!$C$7:$C$158,"Faculty/school")&gt;0,"Faculty/school; broader reach unverified",IF(K91&gt;0,"Programme/course; broader reach unverified","Scheme documented; reach unconfirmed"))))</f>
        <v/>
      </c>
      <c r="N91" s="32" t="inlineStr">
        <is>
          <t>US21</t>
        </is>
      </c>
      <c r="O91" s="77" t="inlineStr"/>
    </row>
    <row r="92" ht="53" customHeight="1">
      <c r="A92" s="10" t="inlineStr">
        <is>
          <t>US</t>
        </is>
      </c>
      <c r="B92" s="11" t="inlineStr">
        <is>
          <t>Brown</t>
        </is>
      </c>
      <c r="C92" s="10" t="inlineStr">
        <is>
          <t>US sample</t>
        </is>
      </c>
      <c r="D92" s="80" t="n">
        <v>2027</v>
      </c>
      <c r="E92" s="80" t="n">
        <v>66</v>
      </c>
      <c r="F92" s="10" t="inlineStr">
        <is>
          <t>No</t>
        </is>
      </c>
      <c r="G92" s="10" t="inlineStr">
        <is>
          <t>https://www.topuniversities.com/qs-top-uni-wur</t>
        </is>
      </c>
      <c r="H92" s="10" t="inlineStr">
        <is>
          <t>n.a.</t>
        </is>
      </c>
      <c r="I92" s="80">
        <f>COUNTIF('Legacy schemes (v3)'!$B$7:$B$158,B92)</f>
        <v/>
      </c>
      <c r="J92" s="80">
        <f>COUNTIFS('Legacy schemes (v3)'!$B$7:$B$158,B92,'Legacy schemes (v3)'!$C$7:$C$158,"University-wide")</f>
        <v/>
      </c>
      <c r="K92" s="80">
        <f>COUNTIFS('Legacy schemes (v3)'!$B$7:$B$158,B92,'Legacy schemes (v3)'!$C$7:$C$158,"Cross-faculty")+COUNTIFS('Legacy schemes (v3)'!$B$7:$B$158,B92,'Legacy schemes (v3)'!$C$7:$C$158,"Faculty/school")+COUNTIFS('Legacy schemes (v3)'!$B$7:$B$158,B92,'Legacy schemes (v3)'!$C$7:$C$158,"Programme/course")</f>
        <v/>
      </c>
      <c r="L92" s="80">
        <f>COUNTIFS('Legacy schemes (v3)'!$B$7:$B$158,B92,'Legacy schemes (v3)'!$C$7:$C$158,"Not confirmed")</f>
        <v/>
      </c>
      <c r="M92" s="10">
        <f>IF(J92&gt;0,"University-wide scheme/framework documented",IF(COUNTIFS('Legacy schemes (v3)'!$B$7:$B$158,B92,'Legacy schemes (v3)'!$C$7:$C$158,"Cross-faculty")&gt;0,"Cross-faculty; broader reach unverified",IF(COUNTIFS('Legacy schemes (v3)'!$B$7:$B$158,B92,'Legacy schemes (v3)'!$C$7:$C$158,"Faculty/school")&gt;0,"Faculty/school; broader reach unverified",IF(K92&gt;0,"Programme/course; broader reach unverified","Scheme documented; reach unconfirmed"))))</f>
        <v/>
      </c>
      <c r="N92" s="32" t="inlineStr">
        <is>
          <t>US22</t>
        </is>
      </c>
      <c r="O92" s="77" t="inlineStr"/>
    </row>
    <row r="93" ht="53" customHeight="1">
      <c r="A93" s="10" t="inlineStr">
        <is>
          <t>US</t>
        </is>
      </c>
      <c r="B93" s="11" t="inlineStr">
        <is>
          <t>Illinois Urbana-Champaign</t>
        </is>
      </c>
      <c r="C93" s="10" t="inlineStr">
        <is>
          <t>US sample</t>
        </is>
      </c>
      <c r="D93" s="80" t="n">
        <v>2027</v>
      </c>
      <c r="E93" s="80" t="n">
        <v>74</v>
      </c>
      <c r="F93" s="10" t="inlineStr">
        <is>
          <t>No</t>
        </is>
      </c>
      <c r="G93" s="10" t="inlineStr">
        <is>
          <t>https://www.topuniversities.com/qs-top-uni-wur</t>
        </is>
      </c>
      <c r="H93" s="10" t="inlineStr">
        <is>
          <t>n.a.</t>
        </is>
      </c>
      <c r="I93" s="80">
        <f>COUNTIF('Legacy schemes (v3)'!$B$7:$B$158,B93)</f>
        <v/>
      </c>
      <c r="J93" s="80">
        <f>COUNTIFS('Legacy schemes (v3)'!$B$7:$B$158,B93,'Legacy schemes (v3)'!$C$7:$C$158,"University-wide")</f>
        <v/>
      </c>
      <c r="K93" s="80">
        <f>COUNTIFS('Legacy schemes (v3)'!$B$7:$B$158,B93,'Legacy schemes (v3)'!$C$7:$C$158,"Cross-faculty")+COUNTIFS('Legacy schemes (v3)'!$B$7:$B$158,B93,'Legacy schemes (v3)'!$C$7:$C$158,"Faculty/school")+COUNTIFS('Legacy schemes (v3)'!$B$7:$B$158,B93,'Legacy schemes (v3)'!$C$7:$C$158,"Programme/course")</f>
        <v/>
      </c>
      <c r="L93" s="80">
        <f>COUNTIFS('Legacy schemes (v3)'!$B$7:$B$158,B93,'Legacy schemes (v3)'!$C$7:$C$158,"Not confirmed")</f>
        <v/>
      </c>
      <c r="M93" s="10">
        <f>IF(J93&gt;0,"University-wide scheme/framework documented",IF(COUNTIFS('Legacy schemes (v3)'!$B$7:$B$158,B93,'Legacy schemes (v3)'!$C$7:$C$158,"Cross-faculty")&gt;0,"Cross-faculty; broader reach unverified",IF(COUNTIFS('Legacy schemes (v3)'!$B$7:$B$158,B93,'Legacy schemes (v3)'!$C$7:$C$158,"Faculty/school")&gt;0,"Faculty/school; broader reach unverified",IF(K93&gt;0,"Programme/course; broader reach unverified","Scheme documented; reach unconfirmed"))))</f>
        <v/>
      </c>
      <c r="N93" s="32" t="inlineStr">
        <is>
          <t>US23</t>
        </is>
      </c>
      <c r="O93" s="77" t="inlineStr"/>
    </row>
    <row r="94" ht="53" customHeight="1">
      <c r="A94" s="10" t="inlineStr">
        <is>
          <t>US</t>
        </is>
      </c>
      <c r="B94" s="11" t="inlineStr">
        <is>
          <t>Georgia Institute of Technology</t>
        </is>
      </c>
      <c r="C94" s="10" t="inlineStr">
        <is>
          <t>US sample</t>
        </is>
      </c>
      <c r="D94" s="80" t="n">
        <v>2027</v>
      </c>
      <c r="E94" s="80" t="n">
        <v>142</v>
      </c>
      <c r="F94" s="10" t="inlineStr">
        <is>
          <t>Yes</t>
        </is>
      </c>
      <c r="G94" s="10" t="inlineStr">
        <is>
          <t>https://www.topuniversities.com/qs-top-uni-wur</t>
        </is>
      </c>
      <c r="H94" s="10" t="inlineStr">
        <is>
          <t>n.a.</t>
        </is>
      </c>
      <c r="I94" s="80">
        <f>COUNTIF('Legacy schemes (v3)'!$B$7:$B$158,B94)</f>
        <v/>
      </c>
      <c r="J94" s="80">
        <f>COUNTIFS('Legacy schemes (v3)'!$B$7:$B$158,B94,'Legacy schemes (v3)'!$C$7:$C$158,"University-wide")</f>
        <v/>
      </c>
      <c r="K94" s="80">
        <f>COUNTIFS('Legacy schemes (v3)'!$B$7:$B$158,B94,'Legacy schemes (v3)'!$C$7:$C$158,"Cross-faculty")+COUNTIFS('Legacy schemes (v3)'!$B$7:$B$158,B94,'Legacy schemes (v3)'!$C$7:$C$158,"Faculty/school")+COUNTIFS('Legacy schemes (v3)'!$B$7:$B$158,B94,'Legacy schemes (v3)'!$C$7:$C$158,"Programme/course")</f>
        <v/>
      </c>
      <c r="L94" s="80">
        <f>COUNTIFS('Legacy schemes (v3)'!$B$7:$B$158,B94,'Legacy schemes (v3)'!$C$7:$C$158,"Not confirmed")</f>
        <v/>
      </c>
      <c r="M94" s="10">
        <f>IF(J94&gt;0,"University-wide scheme/framework documented",IF(COUNTIFS('Legacy schemes (v3)'!$B$7:$B$158,B94,'Legacy schemes (v3)'!$C$7:$C$158,"Cross-faculty")&gt;0,"Cross-faculty; broader reach unverified",IF(COUNTIFS('Legacy schemes (v3)'!$B$7:$B$158,B94,'Legacy schemes (v3)'!$C$7:$C$158,"Faculty/school")&gt;0,"Faculty/school; broader reach unverified",IF(K94&gt;0,"Programme/course; broader reach unverified","Scheme documented; reach unconfirmed"))))</f>
        <v/>
      </c>
      <c r="N94" s="32" t="inlineStr">
        <is>
          <t>US24</t>
        </is>
      </c>
      <c r="O94" s="77" t="inlineStr"/>
    </row>
    <row r="95" ht="53" customHeight="1">
      <c r="A95" s="10" t="inlineStr">
        <is>
          <t>US</t>
        </is>
      </c>
      <c r="B95" s="11" t="inlineStr">
        <is>
          <t>Purdue</t>
        </is>
      </c>
      <c r="C95" s="10" t="inlineStr">
        <is>
          <t>US sample</t>
        </is>
      </c>
      <c r="D95" s="80" t="n">
        <v>2027</v>
      </c>
      <c r="E95" s="80" t="n">
        <v>100</v>
      </c>
      <c r="F95" s="10" t="inlineStr">
        <is>
          <t>Yes</t>
        </is>
      </c>
      <c r="G95" s="10" t="inlineStr">
        <is>
          <t>https://www.topuniversities.com/qs-top-uni-wur</t>
        </is>
      </c>
      <c r="H95" s="10" t="inlineStr">
        <is>
          <t>n.a.</t>
        </is>
      </c>
      <c r="I95" s="80">
        <f>COUNTIF('Legacy schemes (v3)'!$B$7:$B$158,B95)</f>
        <v/>
      </c>
      <c r="J95" s="80">
        <f>COUNTIFS('Legacy schemes (v3)'!$B$7:$B$158,B95,'Legacy schemes (v3)'!$C$7:$C$158,"University-wide")</f>
        <v/>
      </c>
      <c r="K95" s="80">
        <f>COUNTIFS('Legacy schemes (v3)'!$B$7:$B$158,B95,'Legacy schemes (v3)'!$C$7:$C$158,"Cross-faculty")+COUNTIFS('Legacy schemes (v3)'!$B$7:$B$158,B95,'Legacy schemes (v3)'!$C$7:$C$158,"Faculty/school")+COUNTIFS('Legacy schemes (v3)'!$B$7:$B$158,B95,'Legacy schemes (v3)'!$C$7:$C$158,"Programme/course")</f>
        <v/>
      </c>
      <c r="L95" s="80">
        <f>COUNTIFS('Legacy schemes (v3)'!$B$7:$B$158,B95,'Legacy schemes (v3)'!$C$7:$C$158,"Not confirmed")</f>
        <v/>
      </c>
      <c r="M95" s="10">
        <f>IF(J95&gt;0,"University-wide scheme/framework documented",IF(COUNTIFS('Legacy schemes (v3)'!$B$7:$B$158,B95,'Legacy schemes (v3)'!$C$7:$C$158,"Cross-faculty")&gt;0,"Cross-faculty; broader reach unverified",IF(COUNTIFS('Legacy schemes (v3)'!$B$7:$B$158,B95,'Legacy schemes (v3)'!$C$7:$C$158,"Faculty/school")&gt;0,"Faculty/school; broader reach unverified",IF(K95&gt;0,"Programme/course; broader reach unverified","Scheme documented; reach unconfirmed"))))</f>
        <v/>
      </c>
      <c r="N95" s="32" t="inlineStr">
        <is>
          <t>US25</t>
        </is>
      </c>
      <c r="O95" s="77" t="inlineStr"/>
    </row>
    <row r="96" ht="53" customHeight="1">
      <c r="A96" s="10" t="inlineStr">
        <is>
          <t>US</t>
        </is>
      </c>
      <c r="B96" s="11" t="inlineStr">
        <is>
          <t>Wisconsin Madison</t>
        </is>
      </c>
      <c r="C96" s="10" t="inlineStr">
        <is>
          <t>US sample</t>
        </is>
      </c>
      <c r="D96" s="80" t="n">
        <v>2027</v>
      </c>
      <c r="E96" s="80" t="n">
        <v>131</v>
      </c>
      <c r="F96" s="10" t="inlineStr">
        <is>
          <t>Yes</t>
        </is>
      </c>
      <c r="G96" s="10" t="inlineStr">
        <is>
          <t>https://www.topuniversities.com/qs-top-uni-wur</t>
        </is>
      </c>
      <c r="H96" s="10" t="inlineStr">
        <is>
          <t>n.a.</t>
        </is>
      </c>
      <c r="I96" s="80">
        <f>COUNTIF('Legacy schemes (v3)'!$B$7:$B$158,B96)</f>
        <v/>
      </c>
      <c r="J96" s="80">
        <f>COUNTIFS('Legacy schemes (v3)'!$B$7:$B$158,B96,'Legacy schemes (v3)'!$C$7:$C$158,"University-wide")</f>
        <v/>
      </c>
      <c r="K96" s="80">
        <f>COUNTIFS('Legacy schemes (v3)'!$B$7:$B$158,B96,'Legacy schemes (v3)'!$C$7:$C$158,"Cross-faculty")+COUNTIFS('Legacy schemes (v3)'!$B$7:$B$158,B96,'Legacy schemes (v3)'!$C$7:$C$158,"Faculty/school")+COUNTIFS('Legacy schemes (v3)'!$B$7:$B$158,B96,'Legacy schemes (v3)'!$C$7:$C$158,"Programme/course")</f>
        <v/>
      </c>
      <c r="L96" s="80">
        <f>COUNTIFS('Legacy schemes (v3)'!$B$7:$B$158,B96,'Legacy schemes (v3)'!$C$7:$C$158,"Not confirmed")</f>
        <v/>
      </c>
      <c r="M96" s="10">
        <f>IF(J96&gt;0,"University-wide scheme/framework documented",IF(COUNTIFS('Legacy schemes (v3)'!$B$7:$B$158,B96,'Legacy schemes (v3)'!$C$7:$C$158,"Cross-faculty")&gt;0,"Cross-faculty; broader reach unverified",IF(COUNTIFS('Legacy schemes (v3)'!$B$7:$B$158,B96,'Legacy schemes (v3)'!$C$7:$C$158,"Faculty/school")&gt;0,"Faculty/school; broader reach unverified",IF(K96&gt;0,"Programme/course; broader reach unverified","Scheme documented; reach unconfirmed"))))</f>
        <v/>
      </c>
      <c r="N96" s="32" t="inlineStr">
        <is>
          <t>US26</t>
        </is>
      </c>
      <c r="O96" s="77" t="inlineStr"/>
    </row>
    <row r="97" ht="53" customHeight="1">
      <c r="A97" s="10" t="inlineStr">
        <is>
          <t>US</t>
        </is>
      </c>
      <c r="B97" s="11" t="inlineStr">
        <is>
          <t>Washington</t>
        </is>
      </c>
      <c r="C97" s="10" t="inlineStr">
        <is>
          <t>US sample</t>
        </is>
      </c>
      <c r="D97" s="80" t="n">
        <v>2027</v>
      </c>
      <c r="E97" s="80" t="n">
        <v>92</v>
      </c>
      <c r="F97" s="10" t="inlineStr">
        <is>
          <t>Yes</t>
        </is>
      </c>
      <c r="G97" s="10" t="inlineStr">
        <is>
          <t>https://www.topuniversities.com/qs-top-uni-wur</t>
        </is>
      </c>
      <c r="H97" s="10" t="inlineStr">
        <is>
          <t>n.a.</t>
        </is>
      </c>
      <c r="I97" s="80">
        <f>COUNTIF('Legacy schemes (v3)'!$B$7:$B$158,B97)</f>
        <v/>
      </c>
      <c r="J97" s="80">
        <f>COUNTIFS('Legacy schemes (v3)'!$B$7:$B$158,B97,'Legacy schemes (v3)'!$C$7:$C$158,"University-wide")</f>
        <v/>
      </c>
      <c r="K97" s="80">
        <f>COUNTIFS('Legacy schemes (v3)'!$B$7:$B$158,B97,'Legacy schemes (v3)'!$C$7:$C$158,"Cross-faculty")+COUNTIFS('Legacy schemes (v3)'!$B$7:$B$158,B97,'Legacy schemes (v3)'!$C$7:$C$158,"Faculty/school")+COUNTIFS('Legacy schemes (v3)'!$B$7:$B$158,B97,'Legacy schemes (v3)'!$C$7:$C$158,"Programme/course")</f>
        <v/>
      </c>
      <c r="L97" s="80">
        <f>COUNTIFS('Legacy schemes (v3)'!$B$7:$B$158,B97,'Legacy schemes (v3)'!$C$7:$C$158,"Not confirmed")</f>
        <v/>
      </c>
      <c r="M97" s="10">
        <f>IF(J97&gt;0,"University-wide scheme/framework documented",IF(COUNTIFS('Legacy schemes (v3)'!$B$7:$B$158,B97,'Legacy schemes (v3)'!$C$7:$C$158,"Cross-faculty")&gt;0,"Cross-faculty; broader reach unverified",IF(COUNTIFS('Legacy schemes (v3)'!$B$7:$B$158,B97,'Legacy schemes (v3)'!$C$7:$C$158,"Faculty/school")&gt;0,"Faculty/school; broader reach unverified",IF(K97&gt;0,"Programme/course; broader reach unverified","Scheme documented; reach unconfirmed"))))</f>
        <v/>
      </c>
      <c r="N97" s="32" t="inlineStr">
        <is>
          <t>US27</t>
        </is>
      </c>
      <c r="O97" s="77" t="inlineStr"/>
    </row>
    <row r="98" ht="53" customHeight="1">
      <c r="A98" s="10" t="inlineStr">
        <is>
          <t>US</t>
        </is>
      </c>
      <c r="B98" s="11" t="inlineStr">
        <is>
          <t>Boston University</t>
        </is>
      </c>
      <c r="C98" s="10" t="inlineStr">
        <is>
          <t>US sample</t>
        </is>
      </c>
      <c r="D98" s="80" t="n">
        <v>2027</v>
      </c>
      <c r="E98" s="80" t="n">
        <v>94</v>
      </c>
      <c r="F98" s="10" t="inlineStr">
        <is>
          <t>No</t>
        </is>
      </c>
      <c r="G98" s="10" t="inlineStr">
        <is>
          <t>https://www.topuniversities.com/qs-top-uni-wur</t>
        </is>
      </c>
      <c r="H98" s="10" t="inlineStr">
        <is>
          <t>n.a.</t>
        </is>
      </c>
      <c r="I98" s="80">
        <f>COUNTIF('Legacy schemes (v3)'!$B$7:$B$158,B98)</f>
        <v/>
      </c>
      <c r="J98" s="80">
        <f>COUNTIFS('Legacy schemes (v3)'!$B$7:$B$158,B98,'Legacy schemes (v3)'!$C$7:$C$158,"University-wide")</f>
        <v/>
      </c>
      <c r="K98" s="80">
        <f>COUNTIFS('Legacy schemes (v3)'!$B$7:$B$158,B98,'Legacy schemes (v3)'!$C$7:$C$158,"Cross-faculty")+COUNTIFS('Legacy schemes (v3)'!$B$7:$B$158,B98,'Legacy schemes (v3)'!$C$7:$C$158,"Faculty/school")+COUNTIFS('Legacy schemes (v3)'!$B$7:$B$158,B98,'Legacy schemes (v3)'!$C$7:$C$158,"Programme/course")</f>
        <v/>
      </c>
      <c r="L98" s="80">
        <f>COUNTIFS('Legacy schemes (v3)'!$B$7:$B$158,B98,'Legacy schemes (v3)'!$C$7:$C$158,"Not confirmed")</f>
        <v/>
      </c>
      <c r="M98" s="10">
        <f>IF(J98&gt;0,"University-wide scheme/framework documented",IF(COUNTIFS('Legacy schemes (v3)'!$B$7:$B$158,B98,'Legacy schemes (v3)'!$C$7:$C$158,"Cross-faculty")&gt;0,"Cross-faculty; broader reach unverified",IF(COUNTIFS('Legacy schemes (v3)'!$B$7:$B$158,B98,'Legacy schemes (v3)'!$C$7:$C$158,"Faculty/school")&gt;0,"Faculty/school; broader reach unverified",IF(K98&gt;0,"Programme/course; broader reach unverified","Scheme documented; reach unconfirmed"))))</f>
        <v/>
      </c>
      <c r="N98" s="32" t="inlineStr">
        <is>
          <t>US28</t>
        </is>
      </c>
      <c r="O98" s="77" t="inlineStr"/>
    </row>
    <row r="99" ht="53" customHeight="1">
      <c r="A99" s="10" t="inlineStr">
        <is>
          <t>US</t>
        </is>
      </c>
      <c r="B99" s="11" t="inlineStr">
        <is>
          <t>Pennsylvania State</t>
        </is>
      </c>
      <c r="C99" s="10" t="inlineStr">
        <is>
          <t>US sample</t>
        </is>
      </c>
      <c r="D99" s="80" t="n">
        <v>2027</v>
      </c>
      <c r="E99" s="80" t="n">
        <v>92</v>
      </c>
      <c r="F99" s="10" t="inlineStr">
        <is>
          <t>Yes</t>
        </is>
      </c>
      <c r="G99" s="10" t="inlineStr">
        <is>
          <t>https://www.topuniversities.com/qs-top-uni-wur</t>
        </is>
      </c>
      <c r="H99" s="10" t="inlineStr">
        <is>
          <t>n.a.</t>
        </is>
      </c>
      <c r="I99" s="80">
        <f>COUNTIF('Legacy schemes (v3)'!$B$7:$B$158,B99)</f>
        <v/>
      </c>
      <c r="J99" s="80">
        <f>COUNTIFS('Legacy schemes (v3)'!$B$7:$B$158,B99,'Legacy schemes (v3)'!$C$7:$C$158,"University-wide")</f>
        <v/>
      </c>
      <c r="K99" s="80">
        <f>COUNTIFS('Legacy schemes (v3)'!$B$7:$B$158,B99,'Legacy schemes (v3)'!$C$7:$C$158,"Cross-faculty")+COUNTIFS('Legacy schemes (v3)'!$B$7:$B$158,B99,'Legacy schemes (v3)'!$C$7:$C$158,"Faculty/school")+COUNTIFS('Legacy schemes (v3)'!$B$7:$B$158,B99,'Legacy schemes (v3)'!$C$7:$C$158,"Programme/course")</f>
        <v/>
      </c>
      <c r="L99" s="80">
        <f>COUNTIFS('Legacy schemes (v3)'!$B$7:$B$158,B99,'Legacy schemes (v3)'!$C$7:$C$158,"Not confirmed")</f>
        <v/>
      </c>
      <c r="M99" s="10">
        <f>IF(J99&gt;0,"University-wide scheme/framework documented",IF(COUNTIFS('Legacy schemes (v3)'!$B$7:$B$158,B99,'Legacy schemes (v3)'!$C$7:$C$158,"Cross-faculty")&gt;0,"Cross-faculty; broader reach unverified",IF(COUNTIFS('Legacy schemes (v3)'!$B$7:$B$158,B99,'Legacy schemes (v3)'!$C$7:$C$158,"Faculty/school")&gt;0,"Faculty/school; broader reach unverified",IF(K99&gt;0,"Programme/course; broader reach unverified","Scheme documented; reach unconfirmed"))))</f>
        <v/>
      </c>
      <c r="N99" s="32" t="inlineStr">
        <is>
          <t>US29</t>
        </is>
      </c>
      <c r="O99" s="77" t="inlineStr"/>
    </row>
    <row r="100" ht="53" customHeight="1">
      <c r="A100" s="10" t="inlineStr">
        <is>
          <t>US</t>
        </is>
      </c>
      <c r="B100" s="11" t="inlineStr">
        <is>
          <t>Ohio State</t>
        </is>
      </c>
      <c r="C100" s="10" t="inlineStr">
        <is>
          <t>US sample</t>
        </is>
      </c>
      <c r="D100" s="80" t="n">
        <v>2027</v>
      </c>
      <c r="E100" s="80" t="n">
        <v>201</v>
      </c>
      <c r="F100" s="10" t="inlineStr">
        <is>
          <t>Yes</t>
        </is>
      </c>
      <c r="G100" s="10" t="inlineStr">
        <is>
          <t>https://www.topuniversities.com/universities/ohio-state-university</t>
        </is>
      </c>
      <c r="H100" s="10" t="inlineStr">
        <is>
          <t>n.a.</t>
        </is>
      </c>
      <c r="I100" s="80">
        <f>COUNTIF('Legacy schemes (v3)'!$B$7:$B$158,B100)</f>
        <v/>
      </c>
      <c r="J100" s="80">
        <f>COUNTIFS('Legacy schemes (v3)'!$B$7:$B$158,B100,'Legacy schemes (v3)'!$C$7:$C$158,"University-wide")</f>
        <v/>
      </c>
      <c r="K100" s="80">
        <f>COUNTIFS('Legacy schemes (v3)'!$B$7:$B$158,B100,'Legacy schemes (v3)'!$C$7:$C$158,"Cross-faculty")+COUNTIFS('Legacy schemes (v3)'!$B$7:$B$158,B100,'Legacy schemes (v3)'!$C$7:$C$158,"Faculty/school")+COUNTIFS('Legacy schemes (v3)'!$B$7:$B$158,B100,'Legacy schemes (v3)'!$C$7:$C$158,"Programme/course")</f>
        <v/>
      </c>
      <c r="L100" s="80">
        <f>COUNTIFS('Legacy schemes (v3)'!$B$7:$B$158,B100,'Legacy schemes (v3)'!$C$7:$C$158,"Not confirmed")</f>
        <v/>
      </c>
      <c r="M100" s="10">
        <f>IF(J100&gt;0,"University-wide scheme/framework documented",IF(COUNTIFS('Legacy schemes (v3)'!$B$7:$B$158,B100,'Legacy schemes (v3)'!$C$7:$C$158,"Cross-faculty")&gt;0,"Cross-faculty; broader reach unverified",IF(COUNTIFS('Legacy schemes (v3)'!$B$7:$B$158,B100,'Legacy schemes (v3)'!$C$7:$C$158,"Faculty/school")&gt;0,"Faculty/school; broader reach unverified",IF(K100&gt;0,"Programme/course; broader reach unverified","Scheme documented; reach unconfirmed"))))</f>
        <v/>
      </c>
      <c r="N100" s="32" t="inlineStr">
        <is>
          <t>US30</t>
        </is>
      </c>
      <c r="O100" s="77" t="inlineStr">
        <is>
          <t>QS source is an institution profile page rather than the ranking table; rank 201 sits at the edge of the published table.</t>
        </is>
      </c>
    </row>
    <row r="101" ht="53" customHeight="1">
      <c r="A101" s="10" t="inlineStr">
        <is>
          <t>France</t>
        </is>
      </c>
      <c r="B101" s="11" t="inlineStr">
        <is>
          <t>PSL</t>
        </is>
      </c>
      <c r="C101" s="10" t="inlineStr">
        <is>
          <t>EU sample</t>
        </is>
      </c>
      <c r="D101" s="80" t="n">
        <v>2027</v>
      </c>
      <c r="E101" s="80" t="n">
        <v>34</v>
      </c>
      <c r="F101" s="10" t="inlineStr">
        <is>
          <t>No</t>
        </is>
      </c>
      <c r="G101" s="10" t="inlineStr">
        <is>
          <t>https://www.topuniversities.com/qs-top-uni-wur</t>
        </is>
      </c>
      <c r="H101" s="10" t="inlineStr">
        <is>
          <t>n.a.</t>
        </is>
      </c>
      <c r="I101" s="80">
        <f>COUNTIF('Legacy schemes (v3)'!$B$7:$B$158,B101)</f>
        <v/>
      </c>
      <c r="J101" s="80">
        <f>COUNTIFS('Legacy schemes (v3)'!$B$7:$B$158,B101,'Legacy schemes (v3)'!$C$7:$C$158,"University-wide")</f>
        <v/>
      </c>
      <c r="K101" s="80">
        <f>COUNTIFS('Legacy schemes (v3)'!$B$7:$B$158,B101,'Legacy schemes (v3)'!$C$7:$C$158,"Cross-faculty")+COUNTIFS('Legacy schemes (v3)'!$B$7:$B$158,B101,'Legacy schemes (v3)'!$C$7:$C$158,"Faculty/school")+COUNTIFS('Legacy schemes (v3)'!$B$7:$B$158,B101,'Legacy schemes (v3)'!$C$7:$C$158,"Programme/course")</f>
        <v/>
      </c>
      <c r="L101" s="80">
        <f>COUNTIFS('Legacy schemes (v3)'!$B$7:$B$158,B101,'Legacy schemes (v3)'!$C$7:$C$158,"Not confirmed")</f>
        <v/>
      </c>
      <c r="M101" s="10">
        <f>IF(J101&gt;0,"University-wide scheme/framework documented",IF(COUNTIFS('Legacy schemes (v3)'!$B$7:$B$158,B101,'Legacy schemes (v3)'!$C$7:$C$158,"Cross-faculty")&gt;0,"Cross-faculty; broader reach unverified",IF(COUNTIFS('Legacy schemes (v3)'!$B$7:$B$158,B101,'Legacy schemes (v3)'!$C$7:$C$158,"Faculty/school")&gt;0,"Faculty/school; broader reach unverified",IF(K101&gt;0,"Programme/course; broader reach unverified","Scheme documented; reach unconfirmed"))))</f>
        <v/>
      </c>
      <c r="N101" s="32" t="inlineStr">
        <is>
          <t>EU01</t>
        </is>
      </c>
      <c r="O101" s="77" t="inlineStr"/>
    </row>
    <row r="102" ht="53" customHeight="1">
      <c r="A102" s="10" t="inlineStr">
        <is>
          <t>France</t>
        </is>
      </c>
      <c r="B102" s="11" t="inlineStr">
        <is>
          <t>Paris-Saclay</t>
        </is>
      </c>
      <c r="C102" s="10" t="inlineStr">
        <is>
          <t>EU sample</t>
        </is>
      </c>
      <c r="D102" s="80" t="n">
        <v>2027</v>
      </c>
      <c r="E102" s="80" t="n">
        <v>76</v>
      </c>
      <c r="F102" s="10" t="inlineStr">
        <is>
          <t>No</t>
        </is>
      </c>
      <c r="G102" s="10" t="inlineStr">
        <is>
          <t>https://www.topuniversities.com/qs-top-uni-wur</t>
        </is>
      </c>
      <c r="H102" s="10" t="inlineStr">
        <is>
          <t>n.a.</t>
        </is>
      </c>
      <c r="I102" s="80">
        <f>COUNTIF('Legacy schemes (v3)'!$B$7:$B$158,B102)</f>
        <v/>
      </c>
      <c r="J102" s="80">
        <f>COUNTIFS('Legacy schemes (v3)'!$B$7:$B$158,B102,'Legacy schemes (v3)'!$C$7:$C$158,"University-wide")</f>
        <v/>
      </c>
      <c r="K102" s="80">
        <f>COUNTIFS('Legacy schemes (v3)'!$B$7:$B$158,B102,'Legacy schemes (v3)'!$C$7:$C$158,"Cross-faculty")+COUNTIFS('Legacy schemes (v3)'!$B$7:$B$158,B102,'Legacy schemes (v3)'!$C$7:$C$158,"Faculty/school")+COUNTIFS('Legacy schemes (v3)'!$B$7:$B$158,B102,'Legacy schemes (v3)'!$C$7:$C$158,"Programme/course")</f>
        <v/>
      </c>
      <c r="L102" s="80">
        <f>COUNTIFS('Legacy schemes (v3)'!$B$7:$B$158,B102,'Legacy schemes (v3)'!$C$7:$C$158,"Not confirmed")</f>
        <v/>
      </c>
      <c r="M102" s="10">
        <f>IF(J102&gt;0,"University-wide scheme/framework documented",IF(COUNTIFS('Legacy schemes (v3)'!$B$7:$B$158,B102,'Legacy schemes (v3)'!$C$7:$C$158,"Cross-faculty")&gt;0,"Cross-faculty; broader reach unverified",IF(COUNTIFS('Legacy schemes (v3)'!$B$7:$B$158,B102,'Legacy schemes (v3)'!$C$7:$C$158,"Faculty/school")&gt;0,"Faculty/school; broader reach unverified",IF(K102&gt;0,"Programme/course; broader reach unverified","Scheme documented; reach unconfirmed"))))</f>
        <v/>
      </c>
      <c r="N102" s="32" t="inlineStr">
        <is>
          <t>EU02</t>
        </is>
      </c>
      <c r="O102" s="77" t="inlineStr"/>
    </row>
    <row r="103" ht="53" customHeight="1">
      <c r="A103" s="10" t="inlineStr">
        <is>
          <t>France</t>
        </is>
      </c>
      <c r="B103" s="11" t="inlineStr">
        <is>
          <t>Sorbonne University</t>
        </is>
      </c>
      <c r="C103" s="10" t="inlineStr">
        <is>
          <t>EU sample</t>
        </is>
      </c>
      <c r="D103" s="80" t="n">
        <v>2027</v>
      </c>
      <c r="E103" s="80" t="n">
        <v>73</v>
      </c>
      <c r="F103" s="10" t="inlineStr">
        <is>
          <t>No</t>
        </is>
      </c>
      <c r="G103" s="10" t="inlineStr">
        <is>
          <t>https://www.topuniversities.com/qs-top-uni-wur</t>
        </is>
      </c>
      <c r="H103" s="10" t="inlineStr">
        <is>
          <t>n.a.</t>
        </is>
      </c>
      <c r="I103" s="80">
        <f>COUNTIF('Legacy schemes (v3)'!$B$7:$B$158,B103)</f>
        <v/>
      </c>
      <c r="J103" s="80">
        <f>COUNTIFS('Legacy schemes (v3)'!$B$7:$B$158,B103,'Legacy schemes (v3)'!$C$7:$C$158,"University-wide")</f>
        <v/>
      </c>
      <c r="K103" s="80">
        <f>COUNTIFS('Legacy schemes (v3)'!$B$7:$B$158,B103,'Legacy schemes (v3)'!$C$7:$C$158,"Cross-faculty")+COUNTIFS('Legacy schemes (v3)'!$B$7:$B$158,B103,'Legacy schemes (v3)'!$C$7:$C$158,"Faculty/school")+COUNTIFS('Legacy schemes (v3)'!$B$7:$B$158,B103,'Legacy schemes (v3)'!$C$7:$C$158,"Programme/course")</f>
        <v/>
      </c>
      <c r="L103" s="80">
        <f>COUNTIFS('Legacy schemes (v3)'!$B$7:$B$158,B103,'Legacy schemes (v3)'!$C$7:$C$158,"Not confirmed")</f>
        <v/>
      </c>
      <c r="M103" s="10">
        <f>IF(J103&gt;0,"University-wide scheme/framework documented",IF(COUNTIFS('Legacy schemes (v3)'!$B$7:$B$158,B103,'Legacy schemes (v3)'!$C$7:$C$158,"Cross-faculty")&gt;0,"Cross-faculty; broader reach unverified",IF(COUNTIFS('Legacy schemes (v3)'!$B$7:$B$158,B103,'Legacy schemes (v3)'!$C$7:$C$158,"Faculty/school")&gt;0,"Faculty/school; broader reach unverified",IF(K103&gt;0,"Programme/course; broader reach unverified","Scheme documented; reach unconfirmed"))))</f>
        <v/>
      </c>
      <c r="N103" s="32" t="inlineStr">
        <is>
          <t>EU03</t>
        </is>
      </c>
      <c r="O103" s="77" t="inlineStr"/>
    </row>
    <row r="104" ht="53" customHeight="1">
      <c r="A104" s="10" t="inlineStr">
        <is>
          <t>France</t>
        </is>
      </c>
      <c r="B104" s="11" t="inlineStr">
        <is>
          <t>Institut Polytechnique de Paris</t>
        </is>
      </c>
      <c r="C104" s="10" t="inlineStr">
        <is>
          <t>EU sample</t>
        </is>
      </c>
      <c r="D104" s="80" t="n">
        <v>2027</v>
      </c>
      <c r="E104" s="80" t="n">
        <v>43</v>
      </c>
      <c r="F104" s="10" t="inlineStr">
        <is>
          <t>Yes</t>
        </is>
      </c>
      <c r="G104" s="10" t="inlineStr">
        <is>
          <t>https://www.topuniversities.com/qs-top-uni-wur</t>
        </is>
      </c>
      <c r="H104" s="10" t="inlineStr">
        <is>
          <t>n.a.</t>
        </is>
      </c>
      <c r="I104" s="80">
        <f>COUNTIF('Legacy schemes (v3)'!$B$7:$B$158,B104)</f>
        <v/>
      </c>
      <c r="J104" s="80">
        <f>COUNTIFS('Legacy schemes (v3)'!$B$7:$B$158,B104,'Legacy schemes (v3)'!$C$7:$C$158,"University-wide")</f>
        <v/>
      </c>
      <c r="K104" s="80">
        <f>COUNTIFS('Legacy schemes (v3)'!$B$7:$B$158,B104,'Legacy schemes (v3)'!$C$7:$C$158,"Cross-faculty")+COUNTIFS('Legacy schemes (v3)'!$B$7:$B$158,B104,'Legacy schemes (v3)'!$C$7:$C$158,"Faculty/school")+COUNTIFS('Legacy schemes (v3)'!$B$7:$B$158,B104,'Legacy schemes (v3)'!$C$7:$C$158,"Programme/course")</f>
        <v/>
      </c>
      <c r="L104" s="80">
        <f>COUNTIFS('Legacy schemes (v3)'!$B$7:$B$158,B104,'Legacy schemes (v3)'!$C$7:$C$158,"Not confirmed")</f>
        <v/>
      </c>
      <c r="M104" s="10">
        <f>IF(J104&gt;0,"University-wide scheme/framework documented",IF(COUNTIFS('Legacy schemes (v3)'!$B$7:$B$158,B104,'Legacy schemes (v3)'!$C$7:$C$158,"Cross-faculty")&gt;0,"Cross-faculty; broader reach unverified",IF(COUNTIFS('Legacy schemes (v3)'!$B$7:$B$158,B104,'Legacy schemes (v3)'!$C$7:$C$158,"Faculty/school")&gt;0,"Faculty/school; broader reach unverified",IF(K104&gt;0,"Programme/course; broader reach unverified","Scheme documented; reach unconfirmed"))))</f>
        <v/>
      </c>
      <c r="N104" s="32" t="inlineStr">
        <is>
          <t>EU04</t>
        </is>
      </c>
      <c r="O104" s="77" t="inlineStr"/>
    </row>
    <row r="105" ht="53" customHeight="1">
      <c r="A105" s="10" t="inlineStr">
        <is>
          <t>France</t>
        </is>
      </c>
      <c r="B105" s="11" t="inlineStr">
        <is>
          <t>Sciences Po</t>
        </is>
      </c>
      <c r="C105" s="10" t="inlineStr">
        <is>
          <t>EU sample</t>
        </is>
      </c>
      <c r="D105" s="80" t="n">
        <v>2027</v>
      </c>
      <c r="E105" s="80" t="n">
        <v>354</v>
      </c>
      <c r="F105" s="10" t="inlineStr">
        <is>
          <t>Yes</t>
        </is>
      </c>
      <c r="G105" s="10" t="inlineStr">
        <is>
          <t>https://www.topuniversities.com/universities/sciences-po</t>
        </is>
      </c>
      <c r="H105" s="10" t="inlineStr">
        <is>
          <t>n.a.</t>
        </is>
      </c>
      <c r="I105" s="80">
        <f>COUNTIF('Legacy schemes (v3)'!$B$7:$B$158,B105)</f>
        <v/>
      </c>
      <c r="J105" s="80">
        <f>COUNTIFS('Legacy schemes (v3)'!$B$7:$B$158,B105,'Legacy schemes (v3)'!$C$7:$C$158,"University-wide")</f>
        <v/>
      </c>
      <c r="K105" s="80">
        <f>COUNTIFS('Legacy schemes (v3)'!$B$7:$B$158,B105,'Legacy schemes (v3)'!$C$7:$C$158,"Cross-faculty")+COUNTIFS('Legacy schemes (v3)'!$B$7:$B$158,B105,'Legacy schemes (v3)'!$C$7:$C$158,"Faculty/school")+COUNTIFS('Legacy schemes (v3)'!$B$7:$B$158,B105,'Legacy schemes (v3)'!$C$7:$C$158,"Programme/course")</f>
        <v/>
      </c>
      <c r="L105" s="80">
        <f>COUNTIFS('Legacy schemes (v3)'!$B$7:$B$158,B105,'Legacy schemes (v3)'!$C$7:$C$158,"Not confirmed")</f>
        <v/>
      </c>
      <c r="M105" s="10">
        <f>IF(J105&gt;0,"University-wide scheme/framework documented",IF(COUNTIFS('Legacy schemes (v3)'!$B$7:$B$158,B105,'Legacy schemes (v3)'!$C$7:$C$158,"Cross-faculty")&gt;0,"Cross-faculty; broader reach unverified",IF(COUNTIFS('Legacy schemes (v3)'!$B$7:$B$158,B105,'Legacy schemes (v3)'!$C$7:$C$158,"Faculty/school")&gt;0,"Faculty/school; broader reach unverified",IF(K105&gt;0,"Programme/course; broader reach unverified","Scheme documented; reach unconfirmed"))))</f>
        <v/>
      </c>
      <c r="N105" s="32" t="inlineStr">
        <is>
          <t>EU05</t>
        </is>
      </c>
      <c r="O105" s="77" t="inlineStr">
        <is>
          <t>QS rank sourced from institution profile page (not ranking table); not re-verified in this review.</t>
        </is>
      </c>
    </row>
    <row r="106" ht="53" customHeight="1">
      <c r="A106" s="10" t="inlineStr">
        <is>
          <t>Germany</t>
        </is>
      </c>
      <c r="B106" s="11" t="inlineStr">
        <is>
          <t>Technical University of Munich</t>
        </is>
      </c>
      <c r="C106" s="10" t="inlineStr">
        <is>
          <t>EU sample</t>
        </is>
      </c>
      <c r="D106" s="80" t="n">
        <v>2027</v>
      </c>
      <c r="E106" s="80" t="n">
        <v>25</v>
      </c>
      <c r="F106" s="10" t="inlineStr">
        <is>
          <t>No</t>
        </is>
      </c>
      <c r="G106" s="10" t="inlineStr">
        <is>
          <t>https://www.topuniversities.com/qs-top-uni-wur</t>
        </is>
      </c>
      <c r="H106" s="10" t="inlineStr">
        <is>
          <t>n.a.</t>
        </is>
      </c>
      <c r="I106" s="80">
        <f>COUNTIF('Legacy schemes (v3)'!$B$7:$B$158,B106)</f>
        <v/>
      </c>
      <c r="J106" s="80">
        <f>COUNTIFS('Legacy schemes (v3)'!$B$7:$B$158,B106,'Legacy schemes (v3)'!$C$7:$C$158,"University-wide")</f>
        <v/>
      </c>
      <c r="K106" s="80">
        <f>COUNTIFS('Legacy schemes (v3)'!$B$7:$B$158,B106,'Legacy schemes (v3)'!$C$7:$C$158,"Cross-faculty")+COUNTIFS('Legacy schemes (v3)'!$B$7:$B$158,B106,'Legacy schemes (v3)'!$C$7:$C$158,"Faculty/school")+COUNTIFS('Legacy schemes (v3)'!$B$7:$B$158,B106,'Legacy schemes (v3)'!$C$7:$C$158,"Programme/course")</f>
        <v/>
      </c>
      <c r="L106" s="80">
        <f>COUNTIFS('Legacy schemes (v3)'!$B$7:$B$158,B106,'Legacy schemes (v3)'!$C$7:$C$158,"Not confirmed")</f>
        <v/>
      </c>
      <c r="M106" s="10">
        <f>IF(J106&gt;0,"University-wide scheme/framework documented",IF(COUNTIFS('Legacy schemes (v3)'!$B$7:$B$158,B106,'Legacy schemes (v3)'!$C$7:$C$158,"Cross-faculty")&gt;0,"Cross-faculty; broader reach unverified",IF(COUNTIFS('Legacy schemes (v3)'!$B$7:$B$158,B106,'Legacy schemes (v3)'!$C$7:$C$158,"Faculty/school")&gt;0,"Faculty/school; broader reach unverified",IF(K106&gt;0,"Programme/course; broader reach unverified","Scheme documented; reach unconfirmed"))))</f>
        <v/>
      </c>
      <c r="N106" s="32" t="inlineStr">
        <is>
          <t>EU06</t>
        </is>
      </c>
      <c r="O106" s="77" t="inlineStr"/>
    </row>
    <row r="107" ht="53" customHeight="1">
      <c r="A107" s="10" t="inlineStr">
        <is>
          <t>Germany</t>
        </is>
      </c>
      <c r="B107" s="11" t="inlineStr">
        <is>
          <t>LMU Munich</t>
        </is>
      </c>
      <c r="C107" s="10" t="inlineStr">
        <is>
          <t>EU sample</t>
        </is>
      </c>
      <c r="D107" s="80" t="n">
        <v>2027</v>
      </c>
      <c r="E107" s="80" t="n">
        <v>61</v>
      </c>
      <c r="F107" s="10" t="inlineStr">
        <is>
          <t>No</t>
        </is>
      </c>
      <c r="G107" s="10" t="inlineStr">
        <is>
          <t>https://www.topuniversities.com/qs-top-uni-wur</t>
        </is>
      </c>
      <c r="H107" s="10" t="inlineStr">
        <is>
          <t>n.a.</t>
        </is>
      </c>
      <c r="I107" s="80">
        <f>COUNTIF('Legacy schemes (v3)'!$B$7:$B$158,B107)</f>
        <v/>
      </c>
      <c r="J107" s="80">
        <f>COUNTIFS('Legacy schemes (v3)'!$B$7:$B$158,B107,'Legacy schemes (v3)'!$C$7:$C$158,"University-wide")</f>
        <v/>
      </c>
      <c r="K107" s="80">
        <f>COUNTIFS('Legacy schemes (v3)'!$B$7:$B$158,B107,'Legacy schemes (v3)'!$C$7:$C$158,"Cross-faculty")+COUNTIFS('Legacy schemes (v3)'!$B$7:$B$158,B107,'Legacy schemes (v3)'!$C$7:$C$158,"Faculty/school")+COUNTIFS('Legacy schemes (v3)'!$B$7:$B$158,B107,'Legacy schemes (v3)'!$C$7:$C$158,"Programme/course")</f>
        <v/>
      </c>
      <c r="L107" s="80">
        <f>COUNTIFS('Legacy schemes (v3)'!$B$7:$B$158,B107,'Legacy schemes (v3)'!$C$7:$C$158,"Not confirmed")</f>
        <v/>
      </c>
      <c r="M107" s="10">
        <f>IF(J107&gt;0,"University-wide scheme/framework documented",IF(COUNTIFS('Legacy schemes (v3)'!$B$7:$B$158,B107,'Legacy schemes (v3)'!$C$7:$C$158,"Cross-faculty")&gt;0,"Cross-faculty; broader reach unverified",IF(COUNTIFS('Legacy schemes (v3)'!$B$7:$B$158,B107,'Legacy schemes (v3)'!$C$7:$C$158,"Faculty/school")&gt;0,"Faculty/school; broader reach unverified",IF(K107&gt;0,"Programme/course; broader reach unverified","Scheme documented; reach unconfirmed"))))</f>
        <v/>
      </c>
      <c r="N107" s="32" t="inlineStr">
        <is>
          <t>EU07</t>
        </is>
      </c>
      <c r="O107" s="77" t="inlineStr"/>
    </row>
    <row r="108" ht="53" customHeight="1">
      <c r="A108" s="10" t="inlineStr">
        <is>
          <t>Germany</t>
        </is>
      </c>
      <c r="B108" s="11" t="inlineStr">
        <is>
          <t>Heidelberg</t>
        </is>
      </c>
      <c r="C108" s="10" t="inlineStr">
        <is>
          <t>EU sample</t>
        </is>
      </c>
      <c r="D108" s="80" t="n">
        <v>2027</v>
      </c>
      <c r="E108" s="80" t="n">
        <v>86</v>
      </c>
      <c r="F108" s="10" t="inlineStr">
        <is>
          <t>No</t>
        </is>
      </c>
      <c r="G108" s="10" t="inlineStr">
        <is>
          <t>https://www.topuniversities.com/qs-top-uni-wur</t>
        </is>
      </c>
      <c r="H108" s="10" t="inlineStr">
        <is>
          <t>n.a.</t>
        </is>
      </c>
      <c r="I108" s="80">
        <f>COUNTIF('Legacy schemes (v3)'!$B$7:$B$158,B108)</f>
        <v/>
      </c>
      <c r="J108" s="80">
        <f>COUNTIFS('Legacy schemes (v3)'!$B$7:$B$158,B108,'Legacy schemes (v3)'!$C$7:$C$158,"University-wide")</f>
        <v/>
      </c>
      <c r="K108" s="80">
        <f>COUNTIFS('Legacy schemes (v3)'!$B$7:$B$158,B108,'Legacy schemes (v3)'!$C$7:$C$158,"Cross-faculty")+COUNTIFS('Legacy schemes (v3)'!$B$7:$B$158,B108,'Legacy schemes (v3)'!$C$7:$C$158,"Faculty/school")+COUNTIFS('Legacy schemes (v3)'!$B$7:$B$158,B108,'Legacy schemes (v3)'!$C$7:$C$158,"Programme/course")</f>
        <v/>
      </c>
      <c r="L108" s="80">
        <f>COUNTIFS('Legacy schemes (v3)'!$B$7:$B$158,B108,'Legacy schemes (v3)'!$C$7:$C$158,"Not confirmed")</f>
        <v/>
      </c>
      <c r="M108" s="10">
        <f>IF(J108&gt;0,"University-wide scheme/framework documented",IF(COUNTIFS('Legacy schemes (v3)'!$B$7:$B$158,B108,'Legacy schemes (v3)'!$C$7:$C$158,"Cross-faculty")&gt;0,"Cross-faculty; broader reach unverified",IF(COUNTIFS('Legacy schemes (v3)'!$B$7:$B$158,B108,'Legacy schemes (v3)'!$C$7:$C$158,"Faculty/school")&gt;0,"Faculty/school; broader reach unverified",IF(K108&gt;0,"Programme/course; broader reach unverified","Scheme documented; reach unconfirmed"))))</f>
        <v/>
      </c>
      <c r="N108" s="32" t="inlineStr">
        <is>
          <t>EU08</t>
        </is>
      </c>
      <c r="O108" s="77" t="inlineStr"/>
    </row>
    <row r="109" ht="53" customHeight="1">
      <c r="A109" s="10" t="inlineStr">
        <is>
          <t>Germany</t>
        </is>
      </c>
      <c r="B109" s="11" t="inlineStr">
        <is>
          <t>RWTH Aachen</t>
        </is>
      </c>
      <c r="C109" s="10" t="inlineStr">
        <is>
          <t>EU sample</t>
        </is>
      </c>
      <c r="D109" s="80" t="n">
        <v>2027</v>
      </c>
      <c r="E109" s="80" t="n">
        <v>104</v>
      </c>
      <c r="F109" s="10" t="inlineStr">
        <is>
          <t>No</t>
        </is>
      </c>
      <c r="G109" s="10" t="inlineStr">
        <is>
          <t>https://www.topuniversities.com/qs-top-uni-wur</t>
        </is>
      </c>
      <c r="H109" s="10" t="inlineStr">
        <is>
          <t>n.a.</t>
        </is>
      </c>
      <c r="I109" s="80">
        <f>COUNTIF('Legacy schemes (v3)'!$B$7:$B$158,B109)</f>
        <v/>
      </c>
      <c r="J109" s="80">
        <f>COUNTIFS('Legacy schemes (v3)'!$B$7:$B$158,B109,'Legacy schemes (v3)'!$C$7:$C$158,"University-wide")</f>
        <v/>
      </c>
      <c r="K109" s="80">
        <f>COUNTIFS('Legacy schemes (v3)'!$B$7:$B$158,B109,'Legacy schemes (v3)'!$C$7:$C$158,"Cross-faculty")+COUNTIFS('Legacy schemes (v3)'!$B$7:$B$158,B109,'Legacy schemes (v3)'!$C$7:$C$158,"Faculty/school")+COUNTIFS('Legacy schemes (v3)'!$B$7:$B$158,B109,'Legacy schemes (v3)'!$C$7:$C$158,"Programme/course")</f>
        <v/>
      </c>
      <c r="L109" s="80">
        <f>COUNTIFS('Legacy schemes (v3)'!$B$7:$B$158,B109,'Legacy schemes (v3)'!$C$7:$C$158,"Not confirmed")</f>
        <v/>
      </c>
      <c r="M109" s="10">
        <f>IF(J109&gt;0,"University-wide scheme/framework documented",IF(COUNTIFS('Legacy schemes (v3)'!$B$7:$B$158,B109,'Legacy schemes (v3)'!$C$7:$C$158,"Cross-faculty")&gt;0,"Cross-faculty; broader reach unverified",IF(COUNTIFS('Legacy schemes (v3)'!$B$7:$B$158,B109,'Legacy schemes (v3)'!$C$7:$C$158,"Faculty/school")&gt;0,"Faculty/school; broader reach unverified",IF(K109&gt;0,"Programme/course; broader reach unverified","Scheme documented; reach unconfirmed"))))</f>
        <v/>
      </c>
      <c r="N109" s="32" t="inlineStr">
        <is>
          <t>EU09</t>
        </is>
      </c>
      <c r="O109" s="77" t="inlineStr"/>
    </row>
    <row r="110" ht="53" customHeight="1">
      <c r="A110" s="10" t="inlineStr">
        <is>
          <t>Germany</t>
        </is>
      </c>
      <c r="B110" s="11" t="inlineStr">
        <is>
          <t>Karlsruhe Institute of Technology</t>
        </is>
      </c>
      <c r="C110" s="10" t="inlineStr">
        <is>
          <t>EU sample</t>
        </is>
      </c>
      <c r="D110" s="80" t="n">
        <v>2027</v>
      </c>
      <c r="E110" s="80" t="n">
        <v>110</v>
      </c>
      <c r="F110" s="10" t="inlineStr">
        <is>
          <t>No</t>
        </is>
      </c>
      <c r="G110" s="10" t="inlineStr">
        <is>
          <t>https://www.topuniversities.com/qs-top-uni-wur</t>
        </is>
      </c>
      <c r="H110" s="10" t="inlineStr">
        <is>
          <t>n.a.</t>
        </is>
      </c>
      <c r="I110" s="80">
        <f>COUNTIF('Legacy schemes (v3)'!$B$7:$B$158,B110)</f>
        <v/>
      </c>
      <c r="J110" s="80">
        <f>COUNTIFS('Legacy schemes (v3)'!$B$7:$B$158,B110,'Legacy schemes (v3)'!$C$7:$C$158,"University-wide")</f>
        <v/>
      </c>
      <c r="K110" s="80">
        <f>COUNTIFS('Legacy schemes (v3)'!$B$7:$B$158,B110,'Legacy schemes (v3)'!$C$7:$C$158,"Cross-faculty")+COUNTIFS('Legacy schemes (v3)'!$B$7:$B$158,B110,'Legacy schemes (v3)'!$C$7:$C$158,"Faculty/school")+COUNTIFS('Legacy schemes (v3)'!$B$7:$B$158,B110,'Legacy schemes (v3)'!$C$7:$C$158,"Programme/course")</f>
        <v/>
      </c>
      <c r="L110" s="80">
        <f>COUNTIFS('Legacy schemes (v3)'!$B$7:$B$158,B110,'Legacy schemes (v3)'!$C$7:$C$158,"Not confirmed")</f>
        <v/>
      </c>
      <c r="M110" s="10">
        <f>IF(J110&gt;0,"University-wide scheme/framework documented",IF(COUNTIFS('Legacy schemes (v3)'!$B$7:$B$158,B110,'Legacy schemes (v3)'!$C$7:$C$158,"Cross-faculty")&gt;0,"Cross-faculty; broader reach unverified",IF(COUNTIFS('Legacy schemes (v3)'!$B$7:$B$158,B110,'Legacy schemes (v3)'!$C$7:$C$158,"Faculty/school")&gt;0,"Faculty/school; broader reach unverified",IF(K110&gt;0,"Programme/course; broader reach unverified","Scheme documented; reach unconfirmed"))))</f>
        <v/>
      </c>
      <c r="N110" s="32" t="inlineStr">
        <is>
          <t>EU10</t>
        </is>
      </c>
      <c r="O110" s="77" t="inlineStr"/>
    </row>
    <row r="111" ht="53" customHeight="1">
      <c r="A111" s="10" t="inlineStr">
        <is>
          <t>Germany</t>
        </is>
      </c>
      <c r="B111" s="11" t="inlineStr">
        <is>
          <t>Humboldt Berlin</t>
        </is>
      </c>
      <c r="C111" s="10" t="inlineStr">
        <is>
          <t>EU sample</t>
        </is>
      </c>
      <c r="D111" s="80" t="n">
        <v>2027</v>
      </c>
      <c r="E111" s="80" t="n">
        <v>140</v>
      </c>
      <c r="F111" s="10" t="inlineStr">
        <is>
          <t>Yes</t>
        </is>
      </c>
      <c r="G111" s="10" t="inlineStr">
        <is>
          <t>https://www.topuniversities.com/qs-top-uni-wur</t>
        </is>
      </c>
      <c r="H111" s="10" t="inlineStr">
        <is>
          <t>n.a.</t>
        </is>
      </c>
      <c r="I111" s="80">
        <f>COUNTIF('Legacy schemes (v3)'!$B$7:$B$158,B111)</f>
        <v/>
      </c>
      <c r="J111" s="80">
        <f>COUNTIFS('Legacy schemes (v3)'!$B$7:$B$158,B111,'Legacy schemes (v3)'!$C$7:$C$158,"University-wide")</f>
        <v/>
      </c>
      <c r="K111" s="80">
        <f>COUNTIFS('Legacy schemes (v3)'!$B$7:$B$158,B111,'Legacy schemes (v3)'!$C$7:$C$158,"Cross-faculty")+COUNTIFS('Legacy schemes (v3)'!$B$7:$B$158,B111,'Legacy schemes (v3)'!$C$7:$C$158,"Faculty/school")+COUNTIFS('Legacy schemes (v3)'!$B$7:$B$158,B111,'Legacy schemes (v3)'!$C$7:$C$158,"Programme/course")</f>
        <v/>
      </c>
      <c r="L111" s="80">
        <f>COUNTIFS('Legacy schemes (v3)'!$B$7:$B$158,B111,'Legacy schemes (v3)'!$C$7:$C$158,"Not confirmed")</f>
        <v/>
      </c>
      <c r="M111" s="10">
        <f>IF(J111&gt;0,"University-wide scheme/framework documented",IF(COUNTIFS('Legacy schemes (v3)'!$B$7:$B$158,B111,'Legacy schemes (v3)'!$C$7:$C$158,"Cross-faculty")&gt;0,"Cross-faculty; broader reach unverified",IF(COUNTIFS('Legacy schemes (v3)'!$B$7:$B$158,B111,'Legacy schemes (v3)'!$C$7:$C$158,"Faculty/school")&gt;0,"Faculty/school; broader reach unverified",IF(K111&gt;0,"Programme/course; broader reach unverified","Scheme documented; reach unconfirmed"))))</f>
        <v/>
      </c>
      <c r="N111" s="32" t="inlineStr">
        <is>
          <t>EU11</t>
        </is>
      </c>
      <c r="O111" s="77" t="inlineStr"/>
    </row>
    <row r="112" ht="53" customHeight="1">
      <c r="A112" s="10" t="inlineStr">
        <is>
          <t>Netherlands</t>
        </is>
      </c>
      <c r="B112" s="11" t="inlineStr">
        <is>
          <t>Delft University of Technology</t>
        </is>
      </c>
      <c r="C112" s="10" t="inlineStr">
        <is>
          <t>EU sample</t>
        </is>
      </c>
      <c r="D112" s="80" t="n">
        <v>2027</v>
      </c>
      <c r="E112" s="80" t="n">
        <v>48</v>
      </c>
      <c r="F112" s="10" t="inlineStr">
        <is>
          <t>No</t>
        </is>
      </c>
      <c r="G112" s="10" t="inlineStr">
        <is>
          <t>https://www.topuniversities.com/qs-top-uni-wur</t>
        </is>
      </c>
      <c r="H112" s="10" t="inlineStr">
        <is>
          <t>n.a.</t>
        </is>
      </c>
      <c r="I112" s="80">
        <f>COUNTIF('Legacy schemes (v3)'!$B$7:$B$158,B112)</f>
        <v/>
      </c>
      <c r="J112" s="80">
        <f>COUNTIFS('Legacy schemes (v3)'!$B$7:$B$158,B112,'Legacy schemes (v3)'!$C$7:$C$158,"University-wide")</f>
        <v/>
      </c>
      <c r="K112" s="80">
        <f>COUNTIFS('Legacy schemes (v3)'!$B$7:$B$158,B112,'Legacy schemes (v3)'!$C$7:$C$158,"Cross-faculty")+COUNTIFS('Legacy schemes (v3)'!$B$7:$B$158,B112,'Legacy schemes (v3)'!$C$7:$C$158,"Faculty/school")+COUNTIFS('Legacy schemes (v3)'!$B$7:$B$158,B112,'Legacy schemes (v3)'!$C$7:$C$158,"Programme/course")</f>
        <v/>
      </c>
      <c r="L112" s="80">
        <f>COUNTIFS('Legacy schemes (v3)'!$B$7:$B$158,B112,'Legacy schemes (v3)'!$C$7:$C$158,"Not confirmed")</f>
        <v/>
      </c>
      <c r="M112" s="10">
        <f>IF(J112&gt;0,"University-wide scheme/framework documented",IF(COUNTIFS('Legacy schemes (v3)'!$B$7:$B$158,B112,'Legacy schemes (v3)'!$C$7:$C$158,"Cross-faculty")&gt;0,"Cross-faculty; broader reach unverified",IF(COUNTIFS('Legacy schemes (v3)'!$B$7:$B$158,B112,'Legacy schemes (v3)'!$C$7:$C$158,"Faculty/school")&gt;0,"Faculty/school; broader reach unverified",IF(K112&gt;0,"Programme/course; broader reach unverified","Scheme documented; reach unconfirmed"))))</f>
        <v/>
      </c>
      <c r="N112" s="32" t="inlineStr">
        <is>
          <t>EU12</t>
        </is>
      </c>
      <c r="O112" s="77" t="inlineStr"/>
    </row>
    <row r="113" ht="53" customHeight="1">
      <c r="A113" s="10" t="inlineStr">
        <is>
          <t>Netherlands</t>
        </is>
      </c>
      <c r="B113" s="11" t="inlineStr">
        <is>
          <t>Amsterdam</t>
        </is>
      </c>
      <c r="C113" s="10" t="inlineStr">
        <is>
          <t>EU sample</t>
        </is>
      </c>
      <c r="D113" s="80" t="n">
        <v>2027</v>
      </c>
      <c r="E113" s="80" t="n">
        <v>60</v>
      </c>
      <c r="F113" s="10" t="inlineStr">
        <is>
          <t>No</t>
        </is>
      </c>
      <c r="G113" s="10" t="inlineStr">
        <is>
          <t>https://www.topuniversities.com/qs-top-uni-wur</t>
        </is>
      </c>
      <c r="H113" s="10" t="inlineStr">
        <is>
          <t>n.a.</t>
        </is>
      </c>
      <c r="I113" s="80">
        <f>COUNTIF('Legacy schemes (v3)'!$B$7:$B$158,B113)</f>
        <v/>
      </c>
      <c r="J113" s="80">
        <f>COUNTIFS('Legacy schemes (v3)'!$B$7:$B$158,B113,'Legacy schemes (v3)'!$C$7:$C$158,"University-wide")</f>
        <v/>
      </c>
      <c r="K113" s="80">
        <f>COUNTIFS('Legacy schemes (v3)'!$B$7:$B$158,B113,'Legacy schemes (v3)'!$C$7:$C$158,"Cross-faculty")+COUNTIFS('Legacy schemes (v3)'!$B$7:$B$158,B113,'Legacy schemes (v3)'!$C$7:$C$158,"Faculty/school")+COUNTIFS('Legacy schemes (v3)'!$B$7:$B$158,B113,'Legacy schemes (v3)'!$C$7:$C$158,"Programme/course")</f>
        <v/>
      </c>
      <c r="L113" s="80">
        <f>COUNTIFS('Legacy schemes (v3)'!$B$7:$B$158,B113,'Legacy schemes (v3)'!$C$7:$C$158,"Not confirmed")</f>
        <v/>
      </c>
      <c r="M113" s="10">
        <f>IF(J113&gt;0,"University-wide scheme/framework documented",IF(COUNTIFS('Legacy schemes (v3)'!$B$7:$B$158,B113,'Legacy schemes (v3)'!$C$7:$C$158,"Cross-faculty")&gt;0,"Cross-faculty; broader reach unverified",IF(COUNTIFS('Legacy schemes (v3)'!$B$7:$B$158,B113,'Legacy schemes (v3)'!$C$7:$C$158,"Faculty/school")&gt;0,"Faculty/school; broader reach unverified",IF(K113&gt;0,"Programme/course; broader reach unverified","Scheme documented; reach unconfirmed"))))</f>
        <v/>
      </c>
      <c r="N113" s="32" t="inlineStr">
        <is>
          <t>EU13</t>
        </is>
      </c>
      <c r="O113" s="77" t="inlineStr"/>
    </row>
    <row r="114" ht="53" customHeight="1">
      <c r="A114" s="10" t="inlineStr">
        <is>
          <t>Netherlands</t>
        </is>
      </c>
      <c r="B114" s="11" t="inlineStr">
        <is>
          <t>Utrecht</t>
        </is>
      </c>
      <c r="C114" s="10" t="inlineStr">
        <is>
          <t>EU sample</t>
        </is>
      </c>
      <c r="D114" s="80" t="n">
        <v>2027</v>
      </c>
      <c r="E114" s="80" t="n">
        <v>113</v>
      </c>
      <c r="F114" s="10" t="inlineStr">
        <is>
          <t>Yes</t>
        </is>
      </c>
      <c r="G114" s="10" t="inlineStr">
        <is>
          <t>https://www.topuniversities.com/qs-top-uni-wur</t>
        </is>
      </c>
      <c r="H114" s="10" t="inlineStr">
        <is>
          <t>n.a.</t>
        </is>
      </c>
      <c r="I114" s="80">
        <f>COUNTIF('Legacy schemes (v3)'!$B$7:$B$158,B114)</f>
        <v/>
      </c>
      <c r="J114" s="80">
        <f>COUNTIFS('Legacy schemes (v3)'!$B$7:$B$158,B114,'Legacy schemes (v3)'!$C$7:$C$158,"University-wide")</f>
        <v/>
      </c>
      <c r="K114" s="80">
        <f>COUNTIFS('Legacy schemes (v3)'!$B$7:$B$158,B114,'Legacy schemes (v3)'!$C$7:$C$158,"Cross-faculty")+COUNTIFS('Legacy schemes (v3)'!$B$7:$B$158,B114,'Legacy schemes (v3)'!$C$7:$C$158,"Faculty/school")+COUNTIFS('Legacy schemes (v3)'!$B$7:$B$158,B114,'Legacy schemes (v3)'!$C$7:$C$158,"Programme/course")</f>
        <v/>
      </c>
      <c r="L114" s="80">
        <f>COUNTIFS('Legacy schemes (v3)'!$B$7:$B$158,B114,'Legacy schemes (v3)'!$C$7:$C$158,"Not confirmed")</f>
        <v/>
      </c>
      <c r="M114" s="10">
        <f>IF(J114&gt;0,"University-wide scheme/framework documented",IF(COUNTIFS('Legacy schemes (v3)'!$B$7:$B$158,B114,'Legacy schemes (v3)'!$C$7:$C$158,"Cross-faculty")&gt;0,"Cross-faculty; broader reach unverified",IF(COUNTIFS('Legacy schemes (v3)'!$B$7:$B$158,B114,'Legacy schemes (v3)'!$C$7:$C$158,"Faculty/school")&gt;0,"Faculty/school; broader reach unverified",IF(K114&gt;0,"Programme/course; broader reach unverified","Scheme documented; reach unconfirmed"))))</f>
        <v/>
      </c>
      <c r="N114" s="32" t="inlineStr">
        <is>
          <t>EU14</t>
        </is>
      </c>
      <c r="O114" s="77" t="inlineStr"/>
    </row>
    <row r="115" ht="53" customHeight="1">
      <c r="A115" s="10" t="inlineStr">
        <is>
          <t>Netherlands</t>
        </is>
      </c>
      <c r="B115" s="11" t="inlineStr">
        <is>
          <t>Leiden</t>
        </is>
      </c>
      <c r="C115" s="10" t="inlineStr">
        <is>
          <t>EU sample</t>
        </is>
      </c>
      <c r="D115" s="80" t="n">
        <v>2027</v>
      </c>
      <c r="E115" s="80" t="n">
        <v>119</v>
      </c>
      <c r="F115" s="10" t="inlineStr">
        <is>
          <t>Yes</t>
        </is>
      </c>
      <c r="G115" s="10" t="inlineStr">
        <is>
          <t>https://www.topuniversities.com/qs-top-uni-wur</t>
        </is>
      </c>
      <c r="H115" s="10" t="inlineStr">
        <is>
          <t>n.a.</t>
        </is>
      </c>
      <c r="I115" s="80">
        <f>COUNTIF('Legacy schemes (v3)'!$B$7:$B$158,B115)</f>
        <v/>
      </c>
      <c r="J115" s="80">
        <f>COUNTIFS('Legacy schemes (v3)'!$B$7:$B$158,B115,'Legacy schemes (v3)'!$C$7:$C$158,"University-wide")</f>
        <v/>
      </c>
      <c r="K115" s="80">
        <f>COUNTIFS('Legacy schemes (v3)'!$B$7:$B$158,B115,'Legacy schemes (v3)'!$C$7:$C$158,"Cross-faculty")+COUNTIFS('Legacy schemes (v3)'!$B$7:$B$158,B115,'Legacy schemes (v3)'!$C$7:$C$158,"Faculty/school")+COUNTIFS('Legacy schemes (v3)'!$B$7:$B$158,B115,'Legacy schemes (v3)'!$C$7:$C$158,"Programme/course")</f>
        <v/>
      </c>
      <c r="L115" s="80">
        <f>COUNTIFS('Legacy schemes (v3)'!$B$7:$B$158,B115,'Legacy schemes (v3)'!$C$7:$C$158,"Not confirmed")</f>
        <v/>
      </c>
      <c r="M115" s="10">
        <f>IF(J115&gt;0,"University-wide scheme/framework documented",IF(COUNTIFS('Legacy schemes (v3)'!$B$7:$B$158,B115,'Legacy schemes (v3)'!$C$7:$C$158,"Cross-faculty")&gt;0,"Cross-faculty; broader reach unverified",IF(COUNTIFS('Legacy schemes (v3)'!$B$7:$B$158,B115,'Legacy schemes (v3)'!$C$7:$C$158,"Faculty/school")&gt;0,"Faculty/school; broader reach unverified",IF(K115&gt;0,"Programme/course; broader reach unverified","Scheme documented; reach unconfirmed"))))</f>
        <v/>
      </c>
      <c r="N115" s="32" t="inlineStr">
        <is>
          <t>EU15</t>
        </is>
      </c>
      <c r="O115" s="77" t="inlineStr"/>
    </row>
    <row r="116" ht="53" customHeight="1">
      <c r="A116" s="10" t="inlineStr">
        <is>
          <t>Netherlands</t>
        </is>
      </c>
      <c r="B116" s="11" t="inlineStr">
        <is>
          <t>Wageningen</t>
        </is>
      </c>
      <c r="C116" s="10" t="inlineStr">
        <is>
          <t>EU sample</t>
        </is>
      </c>
      <c r="D116" s="80" t="n">
        <v>2027</v>
      </c>
      <c r="E116" s="80" t="n">
        <v>154</v>
      </c>
      <c r="F116" s="10" t="inlineStr">
        <is>
          <t>No</t>
        </is>
      </c>
      <c r="G116" s="10" t="inlineStr">
        <is>
          <t>https://www.topuniversities.com/qs-top-uni-wur</t>
        </is>
      </c>
      <c r="H116" s="10" t="inlineStr">
        <is>
          <t>n.a.</t>
        </is>
      </c>
      <c r="I116" s="80">
        <f>COUNTIF('Legacy schemes (v3)'!$B$7:$B$158,B116)</f>
        <v/>
      </c>
      <c r="J116" s="80">
        <f>COUNTIFS('Legacy schemes (v3)'!$B$7:$B$158,B116,'Legacy schemes (v3)'!$C$7:$C$158,"University-wide")</f>
        <v/>
      </c>
      <c r="K116" s="80">
        <f>COUNTIFS('Legacy schemes (v3)'!$B$7:$B$158,B116,'Legacy schemes (v3)'!$C$7:$C$158,"Cross-faculty")+COUNTIFS('Legacy schemes (v3)'!$B$7:$B$158,B116,'Legacy schemes (v3)'!$C$7:$C$158,"Faculty/school")+COUNTIFS('Legacy schemes (v3)'!$B$7:$B$158,B116,'Legacy schemes (v3)'!$C$7:$C$158,"Programme/course")</f>
        <v/>
      </c>
      <c r="L116" s="80">
        <f>COUNTIFS('Legacy schemes (v3)'!$B$7:$B$158,B116,'Legacy schemes (v3)'!$C$7:$C$158,"Not confirmed")</f>
        <v/>
      </c>
      <c r="M116" s="10">
        <f>IF(J116&gt;0,"University-wide scheme/framework documented",IF(COUNTIFS('Legacy schemes (v3)'!$B$7:$B$158,B116,'Legacy schemes (v3)'!$C$7:$C$158,"Cross-faculty")&gt;0,"Cross-faculty; broader reach unverified",IF(COUNTIFS('Legacy schemes (v3)'!$B$7:$B$158,B116,'Legacy schemes (v3)'!$C$7:$C$158,"Faculty/school")&gt;0,"Faculty/school; broader reach unverified",IF(K116&gt;0,"Programme/course; broader reach unverified","Scheme documented; reach unconfirmed"))))</f>
        <v/>
      </c>
      <c r="N116" s="32" t="inlineStr">
        <is>
          <t>EU16</t>
        </is>
      </c>
      <c r="O116" s="77" t="inlineStr"/>
    </row>
    <row r="117" ht="53" customHeight="1">
      <c r="A117" s="10" t="inlineStr">
        <is>
          <t>Belgium</t>
        </is>
      </c>
      <c r="B117" s="11" t="inlineStr">
        <is>
          <t>KU Leuven</t>
        </is>
      </c>
      <c r="C117" s="10" t="inlineStr">
        <is>
          <t>EU sample</t>
        </is>
      </c>
      <c r="D117" s="80" t="n">
        <v>2027</v>
      </c>
      <c r="E117" s="80" t="n">
        <v>59</v>
      </c>
      <c r="F117" s="10" t="inlineStr">
        <is>
          <t>No</t>
        </is>
      </c>
      <c r="G117" s="10" t="inlineStr">
        <is>
          <t>https://www.topuniversities.com/qs-top-uni-wur</t>
        </is>
      </c>
      <c r="H117" s="10" t="inlineStr">
        <is>
          <t>n.a.</t>
        </is>
      </c>
      <c r="I117" s="80">
        <f>COUNTIF('Legacy schemes (v3)'!$B$7:$B$158,B117)</f>
        <v/>
      </c>
      <c r="J117" s="80">
        <f>COUNTIFS('Legacy schemes (v3)'!$B$7:$B$158,B117,'Legacy schemes (v3)'!$C$7:$C$158,"University-wide")</f>
        <v/>
      </c>
      <c r="K117" s="80">
        <f>COUNTIFS('Legacy schemes (v3)'!$B$7:$B$158,B117,'Legacy schemes (v3)'!$C$7:$C$158,"Cross-faculty")+COUNTIFS('Legacy schemes (v3)'!$B$7:$B$158,B117,'Legacy schemes (v3)'!$C$7:$C$158,"Faculty/school")+COUNTIFS('Legacy schemes (v3)'!$B$7:$B$158,B117,'Legacy schemes (v3)'!$C$7:$C$158,"Programme/course")</f>
        <v/>
      </c>
      <c r="L117" s="80">
        <f>COUNTIFS('Legacy schemes (v3)'!$B$7:$B$158,B117,'Legacy schemes (v3)'!$C$7:$C$158,"Not confirmed")</f>
        <v/>
      </c>
      <c r="M117" s="10">
        <f>IF(J117&gt;0,"University-wide scheme/framework documented",IF(COUNTIFS('Legacy schemes (v3)'!$B$7:$B$158,B117,'Legacy schemes (v3)'!$C$7:$C$158,"Cross-faculty")&gt;0,"Cross-faculty; broader reach unverified",IF(COUNTIFS('Legacy schemes (v3)'!$B$7:$B$158,B117,'Legacy schemes (v3)'!$C$7:$C$158,"Faculty/school")&gt;0,"Faculty/school; broader reach unverified",IF(K117&gt;0,"Programme/course; broader reach unverified","Scheme documented; reach unconfirmed"))))</f>
        <v/>
      </c>
      <c r="N117" s="32" t="inlineStr">
        <is>
          <t>EU17</t>
        </is>
      </c>
      <c r="O117" s="77" t="inlineStr"/>
    </row>
    <row r="118" ht="53" customHeight="1">
      <c r="A118" s="10" t="inlineStr">
        <is>
          <t>Belgium</t>
        </is>
      </c>
      <c r="B118" s="11" t="inlineStr">
        <is>
          <t>Ghent</t>
        </is>
      </c>
      <c r="C118" s="10" t="inlineStr">
        <is>
          <t>EU sample</t>
        </is>
      </c>
      <c r="D118" s="80" t="n">
        <v>2027</v>
      </c>
      <c r="E118" s="80" t="n">
        <v>150</v>
      </c>
      <c r="F118" s="10" t="inlineStr">
        <is>
          <t>Yes</t>
        </is>
      </c>
      <c r="G118" s="10" t="inlineStr">
        <is>
          <t>https://www.topuniversities.com/qs-top-uni-wur</t>
        </is>
      </c>
      <c r="H118" s="10" t="inlineStr">
        <is>
          <t>n.a.</t>
        </is>
      </c>
      <c r="I118" s="80">
        <f>COUNTIF('Legacy schemes (v3)'!$B$7:$B$158,B118)</f>
        <v/>
      </c>
      <c r="J118" s="80">
        <f>COUNTIFS('Legacy schemes (v3)'!$B$7:$B$158,B118,'Legacy schemes (v3)'!$C$7:$C$158,"University-wide")</f>
        <v/>
      </c>
      <c r="K118" s="80">
        <f>COUNTIFS('Legacy schemes (v3)'!$B$7:$B$158,B118,'Legacy schemes (v3)'!$C$7:$C$158,"Cross-faculty")+COUNTIFS('Legacy schemes (v3)'!$B$7:$B$158,B118,'Legacy schemes (v3)'!$C$7:$C$158,"Faculty/school")+COUNTIFS('Legacy schemes (v3)'!$B$7:$B$158,B118,'Legacy schemes (v3)'!$C$7:$C$158,"Programme/course")</f>
        <v/>
      </c>
      <c r="L118" s="80">
        <f>COUNTIFS('Legacy schemes (v3)'!$B$7:$B$158,B118,'Legacy schemes (v3)'!$C$7:$C$158,"Not confirmed")</f>
        <v/>
      </c>
      <c r="M118" s="10">
        <f>IF(J118&gt;0,"University-wide scheme/framework documented",IF(COUNTIFS('Legacy schemes (v3)'!$B$7:$B$158,B118,'Legacy schemes (v3)'!$C$7:$C$158,"Cross-faculty")&gt;0,"Cross-faculty; broader reach unverified",IF(COUNTIFS('Legacy schemes (v3)'!$B$7:$B$158,B118,'Legacy schemes (v3)'!$C$7:$C$158,"Faculty/school")&gt;0,"Faculty/school; broader reach unverified",IF(K118&gt;0,"Programme/course; broader reach unverified","Scheme documented; reach unconfirmed"))))</f>
        <v/>
      </c>
      <c r="N118" s="32" t="inlineStr">
        <is>
          <t>EU18</t>
        </is>
      </c>
      <c r="O118" s="77" t="inlineStr"/>
    </row>
    <row r="119" ht="53" customHeight="1">
      <c r="A119" s="10" t="inlineStr">
        <is>
          <t>Ireland</t>
        </is>
      </c>
      <c r="B119" s="11" t="inlineStr">
        <is>
          <t>Trinity College Dublin</t>
        </is>
      </c>
      <c r="C119" s="10" t="inlineStr">
        <is>
          <t>EU sample</t>
        </is>
      </c>
      <c r="D119" s="80" t="n">
        <v>2027</v>
      </c>
      <c r="E119" s="80" t="n">
        <v>75</v>
      </c>
      <c r="F119" s="10" t="inlineStr">
        <is>
          <t>No</t>
        </is>
      </c>
      <c r="G119" s="10" t="inlineStr">
        <is>
          <t>https://www.topuniversities.com/qs-top-uni-wur</t>
        </is>
      </c>
      <c r="H119" s="10" t="inlineStr">
        <is>
          <t>n.a.</t>
        </is>
      </c>
      <c r="I119" s="80">
        <f>COUNTIF('Legacy schemes (v3)'!$B$7:$B$158,B119)</f>
        <v/>
      </c>
      <c r="J119" s="80">
        <f>COUNTIFS('Legacy schemes (v3)'!$B$7:$B$158,B119,'Legacy schemes (v3)'!$C$7:$C$158,"University-wide")</f>
        <v/>
      </c>
      <c r="K119" s="80">
        <f>COUNTIFS('Legacy schemes (v3)'!$B$7:$B$158,B119,'Legacy schemes (v3)'!$C$7:$C$158,"Cross-faculty")+COUNTIFS('Legacy schemes (v3)'!$B$7:$B$158,B119,'Legacy schemes (v3)'!$C$7:$C$158,"Faculty/school")+COUNTIFS('Legacy schemes (v3)'!$B$7:$B$158,B119,'Legacy schemes (v3)'!$C$7:$C$158,"Programme/course")</f>
        <v/>
      </c>
      <c r="L119" s="80">
        <f>COUNTIFS('Legacy schemes (v3)'!$B$7:$B$158,B119,'Legacy schemes (v3)'!$C$7:$C$158,"Not confirmed")</f>
        <v/>
      </c>
      <c r="M119" s="10">
        <f>IF(J119&gt;0,"University-wide scheme/framework documented",IF(COUNTIFS('Legacy schemes (v3)'!$B$7:$B$158,B119,'Legacy schemes (v3)'!$C$7:$C$158,"Cross-faculty")&gt;0,"Cross-faculty; broader reach unverified",IF(COUNTIFS('Legacy schemes (v3)'!$B$7:$B$158,B119,'Legacy schemes (v3)'!$C$7:$C$158,"Faculty/school")&gt;0,"Faculty/school; broader reach unverified",IF(K119&gt;0,"Programme/course; broader reach unverified","Scheme documented; reach unconfirmed"))))</f>
        <v/>
      </c>
      <c r="N119" s="32" t="inlineStr">
        <is>
          <t>EU19</t>
        </is>
      </c>
      <c r="O119" s="77" t="inlineStr"/>
    </row>
    <row r="120" ht="53" customHeight="1">
      <c r="A120" s="10" t="inlineStr">
        <is>
          <t>Ireland</t>
        </is>
      </c>
      <c r="B120" s="11" t="inlineStr">
        <is>
          <t>University College Dublin</t>
        </is>
      </c>
      <c r="C120" s="10" t="inlineStr">
        <is>
          <t>EU sample</t>
        </is>
      </c>
      <c r="D120" s="80" t="n">
        <v>2027</v>
      </c>
      <c r="E120" s="80" t="n">
        <v>100</v>
      </c>
      <c r="F120" s="10" t="inlineStr">
        <is>
          <t>Yes</t>
        </is>
      </c>
      <c r="G120" s="10" t="inlineStr">
        <is>
          <t>https://www.topuniversities.com/qs-top-uni-wur</t>
        </is>
      </c>
      <c r="H120" s="10" t="inlineStr">
        <is>
          <t>n.a.</t>
        </is>
      </c>
      <c r="I120" s="80">
        <f>COUNTIF('Legacy schemes (v3)'!$B$7:$B$158,B120)</f>
        <v/>
      </c>
      <c r="J120" s="80">
        <f>COUNTIFS('Legacy schemes (v3)'!$B$7:$B$158,B120,'Legacy schemes (v3)'!$C$7:$C$158,"University-wide")</f>
        <v/>
      </c>
      <c r="K120" s="80">
        <f>COUNTIFS('Legacy schemes (v3)'!$B$7:$B$158,B120,'Legacy schemes (v3)'!$C$7:$C$158,"Cross-faculty")+COUNTIFS('Legacy schemes (v3)'!$B$7:$B$158,B120,'Legacy schemes (v3)'!$C$7:$C$158,"Faculty/school")+COUNTIFS('Legacy schemes (v3)'!$B$7:$B$158,B120,'Legacy schemes (v3)'!$C$7:$C$158,"Programme/course")</f>
        <v/>
      </c>
      <c r="L120" s="80">
        <f>COUNTIFS('Legacy schemes (v3)'!$B$7:$B$158,B120,'Legacy schemes (v3)'!$C$7:$C$158,"Not confirmed")</f>
        <v/>
      </c>
      <c r="M120" s="10">
        <f>IF(J120&gt;0,"University-wide scheme/framework documented",IF(COUNTIFS('Legacy schemes (v3)'!$B$7:$B$158,B120,'Legacy schemes (v3)'!$C$7:$C$158,"Cross-faculty")&gt;0,"Cross-faculty; broader reach unverified",IF(COUNTIFS('Legacy schemes (v3)'!$B$7:$B$158,B120,'Legacy schemes (v3)'!$C$7:$C$158,"Faculty/school")&gt;0,"Faculty/school; broader reach unverified",IF(K120&gt;0,"Programme/course; broader reach unverified","Scheme documented; reach unconfirmed"))))</f>
        <v/>
      </c>
      <c r="N120" s="32" t="inlineStr">
        <is>
          <t>EU20</t>
        </is>
      </c>
      <c r="O120" s="77" t="inlineStr"/>
    </row>
    <row r="121" ht="53" customHeight="1">
      <c r="A121" s="10" t="inlineStr">
        <is>
          <t>Denmark</t>
        </is>
      </c>
      <c r="B121" s="11" t="inlineStr">
        <is>
          <t>Copenhagen</t>
        </is>
      </c>
      <c r="C121" s="10" t="inlineStr">
        <is>
          <t>EU sample</t>
        </is>
      </c>
      <c r="D121" s="80" t="n">
        <v>2027</v>
      </c>
      <c r="E121" s="80" t="n">
        <v>90</v>
      </c>
      <c r="F121" s="10" t="inlineStr">
        <is>
          <t>Yes</t>
        </is>
      </c>
      <c r="G121" s="10" t="inlineStr">
        <is>
          <t>https://www.topuniversities.com/qs-top-uni-wur</t>
        </is>
      </c>
      <c r="H121" s="10" t="inlineStr">
        <is>
          <t>n.a.</t>
        </is>
      </c>
      <c r="I121" s="80">
        <f>COUNTIF('Legacy schemes (v3)'!$B$7:$B$158,B121)</f>
        <v/>
      </c>
      <c r="J121" s="80">
        <f>COUNTIFS('Legacy schemes (v3)'!$B$7:$B$158,B121,'Legacy schemes (v3)'!$C$7:$C$158,"University-wide")</f>
        <v/>
      </c>
      <c r="K121" s="80">
        <f>COUNTIFS('Legacy schemes (v3)'!$B$7:$B$158,B121,'Legacy schemes (v3)'!$C$7:$C$158,"Cross-faculty")+COUNTIFS('Legacy schemes (v3)'!$B$7:$B$158,B121,'Legacy schemes (v3)'!$C$7:$C$158,"Faculty/school")+COUNTIFS('Legacy schemes (v3)'!$B$7:$B$158,B121,'Legacy schemes (v3)'!$C$7:$C$158,"Programme/course")</f>
        <v/>
      </c>
      <c r="L121" s="80">
        <f>COUNTIFS('Legacy schemes (v3)'!$B$7:$B$158,B121,'Legacy schemes (v3)'!$C$7:$C$158,"Not confirmed")</f>
        <v/>
      </c>
      <c r="M121" s="10">
        <f>IF(J121&gt;0,"University-wide scheme/framework documented",IF(COUNTIFS('Legacy schemes (v3)'!$B$7:$B$158,B121,'Legacy schemes (v3)'!$C$7:$C$158,"Cross-faculty")&gt;0,"Cross-faculty; broader reach unverified",IF(COUNTIFS('Legacy schemes (v3)'!$B$7:$B$158,B121,'Legacy schemes (v3)'!$C$7:$C$158,"Faculty/school")&gt;0,"Faculty/school; broader reach unverified",IF(K121&gt;0,"Programme/course; broader reach unverified","Scheme documented; reach unconfirmed"))))</f>
        <v/>
      </c>
      <c r="N121" s="32" t="inlineStr">
        <is>
          <t>EU21</t>
        </is>
      </c>
      <c r="O121" s="77" t="inlineStr"/>
    </row>
    <row r="122" ht="53" customHeight="1">
      <c r="A122" s="10" t="inlineStr">
        <is>
          <t>Denmark</t>
        </is>
      </c>
      <c r="B122" s="11" t="inlineStr">
        <is>
          <t>Aarhus</t>
        </is>
      </c>
      <c r="C122" s="10" t="inlineStr">
        <is>
          <t>EU sample</t>
        </is>
      </c>
      <c r="D122" s="80" t="n">
        <v>2027</v>
      </c>
      <c r="E122" s="80" t="n">
        <v>128</v>
      </c>
      <c r="F122" s="10" t="inlineStr">
        <is>
          <t>Yes</t>
        </is>
      </c>
      <c r="G122" s="10" t="inlineStr">
        <is>
          <t>https://www.topuniversities.com/qs-top-uni-wur</t>
        </is>
      </c>
      <c r="H122" s="10" t="inlineStr">
        <is>
          <t>n.a.</t>
        </is>
      </c>
      <c r="I122" s="80">
        <f>COUNTIF('Legacy schemes (v3)'!$B$7:$B$158,B122)</f>
        <v/>
      </c>
      <c r="J122" s="80">
        <f>COUNTIFS('Legacy schemes (v3)'!$B$7:$B$158,B122,'Legacy schemes (v3)'!$C$7:$C$158,"University-wide")</f>
        <v/>
      </c>
      <c r="K122" s="80">
        <f>COUNTIFS('Legacy schemes (v3)'!$B$7:$B$158,B122,'Legacy schemes (v3)'!$C$7:$C$158,"Cross-faculty")+COUNTIFS('Legacy schemes (v3)'!$B$7:$B$158,B122,'Legacy schemes (v3)'!$C$7:$C$158,"Faculty/school")+COUNTIFS('Legacy schemes (v3)'!$B$7:$B$158,B122,'Legacy schemes (v3)'!$C$7:$C$158,"Programme/course")</f>
        <v/>
      </c>
      <c r="L122" s="80">
        <f>COUNTIFS('Legacy schemes (v3)'!$B$7:$B$158,B122,'Legacy schemes (v3)'!$C$7:$C$158,"Not confirmed")</f>
        <v/>
      </c>
      <c r="M122" s="10">
        <f>IF(J122&gt;0,"University-wide scheme/framework documented",IF(COUNTIFS('Legacy schemes (v3)'!$B$7:$B$158,B122,'Legacy schemes (v3)'!$C$7:$C$158,"Cross-faculty")&gt;0,"Cross-faculty; broader reach unverified",IF(COUNTIFS('Legacy schemes (v3)'!$B$7:$B$158,B122,'Legacy schemes (v3)'!$C$7:$C$158,"Faculty/school")&gt;0,"Faculty/school; broader reach unverified",IF(K122&gt;0,"Programme/course; broader reach unverified","Scheme documented; reach unconfirmed"))))</f>
        <v/>
      </c>
      <c r="N122" s="32" t="inlineStr">
        <is>
          <t>EU22</t>
        </is>
      </c>
      <c r="O122" s="77" t="inlineStr"/>
    </row>
    <row r="123" ht="53" customHeight="1">
      <c r="A123" s="10" t="inlineStr">
        <is>
          <t>Sweden</t>
        </is>
      </c>
      <c r="B123" s="11" t="inlineStr">
        <is>
          <t>Lund</t>
        </is>
      </c>
      <c r="C123" s="10" t="inlineStr">
        <is>
          <t>EU sample</t>
        </is>
      </c>
      <c r="D123" s="80" t="n">
        <v>2027</v>
      </c>
      <c r="E123" s="80" t="n">
        <v>71</v>
      </c>
      <c r="F123" s="10" t="inlineStr">
        <is>
          <t>No</t>
        </is>
      </c>
      <c r="G123" s="10" t="inlineStr">
        <is>
          <t>https://www.topuniversities.com/qs-top-uni-wur</t>
        </is>
      </c>
      <c r="H123" s="10" t="inlineStr">
        <is>
          <t>n.a.</t>
        </is>
      </c>
      <c r="I123" s="80">
        <f>COUNTIF('Legacy schemes (v3)'!$B$7:$B$158,B123)</f>
        <v/>
      </c>
      <c r="J123" s="80">
        <f>COUNTIFS('Legacy schemes (v3)'!$B$7:$B$158,B123,'Legacy schemes (v3)'!$C$7:$C$158,"University-wide")</f>
        <v/>
      </c>
      <c r="K123" s="80">
        <f>COUNTIFS('Legacy schemes (v3)'!$B$7:$B$158,B123,'Legacy schemes (v3)'!$C$7:$C$158,"Cross-faculty")+COUNTIFS('Legacy schemes (v3)'!$B$7:$B$158,B123,'Legacy schemes (v3)'!$C$7:$C$158,"Faculty/school")+COUNTIFS('Legacy schemes (v3)'!$B$7:$B$158,B123,'Legacy schemes (v3)'!$C$7:$C$158,"Programme/course")</f>
        <v/>
      </c>
      <c r="L123" s="80">
        <f>COUNTIFS('Legacy schemes (v3)'!$B$7:$B$158,B123,'Legacy schemes (v3)'!$C$7:$C$158,"Not confirmed")</f>
        <v/>
      </c>
      <c r="M123" s="10">
        <f>IF(J123&gt;0,"University-wide scheme/framework documented",IF(COUNTIFS('Legacy schemes (v3)'!$B$7:$B$158,B123,'Legacy schemes (v3)'!$C$7:$C$158,"Cross-faculty")&gt;0,"Cross-faculty; broader reach unverified",IF(COUNTIFS('Legacy schemes (v3)'!$B$7:$B$158,B123,'Legacy schemes (v3)'!$C$7:$C$158,"Faculty/school")&gt;0,"Faculty/school; broader reach unverified",IF(K123&gt;0,"Programme/course; broader reach unverified","Scheme documented; reach unconfirmed"))))</f>
        <v/>
      </c>
      <c r="N123" s="32" t="inlineStr">
        <is>
          <t>EU23</t>
        </is>
      </c>
      <c r="O123" s="77" t="inlineStr"/>
    </row>
    <row r="124" ht="53" customHeight="1">
      <c r="A124" s="10" t="inlineStr">
        <is>
          <t>Sweden</t>
        </is>
      </c>
      <c r="B124" s="11" t="inlineStr">
        <is>
          <t>KTH Royal Institute of Technology</t>
        </is>
      </c>
      <c r="C124" s="10" t="inlineStr">
        <is>
          <t>EU sample</t>
        </is>
      </c>
      <c r="D124" s="80" t="n">
        <v>2027</v>
      </c>
      <c r="E124" s="80" t="n">
        <v>82</v>
      </c>
      <c r="F124" s="10" t="inlineStr">
        <is>
          <t>Yes</t>
        </is>
      </c>
      <c r="G124" s="10" t="inlineStr">
        <is>
          <t>https://www.topuniversities.com/qs-top-uni-wur</t>
        </is>
      </c>
      <c r="H124" s="10" t="inlineStr">
        <is>
          <t>n.a.</t>
        </is>
      </c>
      <c r="I124" s="80">
        <f>COUNTIF('Legacy schemes (v3)'!$B$7:$B$158,B124)</f>
        <v/>
      </c>
      <c r="J124" s="80">
        <f>COUNTIFS('Legacy schemes (v3)'!$B$7:$B$158,B124,'Legacy schemes (v3)'!$C$7:$C$158,"University-wide")</f>
        <v/>
      </c>
      <c r="K124" s="80">
        <f>COUNTIFS('Legacy schemes (v3)'!$B$7:$B$158,B124,'Legacy schemes (v3)'!$C$7:$C$158,"Cross-faculty")+COUNTIFS('Legacy schemes (v3)'!$B$7:$B$158,B124,'Legacy schemes (v3)'!$C$7:$C$158,"Faculty/school")+COUNTIFS('Legacy schemes (v3)'!$B$7:$B$158,B124,'Legacy schemes (v3)'!$C$7:$C$158,"Programme/course")</f>
        <v/>
      </c>
      <c r="L124" s="80">
        <f>COUNTIFS('Legacy schemes (v3)'!$B$7:$B$158,B124,'Legacy schemes (v3)'!$C$7:$C$158,"Not confirmed")</f>
        <v/>
      </c>
      <c r="M124" s="10">
        <f>IF(J124&gt;0,"University-wide scheme/framework documented",IF(COUNTIFS('Legacy schemes (v3)'!$B$7:$B$158,B124,'Legacy schemes (v3)'!$C$7:$C$158,"Cross-faculty")&gt;0,"Cross-faculty; broader reach unverified",IF(COUNTIFS('Legacy schemes (v3)'!$B$7:$B$158,B124,'Legacy schemes (v3)'!$C$7:$C$158,"Faculty/school")&gt;0,"Faculty/school; broader reach unverified",IF(K124&gt;0,"Programme/course; broader reach unverified","Scheme documented; reach unconfirmed"))))</f>
        <v/>
      </c>
      <c r="N124" s="32" t="inlineStr">
        <is>
          <t>EU24</t>
        </is>
      </c>
      <c r="O124" s="77" t="inlineStr"/>
    </row>
    <row r="125" ht="53" customHeight="1">
      <c r="A125" s="10" t="inlineStr">
        <is>
          <t>Sweden</t>
        </is>
      </c>
      <c r="B125" s="11" t="inlineStr">
        <is>
          <t>Uppsala</t>
        </is>
      </c>
      <c r="C125" s="10" t="inlineStr">
        <is>
          <t>EU sample</t>
        </is>
      </c>
      <c r="D125" s="80" t="n">
        <v>2027</v>
      </c>
      <c r="E125" s="80" t="n">
        <v>87</v>
      </c>
      <c r="F125" s="10" t="inlineStr">
        <is>
          <t>Yes</t>
        </is>
      </c>
      <c r="G125" s="10" t="inlineStr">
        <is>
          <t>https://www.topuniversities.com/qs-top-uni-wur</t>
        </is>
      </c>
      <c r="H125" s="10" t="inlineStr">
        <is>
          <t>n.a.</t>
        </is>
      </c>
      <c r="I125" s="80">
        <f>COUNTIF('Legacy schemes (v3)'!$B$7:$B$158,B125)</f>
        <v/>
      </c>
      <c r="J125" s="80">
        <f>COUNTIFS('Legacy schemes (v3)'!$B$7:$B$158,B125,'Legacy schemes (v3)'!$C$7:$C$158,"University-wide")</f>
        <v/>
      </c>
      <c r="K125" s="80">
        <f>COUNTIFS('Legacy schemes (v3)'!$B$7:$B$158,B125,'Legacy schemes (v3)'!$C$7:$C$158,"Cross-faculty")+COUNTIFS('Legacy schemes (v3)'!$B$7:$B$158,B125,'Legacy schemes (v3)'!$C$7:$C$158,"Faculty/school")+COUNTIFS('Legacy schemes (v3)'!$B$7:$B$158,B125,'Legacy schemes (v3)'!$C$7:$C$158,"Programme/course")</f>
        <v/>
      </c>
      <c r="L125" s="80">
        <f>COUNTIFS('Legacy schemes (v3)'!$B$7:$B$158,B125,'Legacy schemes (v3)'!$C$7:$C$158,"Not confirmed")</f>
        <v/>
      </c>
      <c r="M125" s="10">
        <f>IF(J125&gt;0,"University-wide scheme/framework documented",IF(COUNTIFS('Legacy schemes (v3)'!$B$7:$B$158,B125,'Legacy schemes (v3)'!$C$7:$C$158,"Cross-faculty")&gt;0,"Cross-faculty; broader reach unverified",IF(COUNTIFS('Legacy schemes (v3)'!$B$7:$B$158,B125,'Legacy schemes (v3)'!$C$7:$C$158,"Faculty/school")&gt;0,"Faculty/school; broader reach unverified",IF(K125&gt;0,"Programme/course; broader reach unverified","Scheme documented; reach unconfirmed"))))</f>
        <v/>
      </c>
      <c r="N125" s="32" t="inlineStr">
        <is>
          <t>EU25</t>
        </is>
      </c>
      <c r="O125" s="77" t="inlineStr"/>
    </row>
    <row r="126" ht="53" customHeight="1">
      <c r="A126" s="10" t="inlineStr">
        <is>
          <t>Finland</t>
        </is>
      </c>
      <c r="B126" s="11" t="inlineStr">
        <is>
          <t>Aalto</t>
        </is>
      </c>
      <c r="C126" s="10" t="inlineStr">
        <is>
          <t>EU sample</t>
        </is>
      </c>
      <c r="D126" s="80" t="n">
        <v>2027</v>
      </c>
      <c r="E126" s="80" t="n">
        <v>126</v>
      </c>
      <c r="F126" s="10" t="inlineStr">
        <is>
          <t>Yes</t>
        </is>
      </c>
      <c r="G126" s="10" t="inlineStr">
        <is>
          <t>https://www.topuniversities.com/qs-top-uni-wur</t>
        </is>
      </c>
      <c r="H126" s="10" t="inlineStr">
        <is>
          <t>n.a.</t>
        </is>
      </c>
      <c r="I126" s="80">
        <f>COUNTIF('Legacy schemes (v3)'!$B$7:$B$158,B126)</f>
        <v/>
      </c>
      <c r="J126" s="80">
        <f>COUNTIFS('Legacy schemes (v3)'!$B$7:$B$158,B126,'Legacy schemes (v3)'!$C$7:$C$158,"University-wide")</f>
        <v/>
      </c>
      <c r="K126" s="80">
        <f>COUNTIFS('Legacy schemes (v3)'!$B$7:$B$158,B126,'Legacy schemes (v3)'!$C$7:$C$158,"Cross-faculty")+COUNTIFS('Legacy schemes (v3)'!$B$7:$B$158,B126,'Legacy schemes (v3)'!$C$7:$C$158,"Faculty/school")+COUNTIFS('Legacy schemes (v3)'!$B$7:$B$158,B126,'Legacy schemes (v3)'!$C$7:$C$158,"Programme/course")</f>
        <v/>
      </c>
      <c r="L126" s="80">
        <f>COUNTIFS('Legacy schemes (v3)'!$B$7:$B$158,B126,'Legacy schemes (v3)'!$C$7:$C$158,"Not confirmed")</f>
        <v/>
      </c>
      <c r="M126" s="10">
        <f>IF(J126&gt;0,"University-wide scheme/framework documented",IF(COUNTIFS('Legacy schemes (v3)'!$B$7:$B$158,B126,'Legacy schemes (v3)'!$C$7:$C$158,"Cross-faculty")&gt;0,"Cross-faculty; broader reach unverified",IF(COUNTIFS('Legacy schemes (v3)'!$B$7:$B$158,B126,'Legacy schemes (v3)'!$C$7:$C$158,"Faculty/school")&gt;0,"Faculty/school; broader reach unverified",IF(K126&gt;0,"Programme/course; broader reach unverified","Scheme documented; reach unconfirmed"))))</f>
        <v/>
      </c>
      <c r="N126" s="32" t="inlineStr">
        <is>
          <t>EU26</t>
        </is>
      </c>
      <c r="O126" s="77" t="inlineStr"/>
    </row>
    <row r="127" ht="53" customHeight="1">
      <c r="A127" s="10" t="inlineStr">
        <is>
          <t>Finland</t>
        </is>
      </c>
      <c r="B127" s="11" t="inlineStr">
        <is>
          <t>Helsinki</t>
        </is>
      </c>
      <c r="C127" s="10" t="inlineStr">
        <is>
          <t>EU sample</t>
        </is>
      </c>
      <c r="D127" s="80" t="n">
        <v>2027</v>
      </c>
      <c r="E127" s="80" t="n">
        <v>123</v>
      </c>
      <c r="F127" s="10" t="inlineStr">
        <is>
          <t>Yes</t>
        </is>
      </c>
      <c r="G127" s="10" t="inlineStr">
        <is>
          <t>https://www.topuniversities.com/qs-top-uni-wur</t>
        </is>
      </c>
      <c r="H127" s="10" t="inlineStr">
        <is>
          <t>n.a.</t>
        </is>
      </c>
      <c r="I127" s="80">
        <f>COUNTIF('Legacy schemes (v3)'!$B$7:$B$158,B127)</f>
        <v/>
      </c>
      <c r="J127" s="80">
        <f>COUNTIFS('Legacy schemes (v3)'!$B$7:$B$158,B127,'Legacy schemes (v3)'!$C$7:$C$158,"University-wide")</f>
        <v/>
      </c>
      <c r="K127" s="80">
        <f>COUNTIFS('Legacy schemes (v3)'!$B$7:$B$158,B127,'Legacy schemes (v3)'!$C$7:$C$158,"Cross-faculty")+COUNTIFS('Legacy schemes (v3)'!$B$7:$B$158,B127,'Legacy schemes (v3)'!$C$7:$C$158,"Faculty/school")+COUNTIFS('Legacy schemes (v3)'!$B$7:$B$158,B127,'Legacy schemes (v3)'!$C$7:$C$158,"Programme/course")</f>
        <v/>
      </c>
      <c r="L127" s="80">
        <f>COUNTIFS('Legacy schemes (v3)'!$B$7:$B$158,B127,'Legacy schemes (v3)'!$C$7:$C$158,"Not confirmed")</f>
        <v/>
      </c>
      <c r="M127" s="10">
        <f>IF(J127&gt;0,"University-wide scheme/framework documented",IF(COUNTIFS('Legacy schemes (v3)'!$B$7:$B$158,B127,'Legacy schemes (v3)'!$C$7:$C$158,"Cross-faculty")&gt;0,"Cross-faculty; broader reach unverified",IF(COUNTIFS('Legacy schemes (v3)'!$B$7:$B$158,B127,'Legacy schemes (v3)'!$C$7:$C$158,"Faculty/school")&gt;0,"Faculty/school; broader reach unverified",IF(K127&gt;0,"Programme/course; broader reach unverified","Scheme documented; reach unconfirmed"))))</f>
        <v/>
      </c>
      <c r="N127" s="32" t="inlineStr">
        <is>
          <t>EU27</t>
        </is>
      </c>
      <c r="O127" s="77" t="inlineStr"/>
    </row>
    <row r="128" ht="53" customHeight="1">
      <c r="A128" s="10" t="inlineStr">
        <is>
          <t>Spain</t>
        </is>
      </c>
      <c r="B128" s="11" t="inlineStr">
        <is>
          <t>Barcelona</t>
        </is>
      </c>
      <c r="C128" s="10" t="inlineStr">
        <is>
          <t>EU sample</t>
        </is>
      </c>
      <c r="D128" s="80" t="n">
        <v>2027</v>
      </c>
      <c r="E128" s="80" t="n">
        <v>165</v>
      </c>
      <c r="F128" s="10" t="inlineStr">
        <is>
          <t>Yes</t>
        </is>
      </c>
      <c r="G128" s="10" t="inlineStr">
        <is>
          <t>https://www.topuniversities.com/qs-top-uni-wur</t>
        </is>
      </c>
      <c r="H128" s="10" t="inlineStr">
        <is>
          <t>n.a.</t>
        </is>
      </c>
      <c r="I128" s="80">
        <f>COUNTIF('Legacy schemes (v3)'!$B$7:$B$158,B128)</f>
        <v/>
      </c>
      <c r="J128" s="80">
        <f>COUNTIFS('Legacy schemes (v3)'!$B$7:$B$158,B128,'Legacy schemes (v3)'!$C$7:$C$158,"University-wide")</f>
        <v/>
      </c>
      <c r="K128" s="80">
        <f>COUNTIFS('Legacy schemes (v3)'!$B$7:$B$158,B128,'Legacy schemes (v3)'!$C$7:$C$158,"Cross-faculty")+COUNTIFS('Legacy schemes (v3)'!$B$7:$B$158,B128,'Legacy schemes (v3)'!$C$7:$C$158,"Faculty/school")+COUNTIFS('Legacy schemes (v3)'!$B$7:$B$158,B128,'Legacy schemes (v3)'!$C$7:$C$158,"Programme/course")</f>
        <v/>
      </c>
      <c r="L128" s="80">
        <f>COUNTIFS('Legacy schemes (v3)'!$B$7:$B$158,B128,'Legacy schemes (v3)'!$C$7:$C$158,"Not confirmed")</f>
        <v/>
      </c>
      <c r="M128" s="10">
        <f>IF(J128&gt;0,"University-wide scheme/framework documented",IF(COUNTIFS('Legacy schemes (v3)'!$B$7:$B$158,B128,'Legacy schemes (v3)'!$C$7:$C$158,"Cross-faculty")&gt;0,"Cross-faculty; broader reach unverified",IF(COUNTIFS('Legacy schemes (v3)'!$B$7:$B$158,B128,'Legacy schemes (v3)'!$C$7:$C$158,"Faculty/school")&gt;0,"Faculty/school; broader reach unverified",IF(K128&gt;0,"Programme/course; broader reach unverified","Scheme documented; reach unconfirmed"))))</f>
        <v/>
      </c>
      <c r="N128" s="32" t="inlineStr">
        <is>
          <t>EU28</t>
        </is>
      </c>
      <c r="O128" s="77" t="inlineStr"/>
    </row>
    <row r="129" ht="53" customHeight="1">
      <c r="A129" s="10" t="inlineStr">
        <is>
          <t>Spain</t>
        </is>
      </c>
      <c r="B129" s="11" t="inlineStr">
        <is>
          <t>Pompeu Fabra</t>
        </is>
      </c>
      <c r="C129" s="10" t="inlineStr">
        <is>
          <t>EU sample</t>
        </is>
      </c>
      <c r="D129" s="80" t="n">
        <v>2027</v>
      </c>
      <c r="E129" s="80" t="n">
        <v>263</v>
      </c>
      <c r="F129" s="10" t="inlineStr">
        <is>
          <t>No</t>
        </is>
      </c>
      <c r="G129" s="10" t="inlineStr">
        <is>
          <t>https://www.topuniversities.com/universities/universitat-pompeu-fabra-barcelona</t>
        </is>
      </c>
      <c r="H129" s="10" t="inlineStr">
        <is>
          <t>n.a.</t>
        </is>
      </c>
      <c r="I129" s="80">
        <f>COUNTIF('Legacy schemes (v3)'!$B$7:$B$158,B129)</f>
        <v/>
      </c>
      <c r="J129" s="80">
        <f>COUNTIFS('Legacy schemes (v3)'!$B$7:$B$158,B129,'Legacy schemes (v3)'!$C$7:$C$158,"University-wide")</f>
        <v/>
      </c>
      <c r="K129" s="80">
        <f>COUNTIFS('Legacy schemes (v3)'!$B$7:$B$158,B129,'Legacy schemes (v3)'!$C$7:$C$158,"Cross-faculty")+COUNTIFS('Legacy schemes (v3)'!$B$7:$B$158,B129,'Legacy schemes (v3)'!$C$7:$C$158,"Faculty/school")+COUNTIFS('Legacy schemes (v3)'!$B$7:$B$158,B129,'Legacy schemes (v3)'!$C$7:$C$158,"Programme/course")</f>
        <v/>
      </c>
      <c r="L129" s="80">
        <f>COUNTIFS('Legacy schemes (v3)'!$B$7:$B$158,B129,'Legacy schemes (v3)'!$C$7:$C$158,"Not confirmed")</f>
        <v/>
      </c>
      <c r="M129" s="10">
        <f>IF(J129&gt;0,"University-wide scheme/framework documented",IF(COUNTIFS('Legacy schemes (v3)'!$B$7:$B$158,B129,'Legacy schemes (v3)'!$C$7:$C$158,"Cross-faculty")&gt;0,"Cross-faculty; broader reach unverified",IF(COUNTIFS('Legacy schemes (v3)'!$B$7:$B$158,B129,'Legacy schemes (v3)'!$C$7:$C$158,"Faculty/school")&gt;0,"Faculty/school; broader reach unverified",IF(K129&gt;0,"Programme/course; broader reach unverified","Scheme documented; reach unconfirmed"))))</f>
        <v/>
      </c>
      <c r="N129" s="32" t="inlineStr">
        <is>
          <t>EU29</t>
        </is>
      </c>
      <c r="O129" s="77" t="inlineStr">
        <is>
          <t>QS rank sourced from institution profile page (not ranking table); not re-verified in this review.</t>
        </is>
      </c>
    </row>
    <row r="130" ht="53" customHeight="1">
      <c r="A130" s="10" t="inlineStr">
        <is>
          <t>Italy</t>
        </is>
      </c>
      <c r="B130" s="11" t="inlineStr">
        <is>
          <t>Politecnico di Milano</t>
        </is>
      </c>
      <c r="C130" s="10" t="inlineStr">
        <is>
          <t>EU sample</t>
        </is>
      </c>
      <c r="D130" s="80" t="n">
        <v>2027</v>
      </c>
      <c r="E130" s="80" t="n">
        <v>87</v>
      </c>
      <c r="F130" s="10" t="inlineStr">
        <is>
          <t>Yes</t>
        </is>
      </c>
      <c r="G130" s="10" t="inlineStr">
        <is>
          <t>https://www.topuniversities.com/qs-top-uni-wur</t>
        </is>
      </c>
      <c r="H130" s="10" t="inlineStr">
        <is>
          <t>n.a.</t>
        </is>
      </c>
      <c r="I130" s="80">
        <f>COUNTIF('Legacy schemes (v3)'!$B$7:$B$158,B130)</f>
        <v/>
      </c>
      <c r="J130" s="80">
        <f>COUNTIFS('Legacy schemes (v3)'!$B$7:$B$158,B130,'Legacy schemes (v3)'!$C$7:$C$158,"University-wide")</f>
        <v/>
      </c>
      <c r="K130" s="80">
        <f>COUNTIFS('Legacy schemes (v3)'!$B$7:$B$158,B130,'Legacy schemes (v3)'!$C$7:$C$158,"Cross-faculty")+COUNTIFS('Legacy schemes (v3)'!$B$7:$B$158,B130,'Legacy schemes (v3)'!$C$7:$C$158,"Faculty/school")+COUNTIFS('Legacy schemes (v3)'!$B$7:$B$158,B130,'Legacy schemes (v3)'!$C$7:$C$158,"Programme/course")</f>
        <v/>
      </c>
      <c r="L130" s="80">
        <f>COUNTIFS('Legacy schemes (v3)'!$B$7:$B$158,B130,'Legacy schemes (v3)'!$C$7:$C$158,"Not confirmed")</f>
        <v/>
      </c>
      <c r="M130" s="10">
        <f>IF(J130&gt;0,"University-wide scheme/framework documented",IF(COUNTIFS('Legacy schemes (v3)'!$B$7:$B$158,B130,'Legacy schemes (v3)'!$C$7:$C$158,"Cross-faculty")&gt;0,"Cross-faculty; broader reach unverified",IF(COUNTIFS('Legacy schemes (v3)'!$B$7:$B$158,B130,'Legacy schemes (v3)'!$C$7:$C$158,"Faculty/school")&gt;0,"Faculty/school; broader reach unverified",IF(K130&gt;0,"Programme/course; broader reach unverified","Scheme documented; reach unconfirmed"))))</f>
        <v/>
      </c>
      <c r="N130" s="32" t="inlineStr">
        <is>
          <t>EU30</t>
        </is>
      </c>
      <c r="O130" s="77" t="inlineStr"/>
    </row>
    <row r="131"/>
    <row r="132"/>
    <row r="133" ht="27" customHeight="1">
      <c r="A133" s="30" t="inlineStr">
        <is>
          <t>Classification and interpretation rules</t>
        </is>
      </c>
    </row>
    <row r="134"/>
    <row r="135" ht="44" customHeight="1">
      <c r="A135" s="34" t="inlineStr">
        <is>
          <t>University-wide</t>
        </is>
      </c>
      <c r="D135" s="35" t="inlineStr">
        <is>
          <t>Explicit availability across academic disciplines at the stated study level, or an institution-wide curriculum / coordination framework. May be selective or have degree exclusions and different credit rules; does not mean every student attends.</t>
        </is>
      </c>
    </row>
    <row r="136" ht="44" customHeight="1">
      <c r="A136" s="31" t="inlineStr">
        <is>
          <t>Cross-faculty</t>
        </is>
      </c>
      <c r="D136" s="33" t="inlineStr">
        <is>
          <t>Named faculties, schools or constituent colleges participate; institution-wide reach or all-discipline eligibility is not established.</t>
        </is>
      </c>
    </row>
    <row r="137" ht="44" customHeight="1">
      <c r="A137" s="34" t="inlineStr">
        <is>
          <t>Faculty/school</t>
        </is>
      </c>
      <c r="D137" s="35" t="inlineStr">
        <is>
          <t>Academic participation is restricted to one faculty or school. Administrative home alone is insufficient for this classification.</t>
        </is>
      </c>
    </row>
    <row r="138" ht="44" customHeight="1">
      <c r="A138" s="31" t="inlineStr">
        <is>
          <t>Programme/course</t>
        </is>
      </c>
      <c r="D138" s="33" t="inlineStr">
        <is>
          <t>Specific degree, module, certificate or course cohort. Compulsion means required for that route unless wider compulsory reach is explicitly evidenced.</t>
        </is>
      </c>
    </row>
    <row r="139" ht="44" customHeight="1">
      <c r="A139" s="34" t="inlineStr">
        <is>
          <t>Not confirmed</t>
        </is>
      </c>
      <c r="D139" s="35" t="inlineStr">
        <is>
          <t>A scheme is evidenced, but academic reach is inadequately established. Central hosting alone cannot prove all-faculty eligibility.</t>
        </is>
      </c>
    </row>
    <row r="140" ht="44" customHeight="1">
      <c r="A140" s="31" t="inlineStr">
        <is>
          <t>Scope evidence basis</t>
        </is>
      </c>
      <c r="D140" s="33" t="inlineStr">
        <is>
          <t>Direct eligibility: published access or cohort rules. Institutional framework: institution-wide curricular/support provision with course-level restrictions. Unconfirmed reach: broader eligibility unverified.</t>
        </is>
      </c>
    </row>
    <row r="141" ht="44" customHeight="1">
      <c r="A141" s="34" t="inlineStr">
        <is>
          <t>Participation</t>
        </is>
      </c>
      <c r="D141" s="35" t="inlineStr">
        <is>
          <t>Compulsory: required within stated eligible route. Elective credit: optional credit course. Co-curricular: outside degree credit. Mixed/varies: different requirements, credit or routes. Not confirmed: source does not settle the point.</t>
        </is>
      </c>
    </row>
    <row r="142" ht="44" customHeight="1">
      <c r="A142" s="31" t="inlineStr">
        <is>
          <t>Evidence currency</t>
        </is>
      </c>
      <c r="D142" s="33" t="inlineStr">
        <is>
          <t>Dated 2026/27 means explicit recent/future cycle or dated activity, not necessarily open applications. Dated earlier / mixed preserves older or mixed evidence. Undated page has no verified cycle. Paused and Ending identify constraints.</t>
        </is>
      </c>
    </row>
    <row r="143" ht="44" customHeight="1">
      <c r="A143" s="34" t="inlineStr">
        <is>
          <t>Search method</t>
        </is>
      </c>
      <c r="D143" s="35" t="inlineStr">
        <is>
          <t>Each institution was checked for a named academic/project example and wider central teaching, careers, enterprise, honours, service-learning or research opportunities. Broader schemes are separate rows where eligibility differs. This is not an exhaustive inventory of every module.</t>
        </is>
      </c>
    </row>
    <row r="144" ht="44" customHeight="1">
      <c r="A144" s="31" t="inlineStr">
        <is>
          <t>Revenue boundaries</t>
        </is>
      </c>
      <c r="D144" s="33" t="inlineStr">
        <is>
          <t>Comparable CPD/CE business-and-community income: user-supplied HESA 2024/25. Accounts categories may overlap and differ. Only HESA provider rows feed the UK dashboard total; accounts and Australian metrics retain their own reporting periods, units and scope.</t>
        </is>
      </c>
    </row>
    <row r="145" ht="44" customHeight="1">
      <c r="A145" s="34" t="inlineStr">
        <is>
          <t>Missing values</t>
        </is>
      </c>
      <c r="D145" s="35" t="inlineStr">
        <is>
          <t>n.a. = unavailable or not applicable, not zero. Provider zeros are reported HESA values. Income per learner day is unavailable if days are zero. HESA growth cannot be inferred from a single year.</t>
        </is>
      </c>
    </row>
    <row r="146" ht="44" customHeight="1">
      <c r="A146" s="31" t="inlineStr">
        <is>
          <t>Refresh</t>
        </is>
      </c>
      <c r="D146" s="33" t="inlineStr">
        <is>
          <t>Update raw provider inputs with stable UKPRNs, same definitions and units, and academic year/source totals together. Rankings recalculate within 206 rows; extend ranges and tables if provider count changes. Update scheme scope, eligibility, sources and dates together.</t>
        </is>
      </c>
    </row>
  </sheetData>
  <mergeCells count="28">
    <mergeCell ref="A137:C137"/>
    <mergeCell ref="D137:M137"/>
    <mergeCell ref="D146:M146"/>
    <mergeCell ref="D143:M143"/>
    <mergeCell ref="A145:C145"/>
    <mergeCell ref="A136:C136"/>
    <mergeCell ref="A139:C139"/>
    <mergeCell ref="A3:F3"/>
    <mergeCell ref="D142:M142"/>
    <mergeCell ref="A2:F2"/>
    <mergeCell ref="A141:C141"/>
    <mergeCell ref="A135:C135"/>
    <mergeCell ref="D138:M138"/>
    <mergeCell ref="A144:C144"/>
    <mergeCell ref="A140:C140"/>
    <mergeCell ref="A4:F4"/>
    <mergeCell ref="D144:M144"/>
    <mergeCell ref="D140:M140"/>
    <mergeCell ref="D139:M139"/>
    <mergeCell ref="A143:C143"/>
    <mergeCell ref="D136:M136"/>
    <mergeCell ref="A142:C142"/>
    <mergeCell ref="A138:C138"/>
    <mergeCell ref="D145:M145"/>
    <mergeCell ref="A133:M133"/>
    <mergeCell ref="D141:M141"/>
    <mergeCell ref="D135:M135"/>
    <mergeCell ref="A146:C146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203B60"/>
    <outlinePr summaryBelow="1" summaryRight="1"/>
    <pageSetUpPr/>
  </sheetPr>
  <dimension ref="A1:Q158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4" customWidth="1" min="1" max="1"/>
    <col width="30" customWidth="1" min="2" max="2"/>
    <col width="22" customWidth="1" min="3" max="3"/>
    <col width="28" customWidth="1" min="4" max="4"/>
    <col width="42" customWidth="1" min="5" max="5"/>
    <col width="33" customWidth="1" min="6" max="6"/>
    <col width="21" customWidth="1" min="7" max="7"/>
    <col width="57" customWidth="1" min="8" max="8"/>
    <col width="77" customWidth="1" min="9" max="9"/>
    <col width="75" customWidth="1" min="10" max="10"/>
    <col width="45" customWidth="1" min="11" max="11"/>
    <col width="25" customWidth="1" min="12" max="12"/>
    <col width="80" customWidth="1" min="13" max="13"/>
    <col width="28" customWidth="1" min="14" max="14"/>
    <col width="27" customWidth="1" min="15" max="15"/>
    <col width="17" customWidth="1" min="16" max="16"/>
    <col width="48" customWidth="1" min="17" max="17"/>
  </cols>
  <sheetData>
    <row r="1"/>
    <row r="2" ht="28" customHeight="1">
      <c r="A2" s="4" t="inlineStr">
        <is>
          <t>LEGACY (v3, research date 8 Oct 2026): experiential learning scheme/framework examples — superseded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36" customHeight="1">
      <c r="A3" s="6" t="inlineStr">
        <is>
          <t>Retained unchanged for traceability. These rows were NOT tested against the strict three-criterion definition. Column Q records how each row was handled in the detailed review (scheme register ID or exclusion ID). Use 'EL scheme register'.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36" customHeight="1">
      <c r="A4" s="6" t="inlineStr">
        <is>
          <t>Column C = academic reach. Faculty hosting does not imply restricted eligibility. University-wide frameworks can have degree exclusions. This is a comparative scheme sample, not an exhaustive course inventory.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 ht="40" customHeight="1">
      <c r="A6" s="9" t="inlineStr">
        <is>
          <t>Country</t>
        </is>
      </c>
      <c r="B6" s="9" t="inlineStr">
        <is>
          <t>University</t>
        </is>
      </c>
      <c r="C6" s="9" t="inlineStr">
        <is>
          <t>Academic reach</t>
        </is>
      </c>
      <c r="D6" s="9" t="inlineStr">
        <is>
          <t>Learning model</t>
        </is>
      </c>
      <c r="E6" s="9" t="inlineStr">
        <is>
          <t>Scheme / framework</t>
        </is>
      </c>
      <c r="F6" s="9" t="inlineStr">
        <is>
          <t>Administrative home</t>
        </is>
      </c>
      <c r="G6" s="9" t="inlineStr">
        <is>
          <t>Participation</t>
        </is>
      </c>
      <c r="H6" s="9" t="inlineStr">
        <is>
          <t>Eligibility / restrictions</t>
        </is>
      </c>
      <c r="I6" s="9" t="inlineStr">
        <is>
          <t>Delivery / credit / practical activity</t>
        </is>
      </c>
      <c r="J6" s="9" t="inlineStr">
        <is>
          <t>Basis for reach classification</t>
        </is>
      </c>
      <c r="K6" s="9" t="inlineStr">
        <is>
          <t>Latest dated / current evidence</t>
        </is>
      </c>
      <c r="L6" s="9" t="inlineStr">
        <is>
          <t>Cohort</t>
        </is>
      </c>
      <c r="M6" s="9" t="inlineStr">
        <is>
          <t>Primary sources</t>
        </is>
      </c>
      <c r="N6" s="9" t="inlineStr">
        <is>
          <t>Scope evidence basis</t>
        </is>
      </c>
      <c r="O6" s="9" t="inlineStr">
        <is>
          <t>Evidence currency</t>
        </is>
      </c>
      <c r="P6" s="9" t="inlineStr">
        <is>
          <t>Research date</t>
        </is>
      </c>
      <c r="Q6" s="75" t="inlineStr">
        <is>
          <t>Disposition in detailed review (Oct 2026)</t>
        </is>
      </c>
    </row>
    <row r="7" ht="116" customHeight="1">
      <c r="A7" s="10" t="inlineStr">
        <is>
          <t>UK</t>
        </is>
      </c>
      <c r="B7" s="11" t="inlineStr">
        <is>
          <t>Birmingham</t>
        </is>
      </c>
      <c r="C7" s="10" t="inlineStr">
        <is>
          <t>University-wide</t>
        </is>
      </c>
      <c r="D7" s="10" t="inlineStr">
        <is>
          <t>Live/research project</t>
        </is>
      </c>
      <c r="E7" s="10" t="inlineStr">
        <is>
          <t>Birmingham Project</t>
        </is>
      </c>
      <c r="F7" s="10" t="inlineStr">
        <is>
          <t>Careers / Birmingham Project</t>
        </is>
      </c>
      <c r="G7" s="10" t="inlineStr">
        <is>
          <t>Co-curricular</t>
        </is>
      </c>
      <c r="H7" s="10" t="inlineStr">
        <is>
          <t>First-year students across disciplines</t>
        </is>
      </c>
      <c r="I7" s="10" t="inlineStr">
        <is>
          <t>One-week interdisciplinary teams address employer and academic challenges.</t>
        </is>
      </c>
      <c r="J7" s="10" t="inlineStr">
        <is>
          <t>Central interdisciplinary student programme; application-based.</t>
        </is>
      </c>
      <c r="K7" s="10" t="inlineStr">
        <is>
          <t>Official page; intake unverified</t>
        </is>
      </c>
      <c r="L7" s="10" t="inlineStr">
        <is>
          <t>Russell Group</t>
        </is>
      </c>
      <c r="M7" s="10" t="inlineStr">
        <is>
          <t>https://intranet.birmingham.ac.uk/student/careers/skills-development/birmingham-project/index.aspx</t>
        </is>
      </c>
      <c r="N7" s="10" t="inlineStr">
        <is>
          <t>Direct eligibility</t>
        </is>
      </c>
      <c r="O7" s="10" t="inlineStr">
        <is>
          <t>Undated page</t>
        </is>
      </c>
      <c r="P7" s="81" t="n">
        <v>46303</v>
      </c>
      <c r="Q7" s="77" t="inlineStr">
        <is>
          <t>Not yet reassessed (institution not reviewed)</t>
        </is>
      </c>
    </row>
    <row r="8" ht="116" customHeight="1">
      <c r="A8" s="10" t="inlineStr">
        <is>
          <t>UK</t>
        </is>
      </c>
      <c r="B8" s="11" t="inlineStr">
        <is>
          <t>Bristol</t>
        </is>
      </c>
      <c r="C8" s="10" t="inlineStr">
        <is>
          <t>University-wide</t>
        </is>
      </c>
      <c r="D8" s="10" t="inlineStr">
        <is>
          <t>Interdisciplinary curriculum</t>
        </is>
      </c>
      <c r="E8" s="10" t="inlineStr">
        <is>
          <t>Bristol Futures Open Units</t>
        </is>
      </c>
      <c r="F8" s="10" t="inlineStr">
        <is>
          <t>Bristol Futures</t>
        </is>
      </c>
      <c r="G8" s="10" t="inlineStr">
        <is>
          <t>Elective credit</t>
        </is>
      </c>
      <c r="H8" s="10" t="inlineStr">
        <is>
          <t>Undergraduates where degree rules allow</t>
        </is>
      </c>
      <c r="I8" s="10" t="inlineStr">
        <is>
          <t>Cross-disciplinary units beyond the home subject. External client work depends on the unit.</t>
        </is>
      </c>
      <c r="J8" s="10" t="inlineStr">
        <is>
          <t>University breadth-unit framework; practical learning differs by unit.</t>
        </is>
      </c>
      <c r="K8" s="10" t="inlineStr">
        <is>
          <t>Official page; intake unverified</t>
        </is>
      </c>
      <c r="L8" s="10" t="inlineStr">
        <is>
          <t>Russell Group</t>
        </is>
      </c>
      <c r="M8" s="10" t="inlineStr">
        <is>
          <t>https://www.bristol.ac.uk/bristol-futures/open-units/</t>
        </is>
      </c>
      <c r="N8" s="10" t="inlineStr">
        <is>
          <t>Institutional framework</t>
        </is>
      </c>
      <c r="O8" s="10" t="inlineStr">
        <is>
          <t>Undated page</t>
        </is>
      </c>
      <c r="P8" s="81" t="n">
        <v>46303</v>
      </c>
      <c r="Q8" s="77" t="inlineStr">
        <is>
          <t>Not yet reassessed (institution not reviewed)</t>
        </is>
      </c>
    </row>
    <row r="9" ht="116" customHeight="1">
      <c r="A9" s="10" t="inlineStr">
        <is>
          <t>UK</t>
        </is>
      </c>
      <c r="B9" s="11" t="inlineStr">
        <is>
          <t>Cambridge</t>
        </is>
      </c>
      <c r="C9" s="10" t="inlineStr">
        <is>
          <t>Programme/course</t>
        </is>
      </c>
      <c r="D9" s="10" t="inlineStr">
        <is>
          <t>Live/research project</t>
        </is>
      </c>
      <c r="E9" s="10" t="inlineStr">
        <is>
          <t>Cambridge Venture Project / Global Consulting Project</t>
        </is>
      </c>
      <c r="F9" s="10" t="inlineStr">
        <is>
          <t>Cambridge Judge Business School</t>
        </is>
      </c>
      <c r="G9" s="10" t="inlineStr">
        <is>
          <t>Compulsory</t>
        </is>
      </c>
      <c r="H9" s="10" t="inlineStr">
        <is>
          <t>Judge MBA students</t>
        </is>
      </c>
      <c r="I9" s="10" t="inlineStr">
        <is>
          <t>Student teams work on organisational projects. This is an MBA example, not a university-wide core.</t>
        </is>
      </c>
      <c r="J9" s="10" t="inlineStr">
        <is>
          <t>Specific MBA project curriculum; not institution-wide.</t>
        </is>
      </c>
      <c r="K9" s="10" t="inlineStr">
        <is>
          <t>Official page; intake unverified</t>
        </is>
      </c>
      <c r="L9" s="10" t="inlineStr">
        <is>
          <t>Russell Group</t>
        </is>
      </c>
      <c r="M9" s="10" t="inlineStr">
        <is>
          <t>https://www.jbs.cam.ac.uk/recruiters-organisations/student-projects/
https://www.jbs.cam.ac.uk/recruiters-organisations/student-projects/mba-global-consulting-project/</t>
        </is>
      </c>
      <c r="N9" s="10" t="inlineStr">
        <is>
          <t>Direct eligibility</t>
        </is>
      </c>
      <c r="O9" s="10" t="inlineStr">
        <is>
          <t>Undated page</t>
        </is>
      </c>
      <c r="P9" s="81" t="n">
        <v>46303</v>
      </c>
      <c r="Q9" s="77" t="inlineStr">
        <is>
          <t>Not yet reassessed (institution not reviewed)</t>
        </is>
      </c>
    </row>
    <row r="10" ht="116" customHeight="1">
      <c r="A10" s="10" t="inlineStr">
        <is>
          <t>UK</t>
        </is>
      </c>
      <c r="B10" s="11" t="inlineStr">
        <is>
          <t>Cardiff</t>
        </is>
      </c>
      <c r="C10" s="10" t="inlineStr">
        <is>
          <t>Not confirmed</t>
        </is>
      </c>
      <c r="D10" s="10" t="inlineStr">
        <is>
          <t>International collaboration</t>
        </is>
      </c>
      <c r="E10" s="10" t="inlineStr">
        <is>
          <t>Bremen–Cardiff Sustainability Programme</t>
        </is>
      </c>
      <c r="F10" s="10" t="inlineStr">
        <is>
          <t>Careers / Enterprise</t>
        </is>
      </c>
      <c r="G10" s="10" t="inlineStr">
        <is>
          <t>Co-curricular</t>
        </is>
      </c>
      <c r="H10" s="10" t="inlineStr">
        <is>
          <t>Eligible Cardiff students; admissions apply</t>
        </is>
      </c>
      <c r="I10" s="10" t="inlineStr">
        <is>
          <t>Students from both universities collaborate on sustainability problems.</t>
        </is>
      </c>
      <c r="J10" s="10" t="inlineStr">
        <is>
          <t>Central enterprise opportunity with international partners; reach inferred from remit. Academic reach remains Not confirmed until eligibility or institution-wide framework reach is established.</t>
        </is>
      </c>
      <c r="K10" s="10" t="inlineStr">
        <is>
          <t>Official page; intake unverified</t>
        </is>
      </c>
      <c r="L10" s="10" t="inlineStr">
        <is>
          <t>Russell Group</t>
        </is>
      </c>
      <c r="M10" s="10" t="inlineStr">
        <is>
          <t>https://www.cardiff.ac.uk/study/student-life/student-support/careers-and-employability/enterprise</t>
        </is>
      </c>
      <c r="N10" s="10" t="inlineStr">
        <is>
          <t>Unconfirmed reach</t>
        </is>
      </c>
      <c r="O10" s="10" t="inlineStr">
        <is>
          <t>Undated page</t>
        </is>
      </c>
      <c r="P10" s="81" t="n">
        <v>46303</v>
      </c>
      <c r="Q10" s="77" t="inlineStr">
        <is>
          <t>Not yet reassessed (institution not reviewed)</t>
        </is>
      </c>
    </row>
    <row r="11" ht="116" customHeight="1">
      <c r="A11" s="10" t="inlineStr">
        <is>
          <t>UK</t>
        </is>
      </c>
      <c r="B11" s="11" t="inlineStr">
        <is>
          <t>Durham</t>
        </is>
      </c>
      <c r="C11" s="10" t="inlineStr">
        <is>
          <t>University-wide</t>
        </is>
      </c>
      <c r="D11" s="10" t="inlineStr">
        <is>
          <t>Live/research project</t>
        </is>
      </c>
      <c r="E11" s="10" t="inlineStr">
        <is>
          <t>Mini Consultancy Competition</t>
        </is>
      </c>
      <c r="F11" s="10" t="inlineStr">
        <is>
          <t>Careers and Enterprise</t>
        </is>
      </c>
      <c r="G11" s="10" t="inlineStr">
        <is>
          <t>Co-curricular</t>
        </is>
      </c>
      <c r="H11" s="10" t="inlineStr">
        <is>
          <t>Students across disciplines; competition selection</t>
        </is>
      </c>
      <c r="I11" s="10" t="inlineStr">
        <is>
          <t>Teams work on organisational challenges through central work-based learning. Employer offer also includes mentoring and insight programmes; the Mini Consultancy Competition is the live-project example.</t>
        </is>
      </c>
      <c r="J11" s="10" t="inlineStr">
        <is>
          <t>Central Mini Consultancy Competition explicitly serves mixed disciplines.</t>
        </is>
      </c>
      <c r="K11" s="10" t="inlineStr">
        <is>
          <t>2026 employer programme page</t>
        </is>
      </c>
      <c r="L11" s="10" t="inlineStr">
        <is>
          <t>Russell Group</t>
        </is>
      </c>
      <c r="M11" s="10" t="inlineStr">
        <is>
          <t>https://dur.ac.uk/study/careers-employability-enterprise/information-for-employers/work-based-learning-programmes-for-employers/</t>
        </is>
      </c>
      <c r="N11" s="10" t="inlineStr">
        <is>
          <t>Direct eligibility</t>
        </is>
      </c>
      <c r="O11" s="10" t="inlineStr">
        <is>
          <t>Dated 2026/27</t>
        </is>
      </c>
      <c r="P11" s="81" t="n">
        <v>46303</v>
      </c>
      <c r="Q11" s="77" t="inlineStr">
        <is>
          <t>Not yet reassessed (institution not reviewed)</t>
        </is>
      </c>
    </row>
    <row r="12" ht="116" customHeight="1">
      <c r="A12" s="10" t="inlineStr">
        <is>
          <t>UK</t>
        </is>
      </c>
      <c r="B12" s="11" t="inlineStr">
        <is>
          <t>Edinburgh</t>
        </is>
      </c>
      <c r="C12" s="10" t="inlineStr">
        <is>
          <t>University-wide</t>
        </is>
      </c>
      <c r="D12" s="10" t="inlineStr">
        <is>
          <t>Live/research project</t>
        </is>
      </c>
      <c r="E12" s="10" t="inlineStr">
        <is>
          <t>Students as Change Agents (SACHA) elective</t>
        </is>
      </c>
      <c r="F12" s="10" t="inlineStr">
        <is>
          <t>Edinburgh Futures Institute</t>
        </is>
      </c>
      <c r="G12" s="10" t="inlineStr">
        <is>
          <t>Elective credit</t>
        </is>
      </c>
      <c r="H12" s="10" t="inlineStr">
        <is>
          <t>First- and second-year students in eligible programmes</t>
        </is>
      </c>
      <c r="I12" s="10" t="inlineStr">
        <is>
          <t>EFI elective remains available. Careers co-curricular programme is paused for the foreseeable future due to funding constraints.</t>
        </is>
      </c>
      <c r="J12" s="10" t="inlineStr">
        <is>
          <t>Cross-disciplinary institutional elective; separate co-curricular route is paused.</t>
        </is>
      </c>
      <c r="K12" s="10" t="inlineStr">
        <is>
          <t>Official page; intake unverified</t>
        </is>
      </c>
      <c r="L12" s="10" t="inlineStr">
        <is>
          <t>Russell Group</t>
        </is>
      </c>
      <c r="M12" s="10" t="inlineStr">
        <is>
          <t>https://careers.ed.ac.uk/build-experience/students-as-change-agents</t>
        </is>
      </c>
      <c r="N12" s="10" t="inlineStr">
        <is>
          <t>Direct eligibility</t>
        </is>
      </c>
      <c r="O12" s="10" t="inlineStr">
        <is>
          <t>Undated page</t>
        </is>
      </c>
      <c r="P12" s="81" t="n">
        <v>46303</v>
      </c>
      <c r="Q12" s="77" t="inlineStr">
        <is>
          <t>Not yet reassessed (institution not reviewed)</t>
        </is>
      </c>
    </row>
    <row r="13" ht="116" customHeight="1">
      <c r="A13" s="10" t="inlineStr">
        <is>
          <t>UK</t>
        </is>
      </c>
      <c r="B13" s="11" t="inlineStr">
        <is>
          <t>Exeter</t>
        </is>
      </c>
      <c r="C13" s="10" t="inlineStr">
        <is>
          <t>University-wide</t>
        </is>
      </c>
      <c r="D13" s="10" t="inlineStr">
        <is>
          <t>Live/research project</t>
        </is>
      </c>
      <c r="E13" s="10" t="inlineStr">
        <is>
          <t>Grand Challenges</t>
        </is>
      </c>
      <c r="F13" s="10" t="inlineStr">
        <is>
          <t>Grand Challenges</t>
        </is>
      </c>
      <c r="G13" s="10" t="inlineStr">
        <is>
          <t>Co-curricular</t>
        </is>
      </c>
      <c r="H13" s="10" t="inlineStr">
        <is>
          <t>Exeter students; annual participation/eligibility applies</t>
        </is>
      </c>
      <c r="I13" s="10" t="inlineStr">
        <is>
          <t>Optional interdisciplinary challenge programme. Student teams develop responses to sustainability questions; Future17 is recorded separately.</t>
        </is>
      </c>
      <c r="J13" s="10" t="inlineStr">
        <is>
          <t>University interdisciplinary challenge programme; not compulsory.</t>
        </is>
      </c>
      <c r="K13" s="10" t="inlineStr">
        <is>
          <t>Official page; intake unverified</t>
        </is>
      </c>
      <c r="L13" s="10" t="inlineStr">
        <is>
          <t>Russell Group</t>
        </is>
      </c>
      <c r="M13" s="10" t="inlineStr">
        <is>
          <t>https://www.exeter.ac.uk/students/grandchallenges/</t>
        </is>
      </c>
      <c r="N13" s="10" t="inlineStr">
        <is>
          <t>Direct eligibility</t>
        </is>
      </c>
      <c r="O13" s="10" t="inlineStr">
        <is>
          <t>Undated page</t>
        </is>
      </c>
      <c r="P13" s="81" t="n">
        <v>46303</v>
      </c>
      <c r="Q13" s="77" t="inlineStr">
        <is>
          <t>Not yet reassessed (institution not reviewed)</t>
        </is>
      </c>
    </row>
    <row r="14" ht="116" customHeight="1">
      <c r="A14" s="10" t="inlineStr">
        <is>
          <t>UK</t>
        </is>
      </c>
      <c r="B14" s="11" t="inlineStr">
        <is>
          <t>Glasgow</t>
        </is>
      </c>
      <c r="C14" s="10" t="inlineStr">
        <is>
          <t>University-wide</t>
        </is>
      </c>
      <c r="D14" s="10" t="inlineStr">
        <is>
          <t>International collaboration</t>
        </is>
      </c>
      <c r="E14" s="10" t="inlineStr">
        <is>
          <t>Collaborative Online International Learning (COIL)</t>
        </is>
      </c>
      <c r="F14" s="10" t="inlineStr">
        <is>
          <t>University internationalisation / academic courses</t>
        </is>
      </c>
      <c r="G14" s="10" t="inlineStr">
        <is>
          <t>Mixed/varies</t>
        </is>
      </c>
      <c r="H14" s="10" t="inlineStr">
        <is>
          <t>Students in participating courses</t>
        </is>
      </c>
      <c r="I14" s="10" t="inlineStr">
        <is>
          <t>Students collaborate virtually with international partners. Credit and assessment depend on the course.</t>
        </is>
      </c>
      <c r="J14" s="10" t="inlineStr">
        <is>
          <t>Institutional COIL support framework; actual access and credit depend on the course.</t>
        </is>
      </c>
      <c r="K14" s="10" t="inlineStr">
        <is>
          <t>Official page; intake unverified</t>
        </is>
      </c>
      <c r="L14" s="10" t="inlineStr">
        <is>
          <t>Russell Group</t>
        </is>
      </c>
      <c r="M14" s="10" t="inlineStr">
        <is>
          <t>https://www.gla.ac.uk/explore/internationalisation/coil/</t>
        </is>
      </c>
      <c r="N14" s="10" t="inlineStr">
        <is>
          <t>Institutional framework</t>
        </is>
      </c>
      <c r="O14" s="10" t="inlineStr">
        <is>
          <t>Undated page</t>
        </is>
      </c>
      <c r="P14" s="81" t="n">
        <v>46303</v>
      </c>
      <c r="Q14" s="77" t="inlineStr">
        <is>
          <t>Not yet reassessed (institution not reviewed)</t>
        </is>
      </c>
    </row>
    <row r="15" ht="116" customHeight="1">
      <c r="A15" s="10" t="inlineStr">
        <is>
          <t>UK</t>
        </is>
      </c>
      <c r="B15" s="11" t="inlineStr">
        <is>
          <t>Imperial College London</t>
        </is>
      </c>
      <c r="C15" s="10" t="inlineStr">
        <is>
          <t>University-wide</t>
        </is>
      </c>
      <c r="D15" s="10" t="inlineStr">
        <is>
          <t>Interdisciplinary curriculum</t>
        </is>
      </c>
      <c r="E15" s="10" t="inlineStr">
        <is>
          <t>I-Explore</t>
        </is>
      </c>
      <c r="F15" s="10" t="inlineStr">
        <is>
          <t>Centre for Languages, Culture and Communication</t>
        </is>
      </c>
      <c r="G15" s="10" t="inlineStr">
        <is>
          <t>Compulsory</t>
        </is>
      </c>
      <c r="H15" s="10" t="inlineStr">
        <is>
          <t>Undergraduates on participating programmes</t>
        </is>
      </c>
      <c r="I15" s="10" t="inlineStr">
        <is>
          <t>Second- or third-year study outside the main discipline. Options include interdisciplinary and practical work.</t>
        </is>
      </c>
      <c r="J15" s="10" t="inlineStr">
        <is>
          <t>University undergraduate breadth requirement; degree-specific rules apply.</t>
        </is>
      </c>
      <c r="K15" s="10" t="inlineStr">
        <is>
          <t>Official page; intake unverified</t>
        </is>
      </c>
      <c r="L15" s="10" t="inlineStr">
        <is>
          <t>Russell Group</t>
        </is>
      </c>
      <c r="M15" s="10" t="inlineStr">
        <is>
          <t>https://www.imperial.ac.uk/centre-for-languages-culture-and-communication/i-explore/</t>
        </is>
      </c>
      <c r="N15" s="10" t="inlineStr">
        <is>
          <t>Direct eligibility</t>
        </is>
      </c>
      <c r="O15" s="10" t="inlineStr">
        <is>
          <t>Undated page</t>
        </is>
      </c>
      <c r="P15" s="81" t="n">
        <v>46303</v>
      </c>
      <c r="Q15" s="77" t="inlineStr">
        <is>
          <t>Not yet reassessed (institution not reviewed)</t>
        </is>
      </c>
    </row>
    <row r="16" ht="116" customHeight="1">
      <c r="A16" s="10" t="inlineStr">
        <is>
          <t>UK</t>
        </is>
      </c>
      <c r="B16" s="11" t="inlineStr">
        <is>
          <t>King’s College London</t>
        </is>
      </c>
      <c r="C16" s="10" t="inlineStr">
        <is>
          <t>Programme/course</t>
        </is>
      </c>
      <c r="D16" s="10" t="inlineStr">
        <is>
          <t>Live/research project</t>
        </is>
      </c>
      <c r="E16" s="10" t="inlineStr">
        <is>
          <t>Business Experience Project</t>
        </is>
      </c>
      <c r="F16" s="10" t="inlineStr">
        <is>
          <t>King’s Business School</t>
        </is>
      </c>
      <c r="G16" s="10" t="inlineStr">
        <is>
          <t>Mixed/varies</t>
        </is>
      </c>
      <c r="H16" s="10" t="inlineStr">
        <is>
          <t>International Management MSc students</t>
        </is>
      </c>
      <c r="I16" s="10" t="inlineStr">
        <is>
          <t>A business-school example of experiential study. Not a compulsory university-wide scheme.</t>
        </is>
      </c>
      <c r="J16" s="10" t="inlineStr">
        <is>
          <t>Specific taught master’s route; project/internship structure follows programme requirements.</t>
        </is>
      </c>
      <c r="K16" s="10" t="inlineStr">
        <is>
          <t>Official page; intake unverified</t>
        </is>
      </c>
      <c r="L16" s="10" t="inlineStr">
        <is>
          <t>Russell Group</t>
        </is>
      </c>
      <c r="M16" s="10" t="inlineStr">
        <is>
          <t>https://www.kcl.ac.uk/study/postgraduate-taught/courses/international-management-msc/teaching</t>
        </is>
      </c>
      <c r="N16" s="10" t="inlineStr">
        <is>
          <t>Direct eligibility</t>
        </is>
      </c>
      <c r="O16" s="10" t="inlineStr">
        <is>
          <t>Undated page</t>
        </is>
      </c>
      <c r="P16" s="81" t="n">
        <v>46303</v>
      </c>
      <c r="Q16" s="77" t="inlineStr">
        <is>
          <t>Not yet reassessed (institution not reviewed)</t>
        </is>
      </c>
    </row>
    <row r="17" ht="116" customHeight="1">
      <c r="A17" s="10" t="inlineStr">
        <is>
          <t>UK</t>
        </is>
      </c>
      <c r="B17" s="11" t="inlineStr">
        <is>
          <t>Leeds</t>
        </is>
      </c>
      <c r="C17" s="10" t="inlineStr">
        <is>
          <t>University-wide</t>
        </is>
      </c>
      <c r="D17" s="10" t="inlineStr">
        <is>
          <t>Interdisciplinary curriculum</t>
        </is>
      </c>
      <c r="E17" s="10" t="inlineStr">
        <is>
          <t>Discovery Modules</t>
        </is>
      </c>
      <c r="F17" s="10" t="inlineStr">
        <is>
          <t>Central Discovery Modules</t>
        </is>
      </c>
      <c r="G17" s="10" t="inlineStr">
        <is>
          <t>Elective credit</t>
        </is>
      </c>
      <c r="H17" s="10" t="inlineStr">
        <is>
          <t>Undergraduates where programme rules permit</t>
        </is>
      </c>
      <c r="I17" s="10" t="inlineStr">
        <is>
          <t>Students study beyond their main discipline. Experiential content depends on the module selected.</t>
        </is>
      </c>
      <c r="J17" s="10" t="inlineStr">
        <is>
          <t>University breadth-module framework; experiential content varies by module.</t>
        </is>
      </c>
      <c r="K17" s="10" t="inlineStr">
        <is>
          <t>Official page; intake unverified</t>
        </is>
      </c>
      <c r="L17" s="10" t="inlineStr">
        <is>
          <t>Russell Group</t>
        </is>
      </c>
      <c r="M17" s="10" t="inlineStr">
        <is>
          <t>https://students.leeds.ac.uk/discovery</t>
        </is>
      </c>
      <c r="N17" s="10" t="inlineStr">
        <is>
          <t>Institutional framework</t>
        </is>
      </c>
      <c r="O17" s="10" t="inlineStr">
        <is>
          <t>Undated page</t>
        </is>
      </c>
      <c r="P17" s="81" t="n">
        <v>46303</v>
      </c>
      <c r="Q17" s="77" t="inlineStr">
        <is>
          <t>Not yet reassessed (institution not reviewed)</t>
        </is>
      </c>
    </row>
    <row r="18" ht="116" customHeight="1">
      <c r="A18" s="10" t="inlineStr">
        <is>
          <t>UK</t>
        </is>
      </c>
      <c r="B18" s="11" t="inlineStr">
        <is>
          <t>Liverpool</t>
        </is>
      </c>
      <c r="C18" s="10" t="inlineStr">
        <is>
          <t>University-wide</t>
        </is>
      </c>
      <c r="D18" s="10" t="inlineStr">
        <is>
          <t>Live/research project</t>
        </is>
      </c>
      <c r="E18" s="10" t="inlineStr">
        <is>
          <t>Grand Challenges</t>
        </is>
      </c>
      <c r="F18" s="10" t="inlineStr">
        <is>
          <t>Careers and Employability</t>
        </is>
      </c>
      <c r="G18" s="10" t="inlineStr">
        <is>
          <t>Co-curricular</t>
        </is>
      </c>
      <c r="H18" s="10" t="inlineStr">
        <is>
          <t>Eligible students across campus</t>
        </is>
      </c>
      <c r="I18" s="10" t="inlineStr">
        <is>
          <t>Student teams address real challenges through employer engagement.</t>
        </is>
      </c>
      <c r="J18" s="10" t="inlineStr">
        <is>
          <t>Official employer page describes campus-wide initiative.</t>
        </is>
      </c>
      <c r="K18" s="10" t="inlineStr">
        <is>
          <t>Official page; intake unverified</t>
        </is>
      </c>
      <c r="L18" s="10" t="inlineStr">
        <is>
          <t>Russell Group</t>
        </is>
      </c>
      <c r="M18" s="10" t="inlineStr">
        <is>
          <t>https://www.liverpool.ac.uk/careers/employers/campus-wide-initiatives/grand-challenges/</t>
        </is>
      </c>
      <c r="N18" s="10" t="inlineStr">
        <is>
          <t>Direct eligibility</t>
        </is>
      </c>
      <c r="O18" s="10" t="inlineStr">
        <is>
          <t>Undated page</t>
        </is>
      </c>
      <c r="P18" s="81" t="n">
        <v>46303</v>
      </c>
      <c r="Q18" s="77" t="inlineStr">
        <is>
          <t>Not yet reassessed (institution not reviewed)</t>
        </is>
      </c>
    </row>
    <row r="19" ht="116" customHeight="1">
      <c r="A19" s="10" t="inlineStr">
        <is>
          <t>UK</t>
        </is>
      </c>
      <c r="B19" s="11" t="inlineStr">
        <is>
          <t>London School of Economics</t>
        </is>
      </c>
      <c r="C19" s="10" t="inlineStr">
        <is>
          <t>University-wide</t>
        </is>
      </c>
      <c r="D19" s="10" t="inlineStr">
        <is>
          <t>Interdisciplinary curriculum</t>
        </is>
      </c>
      <c r="E19" s="10" t="inlineStr">
        <is>
          <t>LSE100</t>
        </is>
      </c>
      <c r="F19" s="10" t="inlineStr">
        <is>
          <t>LSE100</t>
        </is>
      </c>
      <c r="G19" s="10" t="inlineStr">
        <is>
          <t>Compulsory</t>
        </is>
      </c>
      <c r="H19" s="10" t="inlineStr">
        <is>
          <t>All first-year undergraduates</t>
        </is>
      </c>
      <c r="I19" s="10" t="inlineStr">
        <is>
          <t>Compulsory first-year interdisciplinary inquiry and collaborative research. Separate optional Future17 projects are recorded on their own row.</t>
        </is>
      </c>
      <c r="J19" s="10" t="inlineStr">
        <is>
          <t>Explicit compulsory institution-wide first-year curriculum.</t>
        </is>
      </c>
      <c r="K19" s="10" t="inlineStr">
        <is>
          <t>Official page; intake unverified</t>
        </is>
      </c>
      <c r="L19" s="10" t="inlineStr">
        <is>
          <t>Russell Group</t>
        </is>
      </c>
      <c r="M19" s="10" t="inlineStr">
        <is>
          <t>https://info.lse.ac.uk/current-students/lse100/about-lse-100</t>
        </is>
      </c>
      <c r="N19" s="10" t="inlineStr">
        <is>
          <t>Direct eligibility</t>
        </is>
      </c>
      <c r="O19" s="10" t="inlineStr">
        <is>
          <t>Undated page</t>
        </is>
      </c>
      <c r="P19" s="81" t="n">
        <v>46303</v>
      </c>
      <c r="Q19" s="77" t="inlineStr">
        <is>
          <t>Not yet reassessed (institution not reviewed)</t>
        </is>
      </c>
    </row>
    <row r="20" ht="116" customHeight="1">
      <c r="A20" s="10" t="inlineStr">
        <is>
          <t>UK</t>
        </is>
      </c>
      <c r="B20" s="11" t="inlineStr">
        <is>
          <t>Manchester</t>
        </is>
      </c>
      <c r="C20" s="10" t="inlineStr">
        <is>
          <t>University-wide</t>
        </is>
      </c>
      <c r="D20" s="10" t="inlineStr">
        <is>
          <t>Interdisciplinary curriculum</t>
        </is>
      </c>
      <c r="E20" s="10" t="inlineStr">
        <is>
          <t>University College for Interdisciplinary Learning (UCIL)</t>
        </is>
      </c>
      <c r="F20" s="10" t="inlineStr">
        <is>
          <t>University College for Interdisciplinary Learning</t>
        </is>
      </c>
      <c r="G20" s="10" t="inlineStr">
        <is>
          <t>Elective credit</t>
        </is>
      </c>
      <c r="H20" s="10" t="inlineStr">
        <is>
          <t>Undergraduates with available optional credit</t>
        </is>
      </c>
      <c r="I20" s="10" t="inlineStr">
        <is>
          <t>Cross-disciplinary units, including enterprise and community-oriented learning. 2035 strategy commits to expanding partner-based learning for credit.</t>
        </is>
      </c>
      <c r="J20" s="10" t="inlineStr">
        <is>
          <t>University-level interdisciplinary unit framework; future expansion plans are not current provision.</t>
        </is>
      </c>
      <c r="K20" s="10" t="inlineStr">
        <is>
          <t>Official page; intake unverified</t>
        </is>
      </c>
      <c r="L20" s="10" t="inlineStr">
        <is>
          <t>Russell Group</t>
        </is>
      </c>
      <c r="M20" s="10" t="inlineStr">
        <is>
          <t>https://www.ucil.manchester.ac.uk/info-for-students/
https://www.manchester.ac.uk/about/manchester-2035/full-strategy/</t>
        </is>
      </c>
      <c r="N20" s="10" t="inlineStr">
        <is>
          <t>Institutional framework</t>
        </is>
      </c>
      <c r="O20" s="10" t="inlineStr">
        <is>
          <t>Undated page</t>
        </is>
      </c>
      <c r="P20" s="81" t="n">
        <v>46303</v>
      </c>
      <c r="Q20" s="77" t="inlineStr">
        <is>
          <t>Not yet reassessed (institution not reviewed)</t>
        </is>
      </c>
    </row>
    <row r="21" ht="116" customHeight="1">
      <c r="A21" s="10" t="inlineStr">
        <is>
          <t>UK</t>
        </is>
      </c>
      <c r="B21" s="11" t="inlineStr">
        <is>
          <t>Newcastle</t>
        </is>
      </c>
      <c r="C21" s="10" t="inlineStr">
        <is>
          <t>Cross-faculty</t>
        </is>
      </c>
      <c r="D21" s="10" t="inlineStr">
        <is>
          <t>Enterprise programme</t>
        </is>
      </c>
      <c r="E21" s="10" t="inlineStr">
        <is>
          <t>NCL2100 Developing Enterprise, Entrepreneurship and Employability</t>
        </is>
      </c>
      <c r="F21" s="10" t="inlineStr">
        <is>
          <t>Careers / participating academic programmes</t>
        </is>
      </c>
      <c r="G21" s="10" t="inlineStr">
        <is>
          <t>Elective credit</t>
        </is>
      </c>
      <c r="H21" s="10" t="inlineStr">
        <is>
          <t>Students on degrees allowing NCL2100</t>
        </is>
      </c>
      <c r="I21" s="10" t="inlineStr">
        <is>
          <t>Cross-faculty enterprise module. Current staff profile confirms module leadership. Detailed current module availability needs checking by degree.</t>
        </is>
      </c>
      <c r="J21" s="10" t="inlineStr">
        <is>
          <t>Cross-faculty module; precise current degree eligibility not verified.</t>
        </is>
      </c>
      <c r="K21" s="10" t="inlineStr">
        <is>
          <t>Official page; intake unverified</t>
        </is>
      </c>
      <c r="L21" s="10" t="inlineStr">
        <is>
          <t>Russell Group</t>
        </is>
      </c>
      <c r="M21" s="10" t="inlineStr">
        <is>
          <t>https://www.ncl.ac.uk/computing/people/profile/charlottehope.html</t>
        </is>
      </c>
      <c r="N21" s="10" t="inlineStr">
        <is>
          <t>Direct eligibility</t>
        </is>
      </c>
      <c r="O21" s="10" t="inlineStr">
        <is>
          <t>Undated page</t>
        </is>
      </c>
      <c r="P21" s="81" t="n">
        <v>46303</v>
      </c>
      <c r="Q21" s="77" t="inlineStr">
        <is>
          <t>Not yet reassessed (institution not reviewed)</t>
        </is>
      </c>
    </row>
    <row r="22" ht="116" customHeight="1">
      <c r="A22" s="10" t="inlineStr">
        <is>
          <t>UK</t>
        </is>
      </c>
      <c r="B22" s="11" t="inlineStr">
        <is>
          <t>Nottingham</t>
        </is>
      </c>
      <c r="C22" s="10" t="inlineStr">
        <is>
          <t>University-wide</t>
        </is>
      </c>
      <c r="D22" s="10" t="inlineStr">
        <is>
          <t>Co-curricular award</t>
        </is>
      </c>
      <c r="E22" s="10" t="inlineStr">
        <is>
          <t>Nottingham Advantage Award</t>
        </is>
      </c>
      <c r="F22" s="10" t="inlineStr">
        <is>
          <t>Careers / Nottingham Advantage Award</t>
        </is>
      </c>
      <c r="G22" s="10" t="inlineStr">
        <is>
          <t>Co-curricular</t>
        </is>
      </c>
      <c r="H22" s="10" t="inlineStr">
        <is>
          <t>Eligible students undertaking extracurricular modules</t>
        </is>
      </c>
      <c r="I22" s="10" t="inlineStr">
        <is>
          <t>Formal recognition of work-related skills and extracurricular learning. Not equivalent to a compulsory degree course.</t>
        </is>
      </c>
      <c r="J22" s="10" t="inlineStr">
        <is>
          <t>Central award; academic-credit equivalence not claimed.</t>
        </is>
      </c>
      <c r="K22" s="10" t="inlineStr">
        <is>
          <t>Official page; intake unverified</t>
        </is>
      </c>
      <c r="L22" s="10" t="inlineStr">
        <is>
          <t>Russell Group</t>
        </is>
      </c>
      <c r="M22" s="10" t="inlineStr">
        <is>
          <t>https://blogs.nottingham.ac.uk/careers/2024/07/25/advantage-award/</t>
        </is>
      </c>
      <c r="N22" s="10" t="inlineStr">
        <is>
          <t>Direct eligibility</t>
        </is>
      </c>
      <c r="O22" s="10" t="inlineStr">
        <is>
          <t>Undated page</t>
        </is>
      </c>
      <c r="P22" s="81" t="n">
        <v>46303</v>
      </c>
      <c r="Q22" s="77" t="inlineStr">
        <is>
          <t>Not yet reassessed (institution not reviewed)</t>
        </is>
      </c>
    </row>
    <row r="23" ht="116" customHeight="1">
      <c r="A23" s="10" t="inlineStr">
        <is>
          <t>UK</t>
        </is>
      </c>
      <c r="B23" s="11" t="inlineStr">
        <is>
          <t>Oxford</t>
        </is>
      </c>
      <c r="C23" s="10" t="inlineStr">
        <is>
          <t>University-wide</t>
        </is>
      </c>
      <c r="D23" s="10" t="inlineStr">
        <is>
          <t>Placement/WIL</t>
        </is>
      </c>
      <c r="E23" s="10" t="inlineStr">
        <is>
          <t>Micro-Internship Programme</t>
        </is>
      </c>
      <c r="F23" s="10" t="inlineStr">
        <is>
          <t>Careers Service</t>
        </is>
      </c>
      <c r="G23" s="10" t="inlineStr">
        <is>
          <t>Co-curricular</t>
        </is>
      </c>
      <c r="H23" s="10" t="inlineStr">
        <is>
          <t>Undergraduate and postgraduate students; selection applies</t>
        </is>
      </c>
      <c r="I23" s="10" t="inlineStr">
        <is>
          <t>Two- to five-day learning placements involving project assistance and work shadowing.</t>
        </is>
      </c>
      <c r="J23" s="10" t="inlineStr">
        <is>
          <t>Explicit both-level central micro-internship provision.</t>
        </is>
      </c>
      <c r="K23" s="10" t="inlineStr">
        <is>
          <t>Official page; intake unverified</t>
        </is>
      </c>
      <c r="L23" s="10" t="inlineStr">
        <is>
          <t>Russell Group</t>
        </is>
      </c>
      <c r="M23" s="10" t="inlineStr">
        <is>
          <t>https://www.ox.ac.uk/careers/internships/the-micro-internship-programme</t>
        </is>
      </c>
      <c r="N23" s="10" t="inlineStr">
        <is>
          <t>Direct eligibility</t>
        </is>
      </c>
      <c r="O23" s="10" t="inlineStr">
        <is>
          <t>Undated page</t>
        </is>
      </c>
      <c r="P23" s="81" t="n">
        <v>46303</v>
      </c>
      <c r="Q23" s="77" t="inlineStr">
        <is>
          <t>Not yet reassessed (institution not reviewed)</t>
        </is>
      </c>
    </row>
    <row r="24" ht="116" customHeight="1">
      <c r="A24" s="10" t="inlineStr">
        <is>
          <t>UK</t>
        </is>
      </c>
      <c r="B24" s="11" t="inlineStr">
        <is>
          <t>Queen Mary University of London</t>
        </is>
      </c>
      <c r="C24" s="10" t="inlineStr">
        <is>
          <t>Faculty/school</t>
        </is>
      </c>
      <c r="D24" s="10" t="inlineStr">
        <is>
          <t>Live/research project</t>
        </is>
      </c>
      <c r="E24" s="10" t="inlineStr">
        <is>
          <t>SBM Consult</t>
        </is>
      </c>
      <c r="F24" s="10" t="inlineStr">
        <is>
          <t>School of Business and Management</t>
        </is>
      </c>
      <c r="G24" s="10" t="inlineStr">
        <is>
          <t>Co-curricular</t>
        </is>
      </c>
      <c r="H24" s="10" t="inlineStr">
        <is>
          <t>SBM students; project selection applies</t>
        </is>
      </c>
      <c r="I24" s="10" t="inlineStr">
        <is>
          <t>Teams of five undertake real university client projects over ten weeks. Programme page describes paid project work.</t>
        </is>
      </c>
      <c r="J24" s="10" t="inlineStr">
        <is>
          <t>Official scheme restricts eligibility to a named school.</t>
        </is>
      </c>
      <c r="K24" s="10" t="inlineStr">
        <is>
          <t>Official page; intake unverified</t>
        </is>
      </c>
      <c r="L24" s="10" t="inlineStr">
        <is>
          <t>Russell Group</t>
        </is>
      </c>
      <c r="M24" s="10" t="inlineStr">
        <is>
          <t>https://www.qmul.ac.uk/careers/find-opportunities/current-opportunities/sbm-consult/</t>
        </is>
      </c>
      <c r="N24" s="10" t="inlineStr">
        <is>
          <t>Direct eligibility</t>
        </is>
      </c>
      <c r="O24" s="10" t="inlineStr">
        <is>
          <t>Undated page</t>
        </is>
      </c>
      <c r="P24" s="81" t="n">
        <v>46303</v>
      </c>
      <c r="Q24" s="77" t="inlineStr">
        <is>
          <t>Not yet reassessed (institution not reviewed)</t>
        </is>
      </c>
    </row>
    <row r="25" ht="116" customHeight="1">
      <c r="A25" s="10" t="inlineStr">
        <is>
          <t>UK</t>
        </is>
      </c>
      <c r="B25" s="11" t="inlineStr">
        <is>
          <t>Queen’s University Belfast</t>
        </is>
      </c>
      <c r="C25" s="10" t="inlineStr">
        <is>
          <t>University-wide</t>
        </is>
      </c>
      <c r="D25" s="10" t="inlineStr">
        <is>
          <t>Co-curricular award</t>
        </is>
      </c>
      <c r="E25" s="10" t="inlineStr">
        <is>
          <t>Future-Ready Award</t>
        </is>
      </c>
      <c r="F25" s="10" t="inlineStr">
        <is>
          <t>Central Future-Ready Award</t>
        </is>
      </c>
      <c r="G25" s="10" t="inlineStr">
        <is>
          <t>Co-curricular</t>
        </is>
      </c>
      <c r="H25" s="10" t="inlineStr">
        <is>
          <t>Undergraduate and postgraduate students</t>
        </is>
      </c>
      <c r="I25" s="10" t="inlineStr">
        <is>
          <t>Recognises work experience, volunteering and other activities. Official page reports 1,000+ awards per year and 100+ accredited activities.</t>
        </is>
      </c>
      <c r="J25" s="10" t="inlineStr">
        <is>
          <t>Central university recognition with both-level eligibility.</t>
        </is>
      </c>
      <c r="K25" s="10" t="inlineStr">
        <is>
          <t>Official page; intake unverified</t>
        </is>
      </c>
      <c r="L25" s="10" t="inlineStr">
        <is>
          <t>Russell Group</t>
        </is>
      </c>
      <c r="M25" s="10" t="inlineStr">
        <is>
          <t>https://www.qub.ac.uk/directorates/future-ready-award/</t>
        </is>
      </c>
      <c r="N25" s="10" t="inlineStr">
        <is>
          <t>Direct eligibility</t>
        </is>
      </c>
      <c r="O25" s="10" t="inlineStr">
        <is>
          <t>Undated page</t>
        </is>
      </c>
      <c r="P25" s="81" t="n">
        <v>46303</v>
      </c>
      <c r="Q25" s="77" t="inlineStr">
        <is>
          <t>Not yet reassessed (institution not reviewed)</t>
        </is>
      </c>
    </row>
    <row r="26" ht="116" customHeight="1">
      <c r="A26" s="10" t="inlineStr">
        <is>
          <t>UK</t>
        </is>
      </c>
      <c r="B26" s="11" t="inlineStr">
        <is>
          <t>Sheffield</t>
        </is>
      </c>
      <c r="C26" s="10" t="inlineStr">
        <is>
          <t>Faculty/school</t>
        </is>
      </c>
      <c r="D26" s="10" t="inlineStr">
        <is>
          <t>Live/research project</t>
        </is>
      </c>
      <c r="E26" s="10" t="inlineStr">
        <is>
          <t>Global Engineering Challenge / Engineering: You’re Hired!</t>
        </is>
      </c>
      <c r="F26" s="10" t="inlineStr">
        <is>
          <t>Faculty of Engineering</t>
        </is>
      </c>
      <c r="G26" s="10" t="inlineStr">
        <is>
          <t>Compulsory</t>
        </is>
      </c>
      <c r="H26" s="10" t="inlineStr">
        <is>
          <t>First- and second-year Engineering students</t>
        </is>
      </c>
      <c r="I26" s="10" t="inlineStr">
        <is>
          <t>First- and second-year multidisciplinary project weeks. In 2026, GEC involved 1,547 first-year students in 258 teams.</t>
        </is>
      </c>
      <c r="J26" s="10" t="inlineStr">
        <is>
          <t>Faculty curriculum: GEC and Engineering: You’re Hired! have the same faculty reach.</t>
        </is>
      </c>
      <c r="K26" s="10" t="inlineStr">
        <is>
          <t>2026 project weeks confirmed</t>
        </is>
      </c>
      <c r="L26" s="10" t="inlineStr">
        <is>
          <t>Russell Group</t>
        </is>
      </c>
      <c r="M26" s="10" t="inlineStr">
        <is>
          <t>https://sheffield.ac.uk/engineering/diamond-engineering/engineering-project-weeks-2026-learning-through-real-life-challenges</t>
        </is>
      </c>
      <c r="N26" s="10" t="inlineStr">
        <is>
          <t>Direct eligibility</t>
        </is>
      </c>
      <c r="O26" s="10" t="inlineStr">
        <is>
          <t>Dated 2026/27</t>
        </is>
      </c>
      <c r="P26" s="81" t="n">
        <v>46303</v>
      </c>
      <c r="Q26" s="77" t="inlineStr">
        <is>
          <t>Not yet reassessed (institution not reviewed)</t>
        </is>
      </c>
    </row>
    <row r="27" ht="116" customHeight="1">
      <c r="A27" s="10" t="inlineStr">
        <is>
          <t>UK</t>
        </is>
      </c>
      <c r="B27" s="11" t="inlineStr">
        <is>
          <t>Southampton</t>
        </is>
      </c>
      <c r="C27" s="10" t="inlineStr">
        <is>
          <t>Programme/course</t>
        </is>
      </c>
      <c r="D27" s="10" t="inlineStr">
        <is>
          <t>Live/research project</t>
        </is>
      </c>
      <c r="E27" s="10" t="inlineStr">
        <is>
          <t>Industry Consultancy Projects</t>
        </is>
      </c>
      <c r="F27" s="10" t="inlineStr">
        <is>
          <t>Centre for Risk Research</t>
        </is>
      </c>
      <c r="G27" s="10" t="inlineStr">
        <is>
          <t>Mixed/varies</t>
        </is>
      </c>
      <c r="H27" s="10" t="inlineStr">
        <is>
          <t>Relevant Risk Research master’s programmes</t>
        </is>
      </c>
      <c r="I27" s="10" t="inlineStr">
        <is>
          <t>Students work on industry consultancy projects. This is a specialist example rather than a university-wide common course.</t>
        </is>
      </c>
      <c r="J27" s="10" t="inlineStr">
        <is>
          <t>Specialist programme project evidence; not university-wide.</t>
        </is>
      </c>
      <c r="K27" s="10" t="inlineStr">
        <is>
          <t>Official page; intake unverified</t>
        </is>
      </c>
      <c r="L27" s="10" t="inlineStr">
        <is>
          <t>Russell Group</t>
        </is>
      </c>
      <c r="M27" s="10" t="inlineStr">
        <is>
          <t>https://www.southampton.ac.uk/research/institutes-centres/centre-for-risk-research-crr/industry-consultancy-projects</t>
        </is>
      </c>
      <c r="N27" s="10" t="inlineStr">
        <is>
          <t>Direct eligibility</t>
        </is>
      </c>
      <c r="O27" s="10" t="inlineStr">
        <is>
          <t>Undated page</t>
        </is>
      </c>
      <c r="P27" s="81" t="n">
        <v>46303</v>
      </c>
      <c r="Q27" s="77" t="inlineStr">
        <is>
          <t>Not yet reassessed (institution not reviewed)</t>
        </is>
      </c>
    </row>
    <row r="28" ht="116" customHeight="1">
      <c r="A28" s="10" t="inlineStr">
        <is>
          <t>UK</t>
        </is>
      </c>
      <c r="B28" s="11" t="inlineStr">
        <is>
          <t>UCL</t>
        </is>
      </c>
      <c r="C28" s="10" t="inlineStr">
        <is>
          <t>University-wide</t>
        </is>
      </c>
      <c r="D28" s="10" t="inlineStr">
        <is>
          <t>Live/research project</t>
        </is>
      </c>
      <c r="E28" s="10" t="inlineStr">
        <is>
          <t>Grand Challenges × ChangeMakers</t>
        </is>
      </c>
      <c r="F28" s="10" t="inlineStr">
        <is>
          <t>UCL Grand Challenges / ChangeMakers</t>
        </is>
      </c>
      <c r="G28" s="10" t="inlineStr">
        <is>
          <t>Co-curricular</t>
        </is>
      </c>
      <c r="H28" s="10" t="inlineStr">
        <is>
          <t>Eligible student–staff project teams</t>
        </is>
      </c>
      <c r="I28" s="10" t="inlineStr">
        <is>
          <t>Student–staff projects address Grand Challenges. September 2026 call confirms current activity.</t>
        </is>
      </c>
      <c r="J28" s="10" t="inlineStr">
        <is>
          <t>University-level grant initiative; competitive application and project eligibility apply.</t>
        </is>
      </c>
      <c r="K28" s="10" t="inlineStr">
        <is>
          <t>September 2026 application call confirmed</t>
        </is>
      </c>
      <c r="L28" s="10" t="inlineStr">
        <is>
          <t>Russell Group</t>
        </is>
      </c>
      <c r="M28" s="10" t="inlineStr">
        <is>
          <t>https://www.ucl.ac.uk/research-innovation/news/2026/sep/grand-challenges-x-changemakers-applications-now-open</t>
        </is>
      </c>
      <c r="N28" s="10" t="inlineStr">
        <is>
          <t>Direct eligibility</t>
        </is>
      </c>
      <c r="O28" s="10" t="inlineStr">
        <is>
          <t>Dated 2026/27</t>
        </is>
      </c>
      <c r="P28" s="81" t="n">
        <v>46303</v>
      </c>
      <c r="Q28" s="77" t="inlineStr">
        <is>
          <t>Not yet reassessed (institution not reviewed)</t>
        </is>
      </c>
    </row>
    <row r="29" ht="116" customHeight="1">
      <c r="A29" s="10" t="inlineStr">
        <is>
          <t>UK</t>
        </is>
      </c>
      <c r="B29" s="11" t="inlineStr">
        <is>
          <t>Warwick</t>
        </is>
      </c>
      <c r="C29" s="10" t="inlineStr">
        <is>
          <t>University-wide</t>
        </is>
      </c>
      <c r="D29" s="10" t="inlineStr">
        <is>
          <t>Interdisciplinary curriculum</t>
        </is>
      </c>
      <c r="E29" s="10" t="inlineStr">
        <is>
          <t>IATL undergraduate modules</t>
        </is>
      </c>
      <c r="F29" s="10" t="inlineStr">
        <is>
          <t>Institute for Advanced Teaching and Learning</t>
        </is>
      </c>
      <c r="G29" s="10" t="inlineStr">
        <is>
          <t>Elective credit</t>
        </is>
      </c>
      <c r="H29" s="10" t="inlineStr">
        <is>
          <t>Undergraduates with approval / available optional credits</t>
        </is>
      </c>
      <c r="I29" s="10" t="inlineStr">
        <is>
          <t>Interdisciplinary and transdisciplinary modules support collaborative learning. Live partner involvement varies.</t>
        </is>
      </c>
      <c r="J29" s="10" t="inlineStr">
        <is>
          <t>Cross-faculty institute provides a university-level elective framework.</t>
        </is>
      </c>
      <c r="K29" s="10" t="inlineStr">
        <is>
          <t>Official page; intake unverified</t>
        </is>
      </c>
      <c r="L29" s="10" t="inlineStr">
        <is>
          <t>Russell Group</t>
        </is>
      </c>
      <c r="M29" s="10" t="inlineStr">
        <is>
          <t>https://warwick.ac.uk/fac/cross_fac/iatl/study/iatlugmodules/</t>
        </is>
      </c>
      <c r="N29" s="10" t="inlineStr">
        <is>
          <t>Institutional framework</t>
        </is>
      </c>
      <c r="O29" s="10" t="inlineStr">
        <is>
          <t>Undated page</t>
        </is>
      </c>
      <c r="P29" s="81" t="n">
        <v>46303</v>
      </c>
      <c r="Q29" s="77" t="inlineStr">
        <is>
          <t>Not yet reassessed (institution not reviewed)</t>
        </is>
      </c>
    </row>
    <row r="30" ht="116" customHeight="1">
      <c r="A30" s="10" t="inlineStr">
        <is>
          <t>UK</t>
        </is>
      </c>
      <c r="B30" s="11" t="inlineStr">
        <is>
          <t>York</t>
        </is>
      </c>
      <c r="C30" s="10" t="inlineStr">
        <is>
          <t>University-wide</t>
        </is>
      </c>
      <c r="D30" s="10" t="inlineStr">
        <is>
          <t>Interdisciplinary curriculum</t>
        </is>
      </c>
      <c r="E30" s="10" t="inlineStr">
        <is>
          <t>York Interdisciplinary Modules</t>
        </is>
      </c>
      <c r="F30" s="10" t="inlineStr">
        <is>
          <t>York Interdisciplinary Modules</t>
        </is>
      </c>
      <c r="G30" s="10" t="inlineStr">
        <is>
          <t>Elective credit</t>
        </is>
      </c>
      <c r="H30" s="10" t="inlineStr">
        <is>
          <t>Students on eligible programmes</t>
        </is>
      </c>
      <c r="I30" s="10" t="inlineStr">
        <is>
          <t>Optional modules connect disciplines beyond the main degree. Practical or external-partner content depends on the module; Sustainability Clinic is recorded separately.</t>
        </is>
      </c>
      <c r="J30" s="10" t="inlineStr">
        <is>
          <t>University breadth framework; exact availability varies by degree.</t>
        </is>
      </c>
      <c r="K30" s="10" t="inlineStr">
        <is>
          <t>Official page; intake unverified</t>
        </is>
      </c>
      <c r="L30" s="10" t="inlineStr">
        <is>
          <t>Russell Group</t>
        </is>
      </c>
      <c r="M30" s="10" t="inlineStr">
        <is>
          <t>https://features.york.ac.uk/york-interdisciplinary-modules/</t>
        </is>
      </c>
      <c r="N30" s="10" t="inlineStr">
        <is>
          <t>Institutional framework</t>
        </is>
      </c>
      <c r="O30" s="10" t="inlineStr">
        <is>
          <t>Undated page</t>
        </is>
      </c>
      <c r="P30" s="81" t="n">
        <v>46303</v>
      </c>
      <c r="Q30" s="77" t="inlineStr">
        <is>
          <t>Not yet reassessed (institution not reviewed)</t>
        </is>
      </c>
    </row>
    <row r="31" ht="116" customHeight="1">
      <c r="A31" s="10" t="inlineStr">
        <is>
          <t>Australia</t>
        </is>
      </c>
      <c r="B31" s="11" t="inlineStr">
        <is>
          <t>UNSW Sydney</t>
        </is>
      </c>
      <c r="C31" s="10" t="inlineStr">
        <is>
          <t>Faculty/school</t>
        </is>
      </c>
      <c r="D31" s="10" t="inlineStr">
        <is>
          <t>Live/research project</t>
        </is>
      </c>
      <c r="E31" s="10" t="inlineStr">
        <is>
          <t>COMM1120 Collaboration and Innovation in Business</t>
        </is>
      </c>
      <c r="F31" s="10" t="inlineStr">
        <is>
          <t>UNSW Business School</t>
        </is>
      </c>
      <c r="G31" s="10" t="inlineStr">
        <is>
          <t>Compulsory</t>
        </is>
      </c>
      <c r="H31" s="10" t="inlineStr">
        <is>
          <t>Business students taking COMM1120 under degree rules</t>
        </is>
      </c>
      <c r="I31" s="10" t="inlineStr">
        <is>
          <t>Collaborative problem-solving and innovation course. Not a university-wide common core.</t>
        </is>
      </c>
      <c r="J31" s="10" t="inlineStr">
        <is>
          <t>Business-school course; not evidence of a common university core.</t>
        </is>
      </c>
      <c r="K31" s="10" t="inlineStr">
        <is>
          <t>Official page; intake unverified</t>
        </is>
      </c>
      <c r="L31" s="10" t="inlineStr">
        <is>
          <t>Australia top 10</t>
        </is>
      </c>
      <c r="M31" s="10" t="inlineStr">
        <is>
          <t>https://timetable.unsw.edu.au/2026/COMM1120.html</t>
        </is>
      </c>
      <c r="N31" s="10" t="inlineStr">
        <is>
          <t>Direct eligibility</t>
        </is>
      </c>
      <c r="O31" s="10" t="inlineStr">
        <is>
          <t>Undated page</t>
        </is>
      </c>
      <c r="P31" s="81" t="n">
        <v>46303</v>
      </c>
      <c r="Q31" s="77" t="inlineStr">
        <is>
          <t>Not yet reassessed (institution not reviewed)</t>
        </is>
      </c>
    </row>
    <row r="32" ht="116" customHeight="1">
      <c r="A32" s="10" t="inlineStr">
        <is>
          <t>Australia</t>
        </is>
      </c>
      <c r="B32" s="11" t="inlineStr">
        <is>
          <t>Melbourne</t>
        </is>
      </c>
      <c r="C32" s="10" t="inlineStr">
        <is>
          <t>University-wide</t>
        </is>
      </c>
      <c r="D32" s="10" t="inlineStr">
        <is>
          <t>Interdisciplinary curriculum</t>
        </is>
      </c>
      <c r="E32" s="10" t="inlineStr">
        <is>
          <t>Breadth subjects / Melbourne curriculum</t>
        </is>
      </c>
      <c r="F32" s="10" t="inlineStr">
        <is>
          <t>Melbourne curriculum / academic faculties</t>
        </is>
      </c>
      <c r="G32" s="10" t="inlineStr">
        <is>
          <t>Compulsory</t>
        </is>
      </c>
      <c r="H32" s="10" t="inlineStr">
        <is>
          <t>Students on undergraduate degrees with breadth requirements</t>
        </is>
      </c>
      <c r="I32" s="10" t="inlineStr">
        <is>
          <t>Study outside the main discipline. Experiential components depend on subject choice.</t>
        </is>
      </c>
      <c r="J32" s="10" t="inlineStr">
        <is>
          <t>University curriculum framework with degree exclusions and subject-specific experiential content.</t>
        </is>
      </c>
      <c r="K32" s="10" t="inlineStr">
        <is>
          <t>Official page; intake unverified</t>
        </is>
      </c>
      <c r="L32" s="10" t="inlineStr">
        <is>
          <t>Australia top 10</t>
        </is>
      </c>
      <c r="M32" s="10" t="inlineStr">
        <is>
          <t>https://students.unimelb.edu.au/course-admin/planning-your-course-and-subjects/breadth-subjects</t>
        </is>
      </c>
      <c r="N32" s="10" t="inlineStr">
        <is>
          <t>Institutional framework</t>
        </is>
      </c>
      <c r="O32" s="10" t="inlineStr">
        <is>
          <t>Undated page</t>
        </is>
      </c>
      <c r="P32" s="81" t="n">
        <v>46303</v>
      </c>
      <c r="Q32" s="77" t="inlineStr">
        <is>
          <t>Not yet reassessed (institution not reviewed)</t>
        </is>
      </c>
    </row>
    <row r="33" ht="116" customHeight="1">
      <c r="A33" s="10" t="inlineStr">
        <is>
          <t>Australia</t>
        </is>
      </c>
      <c r="B33" s="11" t="inlineStr">
        <is>
          <t>Sydney</t>
        </is>
      </c>
      <c r="C33" s="10" t="inlineStr">
        <is>
          <t>University-wide</t>
        </is>
      </c>
      <c r="D33" s="10" t="inlineStr">
        <is>
          <t>Live/research project</t>
        </is>
      </c>
      <c r="E33" s="10" t="inlineStr">
        <is>
          <t>Industry and Community Project Units</t>
        </is>
      </c>
      <c r="F33" s="10" t="inlineStr">
        <is>
          <t>Central Industry and Community Project Units</t>
        </is>
      </c>
      <c r="G33" s="10" t="inlineStr">
        <is>
          <t>Elective credit</t>
        </is>
      </c>
      <c r="H33" s="10" t="inlineStr">
        <is>
          <t>Students in eligible programmes; unit rules apply</t>
        </is>
      </c>
      <c r="I33" s="10" t="inlineStr">
        <is>
          <t>Interdisciplinary teams address authentic briefs from industry and community organisations.</t>
        </is>
      </c>
      <c r="J33" s="10" t="inlineStr">
        <is>
          <t>Institutional project-unit framework across disciplines, not every degree.</t>
        </is>
      </c>
      <c r="K33" s="10" t="inlineStr">
        <is>
          <t>Official page; intake unverified</t>
        </is>
      </c>
      <c r="L33" s="10" t="inlineStr">
        <is>
          <t>Australia top 10</t>
        </is>
      </c>
      <c r="M33" s="10" t="inlineStr">
        <is>
          <t>https://www.sydney.edu.au/students/industry-and-community-projects.html</t>
        </is>
      </c>
      <c r="N33" s="10" t="inlineStr">
        <is>
          <t>Institutional framework</t>
        </is>
      </c>
      <c r="O33" s="10" t="inlineStr">
        <is>
          <t>Undated page</t>
        </is>
      </c>
      <c r="P33" s="81" t="n">
        <v>46303</v>
      </c>
      <c r="Q33" s="77" t="inlineStr">
        <is>
          <t>Not yet reassessed (institution not reviewed)</t>
        </is>
      </c>
    </row>
    <row r="34" ht="116" customHeight="1">
      <c r="A34" s="10" t="inlineStr">
        <is>
          <t>Australia</t>
        </is>
      </c>
      <c r="B34" s="11" t="inlineStr">
        <is>
          <t>Australian National University</t>
        </is>
      </c>
      <c r="C34" s="10" t="inlineStr">
        <is>
          <t>University-wide</t>
        </is>
      </c>
      <c r="D34" s="10" t="inlineStr">
        <is>
          <t>Interdisciplinary curriculum</t>
        </is>
      </c>
      <c r="E34" s="10" t="inlineStr">
        <is>
          <t>SoCIETIE courses</t>
        </is>
      </c>
      <c r="F34" s="10" t="inlineStr">
        <is>
          <t>ANU SoCIETIE programme</t>
        </is>
      </c>
      <c r="G34" s="10" t="inlineStr">
        <is>
          <t>Elective credit</t>
        </is>
      </c>
      <c r="H34" s="10" t="inlineStr">
        <is>
          <t>Students satisfying course prerequisites and degree rules</t>
        </is>
      </c>
      <c r="I34" s="10" t="inlineStr">
        <is>
          <t>Cross-disciplinary courses connect study with societal challenges. Replaced Vice-Chancellor courses from 2025.</t>
        </is>
      </c>
      <c r="J34" s="10" t="inlineStr">
        <is>
          <t>University interdisciplinary elective framework.</t>
        </is>
      </c>
      <c r="K34" s="10" t="inlineStr">
        <is>
          <t>Official page; intake unverified</t>
        </is>
      </c>
      <c r="L34" s="10" t="inlineStr">
        <is>
          <t>Australia top 10</t>
        </is>
      </c>
      <c r="M34" s="10" t="inlineStr">
        <is>
          <t>https://vc-courses.anu.edu.au/societie/courses/</t>
        </is>
      </c>
      <c r="N34" s="10" t="inlineStr">
        <is>
          <t>Institutional framework</t>
        </is>
      </c>
      <c r="O34" s="10" t="inlineStr">
        <is>
          <t>Undated page</t>
        </is>
      </c>
      <c r="P34" s="81" t="n">
        <v>46303</v>
      </c>
      <c r="Q34" s="77" t="inlineStr">
        <is>
          <t>Not yet reassessed (institution not reviewed)</t>
        </is>
      </c>
    </row>
    <row r="35" ht="116" customHeight="1">
      <c r="A35" s="10" t="inlineStr">
        <is>
          <t>Australia</t>
        </is>
      </c>
      <c r="B35" s="11" t="inlineStr">
        <is>
          <t>Monash</t>
        </is>
      </c>
      <c r="C35" s="10" t="inlineStr">
        <is>
          <t>University-wide</t>
        </is>
      </c>
      <c r="D35" s="10" t="inlineStr">
        <is>
          <t>Live/research project</t>
        </is>
      </c>
      <c r="E35" s="10" t="inlineStr">
        <is>
          <t>Monash Innovation Guarantee (MIG), MON2750</t>
        </is>
      </c>
      <c r="F35" s="10" t="inlineStr">
        <is>
          <t>Monash flagship rich experiences</t>
        </is>
      </c>
      <c r="G35" s="10" t="inlineStr">
        <is>
          <t>Elective credit</t>
        </is>
      </c>
      <c r="H35" s="10" t="inlineStr">
        <is>
          <t>Eligible undergraduates; study-stage conditions apply</t>
        </is>
      </c>
      <c r="I35" s="10" t="inlineStr">
        <is>
          <t>Student teams address real industry problems in a flagship experience.</t>
        </is>
      </c>
      <c r="J35" s="10" t="inlineStr">
        <is>
          <t>University-level flagship opportunity, not a compulsory all-student scheme.</t>
        </is>
      </c>
      <c r="K35" s="10" t="inlineStr">
        <is>
          <t>Official page; intake unverified</t>
        </is>
      </c>
      <c r="L35" s="10" t="inlineStr">
        <is>
          <t>Australia top 10</t>
        </is>
      </c>
      <c r="M35" s="10" t="inlineStr">
        <is>
          <t>https://www.monash.edu/flagship-rich-experiences/mig</t>
        </is>
      </c>
      <c r="N35" s="10" t="inlineStr">
        <is>
          <t>Direct eligibility</t>
        </is>
      </c>
      <c r="O35" s="10" t="inlineStr">
        <is>
          <t>Undated page</t>
        </is>
      </c>
      <c r="P35" s="81" t="n">
        <v>46303</v>
      </c>
      <c r="Q35" s="77" t="inlineStr">
        <is>
          <t>Not yet reassessed (institution not reviewed)</t>
        </is>
      </c>
    </row>
    <row r="36" ht="116" customHeight="1">
      <c r="A36" s="10" t="inlineStr">
        <is>
          <t>Australia</t>
        </is>
      </c>
      <c r="B36" s="11" t="inlineStr">
        <is>
          <t>Queensland</t>
        </is>
      </c>
      <c r="C36" s="10" t="inlineStr">
        <is>
          <t>University-wide</t>
        </is>
      </c>
      <c r="D36" s="10" t="inlineStr">
        <is>
          <t>Enterprise programme</t>
        </is>
      </c>
      <c r="E36" s="10" t="inlineStr">
        <is>
          <t>UQ Ventures challenges</t>
        </is>
      </c>
      <c r="F36" s="10" t="inlineStr">
        <is>
          <t>UQ Ventures</t>
        </is>
      </c>
      <c r="G36" s="10" t="inlineStr">
        <is>
          <t>Co-curricular</t>
        </is>
      </c>
      <c r="H36" s="10" t="inlineStr">
        <is>
          <t>Eligible students across disciplines</t>
        </is>
      </c>
      <c r="I36" s="10" t="inlineStr">
        <is>
          <t>Interdisciplinary teams work with industry on challenge-based innovation.</t>
        </is>
      </c>
      <c r="J36" s="10" t="inlineStr">
        <is>
          <t>Central university enterprise/challenge framework; event requirements vary.</t>
        </is>
      </c>
      <c r="K36" s="10" t="inlineStr">
        <is>
          <t>Official page; intake unverified</t>
        </is>
      </c>
      <c r="L36" s="10" t="inlineStr">
        <is>
          <t>Australia top 10</t>
        </is>
      </c>
      <c r="M36" s="10" t="inlineStr">
        <is>
          <t>https://ventures.uq.edu.au/industry</t>
        </is>
      </c>
      <c r="N36" s="10" t="inlineStr">
        <is>
          <t>Institutional framework</t>
        </is>
      </c>
      <c r="O36" s="10" t="inlineStr">
        <is>
          <t>Undated page</t>
        </is>
      </c>
      <c r="P36" s="81" t="n">
        <v>46303</v>
      </c>
      <c r="Q36" s="77" t="inlineStr">
        <is>
          <t>Not yet reassessed (institution not reviewed)</t>
        </is>
      </c>
    </row>
    <row r="37" ht="116" customHeight="1">
      <c r="A37" s="10" t="inlineStr">
        <is>
          <t>Australia</t>
        </is>
      </c>
      <c r="B37" s="11" t="inlineStr">
        <is>
          <t>Western Australia</t>
        </is>
      </c>
      <c r="C37" s="10" t="inlineStr">
        <is>
          <t>University-wide</t>
        </is>
      </c>
      <c r="D37" s="10" t="inlineStr">
        <is>
          <t>Placement/WIL</t>
        </is>
      </c>
      <c r="E37" s="10" t="inlineStr">
        <is>
          <t>McCusker Centre for Citizenship internship, SVLG3003</t>
        </is>
      </c>
      <c r="F37" s="10" t="inlineStr">
        <is>
          <t>McCusker Centre for Citizenship</t>
        </is>
      </c>
      <c r="G37" s="10" t="inlineStr">
        <is>
          <t>Elective credit</t>
        </is>
      </c>
      <c r="H37" s="10" t="inlineStr">
        <is>
          <t>Eligible students under SVLG3003 rules</t>
        </is>
      </c>
      <c r="I37" s="10" t="inlineStr">
        <is>
          <t>Internships connect students with community organisations. Unit handbook confirms academic structure.</t>
        </is>
      </c>
      <c r="J37" s="10" t="inlineStr">
        <is>
          <t>Institution-level citizenship internship unit; admission and prerequisites apply.</t>
        </is>
      </c>
      <c r="K37" s="10" t="inlineStr">
        <is>
          <t>Official page; intake unverified</t>
        </is>
      </c>
      <c r="L37" s="10" t="inlineStr">
        <is>
          <t>Australia top 10</t>
        </is>
      </c>
      <c r="M37" s="10" t="inlineStr">
        <is>
          <t>https://www.handbooks.uwa.edu.au/unitdetails?code=SVLG3003</t>
        </is>
      </c>
      <c r="N37" s="10" t="inlineStr">
        <is>
          <t>Direct eligibility</t>
        </is>
      </c>
      <c r="O37" s="10" t="inlineStr">
        <is>
          <t>Undated page</t>
        </is>
      </c>
      <c r="P37" s="81" t="n">
        <v>46303</v>
      </c>
      <c r="Q37" s="77" t="inlineStr">
        <is>
          <t>Not yet reassessed (institution not reviewed)</t>
        </is>
      </c>
    </row>
    <row r="38" ht="116" customHeight="1">
      <c r="A38" s="10" t="inlineStr">
        <is>
          <t>Australia</t>
        </is>
      </c>
      <c r="B38" s="11" t="inlineStr">
        <is>
          <t>Adelaide University</t>
        </is>
      </c>
      <c r="C38" s="10" t="inlineStr">
        <is>
          <t>University-wide</t>
        </is>
      </c>
      <c r="D38" s="10" t="inlineStr">
        <is>
          <t>Placement/WIL</t>
        </is>
      </c>
      <c r="E38" s="10" t="inlineStr">
        <is>
          <t>Work-Integrated Learning</t>
        </is>
      </c>
      <c r="F38" s="10" t="inlineStr">
        <is>
          <t>University WIL framework / academic programmes</t>
        </is>
      </c>
      <c r="G38" s="10" t="inlineStr">
        <is>
          <t>Mixed/varies</t>
        </is>
      </c>
      <c r="H38" s="10" t="inlineStr">
        <is>
          <t>Students on programmes with WIL components</t>
        </is>
      </c>
      <c r="I38" s="10" t="inlineStr">
        <is>
          <t>Placements, projects and other work-related learning. Teaching began in 2026 following the merger.</t>
        </is>
      </c>
      <c r="J38" s="10" t="inlineStr">
        <is>
          <t>University-wide teaching framework; placement/project requirements vary by degree.</t>
        </is>
      </c>
      <c r="K38" s="10" t="inlineStr">
        <is>
          <t>Official page; intake unverified</t>
        </is>
      </c>
      <c r="L38" s="10" t="inlineStr">
        <is>
          <t>Australia top 10</t>
        </is>
      </c>
      <c r="M38" s="10" t="inlineStr">
        <is>
          <t>https://adelaide.edu.au/students/manage-study/work-integrated-learning/</t>
        </is>
      </c>
      <c r="N38" s="10" t="inlineStr">
        <is>
          <t>Institutional framework</t>
        </is>
      </c>
      <c r="O38" s="10" t="inlineStr">
        <is>
          <t>Undated page</t>
        </is>
      </c>
      <c r="P38" s="81" t="n">
        <v>46303</v>
      </c>
      <c r="Q38" s="77" t="inlineStr">
        <is>
          <t>Not yet reassessed (institution not reviewed)</t>
        </is>
      </c>
    </row>
    <row r="39" ht="116" customHeight="1">
      <c r="A39" s="10" t="inlineStr">
        <is>
          <t>Australia</t>
        </is>
      </c>
      <c r="B39" s="11" t="inlineStr">
        <is>
          <t>University of Technology Sydney</t>
        </is>
      </c>
      <c r="C39" s="10" t="inlineStr">
        <is>
          <t>University-wide</t>
        </is>
      </c>
      <c r="D39" s="10" t="inlineStr">
        <is>
          <t>Interdisciplinary curriculum</t>
        </is>
      </c>
      <c r="E39" s="10" t="inlineStr">
        <is>
          <t>Transdisciplinary electives</t>
        </is>
      </c>
      <c r="F39" s="10" t="inlineStr">
        <is>
          <t>UTS Transdisciplinary School</t>
        </is>
      </c>
      <c r="G39" s="10" t="inlineStr">
        <is>
          <t>Elective credit</t>
        </is>
      </c>
      <c r="H39" s="10" t="inlineStr">
        <is>
          <t>Eligible students with elective space / course approval</t>
        </is>
      </c>
      <c r="I39" s="10" t="inlineStr">
        <is>
          <t>TD School offers cross-disciplinary electives and partner project experiences.</t>
        </is>
      </c>
      <c r="J39" s="10" t="inlineStr">
        <is>
          <t>University-level elective framework; school host does not imply TD-only eligibility.</t>
        </is>
      </c>
      <c r="K39" s="10" t="inlineStr">
        <is>
          <t>Official page; intake unverified</t>
        </is>
      </c>
      <c r="L39" s="10" t="inlineStr">
        <is>
          <t>Australia top 10</t>
        </is>
      </c>
      <c r="M39" s="10" t="inlineStr">
        <is>
          <t>https://www.uts.edu.au/for-students/transdisciplinary-innovation/transdisciplinary-electives</t>
        </is>
      </c>
      <c r="N39" s="10" t="inlineStr">
        <is>
          <t>Institutional framework</t>
        </is>
      </c>
      <c r="O39" s="10" t="inlineStr">
        <is>
          <t>Undated page</t>
        </is>
      </c>
      <c r="P39" s="81" t="n">
        <v>46303</v>
      </c>
      <c r="Q39" s="77" t="inlineStr">
        <is>
          <t>Not yet reassessed (institution not reviewed)</t>
        </is>
      </c>
    </row>
    <row r="40" ht="116" customHeight="1">
      <c r="A40" s="10" t="inlineStr">
        <is>
          <t>Australia</t>
        </is>
      </c>
      <c r="B40" s="11" t="inlineStr">
        <is>
          <t>RMIT</t>
        </is>
      </c>
      <c r="C40" s="10" t="inlineStr">
        <is>
          <t>University-wide</t>
        </is>
      </c>
      <c r="D40" s="10" t="inlineStr">
        <is>
          <t>Placement/WIL</t>
        </is>
      </c>
      <c r="E40" s="10" t="inlineStr">
        <is>
          <t>Work-Integrated Learning</t>
        </is>
      </c>
      <c r="F40" s="10" t="inlineStr">
        <is>
          <t>University WIL framework / academic programmes</t>
        </is>
      </c>
      <c r="G40" s="10" t="inlineStr">
        <is>
          <t>Mixed/varies</t>
        </is>
      </c>
      <c r="H40" s="10" t="inlineStr">
        <is>
          <t>Students in participating programmes</t>
        </is>
      </c>
      <c r="I40" s="10" t="inlineStr">
        <is>
          <t>Industry and community projects and placements. Requirements depend on the programme.</t>
        </is>
      </c>
      <c r="J40" s="10" t="inlineStr">
        <is>
          <t>Institution-wide WIL approach; requirement and format vary by programme.</t>
        </is>
      </c>
      <c r="K40" s="10" t="inlineStr">
        <is>
          <t>Official page; intake unverified</t>
        </is>
      </c>
      <c r="L40" s="10" t="inlineStr">
        <is>
          <t>Australia top 10</t>
        </is>
      </c>
      <c r="M40" s="10" t="inlineStr">
        <is>
          <t>https://www.rmit.edu.au/study-with-us/study-options/what-is-wil</t>
        </is>
      </c>
      <c r="N40" s="10" t="inlineStr">
        <is>
          <t>Direct eligibility</t>
        </is>
      </c>
      <c r="O40" s="10" t="inlineStr">
        <is>
          <t>Undated page</t>
        </is>
      </c>
      <c r="P40" s="81" t="n">
        <v>46303</v>
      </c>
      <c r="Q40" s="77" t="inlineStr">
        <is>
          <t>Not yet reassessed (institution not reviewed)</t>
        </is>
      </c>
    </row>
    <row r="41" ht="116" customHeight="1">
      <c r="A41" s="10" t="inlineStr">
        <is>
          <t>UK</t>
        </is>
      </c>
      <c r="B41" s="11" t="inlineStr">
        <is>
          <t>Cambridge</t>
        </is>
      </c>
      <c r="C41" s="10" t="inlineStr">
        <is>
          <t>University-wide</t>
        </is>
      </c>
      <c r="D41" s="10" t="inlineStr">
        <is>
          <t>Enterprise programme</t>
        </is>
      </c>
      <c r="E41" s="10" t="inlineStr">
        <is>
          <t>Innovation / Climate i-Teams</t>
        </is>
      </c>
      <c r="F41" s="10" t="inlineStr">
        <is>
          <t>Innovation / i-Teams programme</t>
        </is>
      </c>
      <c r="G41" s="10" t="inlineStr">
        <is>
          <t>Co-curricular</t>
        </is>
      </c>
      <c r="H41" s="10" t="inlineStr">
        <is>
          <t>Postgraduates, researchers and staff from any department; Development i-Teams also includes undergraduates</t>
        </is>
      </c>
      <c r="I41" s="10" t="inlineStr">
        <is>
          <t>Multidisciplinary teams assess the commercial potential of real university inventions, using industry interviews, mentoring and workshops. Climate i-Teams launched in October 2026.</t>
        </is>
      </c>
      <c r="J41" s="10" t="inlineStr">
        <is>
          <t>University innovation guide explicitly all-department access; postgraduate focus does not make this a faculty-only scheme.</t>
        </is>
      </c>
      <c r="K41" s="10" t="inlineStr">
        <is>
          <t>September 2026 launch evidence</t>
        </is>
      </c>
      <c r="L41" s="10" t="inlineStr">
        <is>
          <t>Russell Group</t>
        </is>
      </c>
      <c r="M41" s="10" t="inlineStr">
        <is>
          <t>https://www.cam.ac.uk/stories/climate-iteams-innovation
https://ie.cam.ac.uk/wp-content/uploads/2024/09/IE-Cam-Support-Guide-A5-v4_Web.pdf</t>
        </is>
      </c>
      <c r="N41" s="10" t="inlineStr">
        <is>
          <t>Direct eligibility</t>
        </is>
      </c>
      <c r="O41" s="10" t="inlineStr">
        <is>
          <t>Dated 2026/27</t>
        </is>
      </c>
      <c r="P41" s="81" t="n">
        <v>46303</v>
      </c>
      <c r="Q41" s="77" t="inlineStr">
        <is>
          <t>Not yet reassessed (institution not reviewed)</t>
        </is>
      </c>
    </row>
    <row r="42" ht="116" customHeight="1">
      <c r="A42" s="10" t="inlineStr">
        <is>
          <t>UK</t>
        </is>
      </c>
      <c r="B42" s="11" t="inlineStr">
        <is>
          <t>King’s College London</t>
        </is>
      </c>
      <c r="C42" s="10" t="inlineStr">
        <is>
          <t>University-wide</t>
        </is>
      </c>
      <c r="D42" s="10" t="inlineStr">
        <is>
          <t>Co-curricular award</t>
        </is>
      </c>
      <c r="E42" s="10" t="inlineStr">
        <is>
          <t>King’s Enterprise Award</t>
        </is>
      </c>
      <c r="F42" s="10" t="inlineStr">
        <is>
          <t>Entrepreneurship Institute / King’s Experience</t>
        </is>
      </c>
      <c r="G42" s="10" t="inlineStr">
        <is>
          <t>Co-curricular</t>
        </is>
      </c>
      <c r="H42" s="10" t="inlineStr">
        <is>
          <t>All undergraduate and postgraduate students and staff, any faculty</t>
        </is>
      </c>
      <c r="I42" s="10" t="inlineStr">
        <is>
          <t>November–April extracurricular skills development and reflection, with optional Enterprise in Action progression. HEAR recognition; no academic-credit value.</t>
        </is>
      </c>
      <c r="J42" s="10" t="inlineStr">
        <is>
          <t>Explicit all-faculty/all-student-level eligibility.</t>
        </is>
      </c>
      <c r="K42" s="10" t="inlineStr">
        <is>
          <t>2026/27 applications confirmed</t>
        </is>
      </c>
      <c r="L42" s="10" t="inlineStr">
        <is>
          <t>Russell Group</t>
        </is>
      </c>
      <c r="M42" s="10" t="inlineStr">
        <is>
          <t>https://www.kcl.ac.uk/entrepreneurship/learn-entrepreneurial-skills/kings-enterprise-award</t>
        </is>
      </c>
      <c r="N42" s="10" t="inlineStr">
        <is>
          <t>Direct eligibility</t>
        </is>
      </c>
      <c r="O42" s="10" t="inlineStr">
        <is>
          <t>Dated 2026/27</t>
        </is>
      </c>
      <c r="P42" s="81" t="n">
        <v>46303</v>
      </c>
      <c r="Q42" s="77" t="inlineStr">
        <is>
          <t>Not yet reassessed (institution not reviewed)</t>
        </is>
      </c>
    </row>
    <row r="43" ht="116" customHeight="1">
      <c r="A43" s="10" t="inlineStr">
        <is>
          <t>UK</t>
        </is>
      </c>
      <c r="B43" s="11" t="inlineStr">
        <is>
          <t>Southampton</t>
        </is>
      </c>
      <c r="C43" s="10" t="inlineStr">
        <is>
          <t>University-wide</t>
        </is>
      </c>
      <c r="D43" s="10" t="inlineStr">
        <is>
          <t>Live/research project</t>
        </is>
      </c>
      <c r="E43" s="10" t="inlineStr">
        <is>
          <t>Student Innovation Projects and Challenges</t>
        </is>
      </c>
      <c r="F43" s="10" t="inlineStr">
        <is>
          <t>Careers, Employability and Student Enterprise</t>
        </is>
      </c>
      <c r="G43" s="10" t="inlineStr">
        <is>
          <t>Co-curricular</t>
        </is>
      </c>
      <c r="H43" s="10" t="inlineStr">
        <is>
          <t>Eligible Southampton students across disciplines</t>
        </is>
      </c>
      <c r="I43" s="10" t="inlineStr">
        <is>
          <t>Teams of three to five tackle live client problems for businesses or nonprofits. Project route will end after Semester 1 of 2026/27; Innovation Challenge is also described.</t>
        </is>
      </c>
      <c r="J43" s="10" t="inlineStr">
        <is>
          <t>Central cross-disciplinary opportunity; admissions apply. Scheduled ending must not be mistaken for ongoing indefinite provision.</t>
        </is>
      </c>
      <c r="K43" s="10" t="inlineStr">
        <is>
          <t>Final project rounds Semester 1 2026/27</t>
        </is>
      </c>
      <c r="L43" s="10" t="inlineStr">
        <is>
          <t>Russell Group</t>
        </is>
      </c>
      <c r="M43" s="10" t="inlineStr">
        <is>
          <t>https://www.southampton.ac.uk/careers/students/work-experience/student-innovation-projects.page</t>
        </is>
      </c>
      <c r="N43" s="10" t="inlineStr">
        <is>
          <t>Direct eligibility</t>
        </is>
      </c>
      <c r="O43" s="10" t="inlineStr">
        <is>
          <t>Ending</t>
        </is>
      </c>
      <c r="P43" s="81" t="n">
        <v>46303</v>
      </c>
      <c r="Q43" s="77" t="inlineStr">
        <is>
          <t>Not yet reassessed (institution not reviewed)</t>
        </is>
      </c>
    </row>
    <row r="44" ht="116" customHeight="1">
      <c r="A44" s="10" t="inlineStr">
        <is>
          <t>UK</t>
        </is>
      </c>
      <c r="B44" s="11" t="inlineStr">
        <is>
          <t>Queen Mary University of London</t>
        </is>
      </c>
      <c r="C44" s="10" t="inlineStr">
        <is>
          <t>Not confirmed</t>
        </is>
      </c>
      <c r="D44" s="10" t="inlineStr">
        <is>
          <t>Placement/WIL</t>
        </is>
      </c>
      <c r="E44" s="10" t="inlineStr">
        <is>
          <t>QInterns</t>
        </is>
      </c>
      <c r="F44" s="10" t="inlineStr">
        <is>
          <t>Careers and Employability</t>
        </is>
      </c>
      <c r="G44" s="10" t="inlineStr">
        <is>
          <t>Co-curricular</t>
        </is>
      </c>
      <c r="H44" s="10" t="inlineStr">
        <is>
          <t>Eligible Queen Mary students and recent graduates</t>
        </is>
      </c>
      <c r="I44" s="10" t="inlineStr">
        <is>
          <t>Internships provide applied workplace experience. Individual roles, selection, funding and eligibility determine availability.</t>
        </is>
      </c>
      <c r="J44" s="10" t="inlineStr">
        <is>
          <t>Central student/graduate internship scheme; university reach inferred from central remit, not all-student guarantee. Academic reach remains Not confirmed until eligibility or institution-wide framework reach is established.</t>
        </is>
      </c>
      <c r="K44" s="10" t="inlineStr">
        <is>
          <t>Official opportunities page; intake unverified</t>
        </is>
      </c>
      <c r="L44" s="10" t="inlineStr">
        <is>
          <t>Russell Group</t>
        </is>
      </c>
      <c r="M44" s="10" t="inlineStr">
        <is>
          <t>https://www.qmul.ac.uk/careers/find-opportunities/current-opportunities/</t>
        </is>
      </c>
      <c r="N44" s="10" t="inlineStr">
        <is>
          <t>Unconfirmed reach</t>
        </is>
      </c>
      <c r="O44" s="10" t="inlineStr">
        <is>
          <t>Undated page</t>
        </is>
      </c>
      <c r="P44" s="81" t="n">
        <v>46303</v>
      </c>
      <c r="Q44" s="77" t="inlineStr">
        <is>
          <t>Not yet reassessed (institution not reviewed)</t>
        </is>
      </c>
    </row>
    <row r="45" ht="116" customHeight="1">
      <c r="A45" s="10" t="inlineStr">
        <is>
          <t>UK</t>
        </is>
      </c>
      <c r="B45" s="11" t="inlineStr">
        <is>
          <t>Exeter</t>
        </is>
      </c>
      <c r="C45" s="10" t="inlineStr">
        <is>
          <t>University-wide</t>
        </is>
      </c>
      <c r="D45" s="10" t="inlineStr">
        <is>
          <t>International collaboration</t>
        </is>
      </c>
      <c r="E45" s="10" t="inlineStr">
        <is>
          <t>Future17</t>
        </is>
      </c>
      <c r="F45" s="10" t="inlineStr">
        <is>
          <t>Global Classrooms / QS partner consortium</t>
        </is>
      </c>
      <c r="G45" s="10" t="inlineStr">
        <is>
          <t>Mixed/varies</t>
        </is>
      </c>
      <c r="H45" s="10" t="inlineStr">
        <is>
          <t>Undergraduates except first years and postgraduate taught students, all campuses</t>
        </is>
      </c>
      <c r="I45" s="10" t="inlineStr">
        <is>
          <t>Online interdisciplinary international teams tackle partner sustainability briefs. Optional 15-credit route subject to programme rules; non-credit certificate route also available.</t>
        </is>
      </c>
      <c r="J45" s="10" t="inlineStr">
        <is>
          <t>Explicit all-campus eligibility; different credit routes make participation mixed.</t>
        </is>
      </c>
      <c r="K45" s="10" t="inlineStr">
        <is>
          <t>Official eligibility page; current intake unverified</t>
        </is>
      </c>
      <c r="L45" s="10" t="inlineStr">
        <is>
          <t>Russell Group</t>
        </is>
      </c>
      <c r="M45" s="10" t="inlineStr">
        <is>
          <t>https://www.exeter.ac.uk/study/future17/students/</t>
        </is>
      </c>
      <c r="N45" s="10" t="inlineStr">
        <is>
          <t>Direct eligibility</t>
        </is>
      </c>
      <c r="O45" s="10" t="inlineStr">
        <is>
          <t>Undated page</t>
        </is>
      </c>
      <c r="P45" s="81" t="n">
        <v>46303</v>
      </c>
      <c r="Q45" s="77" t="inlineStr">
        <is>
          <t>Not yet reassessed (institution not reviewed)</t>
        </is>
      </c>
    </row>
    <row r="46" ht="116" customHeight="1">
      <c r="A46" s="10" t="inlineStr">
        <is>
          <t>UK</t>
        </is>
      </c>
      <c r="B46" s="11" t="inlineStr">
        <is>
          <t>London School of Economics</t>
        </is>
      </c>
      <c r="C46" s="10" t="inlineStr">
        <is>
          <t>Not confirmed</t>
        </is>
      </c>
      <c r="D46" s="10" t="inlineStr">
        <is>
          <t>International collaboration</t>
        </is>
      </c>
      <c r="E46" s="10" t="inlineStr">
        <is>
          <t>Future17</t>
        </is>
      </c>
      <c r="F46" s="10" t="inlineStr">
        <is>
          <t>LSE100 / QS partner consortium</t>
        </is>
      </c>
      <c r="G46" s="10" t="inlineStr">
        <is>
          <t>Not confirmed</t>
        </is>
      </c>
      <c r="H46" s="10" t="inlineStr">
        <is>
          <t>LSE students; detailed year, programme and credit eligibility unverified</t>
        </is>
      </c>
      <c r="I46" s="10" t="inlineStr">
        <is>
          <t>Twelve-week international interdisciplinary teams address live sustainability challenges with organisational partners. Separate from compulsory LSE100.</t>
        </is>
      </c>
      <c r="J46" s="10" t="inlineStr">
        <is>
          <t>University-level student call; reach inferred from central remit. Credit and precise cohort restrictions were not verified. Academic reach remains Not confirmed until eligibility or institution-wide framework reach is established.</t>
        </is>
      </c>
      <c r="K46" s="10" t="inlineStr">
        <is>
          <t>September 2026 application deadline confirmed</t>
        </is>
      </c>
      <c r="L46" s="10" t="inlineStr">
        <is>
          <t>Russell Group</t>
        </is>
      </c>
      <c r="M46" s="10" t="inlineStr">
        <is>
          <t>https://info.lse.ac.uk/current-students/lse100/Future17-Join-a-global-team-solving-real-sustainability-challenges</t>
        </is>
      </c>
      <c r="N46" s="10" t="inlineStr">
        <is>
          <t>Unconfirmed reach</t>
        </is>
      </c>
      <c r="O46" s="10" t="inlineStr">
        <is>
          <t>Dated 2026/27</t>
        </is>
      </c>
      <c r="P46" s="81" t="n">
        <v>46303</v>
      </c>
      <c r="Q46" s="77" t="inlineStr">
        <is>
          <t>Not yet reassessed (institution not reviewed)</t>
        </is>
      </c>
    </row>
    <row r="47" ht="116" customHeight="1">
      <c r="A47" s="10" t="inlineStr">
        <is>
          <t>UK</t>
        </is>
      </c>
      <c r="B47" s="11" t="inlineStr">
        <is>
          <t>York</t>
        </is>
      </c>
      <c r="C47" s="10" t="inlineStr">
        <is>
          <t>Cross-faculty</t>
        </is>
      </c>
      <c r="D47" s="10" t="inlineStr">
        <is>
          <t>Live/research project</t>
        </is>
      </c>
      <c r="E47" s="10" t="inlineStr">
        <is>
          <t>Sustainability Clinic</t>
        </is>
      </c>
      <c r="F47" s="10" t="inlineStr">
        <is>
          <t>Environment and Geography / participating courses</t>
        </is>
      </c>
      <c r="G47" s="10" t="inlineStr">
        <is>
          <t>Elective credit</t>
        </is>
      </c>
      <c r="H47" s="10" t="inlineStr">
        <is>
          <t>Students from participating degree programmes</t>
        </is>
      </c>
      <c r="I47" s="10" t="inlineStr">
        <is>
          <t>20-credit live-client sustainability module combines disciplines to consider social, legal, economic, cultural and environmental aspects of problems.</t>
        </is>
      </c>
      <c r="J47" s="10" t="inlineStr">
        <is>
          <t>Current module describes multidisciplinary teams from a range of courses; unrestricted every-degree eligibility not established.</t>
        </is>
      </c>
      <c r="K47" s="10" t="inlineStr">
        <is>
          <t>2026/27 module confirmed</t>
        </is>
      </c>
      <c r="L47" s="10" t="inlineStr">
        <is>
          <t>Russell Group</t>
        </is>
      </c>
      <c r="M47" s="10" t="inlineStr">
        <is>
          <t>https://www.york.ac.uk/students/studying/manage/programmes/module-catalogue/module/ENV00054H/latest</t>
        </is>
      </c>
      <c r="N47" s="10" t="inlineStr">
        <is>
          <t>Direct eligibility</t>
        </is>
      </c>
      <c r="O47" s="10" t="inlineStr">
        <is>
          <t>Dated 2026/27</t>
        </is>
      </c>
      <c r="P47" s="81" t="n">
        <v>46303</v>
      </c>
      <c r="Q47" s="77" t="inlineStr">
        <is>
          <t>Not yet reassessed (institution not reviewed)</t>
        </is>
      </c>
    </row>
    <row r="48" ht="116" customHeight="1">
      <c r="A48" s="10" t="inlineStr">
        <is>
          <t>Australia</t>
        </is>
      </c>
      <c r="B48" s="11" t="inlineStr">
        <is>
          <t>UNSW Sydney</t>
        </is>
      </c>
      <c r="C48" s="10" t="inlineStr">
        <is>
          <t>University-wide</t>
        </is>
      </c>
      <c r="D48" s="10" t="inlineStr">
        <is>
          <t>Co-curricular award</t>
        </is>
      </c>
      <c r="E48" s="10" t="inlineStr">
        <is>
          <t>AHEGS Advantage</t>
        </is>
      </c>
      <c r="F48" s="10" t="inlineStr">
        <is>
          <t>Central student opportunities / AHEGS</t>
        </is>
      </c>
      <c r="G48" s="10" t="inlineStr">
        <is>
          <t>Co-curricular</t>
        </is>
      </c>
      <c r="H48" s="10" t="inlineStr">
        <is>
          <t>Students on recognised activities; activity-specific eligibility applies</t>
        </is>
      </c>
      <c r="I48" s="10" t="inlineStr">
        <is>
          <t>Recognises clubs, volunteering, mentoring, competitions and enterprise experiences across UNSW on the Australian Higher Education Graduation Statement.</t>
        </is>
      </c>
      <c r="J48" s="10" t="inlineStr">
        <is>
          <t>Institution-wide recognition framework includes faculty initiatives; individual activities may be restricted.</t>
        </is>
      </c>
      <c r="K48" s="10" t="inlineStr">
        <is>
          <t>Official page; intake unverified</t>
        </is>
      </c>
      <c r="L48" s="10" t="inlineStr">
        <is>
          <t>Australia top 10</t>
        </is>
      </c>
      <c r="M48" s="10" t="inlineStr">
        <is>
          <t>https://www.unsw.edu.au/student/opportunities/advantage</t>
        </is>
      </c>
      <c r="N48" s="10" t="inlineStr">
        <is>
          <t>Institutional framework</t>
        </is>
      </c>
      <c r="O48" s="10" t="inlineStr">
        <is>
          <t>Undated page</t>
        </is>
      </c>
      <c r="P48" s="81" t="n">
        <v>46303</v>
      </c>
      <c r="Q48" s="77" t="inlineStr">
        <is>
          <t>Not yet reassessed (institution not reviewed)</t>
        </is>
      </c>
    </row>
    <row r="49" ht="116" customHeight="1">
      <c r="A49" s="10" t="inlineStr">
        <is>
          <t>UK</t>
        </is>
      </c>
      <c r="B49" s="11" t="inlineStr">
        <is>
          <t>Edinburgh</t>
        </is>
      </c>
      <c r="C49" s="10" t="inlineStr">
        <is>
          <t>University-wide</t>
        </is>
      </c>
      <c r="D49" s="10" t="inlineStr">
        <is>
          <t>Live/research project</t>
        </is>
      </c>
      <c r="E49" s="10" t="inlineStr">
        <is>
          <t>Students as Change Agents: careers co-curricular route</t>
        </is>
      </c>
      <c r="F49" s="10" t="inlineStr">
        <is>
          <t>Careers Service</t>
        </is>
      </c>
      <c r="G49" s="10" t="inlineStr">
        <is>
          <t>Co-curricular</t>
        </is>
      </c>
      <c r="H49" s="10" t="inlineStr">
        <is>
          <t>Former optional co-curricular participants</t>
        </is>
      </c>
      <c r="I49" s="10" t="inlineStr">
        <is>
          <t>Interdisciplinary societal challenges. Careers co-curricular delivery is paused for the foreseeable future because of funding; EFI elective is a separate continuing route.</t>
        </is>
      </c>
      <c r="J49" s="10" t="inlineStr">
        <is>
          <t>University programme reach; paused status prevents treating this route as currently open.</t>
        </is>
      </c>
      <c r="K49" s="10" t="inlineStr">
        <is>
          <t>Paused: university page confirms</t>
        </is>
      </c>
      <c r="L49" s="10" t="inlineStr">
        <is>
          <t>Russell Group</t>
        </is>
      </c>
      <c r="M49" s="10" t="inlineStr">
        <is>
          <t>https://careers.ed.ac.uk/build-experience/students-as-change-agents</t>
        </is>
      </c>
      <c r="N49" s="10" t="inlineStr">
        <is>
          <t>Direct eligibility</t>
        </is>
      </c>
      <c r="O49" s="10" t="inlineStr">
        <is>
          <t>Paused</t>
        </is>
      </c>
      <c r="P49" s="81" t="n">
        <v>46303</v>
      </c>
      <c r="Q49" s="77" t="inlineStr">
        <is>
          <t>Not yet reassessed (institution not reviewed)</t>
        </is>
      </c>
    </row>
    <row r="50" ht="116" customHeight="1">
      <c r="A50" s="10" t="inlineStr">
        <is>
          <t>UK</t>
        </is>
      </c>
      <c r="B50" s="11" t="inlineStr">
        <is>
          <t>Sheffield</t>
        </is>
      </c>
      <c r="C50" s="10" t="inlineStr">
        <is>
          <t>University-wide</t>
        </is>
      </c>
      <c r="D50" s="10" t="inlineStr">
        <is>
          <t>Enterprise programme</t>
        </is>
      </c>
      <c r="E50" s="10" t="inlineStr">
        <is>
          <t>Emerge: Be enterprising</t>
        </is>
      </c>
      <c r="F50" s="10" t="inlineStr">
        <is>
          <t>Central Entrepreneurship team / Start-up Studio</t>
        </is>
      </c>
      <c r="G50" s="10" t="inlineStr">
        <is>
          <t>Co-curricular</t>
        </is>
      </c>
      <c r="H50" s="10" t="inlineStr">
        <is>
          <t>Students, staff and graduates; pathway and competition selection applies</t>
        </is>
      </c>
      <c r="I50" s="10" t="inlineStr">
        <is>
          <t>Hands-on Idea Bootcamp, Apprentice Challenge, founder pathways, workshops, mentoring and Business Awards Showcase support venture development. The competition is explicitly university-wide.</t>
        </is>
      </c>
      <c r="J50" s="10" t="inlineStr">
        <is>
          <t>August 2026 university account confirms delivery across all areas of the university community and a university-wide competition; Engineering project weeks remain a separate faculty example.</t>
        </is>
      </c>
      <c r="K50" s="10" t="inlineStr">
        <is>
          <t>August 2026 programme activity confirmed</t>
        </is>
      </c>
      <c r="L50" s="10" t="inlineStr">
        <is>
          <t>Russell Group</t>
        </is>
      </c>
      <c r="M50" s="10" t="inlineStr">
        <is>
          <t>https://sheffield.ac.uk/entrepreneurship/about-us
https://sheffield.ac.uk/entrepreneurship/news/emerge-be-enterprising-marks-3-year-milestone-ps14m-investment-and-national-enterprise-award</t>
        </is>
      </c>
      <c r="N50" s="10" t="inlineStr">
        <is>
          <t>Direct eligibility</t>
        </is>
      </c>
      <c r="O50" s="10" t="inlineStr">
        <is>
          <t>Dated 2026/27</t>
        </is>
      </c>
      <c r="P50" s="81" t="n">
        <v>46303</v>
      </c>
      <c r="Q50" s="77" t="inlineStr">
        <is>
          <t>Not yet reassessed (institution not reviewed)</t>
        </is>
      </c>
    </row>
    <row r="51" ht="116" customHeight="1">
      <c r="A51" s="10" t="inlineStr">
        <is>
          <t>UK</t>
        </is>
      </c>
      <c r="B51" s="11" t="inlineStr">
        <is>
          <t>Newcastle</t>
        </is>
      </c>
      <c r="C51" s="10" t="inlineStr">
        <is>
          <t>University-wide</t>
        </is>
      </c>
      <c r="D51" s="10" t="inlineStr">
        <is>
          <t>Enterprise programme</t>
        </is>
      </c>
      <c r="E51" s="10" t="inlineStr">
        <is>
          <t>START UP / Summer Launchpad</t>
        </is>
      </c>
      <c r="F51" s="10" t="inlineStr">
        <is>
          <t>Careers Service: START UP</t>
        </is>
      </c>
      <c r="G51" s="10" t="inlineStr">
        <is>
          <t>Co-curricular</t>
        </is>
      </c>
      <c r="H51" s="10" t="inlineStr">
        <is>
          <t>All students and recent graduates; individual programme/visa requirements apply</t>
        </is>
      </c>
      <c r="I51" s="10" t="inlineStr">
        <is>
          <t>Enterprise workshops, coaching, funding and founder community. June 2026 three-day Summer Launchpad included practical sales training, a mini hackathon, business advice and visits to regional startup hubs.</t>
        </is>
      </c>
      <c r="J51" s="10" t="inlineStr">
        <is>
          <t>Published START UP eligibility explicitly includes all students, any background; broad enterprise support is separate from the degree-dependent NCL2100 module.</t>
        </is>
      </c>
      <c r="K51" s="10" t="inlineStr">
        <is>
          <t>June 2026 Launchpad delivery confirmed</t>
        </is>
      </c>
      <c r="L51" s="10" t="inlineStr">
        <is>
          <t>Russell Group</t>
        </is>
      </c>
      <c r="M51" s="10" t="inlineStr">
        <is>
          <t>https://www.ncl.ac.uk/careers/startup/advice/
https://www.ncl.ac.uk/careers/startup/start-up-stories/news/news-items/start-up-summer-launchpad-success/</t>
        </is>
      </c>
      <c r="N51" s="10" t="inlineStr">
        <is>
          <t>Direct eligibility</t>
        </is>
      </c>
      <c r="O51" s="10" t="inlineStr">
        <is>
          <t>Dated 2026/27</t>
        </is>
      </c>
      <c r="P51" s="81" t="n">
        <v>46303</v>
      </c>
      <c r="Q51" s="77" t="inlineStr">
        <is>
          <t>Not yet reassessed (institution not reviewed)</t>
        </is>
      </c>
    </row>
    <row r="52" ht="116" customHeight="1">
      <c r="A52" s="10" t="inlineStr">
        <is>
          <t>UK</t>
        </is>
      </c>
      <c r="B52" s="11" t="inlineStr">
        <is>
          <t>Cardiff</t>
        </is>
      </c>
      <c r="C52" s="10" t="inlineStr">
        <is>
          <t>University-wide</t>
        </is>
      </c>
      <c r="D52" s="10" t="inlineStr">
        <is>
          <t>Co-curricular award</t>
        </is>
      </c>
      <c r="E52" s="10" t="inlineStr">
        <is>
          <t>Cardiff Award</t>
        </is>
      </c>
      <c r="F52" s="10" t="inlineStr">
        <is>
          <t>Student Futures</t>
        </is>
      </c>
      <c r="G52" s="10" t="inlineStr">
        <is>
          <t>Co-curricular</t>
        </is>
      </c>
      <c r="H52" s="10" t="inlineStr">
        <is>
          <t>All Cardiff students</t>
        </is>
      </c>
      <c r="I52" s="10" t="inlineStr">
        <is>
          <t>Optional career-development programme completed within an academic year; structured employability activities and reflection complement curricular learning.</t>
        </is>
      </c>
      <c r="J52" s="10" t="inlineStr">
        <is>
          <t>University Student Futures framework explicitly states available to all students. This does not establish specific eligibility for the separate Bremen–Cardiff programme.</t>
        </is>
      </c>
      <c r="K52" s="10" t="inlineStr">
        <is>
          <t>Official framework page; current intake unverified</t>
        </is>
      </c>
      <c r="L52" s="10" t="inlineStr">
        <is>
          <t>Russell Group</t>
        </is>
      </c>
      <c r="M52" s="10" t="inlineStr">
        <is>
          <t>https://sites.cardiff.ac.uk/student-futures-framework/student-futures-framework/activities-supported-by-student-futures/</t>
        </is>
      </c>
      <c r="N52" s="10" t="inlineStr">
        <is>
          <t>Institutional framework</t>
        </is>
      </c>
      <c r="O52" s="10" t="inlineStr">
        <is>
          <t>Undated page</t>
        </is>
      </c>
      <c r="P52" s="81" t="n">
        <v>46303</v>
      </c>
      <c r="Q52" s="77" t="inlineStr">
        <is>
          <t>Not yet reassessed (institution not reviewed)</t>
        </is>
      </c>
    </row>
    <row r="53" ht="116" customHeight="1">
      <c r="A53" s="10" t="inlineStr">
        <is>
          <t>UK</t>
        </is>
      </c>
      <c r="B53" s="11" t="inlineStr">
        <is>
          <t>Bath</t>
        </is>
      </c>
      <c r="C53" s="10" t="inlineStr">
        <is>
          <t>University-wide</t>
        </is>
      </c>
      <c r="D53" s="10" t="inlineStr">
        <is>
          <t>Live/research project</t>
        </is>
      </c>
      <c r="E53" s="10" t="inlineStr">
        <is>
          <t>Vertically Integrated Projects (VIP)</t>
        </is>
      </c>
      <c r="F53" s="10" t="inlineStr">
        <is>
          <t>University VIP network</t>
        </is>
      </c>
      <c r="G53" s="10" t="inlineStr">
        <is>
          <t>Mixed/varies</t>
        </is>
      </c>
      <c r="H53" s="10" t="inlineStr">
        <is>
          <t>Undergraduate and postgraduate students across disciplines</t>
        </is>
      </c>
      <c r="I53" s="10" t="inlineStr">
        <is>
          <t>Multiyear interdisciplinary research teams address sustainability; 11 teams and 250 students in 2025/26. Mostly extracurricular; some departmental credit.</t>
        </is>
      </c>
      <c r="J53" s="10" t="inlineStr">
        <is>
          <t>University programme spans disciplines; credit availability differs by department.</t>
        </is>
      </c>
      <c r="K53" s="10" t="inlineStr">
        <is>
          <t>2025/26 cohort confirmed</t>
        </is>
      </c>
      <c r="L53" s="10" t="inlineStr">
        <is>
          <t>Additional UK sample</t>
        </is>
      </c>
      <c r="M53" s="10" t="inlineStr">
        <is>
          <t>https://www.bath.ac.uk/guides/vertically-integrated-projects/</t>
        </is>
      </c>
      <c r="N53" s="10" t="inlineStr">
        <is>
          <t>Direct eligibility</t>
        </is>
      </c>
      <c r="O53" s="10" t="inlineStr">
        <is>
          <t>Dated earlier / mixed</t>
        </is>
      </c>
      <c r="P53" s="81" t="n">
        <v>46303</v>
      </c>
      <c r="Q53" s="77" t="inlineStr">
        <is>
          <t>Not yet reassessed (institution not reviewed)</t>
        </is>
      </c>
    </row>
    <row r="54" ht="116" customHeight="1">
      <c r="A54" s="10" t="inlineStr">
        <is>
          <t>UK</t>
        </is>
      </c>
      <c r="B54" s="11" t="inlineStr">
        <is>
          <t>St Andrews</t>
        </is>
      </c>
      <c r="C54" s="10" t="inlineStr">
        <is>
          <t>University-wide</t>
        </is>
      </c>
      <c r="D54" s="10" t="inlineStr">
        <is>
          <t>Live/research project</t>
        </is>
      </c>
      <c r="E54" s="10" t="inlineStr">
        <is>
          <t>Vertically Integrated Projects (VIP)</t>
        </is>
      </c>
      <c r="F54" s="10" t="inlineStr">
        <is>
          <t>Central education / VIP teams</t>
        </is>
      </c>
      <c r="G54" s="10" t="inlineStr">
        <is>
          <t>Elective credit</t>
        </is>
      </c>
      <c r="H54" s="10" t="inlineStr">
        <is>
          <t>Students from Arts and Science; different study levels</t>
        </is>
      </c>
      <c r="I54" s="10" t="inlineStr">
        <is>
          <t>Long-running research teams combine students across years and disciplines. Credit options include 5, 10 and 20 credits, subject to regulations.</t>
        </is>
      </c>
      <c r="J54" s="10" t="inlineStr">
        <is>
          <t>Explicit Arts and Science eligibility; elective rather than universal requirement.</t>
        </is>
      </c>
      <c r="K54" s="10" t="inlineStr">
        <is>
          <t>2026/27 applications confirmed</t>
        </is>
      </c>
      <c r="L54" s="10" t="inlineStr">
        <is>
          <t>Additional UK sample</t>
        </is>
      </c>
      <c r="M54" s="10" t="inlineStr">
        <is>
          <t>https://www.st-andrews.ac.uk/education/vip/
https://www.st-andrews.ac.uk/education/vip/credits/</t>
        </is>
      </c>
      <c r="N54" s="10" t="inlineStr">
        <is>
          <t>Direct eligibility</t>
        </is>
      </c>
      <c r="O54" s="10" t="inlineStr">
        <is>
          <t>Dated 2026/27</t>
        </is>
      </c>
      <c r="P54" s="81" t="n">
        <v>46303</v>
      </c>
      <c r="Q54" s="77" t="inlineStr">
        <is>
          <t>Not yet reassessed (institution not reviewed)</t>
        </is>
      </c>
    </row>
    <row r="55" ht="116" customHeight="1">
      <c r="A55" s="10" t="inlineStr">
        <is>
          <t>UK</t>
        </is>
      </c>
      <c r="B55" s="11" t="inlineStr">
        <is>
          <t>Lancaster</t>
        </is>
      </c>
      <c r="C55" s="10" t="inlineStr">
        <is>
          <t>Not confirmed</t>
        </is>
      </c>
      <c r="D55" s="10" t="inlineStr">
        <is>
          <t>Co-curricular award</t>
        </is>
      </c>
      <c r="E55" s="10" t="inlineStr">
        <is>
          <t>Lancaster Award</t>
        </is>
      </c>
      <c r="F55" s="10" t="inlineStr">
        <is>
          <t>Careers</t>
        </is>
      </c>
      <c r="G55" s="10" t="inlineStr">
        <is>
          <t>Co-curricular</t>
        </is>
      </c>
      <c r="H55" s="10" t="inlineStr">
        <is>
          <t>Students completing activities alongside their degree</t>
        </is>
      </c>
      <c r="I55" s="10" t="inlineStr">
        <is>
          <t>Recognises work experience, community engagement, skills workshops and reflective evidence. December 2025 graduation information records more than 900 registrations and 200 completions in the preceding year.</t>
        </is>
      </c>
      <c r="J55" s="10" t="inlineStr">
        <is>
          <t>Central student award; university reach inferred from careers provision, exact degree-level eligibility not stated in retrieved source. Academic reach remains Not confirmed until eligibility or institution-wide framework reach is established.</t>
        </is>
      </c>
      <c r="K55" s="10" t="inlineStr">
        <is>
          <t>2025 evidence; next intake unverified</t>
        </is>
      </c>
      <c r="L55" s="10" t="inlineStr">
        <is>
          <t>Additional UK sample</t>
        </is>
      </c>
      <c r="M55" s="10" t="inlineStr">
        <is>
          <t>https://www.lancaster.ac.uk/graduation-programme/</t>
        </is>
      </c>
      <c r="N55" s="10" t="inlineStr">
        <is>
          <t>Unconfirmed reach</t>
        </is>
      </c>
      <c r="O55" s="10" t="inlineStr">
        <is>
          <t>Dated earlier / mixed</t>
        </is>
      </c>
      <c r="P55" s="81" t="n">
        <v>46303</v>
      </c>
      <c r="Q55" s="77" t="inlineStr">
        <is>
          <t>Not yet reassessed (institution not reviewed)</t>
        </is>
      </c>
    </row>
    <row r="56" ht="116" customHeight="1">
      <c r="A56" s="10" t="inlineStr">
        <is>
          <t>UK</t>
        </is>
      </c>
      <c r="B56" s="11" t="inlineStr">
        <is>
          <t>Loughborough</t>
        </is>
      </c>
      <c r="C56" s="10" t="inlineStr">
        <is>
          <t>University-wide</t>
        </is>
      </c>
      <c r="D56" s="10" t="inlineStr">
        <is>
          <t>Co-curricular award</t>
        </is>
      </c>
      <c r="E56" s="10" t="inlineStr">
        <is>
          <t>Personal Best</t>
        </is>
      </c>
      <c r="F56" s="10" t="inlineStr">
        <is>
          <t>Student development / careers</t>
        </is>
      </c>
      <c r="G56" s="10" t="inlineStr">
        <is>
          <t>Co-curricular</t>
        </is>
      </c>
      <c r="H56" s="10" t="inlineStr">
        <is>
          <t>Undergraduates, postgraduates and researchers; optional award activities</t>
        </is>
      </c>
      <c r="I56" s="10" t="inlineStr">
        <is>
          <t>Personal, academic and professional development activities lead to an award recorded on the transcript. Optional development beyond the degree.</t>
        </is>
      </c>
      <c r="J56" s="10" t="inlineStr">
        <is>
          <t>Published framework serves undergraduate and postgraduate students and researchers across the institution.</t>
        </is>
      </c>
      <c r="K56" s="10" t="inlineStr">
        <is>
          <t>Official page; intake unverified</t>
        </is>
      </c>
      <c r="L56" s="10" t="inlineStr">
        <is>
          <t>Additional UK sample</t>
        </is>
      </c>
      <c r="M56" s="10" t="inlineStr">
        <is>
          <t>https://www.lboro.ac.uk/study/employability/personal-best/
https://www.lboro.ac.uk/students/personal-best/about/</t>
        </is>
      </c>
      <c r="N56" s="10" t="inlineStr">
        <is>
          <t>Institutional framework</t>
        </is>
      </c>
      <c r="O56" s="10" t="inlineStr">
        <is>
          <t>Undated page</t>
        </is>
      </c>
      <c r="P56" s="81" t="n">
        <v>46303</v>
      </c>
      <c r="Q56" s="77" t="inlineStr">
        <is>
          <t>Not yet reassessed (institution not reviewed)</t>
        </is>
      </c>
    </row>
    <row r="57" ht="116" customHeight="1">
      <c r="A57" s="10" t="inlineStr">
        <is>
          <t>UK</t>
        </is>
      </c>
      <c r="B57" s="11" t="inlineStr">
        <is>
          <t>Aberdeen</t>
        </is>
      </c>
      <c r="C57" s="10" t="inlineStr">
        <is>
          <t>University-wide</t>
        </is>
      </c>
      <c r="D57" s="10" t="inlineStr">
        <is>
          <t>Placement/WIL</t>
        </is>
      </c>
      <c r="E57" s="10" t="inlineStr">
        <is>
          <t>ABDN Internships</t>
        </is>
      </c>
      <c r="F57" s="10" t="inlineStr">
        <is>
          <t>Careers and Employability</t>
        </is>
      </c>
      <c r="G57" s="10" t="inlineStr">
        <is>
          <t>Co-curricular</t>
        </is>
      </c>
      <c r="H57" s="10" t="inlineStr">
        <is>
          <t>All current full-degree undergraduate and postgraduate students, any subject/year; visa and prior-internship exclusions</t>
        </is>
      </c>
      <c r="I57" s="10" t="inlineStr">
        <is>
          <t>Paid part-time internships in university departments and external employers. 2026/27 includes seven-week employer projects and 24-week university roles, normally ten hours weekly. Competitive recruitment; registration required throughout.</t>
        </is>
      </c>
      <c r="J57" s="10" t="inlineStr">
        <is>
          <t>Published eligibility explicitly covers all subjects and years, at both undergraduate and postgraduate levels.</t>
        </is>
      </c>
      <c r="K57" s="10" t="inlineStr">
        <is>
          <t>2026/27 opportunities confirmed; Term 1 applications closed 7 October 2026</t>
        </is>
      </c>
      <c r="L57" s="10" t="inlineStr">
        <is>
          <t>Additional UK sample</t>
        </is>
      </c>
      <c r="M57" s="10" t="inlineStr">
        <is>
          <t>https://www.abdn.ac.uk/careers/experience/abdn-internships/</t>
        </is>
      </c>
      <c r="N57" s="10" t="inlineStr">
        <is>
          <t>Direct eligibility</t>
        </is>
      </c>
      <c r="O57" s="10" t="inlineStr">
        <is>
          <t>Dated 2026/27</t>
        </is>
      </c>
      <c r="P57" s="81" t="n">
        <v>46303</v>
      </c>
      <c r="Q57" s="77" t="inlineStr">
        <is>
          <t>Not yet reassessed (institution not reviewed)</t>
        </is>
      </c>
    </row>
    <row r="58" ht="116" customHeight="1">
      <c r="A58" s="10" t="inlineStr">
        <is>
          <t>UK</t>
        </is>
      </c>
      <c r="B58" s="11" t="inlineStr">
        <is>
          <t>Reading</t>
        </is>
      </c>
      <c r="C58" s="10" t="inlineStr">
        <is>
          <t>University-wide</t>
        </is>
      </c>
      <c r="D58" s="10" t="inlineStr">
        <is>
          <t>Co-curricular award</t>
        </is>
      </c>
      <c r="E58" s="10" t="inlineStr">
        <is>
          <t>RED Awards</t>
        </is>
      </c>
      <c r="F58" s="10" t="inlineStr">
        <is>
          <t>Careers</t>
        </is>
      </c>
      <c r="G58" s="10" t="inlineStr">
        <is>
          <t>Co-curricular</t>
        </is>
      </c>
      <c r="H58" s="10" t="inlineStr">
        <is>
          <t>All Reading students, any year</t>
        </is>
      </c>
      <c r="I58" s="10" t="inlineStr">
        <is>
          <t>Professional Development, Global Engagement and Sustainable Action awards recognise extracurricular activity. Certificates and diploma-supplement recognition; degree placements cannot be counted.</t>
        </is>
      </c>
      <c r="J58" s="10" t="inlineStr">
        <is>
          <t>Explicit availability to all students; no academic credit.</t>
        </is>
      </c>
      <c r="K58" s="10" t="inlineStr">
        <is>
          <t>Official page; intake unverified</t>
        </is>
      </c>
      <c r="L58" s="10" t="inlineStr">
        <is>
          <t>Additional UK sample</t>
        </is>
      </c>
      <c r="M58" s="10" t="inlineStr">
        <is>
          <t>https://www.reading.ac.uk/essentials/Careers/Gaining-experience/RED-Awards
https://www.reading.ac.uk/essentials/Careers/Gaining-experience/RED/Red-awards-FAQ</t>
        </is>
      </c>
      <c r="N58" s="10" t="inlineStr">
        <is>
          <t>Direct eligibility</t>
        </is>
      </c>
      <c r="O58" s="10" t="inlineStr">
        <is>
          <t>Undated page</t>
        </is>
      </c>
      <c r="P58" s="81" t="n">
        <v>46303</v>
      </c>
      <c r="Q58" s="77" t="inlineStr">
        <is>
          <t>Not yet reassessed (institution not reviewed)</t>
        </is>
      </c>
    </row>
    <row r="59" ht="116" customHeight="1">
      <c r="A59" s="10" t="inlineStr">
        <is>
          <t>UK</t>
        </is>
      </c>
      <c r="B59" s="11" t="inlineStr">
        <is>
          <t>Surrey</t>
        </is>
      </c>
      <c r="C59" s="10" t="inlineStr">
        <is>
          <t>University-wide</t>
        </is>
      </c>
      <c r="D59" s="10" t="inlineStr">
        <is>
          <t>Placement/WIL</t>
        </is>
      </c>
      <c r="E59" s="10" t="inlineStr">
        <is>
          <t>Professional Training placements</t>
        </is>
      </c>
      <c r="F59" s="10" t="inlineStr">
        <is>
          <t>Central placements / academic departments</t>
        </is>
      </c>
      <c r="G59" s="10" t="inlineStr">
        <is>
          <t>Mixed/varies</t>
        </is>
      </c>
      <c r="H59" s="10" t="inlineStr">
        <is>
          <t>Undergraduates on eligible degrees; almost every course has an option</t>
        </is>
      </c>
      <c r="I59" s="10" t="inlineStr">
        <is>
          <t>Up to one year of work experience with UK or overseas organisations. University network includes more than 2,000 partner organisations; degree assessment and availability vary.</t>
        </is>
      </c>
      <c r="J59" s="10" t="inlineStr">
        <is>
          <t>Institutional framework across almost every course; not compulsory for all students.</t>
        </is>
      </c>
      <c r="K59" s="10" t="inlineStr">
        <is>
          <t>Official page; intake unverified</t>
        </is>
      </c>
      <c r="L59" s="10" t="inlineStr">
        <is>
          <t>Additional UK sample</t>
        </is>
      </c>
      <c r="M59" s="10" t="inlineStr">
        <is>
          <t>https://www.surrey.ac.uk/professional-training-placements/ug-courses-placements</t>
        </is>
      </c>
      <c r="N59" s="10" t="inlineStr">
        <is>
          <t>Institutional framework</t>
        </is>
      </c>
      <c r="O59" s="10" t="inlineStr">
        <is>
          <t>Undated page</t>
        </is>
      </c>
      <c r="P59" s="81" t="n">
        <v>46303</v>
      </c>
      <c r="Q59" s="77" t="inlineStr">
        <is>
          <t>Not yet reassessed (institution not reviewed)</t>
        </is>
      </c>
    </row>
    <row r="60" ht="116" customHeight="1">
      <c r="A60" s="10" t="inlineStr">
        <is>
          <t>UK</t>
        </is>
      </c>
      <c r="B60" s="11" t="inlineStr">
        <is>
          <t>Sussex</t>
        </is>
      </c>
      <c r="C60" s="10" t="inlineStr">
        <is>
          <t>University-wide</t>
        </is>
      </c>
      <c r="D60" s="10" t="inlineStr">
        <is>
          <t>Live/research project</t>
        </is>
      </c>
      <c r="E60" s="10" t="inlineStr">
        <is>
          <t>Connector Programme</t>
        </is>
      </c>
      <c r="F60" s="10" t="inlineStr">
        <is>
          <t>Student experience / central university projects</t>
        </is>
      </c>
      <c r="G60" s="10" t="inlineStr">
        <is>
          <t>Co-curricular</t>
        </is>
      </c>
      <c r="H60" s="10" t="inlineStr">
        <is>
          <t>All students can join the Connector Community; individual paid projects prioritise relevant groups</t>
        </is>
      </c>
      <c r="I60" s="10" t="inlineStr">
        <is>
          <t>Paid student–staff partnerships improve university provision, from modules and technology to student support. Projects range from weeks to an academic year, around study commitments.</t>
        </is>
      </c>
      <c r="J60" s="10" t="inlineStr">
        <is>
          <t>Official recruitment says all Sussex, IDS and BSMS students can join; access to a particular paid role remains selective.</t>
        </is>
      </c>
      <c r="K60" s="10" t="inlineStr">
        <is>
          <t>2025 welcome evidence; current intake unverified</t>
        </is>
      </c>
      <c r="L60" s="10" t="inlineStr">
        <is>
          <t>Additional UK sample</t>
        </is>
      </c>
      <c r="M60" s="10" t="inlineStr">
        <is>
          <t>https://www.sussex.ac.uk/study/student-life/activities
https://staff.sussex.ac.uk/guides/join-the-connector-programme
https://www.sussex.ac.uk/broadcast/read/63995</t>
        </is>
      </c>
      <c r="N60" s="10" t="inlineStr">
        <is>
          <t>Direct eligibility</t>
        </is>
      </c>
      <c r="O60" s="10" t="inlineStr">
        <is>
          <t>Dated earlier / mixed</t>
        </is>
      </c>
      <c r="P60" s="81" t="n">
        <v>46303</v>
      </c>
      <c r="Q60" s="77" t="inlineStr">
        <is>
          <t>Not yet reassessed (institution not reviewed)</t>
        </is>
      </c>
    </row>
    <row r="61" ht="116" customHeight="1">
      <c r="A61" s="10" t="inlineStr">
        <is>
          <t>UK</t>
        </is>
      </c>
      <c r="B61" s="11" t="inlineStr">
        <is>
          <t>Leicester</t>
        </is>
      </c>
      <c r="C61" s="10" t="inlineStr">
        <is>
          <t>University-wide</t>
        </is>
      </c>
      <c r="D61" s="10" t="inlineStr">
        <is>
          <t>Co-curricular award</t>
        </is>
      </c>
      <c r="E61" s="10" t="inlineStr">
        <is>
          <t>Leicester Award / Leicester Award Gold</t>
        </is>
      </c>
      <c r="F61" s="10" t="inlineStr">
        <is>
          <t>Careers / academic schools</t>
        </is>
      </c>
      <c r="G61" s="10" t="inlineStr">
        <is>
          <t>Mixed/varies</t>
        </is>
      </c>
      <c r="H61" s="10" t="inlineStr">
        <is>
          <t>Undergraduate students; school embedding varies</t>
        </is>
      </c>
      <c r="I61" s="10" t="inlineStr">
        <is>
          <t>Employability learning, reflective skills development and preparation for work experience. The new 100-hour curriculum guarantee is recorded separately.</t>
        </is>
      </c>
      <c r="J61" s="10" t="inlineStr">
        <is>
          <t>Institutional undergraduate framework; award completion and Gold pathway should not be assumed universal.</t>
        </is>
      </c>
      <c r="K61" s="10" t="inlineStr">
        <is>
          <t>2023 embedding evidence; latest award intake unverified</t>
        </is>
      </c>
      <c r="L61" s="10" t="inlineStr">
        <is>
          <t>Additional UK sample</t>
        </is>
      </c>
      <c r="M61" s="10" t="inlineStr">
        <is>
          <t>https://le.ac.uk/news/2023/december/leicester-award</t>
        </is>
      </c>
      <c r="N61" s="10" t="inlineStr">
        <is>
          <t>Institutional framework</t>
        </is>
      </c>
      <c r="O61" s="10" t="inlineStr">
        <is>
          <t>Dated earlier / mixed</t>
        </is>
      </c>
      <c r="P61" s="81" t="n">
        <v>46303</v>
      </c>
      <c r="Q61" s="77" t="inlineStr">
        <is>
          <t>Not yet reassessed (institution not reviewed)</t>
        </is>
      </c>
    </row>
    <row r="62" ht="116" customHeight="1">
      <c r="A62" s="10" t="inlineStr">
        <is>
          <t>UK</t>
        </is>
      </c>
      <c r="B62" s="11" t="inlineStr">
        <is>
          <t>Leicester</t>
        </is>
      </c>
      <c r="C62" s="10" t="inlineStr">
        <is>
          <t>University-wide</t>
        </is>
      </c>
      <c r="D62" s="10" t="inlineStr">
        <is>
          <t>Live/research project</t>
        </is>
      </c>
      <c r="E62" s="10" t="inlineStr">
        <is>
          <t>100 hours work-related learning guarantee</t>
        </is>
      </c>
      <c r="F62" s="10" t="inlineStr">
        <is>
          <t>Undergraduate curriculum / academic schools</t>
        </is>
      </c>
      <c r="G62" s="10" t="inlineStr">
        <is>
          <t>Compulsory</t>
        </is>
      </c>
      <c r="H62" s="10" t="inlineStr">
        <is>
          <t>All campus-based undergraduates completing their whole programme at Leicester from 2026/27</t>
        </is>
      </c>
      <c r="I62" s="10" t="inlineStr">
        <is>
          <t>Every undergraduate degree provides 100 hours of work-related learning. Employer-informed projects, simulations and virtual internships apply learning to real challenges; the guarantee does not imply 100 hours of employment or a placement.</t>
        </is>
      </c>
      <c r="J62" s="10" t="inlineStr">
        <is>
          <t>Explicit guarantee for all qualifying campus-based undergraduate degrees, across disciplines.</t>
        </is>
      </c>
      <c r="K62" s="10" t="inlineStr">
        <is>
          <t>Introduced from 2026/27 onwards</t>
        </is>
      </c>
      <c r="L62" s="10" t="inlineStr">
        <is>
          <t>Additional UK sample</t>
        </is>
      </c>
      <c r="M62" s="10" t="inlineStr">
        <is>
          <t>https://le.ac.uk/study/undergraduates/careers/100-hours</t>
        </is>
      </c>
      <c r="N62" s="10" t="inlineStr">
        <is>
          <t>Direct eligibility</t>
        </is>
      </c>
      <c r="O62" s="10" t="inlineStr">
        <is>
          <t>Dated 2026/27</t>
        </is>
      </c>
      <c r="P62" s="81" t="n">
        <v>46303</v>
      </c>
      <c r="Q62" s="77" t="inlineStr">
        <is>
          <t>Not yet reassessed (institution not reviewed)</t>
        </is>
      </c>
    </row>
    <row r="63" ht="116" customHeight="1">
      <c r="A63" s="10" t="inlineStr">
        <is>
          <t>UK</t>
        </is>
      </c>
      <c r="B63" s="11" t="inlineStr">
        <is>
          <t>Strathclyde</t>
        </is>
      </c>
      <c r="C63" s="10" t="inlineStr">
        <is>
          <t>University-wide</t>
        </is>
      </c>
      <c r="D63" s="10" t="inlineStr">
        <is>
          <t>Live/research project</t>
        </is>
      </c>
      <c r="E63" s="10" t="inlineStr">
        <is>
          <t>Vertically Integrated Projects for Sustainable Development</t>
        </is>
      </c>
      <c r="F63" s="10" t="inlineStr">
        <is>
          <t>University VIP4SD programme</t>
        </is>
      </c>
      <c r="G63" s="10" t="inlineStr">
        <is>
          <t>Mixed/varies</t>
        </is>
      </c>
      <c r="H63" s="10" t="inlineStr">
        <is>
          <t>Students in participating degrees and project teams</t>
        </is>
      </c>
      <c r="I63" s="10" t="inlineStr">
        <is>
          <t>Multidisciplinary, multiyear student research addresses UN Sustainable Development Goals; teams integrate different study levels. Curricular credit depends on the degree.</t>
        </is>
      </c>
      <c r="J63" s="10" t="inlineStr">
        <is>
          <t>University framework with course-specific eligibility; do not infer every degree participates.</t>
        </is>
      </c>
      <c r="K63" s="10" t="inlineStr">
        <is>
          <t>Official page; intake unverified</t>
        </is>
      </c>
      <c r="L63" s="10" t="inlineStr">
        <is>
          <t>Additional UK sample</t>
        </is>
      </c>
      <c r="M63" s="10" t="inlineStr">
        <is>
          <t>https://www.strath.ac.uk/studywithus/verticallyintegratedprojectsforsustainabledevelopment/abouttheprogramme/
https://www.strath.ac.uk/studywithus/verticallyintegratedprojectsforsustainabledevelopment/ourprojects/</t>
        </is>
      </c>
      <c r="N63" s="10" t="inlineStr">
        <is>
          <t>Institutional framework</t>
        </is>
      </c>
      <c r="O63" s="10" t="inlineStr">
        <is>
          <t>Undated page</t>
        </is>
      </c>
      <c r="P63" s="81" t="n">
        <v>46303</v>
      </c>
      <c r="Q63" s="77" t="inlineStr">
        <is>
          <t>Not yet reassessed (institution not reviewed)</t>
        </is>
      </c>
    </row>
    <row r="64" ht="116" customHeight="1">
      <c r="A64" s="10" t="inlineStr">
        <is>
          <t>UK</t>
        </is>
      </c>
      <c r="B64" s="11" t="inlineStr">
        <is>
          <t>Heriot-Watt</t>
        </is>
      </c>
      <c r="C64" s="10" t="inlineStr">
        <is>
          <t>University-wide</t>
        </is>
      </c>
      <c r="D64" s="10" t="inlineStr">
        <is>
          <t>Enterprise programme</t>
        </is>
      </c>
      <c r="E64" s="10" t="inlineStr">
        <is>
          <t>Global Innovation Challenge</t>
        </is>
      </c>
      <c r="F64" s="10" t="inlineStr">
        <is>
          <t>Global Research, Innovation and Discovery (GRID)</t>
        </is>
      </c>
      <c r="G64" s="10" t="inlineStr">
        <is>
          <t>Co-curricular</t>
        </is>
      </c>
      <c r="H64" s="10" t="inlineStr">
        <is>
          <t>Students, academics and alumni across Heriot-Watt campuses</t>
        </is>
      </c>
      <c r="I64" s="10" t="inlineStr">
        <is>
          <t>Nine-week practical entrepreneurial workshop programme develops business ideas through mentoring, founder/industry connections and a competition for up to £5,000.</t>
        </is>
      </c>
      <c r="J64" s="10" t="inlineStr">
        <is>
          <t>Official page explicitly invites participants from across the university’s global community.</t>
        </is>
      </c>
      <c r="K64" s="10" t="inlineStr">
        <is>
          <t>2026 challenge confirmed</t>
        </is>
      </c>
      <c r="L64" s="10" t="inlineStr">
        <is>
          <t>Additional UK sample</t>
        </is>
      </c>
      <c r="M64" s="10" t="inlineStr">
        <is>
          <t>https://www.hw.ac.uk/research-enterprise/innovation/global-innovation-challenge</t>
        </is>
      </c>
      <c r="N64" s="10" t="inlineStr">
        <is>
          <t>Direct eligibility</t>
        </is>
      </c>
      <c r="O64" s="10" t="inlineStr">
        <is>
          <t>Dated 2026/27</t>
        </is>
      </c>
      <c r="P64" s="81" t="n">
        <v>46303</v>
      </c>
      <c r="Q64" s="77" t="inlineStr">
        <is>
          <t>Not yet reassessed (institution not reviewed)</t>
        </is>
      </c>
    </row>
    <row r="65" ht="116" customHeight="1">
      <c r="A65" s="10" t="inlineStr">
        <is>
          <t>UK</t>
        </is>
      </c>
      <c r="B65" s="11" t="inlineStr">
        <is>
          <t>East Anglia</t>
        </is>
      </c>
      <c r="C65" s="10" t="inlineStr">
        <is>
          <t>Not confirmed</t>
        </is>
      </c>
      <c r="D65" s="10" t="inlineStr">
        <is>
          <t>Co-curricular award</t>
        </is>
      </c>
      <c r="E65" s="10" t="inlineStr">
        <is>
          <t>UEA Award</t>
        </is>
      </c>
      <c r="F65" s="10" t="inlineStr">
        <is>
          <t>CareerCentral</t>
        </is>
      </c>
      <c r="G65" s="10" t="inlineStr">
        <is>
          <t>Co-curricular</t>
        </is>
      </c>
      <c r="H65" s="10" t="inlineStr">
        <is>
          <t>UEA students; exact eligibility should be checked in award terms</t>
        </is>
      </c>
      <c r="I65" s="10" t="inlineStr">
        <is>
          <t>Skills-development and employability award complements study and recognises wider experience. 2025–29 access plan continues to promote participation across courses.</t>
        </is>
      </c>
      <c r="J65" s="10" t="inlineStr">
        <is>
          <t>Central careers award with cross-course promotion; university reach inferred, not compulsory. Academic reach remains Not confirmed until eligibility or institution-wide framework reach is established.</t>
        </is>
      </c>
      <c r="K65" s="10" t="inlineStr">
        <is>
          <t>2025–29 policy and 2026 careers-role evidence</t>
        </is>
      </c>
      <c r="L65" s="10" t="inlineStr">
        <is>
          <t>Additional UK sample</t>
        </is>
      </c>
      <c r="M65" s="10" t="inlineStr">
        <is>
          <t>https://mycareercentral.uea.ac.uk/Uploads/Attachments/UEA%20Award/TandCs-UEA-Award-final.pdf
https://assets.uea.ac.uk/f/185167/x/a9b8a9ffc6/university-of-east-anglia-access-and-participation-plan-2025-26-2028-29.pdf</t>
        </is>
      </c>
      <c r="N65" s="10" t="inlineStr">
        <is>
          <t>Unconfirmed reach</t>
        </is>
      </c>
      <c r="O65" s="10" t="inlineStr">
        <is>
          <t>Dated 2026/27</t>
        </is>
      </c>
      <c r="P65" s="81" t="n">
        <v>46303</v>
      </c>
      <c r="Q65" s="77" t="inlineStr">
        <is>
          <t>Not yet reassessed (institution not reviewed)</t>
        </is>
      </c>
    </row>
    <row r="66" ht="116" customHeight="1">
      <c r="A66" s="10" t="inlineStr">
        <is>
          <t>UK</t>
        </is>
      </c>
      <c r="B66" s="11" t="inlineStr">
        <is>
          <t>Dundee</t>
        </is>
      </c>
      <c r="C66" s="10" t="inlineStr">
        <is>
          <t>University-wide</t>
        </is>
      </c>
      <c r="D66" s="10" t="inlineStr">
        <is>
          <t>Enterprise programme</t>
        </is>
      </c>
      <c r="E66" s="10" t="inlineStr">
        <is>
          <t>Enterprise Challenge / Venture Competition</t>
        </is>
      </c>
      <c r="F66" s="10" t="inlineStr">
        <is>
          <t>Centre for Entrepreneurship</t>
        </is>
      </c>
      <c r="G66" s="10" t="inlineStr">
        <is>
          <t>Co-curricular</t>
        </is>
      </c>
      <c r="H66" s="10" t="inlineStr">
        <is>
          <t>Students, staff and recent graduates; selection applies</t>
        </is>
      </c>
      <c r="I66" s="10" t="inlineStr">
        <is>
          <t>Business-idea development and pitching. Enterprise Challenge feeds into the three-stage Venture Competition; 2026 competition terms confirm the pathway.</t>
        </is>
      </c>
      <c r="J66" s="10" t="inlineStr">
        <is>
          <t>Venture explicitly open to all university students; voluntary enterprise pathway.</t>
        </is>
      </c>
      <c r="K66" s="10" t="inlineStr">
        <is>
          <t>2026 competition confirmed</t>
        </is>
      </c>
      <c r="L66" s="10" t="inlineStr">
        <is>
          <t>Additional UK sample</t>
        </is>
      </c>
      <c r="M66" s="10" t="inlineStr">
        <is>
          <t>https://www.dundee.ac.uk/entrepreneurship/venture
https://www.dundee.ac.uk/corporate-information/venture-competition-terms-and-conditions</t>
        </is>
      </c>
      <c r="N66" s="10" t="inlineStr">
        <is>
          <t>Direct eligibility</t>
        </is>
      </c>
      <c r="O66" s="10" t="inlineStr">
        <is>
          <t>Dated 2026/27</t>
        </is>
      </c>
      <c r="P66" s="81" t="n">
        <v>46303</v>
      </c>
      <c r="Q66" s="77" t="inlineStr">
        <is>
          <t>Not yet reassessed (institution not reviewed)</t>
        </is>
      </c>
    </row>
    <row r="67" ht="116" customHeight="1">
      <c r="A67" s="10" t="inlineStr">
        <is>
          <t>UK</t>
        </is>
      </c>
      <c r="B67" s="11" t="inlineStr">
        <is>
          <t>Swansea</t>
        </is>
      </c>
      <c r="C67" s="10" t="inlineStr">
        <is>
          <t>University-wide</t>
        </is>
      </c>
      <c r="D67" s="10" t="inlineStr">
        <is>
          <t>Co-curricular award</t>
        </is>
      </c>
      <c r="E67" s="10" t="inlineStr">
        <is>
          <t>Employability Awards</t>
        </is>
      </c>
      <c r="F67" s="10" t="inlineStr">
        <is>
          <t>Swansea Employability Academy</t>
        </is>
      </c>
      <c r="G67" s="10" t="inlineStr">
        <is>
          <t>Co-curricular</t>
        </is>
      </c>
      <c r="H67" s="10" t="inlineStr">
        <is>
          <t>Any Swansea student</t>
        </is>
      </c>
      <c r="I67" s="10" t="inlineStr">
        <is>
          <t>Eight awards recognise activities such as volunteering, discovery projects and career-development units. Completion leads to digital badges and/or HEAR recognition.</t>
        </is>
      </c>
      <c r="J67" s="10" t="inlineStr">
        <is>
          <t>Official page states any student can work towards an award.</t>
        </is>
      </c>
      <c r="K67" s="10" t="inlineStr">
        <is>
          <t>Official page; intake unverified</t>
        </is>
      </c>
      <c r="L67" s="10" t="inlineStr">
        <is>
          <t>Additional UK sample</t>
        </is>
      </c>
      <c r="M67" s="10" t="inlineStr">
        <is>
          <t>https://hwb.swansea.ac.uk/employability-enterprise/employability-awards/</t>
        </is>
      </c>
      <c r="N67" s="10" t="inlineStr">
        <is>
          <t>Direct eligibility</t>
        </is>
      </c>
      <c r="O67" s="10" t="inlineStr">
        <is>
          <t>Undated page</t>
        </is>
      </c>
      <c r="P67" s="81" t="n">
        <v>46303</v>
      </c>
      <c r="Q67" s="77" t="inlineStr">
        <is>
          <t>Not yet reassessed (institution not reviewed)</t>
        </is>
      </c>
    </row>
    <row r="68" ht="116" customHeight="1">
      <c r="A68" s="10" t="inlineStr">
        <is>
          <t>UK</t>
        </is>
      </c>
      <c r="B68" s="11" t="inlineStr">
        <is>
          <t>Essex</t>
        </is>
      </c>
      <c r="C68" s="10" t="inlineStr">
        <is>
          <t>University-wide</t>
        </is>
      </c>
      <c r="D68" s="10" t="inlineStr">
        <is>
          <t>Co-curricular award</t>
        </is>
      </c>
      <c r="E68" s="10" t="inlineStr">
        <is>
          <t>Big Essex Award</t>
        </is>
      </c>
      <c r="F68" s="10" t="inlineStr">
        <is>
          <t>Careers / HEAR</t>
        </is>
      </c>
      <c r="G68" s="10" t="inlineStr">
        <is>
          <t>Co-curricular</t>
        </is>
      </c>
      <c r="H68" s="10" t="inlineStr">
        <is>
          <t>Eligible Essex students; research-only HEAR exclusions apply</t>
        </is>
      </c>
      <c r="I68" s="10" t="inlineStr">
        <is>
          <t>Reflective recognition of extracurricular skills and experience, with Bronze/Silver/Gold levels. Award achievements are recorded through HEAR rather than degree credit.</t>
        </is>
      </c>
      <c r="J68" s="10" t="inlineStr">
        <is>
          <t>Central award across student activities; exact level-specific rules should be checked.</t>
        </is>
      </c>
      <c r="K68" s="10" t="inlineStr">
        <is>
          <t>Official page; intake unverified</t>
        </is>
      </c>
      <c r="L68" s="10" t="inlineStr">
        <is>
          <t>Additional UK sample</t>
        </is>
      </c>
      <c r="M68" s="10" t="inlineStr">
        <is>
          <t>https://www.essex.ac.uk/student/awards-and-achievements/hear
https://www.essex.ac.uk/careers/documents/HEARfaqs.pdf</t>
        </is>
      </c>
      <c r="N68" s="10" t="inlineStr">
        <is>
          <t>Direct eligibility</t>
        </is>
      </c>
      <c r="O68" s="10" t="inlineStr">
        <is>
          <t>Undated page</t>
        </is>
      </c>
      <c r="P68" s="81" t="n">
        <v>46303</v>
      </c>
      <c r="Q68" s="77" t="inlineStr">
        <is>
          <t>Not yet reassessed (institution not reviewed)</t>
        </is>
      </c>
    </row>
    <row r="69" ht="116" customHeight="1">
      <c r="A69" s="10" t="inlineStr">
        <is>
          <t>UK</t>
        </is>
      </c>
      <c r="B69" s="11" t="inlineStr">
        <is>
          <t>Kent</t>
        </is>
      </c>
      <c r="C69" s="10" t="inlineStr">
        <is>
          <t>University-wide</t>
        </is>
      </c>
      <c r="D69" s="10" t="inlineStr">
        <is>
          <t>Co-curricular award</t>
        </is>
      </c>
      <c r="E69" s="10" t="inlineStr">
        <is>
          <t>Employability Points</t>
        </is>
      </c>
      <c r="F69" s="10" t="inlineStr">
        <is>
          <t>Careers and Employability</t>
        </is>
      </c>
      <c r="G69" s="10" t="inlineStr">
        <is>
          <t>Co-curricular</t>
        </is>
      </c>
      <c r="H69" s="10" t="inlineStr">
        <is>
          <t>All registered Kent students</t>
        </is>
      </c>
      <c r="I69" s="10" t="inlineStr">
        <is>
          <t>Students earn points for extracurricular activities and redeem them for employer-supported rewards, including work-experience opportunities.</t>
        </is>
      </c>
      <c r="J69" s="10" t="inlineStr">
        <is>
          <t>Explicit all-registered-student availability; points are not degree credits.</t>
        </is>
      </c>
      <c r="K69" s="10" t="inlineStr">
        <is>
          <t>Official page; intake unverified</t>
        </is>
      </c>
      <c r="L69" s="10" t="inlineStr">
        <is>
          <t>Additional UK sample</t>
        </is>
      </c>
      <c r="M69" s="10" t="inlineStr">
        <is>
          <t>https://student.kent.ac.uk/careers/employability-points/ep-points-how-it-works</t>
        </is>
      </c>
      <c r="N69" s="10" t="inlineStr">
        <is>
          <t>Direct eligibility</t>
        </is>
      </c>
      <c r="O69" s="10" t="inlineStr">
        <is>
          <t>Undated page</t>
        </is>
      </c>
      <c r="P69" s="81" t="n">
        <v>46303</v>
      </c>
      <c r="Q69" s="77" t="inlineStr">
        <is>
          <t>Not yet reassessed (institution not reviewed)</t>
        </is>
      </c>
    </row>
    <row r="70" ht="116" customHeight="1">
      <c r="A70" s="10" t="inlineStr">
        <is>
          <t>UK</t>
        </is>
      </c>
      <c r="B70" s="11" t="inlineStr">
        <is>
          <t>Brunel</t>
        </is>
      </c>
      <c r="C70" s="10" t="inlineStr">
        <is>
          <t>University-wide</t>
        </is>
      </c>
      <c r="D70" s="10" t="inlineStr">
        <is>
          <t>Placement/WIL</t>
        </is>
      </c>
      <c r="E70" s="10" t="inlineStr">
        <is>
          <t>Professional work placements</t>
        </is>
      </c>
      <c r="F70" s="10" t="inlineStr">
        <is>
          <t>Student Professional Development / departments</t>
        </is>
      </c>
      <c r="G70" s="10" t="inlineStr">
        <is>
          <t>Mixed/varies</t>
        </is>
      </c>
      <c r="H70" s="10" t="inlineStr">
        <is>
          <t>Eligible degree programmes; availability and assessment vary</t>
        </is>
      </c>
      <c r="I70" s="10" t="inlineStr">
        <is>
          <t>University placement support enables students to apply learning with employers. Programme requirements determine timing, duration and credit.</t>
        </is>
      </c>
      <c r="J70" s="10" t="inlineStr">
        <is>
          <t>Central placement framework across departments; no claim all degrees or students participate.</t>
        </is>
      </c>
      <c r="K70" s="10" t="inlineStr">
        <is>
          <t>Official page; intake unverified</t>
        </is>
      </c>
      <c r="L70" s="10" t="inlineStr">
        <is>
          <t>Additional UK sample</t>
        </is>
      </c>
      <c r="M70" s="10" t="inlineStr">
        <is>
          <t>https://www.brunel.ac.uk/student-professional-development/work-placements</t>
        </is>
      </c>
      <c r="N70" s="10" t="inlineStr">
        <is>
          <t>Institutional framework</t>
        </is>
      </c>
      <c r="O70" s="10" t="inlineStr">
        <is>
          <t>Undated page</t>
        </is>
      </c>
      <c r="P70" s="81" t="n">
        <v>46303</v>
      </c>
      <c r="Q70" s="77" t="inlineStr">
        <is>
          <t>Not yet reassessed (institution not reviewed)</t>
        </is>
      </c>
    </row>
    <row r="71" ht="116" customHeight="1">
      <c r="A71" s="10" t="inlineStr">
        <is>
          <t>UK</t>
        </is>
      </c>
      <c r="B71" s="11" t="inlineStr">
        <is>
          <t>Aston</t>
        </is>
      </c>
      <c r="C71" s="10" t="inlineStr">
        <is>
          <t>University-wide</t>
        </is>
      </c>
      <c r="D71" s="10" t="inlineStr">
        <is>
          <t>Live/research project</t>
        </is>
      </c>
      <c r="E71" s="10" t="inlineStr">
        <is>
          <t>Aston Global Advantage</t>
        </is>
      </c>
      <c r="F71" s="10" t="inlineStr">
        <is>
          <t>Postgraduate taught curriculum</t>
        </is>
      </c>
      <c r="G71" s="10" t="inlineStr">
        <is>
          <t>Compulsory</t>
        </is>
      </c>
      <c r="H71" s="10" t="inlineStr">
        <is>
          <t>Every postgraduate taught programme, according to university page</t>
        </is>
      </c>
      <c r="I71" s="10" t="inlineStr">
        <is>
          <t>Structured professional development combines teamwork, practical projects and employer engagement with postgraduate study. Delivery varies by programme/campus.</t>
        </is>
      </c>
      <c r="J71" s="10" t="inlineStr">
        <is>
          <t>Official page describes a distinctive component of every postgraduate taught programme.</t>
        </is>
      </c>
      <c r="K71" s="10" t="inlineStr">
        <is>
          <t>Official page; intake unverified</t>
        </is>
      </c>
      <c r="L71" s="10" t="inlineStr">
        <is>
          <t>Additional UK sample</t>
        </is>
      </c>
      <c r="M71" s="10" t="inlineStr">
        <is>
          <t>https://www.aston.ac.uk/postgraduate/aston-global-advantage</t>
        </is>
      </c>
      <c r="N71" s="10" t="inlineStr">
        <is>
          <t>Direct eligibility</t>
        </is>
      </c>
      <c r="O71" s="10" t="inlineStr">
        <is>
          <t>Undated page</t>
        </is>
      </c>
      <c r="P71" s="81" t="n">
        <v>46303</v>
      </c>
      <c r="Q71" s="77" t="inlineStr">
        <is>
          <t>Not yet reassessed (institution not reviewed)</t>
        </is>
      </c>
    </row>
    <row r="72" ht="116" customHeight="1">
      <c r="A72" s="10" t="inlineStr">
        <is>
          <t>UK</t>
        </is>
      </c>
      <c r="B72" s="11" t="inlineStr">
        <is>
          <t>Stirling</t>
        </is>
      </c>
      <c r="C72" s="10" t="inlineStr">
        <is>
          <t>University-wide</t>
        </is>
      </c>
      <c r="D72" s="10" t="inlineStr">
        <is>
          <t>Co-curricular award</t>
        </is>
      </c>
      <c r="E72" s="10" t="inlineStr">
        <is>
          <t>My Stirling Award</t>
        </is>
      </c>
      <c r="F72" s="10" t="inlineStr">
        <is>
          <t>Careers</t>
        </is>
      </c>
      <c r="G72" s="10" t="inlineStr">
        <is>
          <t>Co-curricular</t>
        </is>
      </c>
      <c r="H72" s="10" t="inlineStr">
        <is>
          <t>All undergraduate and postgraduate students</t>
        </is>
      </c>
      <c r="I72" s="10" t="inlineStr">
        <is>
          <t>Recognises employment, volunteering, projects and wider activities. Undergraduate Bronze/Silver/Gold require 50/100/200 hours; postgraduate award requires 30 hours. Includes reflection and career preparation; transcript recognition.</t>
        </is>
      </c>
      <c r="J72" s="10" t="inlineStr">
        <is>
          <t>Official eligibility explicitly includes all undergraduate and postgraduate students.</t>
        </is>
      </c>
      <c r="K72" s="10" t="inlineStr">
        <is>
          <t>Official page says all levels open to enrol; intake year unlabelled</t>
        </is>
      </c>
      <c r="L72" s="10" t="inlineStr">
        <is>
          <t>Additional UK sample</t>
        </is>
      </c>
      <c r="M72" s="10" t="inlineStr">
        <is>
          <t>https://www.stir.ac.uk/student-life/careers/get-career-experience/my-stirling-award/</t>
        </is>
      </c>
      <c r="N72" s="10" t="inlineStr">
        <is>
          <t>Direct eligibility</t>
        </is>
      </c>
      <c r="O72" s="10" t="inlineStr">
        <is>
          <t>Undated page</t>
        </is>
      </c>
      <c r="P72" s="81" t="n">
        <v>46303</v>
      </c>
      <c r="Q72" s="77" t="inlineStr">
        <is>
          <t>Not yet reassessed (institution not reviewed)</t>
        </is>
      </c>
    </row>
    <row r="73" ht="116" customHeight="1">
      <c r="A73" s="10" t="inlineStr">
        <is>
          <t>UK</t>
        </is>
      </c>
      <c r="B73" s="11" t="inlineStr">
        <is>
          <t>SOAS</t>
        </is>
      </c>
      <c r="C73" s="10" t="inlineStr">
        <is>
          <t>University-wide</t>
        </is>
      </c>
      <c r="D73" s="10" t="inlineStr">
        <is>
          <t>Live/research project</t>
        </is>
      </c>
      <c r="E73" s="10" t="inlineStr">
        <is>
          <t>SOAS Virtual Industry Project</t>
        </is>
      </c>
      <c r="F73" s="10" t="inlineStr">
        <is>
          <t>Careers / Practera</t>
        </is>
      </c>
      <c r="G73" s="10" t="inlineStr">
        <is>
          <t>Co-curricular</t>
        </is>
      </c>
      <c r="H73" s="10" t="inlineStr">
        <is>
          <t>Second- and final-year undergraduates; limited places</t>
        </is>
      </c>
      <c r="I73" s="10" t="inlineStr">
        <is>
          <t>Two-week virtual consultancy in interdisciplinary teams responding to a live employer brief, with a final report. Scheme page describes 100 places annually.</t>
        </is>
      </c>
      <c r="J73" s="10" t="inlineStr">
        <is>
          <t>Eligibility stated by year rather than faculty; open across undergraduate disciplines.</t>
        </is>
      </c>
      <c r="K73" s="10" t="inlineStr">
        <is>
          <t>2025 participant evidence; current intake unverified</t>
        </is>
      </c>
      <c r="L73" s="10" t="inlineStr">
        <is>
          <t>Additional UK sample</t>
        </is>
      </c>
      <c r="M73" s="10" t="inlineStr">
        <is>
          <t>https://www.soas.ac.uk/soas-virtual-industry-project</t>
        </is>
      </c>
      <c r="N73" s="10" t="inlineStr">
        <is>
          <t>Direct eligibility</t>
        </is>
      </c>
      <c r="O73" s="10" t="inlineStr">
        <is>
          <t>Dated earlier / mixed</t>
        </is>
      </c>
      <c r="P73" s="81" t="n">
        <v>46303</v>
      </c>
      <c r="Q73" s="77" t="inlineStr">
        <is>
          <t>Not yet reassessed (institution not reviewed)</t>
        </is>
      </c>
    </row>
    <row r="74" ht="116" customHeight="1">
      <c r="A74" s="10" t="inlineStr">
        <is>
          <t>UK</t>
        </is>
      </c>
      <c r="B74" s="11" t="inlineStr">
        <is>
          <t>Birkbeck</t>
        </is>
      </c>
      <c r="C74" s="10" t="inlineStr">
        <is>
          <t>Cross-faculty</t>
        </is>
      </c>
      <c r="D74" s="10" t="inlineStr">
        <is>
          <t>Placement/WIL</t>
        </is>
      </c>
      <c r="E74" s="10" t="inlineStr">
        <is>
          <t>Micro-placement, CASC002H5</t>
        </is>
      </c>
      <c r="F74" s="10" t="inlineStr">
        <is>
          <t>Academic programmes / placements</t>
        </is>
      </c>
      <c r="G74" s="10" t="inlineStr">
        <is>
          <t>Mixed/varies</t>
        </is>
      </c>
      <c r="H74" s="10" t="inlineStr">
        <is>
          <t>Participating degrees including Computing and Health and Social Care</t>
        </is>
      </c>
      <c r="I74" s="10" t="inlineStr">
        <is>
          <t>Short placement or professional project, preparation workshops and reflective assessment. 15 credits: optional in Data Science and Computing; compulsory in the named Health and Social Care route.</t>
        </is>
      </c>
      <c r="J74" s="10" t="inlineStr">
        <is>
          <t>Two programme specifications establish cross-faculty use, not availability on every degree.</t>
        </is>
      </c>
      <c r="K74" s="10" t="inlineStr">
        <is>
          <t>2024/25 and 2025/26 specifications</t>
        </is>
      </c>
      <c r="L74" s="10" t="inlineStr">
        <is>
          <t>Additional UK sample</t>
        </is>
      </c>
      <c r="M74" s="10" t="inlineStr">
        <is>
          <t>https://www.bbk.ac.uk/courses/module/CASC002H5
https://www.bbk.ac.uk/documents/programme-specification-2025-26-bsc-health-and-social-care-incl-with-foundation-year.pdf</t>
        </is>
      </c>
      <c r="N74" s="10" t="inlineStr">
        <is>
          <t>Direct eligibility</t>
        </is>
      </c>
      <c r="O74" s="10" t="inlineStr">
        <is>
          <t>Dated earlier / mixed</t>
        </is>
      </c>
      <c r="P74" s="81" t="n">
        <v>46303</v>
      </c>
      <c r="Q74" s="77" t="inlineStr">
        <is>
          <t>Not yet reassessed (institution not reviewed)</t>
        </is>
      </c>
    </row>
    <row r="75" ht="116" customHeight="1">
      <c r="A75" s="10" t="inlineStr">
        <is>
          <t>UK</t>
        </is>
      </c>
      <c r="B75" s="11" t="inlineStr">
        <is>
          <t>Birkbeck</t>
        </is>
      </c>
      <c r="C75" s="10" t="inlineStr">
        <is>
          <t>University-wide</t>
        </is>
      </c>
      <c r="D75" s="10" t="inlineStr">
        <is>
          <t>Enterprise programme</t>
        </is>
      </c>
      <c r="E75" s="10" t="inlineStr">
        <is>
          <t>Pioneer Programme</t>
        </is>
      </c>
      <c r="F75" s="10" t="inlineStr">
        <is>
          <t>Careers and Enterprise</t>
        </is>
      </c>
      <c r="G75" s="10" t="inlineStr">
        <is>
          <t>Co-curricular</t>
        </is>
      </c>
      <c r="H75" s="10" t="inlineStr">
        <is>
          <t>Birkbeck students and graduates interested in enterprise</t>
        </is>
      </c>
      <c r="I75" s="10" t="inlineStr">
        <is>
          <t>Extracurricular workshops, founder guidance and business development alongside study. Current programme page sets an October 2026 selection timetable.</t>
        </is>
      </c>
      <c r="J75" s="10" t="inlineStr">
        <is>
          <t>Central programme; earlier official description explicitly includes any Birkbeck student.</t>
        </is>
      </c>
      <c r="K75" s="10" t="inlineStr">
        <is>
          <t>2026 intake confirmed</t>
        </is>
      </c>
      <c r="L75" s="10" t="inlineStr">
        <is>
          <t>Additional UK sample</t>
        </is>
      </c>
      <c r="M75" s="10" t="inlineStr">
        <is>
          <t>https://www.bbk.ac.uk/student-services/careers-and-enterprise/start-a-business
https://www.bbk.ac.uk/news/birkbeck-and-santander-universities-celebrate-creating-accessible-pathways-to-entrepreneurship-2</t>
        </is>
      </c>
      <c r="N75" s="10" t="inlineStr">
        <is>
          <t>Direct eligibility</t>
        </is>
      </c>
      <c r="O75" s="10" t="inlineStr">
        <is>
          <t>Dated 2026/27</t>
        </is>
      </c>
      <c r="P75" s="81" t="n">
        <v>46303</v>
      </c>
      <c r="Q75" s="77" t="inlineStr">
        <is>
          <t>Not yet reassessed (institution not reviewed)</t>
        </is>
      </c>
    </row>
    <row r="76" ht="116" customHeight="1">
      <c r="A76" s="10" t="inlineStr">
        <is>
          <t>UK</t>
        </is>
      </c>
      <c r="B76" s="11" t="inlineStr">
        <is>
          <t>Royal Holloway</t>
        </is>
      </c>
      <c r="C76" s="10" t="inlineStr">
        <is>
          <t>University-wide</t>
        </is>
      </c>
      <c r="D76" s="10" t="inlineStr">
        <is>
          <t>Co-curricular award</t>
        </is>
      </c>
      <c r="E76" s="10" t="inlineStr">
        <is>
          <t>Royal Holloway Volunteer Awards</t>
        </is>
      </c>
      <c r="F76" s="10" t="inlineStr">
        <is>
          <t>Volunteering / central student experience</t>
        </is>
      </c>
      <c r="G76" s="10" t="inlineStr">
        <is>
          <t>Co-curricular</t>
        </is>
      </c>
      <c r="H76" s="10" t="inlineStr">
        <is>
          <t>Students undertaking community volunteering</t>
        </is>
      </c>
      <c r="I76" s="10" t="inlineStr">
        <is>
          <t>Community placements with more than 100 partners; 2026 awards recognise 30, 50 and 100 hours of volunteering.</t>
        </is>
      </c>
      <c r="J76" s="10" t="inlineStr">
        <is>
          <t>Central volunteering recognition rather than a faculty curriculum.</t>
        </is>
      </c>
      <c r="K76" s="10" t="inlineStr">
        <is>
          <t>2025/26 awards confirmed</t>
        </is>
      </c>
      <c r="L76" s="10" t="inlineStr">
        <is>
          <t>Additional UK sample</t>
        </is>
      </c>
      <c r="M76" s="10" t="inlineStr">
        <is>
          <t>https://intranet.royalholloway.ac.uk/students/campus-life/volunteering/the-royal-holloway-volunteer-awards-2026.aspx
https://www.royalholloway.ac.uk/student-life/being-a-student/volunteering-at-royal-holloway/</t>
        </is>
      </c>
      <c r="N76" s="10" t="inlineStr">
        <is>
          <t>Direct eligibility</t>
        </is>
      </c>
      <c r="O76" s="10" t="inlineStr">
        <is>
          <t>Dated earlier / mixed</t>
        </is>
      </c>
      <c r="P76" s="81" t="n">
        <v>46303</v>
      </c>
      <c r="Q76" s="77" t="inlineStr">
        <is>
          <t>Not yet reassessed (institution not reviewed)</t>
        </is>
      </c>
    </row>
    <row r="77" ht="116" customHeight="1">
      <c r="A77" s="10" t="inlineStr">
        <is>
          <t>UK</t>
        </is>
      </c>
      <c r="B77" s="11" t="inlineStr">
        <is>
          <t>City St George’s</t>
        </is>
      </c>
      <c r="C77" s="10" t="inlineStr">
        <is>
          <t>Not confirmed</t>
        </is>
      </c>
      <c r="D77" s="10" t="inlineStr">
        <is>
          <t>Enterprise programme</t>
        </is>
      </c>
      <c r="E77" s="10" t="inlineStr">
        <is>
          <t>CitySpark</t>
        </is>
      </c>
      <c r="F77" s="10" t="inlineStr">
        <is>
          <t>CityVentures</t>
        </is>
      </c>
      <c r="G77" s="10" t="inlineStr">
        <is>
          <t>Co-curricular</t>
        </is>
      </c>
      <c r="H77" s="10" t="inlineStr">
        <is>
          <t>All legacy City students and recent alumni; merger-wide eligibility unverified</t>
        </is>
      </c>
      <c r="I77" s="10" t="inlineStr">
        <is>
          <t>Business-idea competition with customer discovery, enterprise workshops, mentoring and pitching. £3,000 funding offered in the 2024 competition.</t>
        </is>
      </c>
      <c r="J77" s="10" t="inlineStr">
        <is>
          <t>Explicit all-City eligibility; do not extend this to every legacy St George’s course after merger.</t>
        </is>
      </c>
      <c r="K77" s="10" t="inlineStr">
        <is>
          <t>2024 evidence; current/merged intake unverified</t>
        </is>
      </c>
      <c r="L77" s="10" t="inlineStr">
        <is>
          <t>Additional UK sample</t>
        </is>
      </c>
      <c r="M77" s="10" t="inlineStr">
        <is>
          <t>https://studenthub.citystgeorges.ac.uk/news-and-events/news/2024/february/cityspark-2024</t>
        </is>
      </c>
      <c r="N77" s="10" t="inlineStr">
        <is>
          <t>Unconfirmed reach</t>
        </is>
      </c>
      <c r="O77" s="10" t="inlineStr">
        <is>
          <t>Dated earlier / mixed</t>
        </is>
      </c>
      <c r="P77" s="81" t="n">
        <v>46303</v>
      </c>
      <c r="Q77" s="77" t="inlineStr">
        <is>
          <t>Not yet reassessed (institution not reviewed)</t>
        </is>
      </c>
    </row>
    <row r="78" ht="116" customHeight="1">
      <c r="A78" s="10" t="inlineStr">
        <is>
          <t>UK</t>
        </is>
      </c>
      <c r="B78" s="11" t="inlineStr">
        <is>
          <t>Oxford Brookes</t>
        </is>
      </c>
      <c r="C78" s="10" t="inlineStr">
        <is>
          <t>University-wide</t>
        </is>
      </c>
      <c r="D78" s="10" t="inlineStr">
        <is>
          <t>Enterprise programme</t>
        </is>
      </c>
      <c r="E78" s="10" t="inlineStr">
        <is>
          <t>Spark</t>
        </is>
      </c>
      <c r="F78" s="10" t="inlineStr">
        <is>
          <t>Brookes Enterprise</t>
        </is>
      </c>
      <c r="G78" s="10" t="inlineStr">
        <is>
          <t>Co-curricular</t>
        </is>
      </c>
      <c r="H78" s="10" t="inlineStr">
        <is>
          <t>Students from any discipline; staff and eligible alumni</t>
        </is>
      </c>
      <c r="I78" s="10" t="inlineStr">
        <is>
          <t>Six-week startup-development programme, business-model refinement, mentor meeting and pitch deck; participants can compete for £500 funding.</t>
        </is>
      </c>
      <c r="J78" s="10" t="inlineStr">
        <is>
          <t>Explicit any-discipline eligibility.</t>
        </is>
      </c>
      <c r="K78" s="10" t="inlineStr">
        <is>
          <t>Autumn 2026 applications confirmed</t>
        </is>
      </c>
      <c r="L78" s="10" t="inlineStr">
        <is>
          <t>Additional UK sample</t>
        </is>
      </c>
      <c r="M78" s="10" t="inlineStr">
        <is>
          <t>https://www.brookes.ac.uk/enterprise/start-up-support/spark</t>
        </is>
      </c>
      <c r="N78" s="10" t="inlineStr">
        <is>
          <t>Direct eligibility</t>
        </is>
      </c>
      <c r="O78" s="10" t="inlineStr">
        <is>
          <t>Dated 2026/27</t>
        </is>
      </c>
      <c r="P78" s="81" t="n">
        <v>46303</v>
      </c>
      <c r="Q78" s="77" t="inlineStr">
        <is>
          <t>Not yet reassessed (institution not reviewed)</t>
        </is>
      </c>
    </row>
    <row r="79" ht="116" customHeight="1">
      <c r="A79" s="10" t="inlineStr">
        <is>
          <t>UK</t>
        </is>
      </c>
      <c r="B79" s="11" t="inlineStr">
        <is>
          <t>Oxford Brookes</t>
        </is>
      </c>
      <c r="C79" s="10" t="inlineStr">
        <is>
          <t>Faculty/school</t>
        </is>
      </c>
      <c r="D79" s="10" t="inlineStr">
        <is>
          <t>Live/research project</t>
        </is>
      </c>
      <c r="E79" s="10" t="inlineStr">
        <is>
          <t>Business Challenge Week</t>
        </is>
      </c>
      <c r="F79" s="10" t="inlineStr">
        <is>
          <t>Oxford Brookes Business School</t>
        </is>
      </c>
      <c r="G79" s="10" t="inlineStr">
        <is>
          <t>Not confirmed</t>
        </is>
      </c>
      <c r="H79" s="10" t="inlineStr">
        <is>
          <t>Postgraduate Business School students</t>
        </is>
      </c>
      <c r="I79" s="10" t="inlineStr">
        <is>
          <t>Intensive week tackling real problems from local, national and international organisations; part of the School’s real-world learning provision.</t>
        </is>
      </c>
      <c r="J79" s="10" t="inlineStr">
        <is>
          <t>Page explicitly identifies Business School postgraduate participants; credit/compulsion unverified.</t>
        </is>
      </c>
      <c r="K79" s="10" t="inlineStr">
        <is>
          <t>Official page; intake unverified</t>
        </is>
      </c>
      <c r="L79" s="10" t="inlineStr">
        <is>
          <t>Additional UK sample</t>
        </is>
      </c>
      <c r="M79" s="10" t="inlineStr">
        <is>
          <t>https://www.brookes.ac.uk/about-brookes/structure-and-governance/faculties-and-schools/business/real-world-learning</t>
        </is>
      </c>
      <c r="N79" s="10" t="inlineStr">
        <is>
          <t>Direct eligibility</t>
        </is>
      </c>
      <c r="O79" s="10" t="inlineStr">
        <is>
          <t>Undated page</t>
        </is>
      </c>
      <c r="P79" s="81" t="n">
        <v>46303</v>
      </c>
      <c r="Q79" s="77" t="inlineStr">
        <is>
          <t>Not yet reassessed (institution not reviewed)</t>
        </is>
      </c>
    </row>
    <row r="80" ht="116" customHeight="1">
      <c r="A80" s="10" t="inlineStr">
        <is>
          <t>UK</t>
        </is>
      </c>
      <c r="B80" s="11" t="inlineStr">
        <is>
          <t>Northumbria</t>
        </is>
      </c>
      <c r="C80" s="10" t="inlineStr">
        <is>
          <t>Faculty/school</t>
        </is>
      </c>
      <c r="D80" s="10" t="inlineStr">
        <is>
          <t>Live/research project</t>
        </is>
      </c>
      <c r="E80" s="10" t="inlineStr">
        <is>
          <t>Business Clinic</t>
        </is>
      </c>
      <c r="F80" s="10" t="inlineStr">
        <is>
          <t>Newcastle Business School</t>
        </is>
      </c>
      <c r="G80" s="10" t="inlineStr">
        <is>
          <t>Mixed/varies</t>
        </is>
      </c>
      <c r="H80" s="10" t="inlineStr">
        <is>
          <t>Business School undergraduate and postgraduate students</t>
        </is>
      </c>
      <c r="I80" s="10" t="inlineStr">
        <is>
          <t>Student consultancy teams advise organisations on live problems. Clients include SMEs, charities and larger businesses; module/degree requirements vary.</t>
        </is>
      </c>
      <c r="J80" s="10" t="inlineStr">
        <is>
          <t>Official evidence specifies Business School students, not a university-wide core.</t>
        </is>
      </c>
      <c r="K80" s="10" t="inlineStr">
        <is>
          <t>2024 award evidence / official course page</t>
        </is>
      </c>
      <c r="L80" s="10" t="inlineStr">
        <is>
          <t>Additional UK sample</t>
        </is>
      </c>
      <c r="M80" s="10" t="inlineStr">
        <is>
          <t>https://www.northumbria.ac.uk/about-us/news-events/news/prestigious-award-for-business-clinic/
https://www.northumbria.ac.uk/about-us/news-events/news/business-clinic-hits-key-milestones/</t>
        </is>
      </c>
      <c r="N80" s="10" t="inlineStr">
        <is>
          <t>Direct eligibility</t>
        </is>
      </c>
      <c r="O80" s="10" t="inlineStr">
        <is>
          <t>Dated earlier / mixed</t>
        </is>
      </c>
      <c r="P80" s="81" t="n">
        <v>46303</v>
      </c>
      <c r="Q80" s="77" t="inlineStr">
        <is>
          <t>Not yet reassessed (institution not reviewed)</t>
        </is>
      </c>
    </row>
    <row r="81" ht="116" customHeight="1">
      <c r="A81" s="10" t="inlineStr">
        <is>
          <t>UK</t>
        </is>
      </c>
      <c r="B81" s="11" t="inlineStr">
        <is>
          <t>Northumbria</t>
        </is>
      </c>
      <c r="C81" s="10" t="inlineStr">
        <is>
          <t>University-wide</t>
        </is>
      </c>
      <c r="D81" s="10" t="inlineStr">
        <is>
          <t>Enterprise programme</t>
        </is>
      </c>
      <c r="E81" s="10" t="inlineStr">
        <is>
          <t>Student and Graduate Enterprise / Innovation Northumbria Incubator</t>
        </is>
      </c>
      <c r="F81" s="10" t="inlineStr">
        <is>
          <t>Central enterprise team</t>
        </is>
      </c>
      <c r="G81" s="10" t="inlineStr">
        <is>
          <t>Co-curricular</t>
        </is>
      </c>
      <c r="H81" s="10" t="inlineStr">
        <is>
          <t>Current students and graduates up to five years after graduation</t>
        </is>
      </c>
      <c r="I81" s="10" t="inlineStr">
        <is>
          <t>Workshops, interactive events, specialist advisers and incubator workspace support testing and developing business ideas.</t>
        </is>
      </c>
      <c r="J81" s="10" t="inlineStr">
        <is>
          <t>Central service explicitly available to current students and eligible graduates; no school restriction stated.</t>
        </is>
      </c>
      <c r="K81" s="10" t="inlineStr">
        <is>
          <t>Official page; intake unverified</t>
        </is>
      </c>
      <c r="L81" s="10" t="inlineStr">
        <is>
          <t>Additional UK sample</t>
        </is>
      </c>
      <c r="M81" s="10" t="inlineStr">
        <is>
          <t>https://www.northumbria.ac.uk/study-at-northumbria/student-graduate-enterprise/</t>
        </is>
      </c>
      <c r="N81" s="10" t="inlineStr">
        <is>
          <t>Direct eligibility</t>
        </is>
      </c>
      <c r="O81" s="10" t="inlineStr">
        <is>
          <t>Undated page</t>
        </is>
      </c>
      <c r="P81" s="81" t="n">
        <v>46303</v>
      </c>
      <c r="Q81" s="77" t="inlineStr">
        <is>
          <t>Not yet reassessed (institution not reviewed)</t>
        </is>
      </c>
    </row>
    <row r="82" ht="116" customHeight="1">
      <c r="A82" s="10" t="inlineStr">
        <is>
          <t>UK</t>
        </is>
      </c>
      <c r="B82" s="11" t="inlineStr">
        <is>
          <t>Portsmouth</t>
        </is>
      </c>
      <c r="C82" s="10" t="inlineStr">
        <is>
          <t>Faculty/school</t>
        </is>
      </c>
      <c r="D82" s="10" t="inlineStr">
        <is>
          <t>Live/research project</t>
        </is>
      </c>
      <c r="E82" s="10" t="inlineStr">
        <is>
          <t>Business Consultancy Projects</t>
        </is>
      </c>
      <c r="F82" s="10" t="inlineStr">
        <is>
          <t>Business and Law / business consultancy</t>
        </is>
      </c>
      <c r="G82" s="10" t="inlineStr">
        <is>
          <t>Mixed/varies</t>
        </is>
      </c>
      <c r="H82" s="10" t="inlineStr">
        <is>
          <t>Final-year business undergraduates; separate MBA route</t>
        </is>
      </c>
      <c r="I82" s="10" t="inlineStr">
        <is>
          <t>Teams work for approximately ten weeks on an organisational challenge, supported by academic advisers and weekly consultancy seminars, then present recommendations.</t>
        </is>
      </c>
      <c r="J82" s="10" t="inlineStr">
        <is>
          <t>Business-specific student teams; MBA route is separately programme-specific.</t>
        </is>
      </c>
      <c r="K82" s="10" t="inlineStr">
        <is>
          <t>Official page; intake unverified</t>
        </is>
      </c>
      <c r="L82" s="10" t="inlineStr">
        <is>
          <t>Additional UK sample</t>
        </is>
      </c>
      <c r="M82" s="10" t="inlineStr">
        <is>
          <t>https://www.port.ac.uk/business-consultancy-projects-bcp</t>
        </is>
      </c>
      <c r="N82" s="10" t="inlineStr">
        <is>
          <t>Direct eligibility</t>
        </is>
      </c>
      <c r="O82" s="10" t="inlineStr">
        <is>
          <t>Undated page</t>
        </is>
      </c>
      <c r="P82" s="81" t="n">
        <v>46303</v>
      </c>
      <c r="Q82" s="77" t="inlineStr">
        <is>
          <t>Not yet reassessed (institution not reviewed)</t>
        </is>
      </c>
    </row>
    <row r="83" ht="116" customHeight="1">
      <c r="A83" s="10" t="inlineStr">
        <is>
          <t>UK</t>
        </is>
      </c>
      <c r="B83" s="11" t="inlineStr">
        <is>
          <t>Portsmouth</t>
        </is>
      </c>
      <c r="C83" s="10" t="inlineStr">
        <is>
          <t>University-wide</t>
        </is>
      </c>
      <c r="D83" s="10" t="inlineStr">
        <is>
          <t>Enterprise programme</t>
        </is>
      </c>
      <c r="E83" s="10" t="inlineStr">
        <is>
          <t>Student Startup / Entrepreneurial Collective</t>
        </is>
      </c>
      <c r="F83" s="10" t="inlineStr">
        <is>
          <t>Careers and Employability</t>
        </is>
      </c>
      <c r="G83" s="10" t="inlineStr">
        <is>
          <t>Co-curricular</t>
        </is>
      </c>
      <c r="H83" s="10" t="inlineStr">
        <is>
          <t>All Portsmouth students and graduates</t>
        </is>
      </c>
      <c r="I83" s="10" t="inlineStr">
        <is>
          <t>Enterprise programmes, mentoring, founder community and support for testing business ideas, freelancing and startups.</t>
        </is>
      </c>
      <c r="J83" s="10" t="inlineStr">
        <is>
          <t>Official student page explicitly describes a community for all students and graduates.</t>
        </is>
      </c>
      <c r="K83" s="10" t="inlineStr">
        <is>
          <t>Official page; intake unverified</t>
        </is>
      </c>
      <c r="L83" s="10" t="inlineStr">
        <is>
          <t>Additional UK sample</t>
        </is>
      </c>
      <c r="M83" s="10" t="inlineStr">
        <is>
          <t>https://myport.port.ac.uk/my-course/careers-support/student-startup-support</t>
        </is>
      </c>
      <c r="N83" s="10" t="inlineStr">
        <is>
          <t>Direct eligibility</t>
        </is>
      </c>
      <c r="O83" s="10" t="inlineStr">
        <is>
          <t>Undated page</t>
        </is>
      </c>
      <c r="P83" s="81" t="n">
        <v>46303</v>
      </c>
      <c r="Q83" s="77" t="inlineStr">
        <is>
          <t>Not yet reassessed (institution not reviewed)</t>
        </is>
      </c>
    </row>
    <row r="84" ht="116" customHeight="1">
      <c r="A84" s="10" t="inlineStr">
        <is>
          <t>UK</t>
        </is>
      </c>
      <c r="B84" s="11" t="inlineStr">
        <is>
          <t>Coventry</t>
        </is>
      </c>
      <c r="C84" s="10" t="inlineStr">
        <is>
          <t>University-wide</t>
        </is>
      </c>
      <c r="D84" s="10" t="inlineStr">
        <is>
          <t>Placement/WIL</t>
        </is>
      </c>
      <c r="E84" s="10" t="inlineStr">
        <is>
          <t>Global Opportunities: work and short international experiences</t>
        </is>
      </c>
      <c r="F84" s="10" t="inlineStr">
        <is>
          <t>Central Global Opportunities</t>
        </is>
      </c>
      <c r="G84" s="10" t="inlineStr">
        <is>
          <t>Co-curricular</t>
        </is>
      </c>
      <c r="H84" s="10" t="inlineStr">
        <is>
          <t>All registered students and recent graduates; full/part time, any year</t>
        </is>
      </c>
      <c r="I84" s="10" t="inlineStr">
        <is>
          <t>Work, study and short overseas experiences provide applied international learning. Programme selection and funding eligibility vary.</t>
        </is>
      </c>
      <c r="J84" s="10" t="inlineStr">
        <is>
          <t>Official page explicitly states all registered students, with no year restriction.</t>
        </is>
      </c>
      <c r="K84" s="10" t="inlineStr">
        <is>
          <t>Official page; intake unverified</t>
        </is>
      </c>
      <c r="L84" s="10" t="inlineStr">
        <is>
          <t>Additional UK sample</t>
        </is>
      </c>
      <c r="M84" s="10" t="inlineStr">
        <is>
          <t>https://www.coventry.ac.uk/study-at-coventry/student-support/enhance-your-employability/global-opportunities/go-abroad/</t>
        </is>
      </c>
      <c r="N84" s="10" t="inlineStr">
        <is>
          <t>Direct eligibility</t>
        </is>
      </c>
      <c r="O84" s="10" t="inlineStr">
        <is>
          <t>Undated page</t>
        </is>
      </c>
      <c r="P84" s="81" t="n">
        <v>46303</v>
      </c>
      <c r="Q84" s="77" t="inlineStr">
        <is>
          <t>Not yet reassessed (institution not reviewed)</t>
        </is>
      </c>
    </row>
    <row r="85" ht="116" customHeight="1">
      <c r="A85" s="10" t="inlineStr">
        <is>
          <t>UK</t>
        </is>
      </c>
      <c r="B85" s="11" t="inlineStr">
        <is>
          <t>Coventry</t>
        </is>
      </c>
      <c r="C85" s="10" t="inlineStr">
        <is>
          <t>Not confirmed</t>
        </is>
      </c>
      <c r="D85" s="10" t="inlineStr">
        <is>
          <t>Co-curricular award</t>
        </is>
      </c>
      <c r="E85" s="10" t="inlineStr">
        <is>
          <t>Global Leaders Programme</t>
        </is>
      </c>
      <c r="F85" s="10" t="inlineStr">
        <is>
          <t>Global leadership / student development</t>
        </is>
      </c>
      <c r="G85" s="10" t="inlineStr">
        <is>
          <t>Co-curricular</t>
        </is>
      </c>
      <c r="H85" s="10" t="inlineStr">
        <is>
          <t>Coventry students; detailed current eligibility unverified</t>
        </is>
      </c>
      <c r="I85" s="10" t="inlineStr">
        <is>
          <t>Extracurricular global-leadership and international-experience programme evidenced by an official student account. Historical example retained separately from current Global Opportunities.</t>
        </is>
      </c>
      <c r="J85" s="10" t="inlineStr">
        <is>
          <t>Central programme reach inferred; no current institution-wide eligibility statement located. Academic reach remains Not confirmed until eligibility or institution-wide framework reach is established.</t>
        </is>
      </c>
      <c r="K85" s="10" t="inlineStr">
        <is>
          <t>2021 evidence; current intake unverified</t>
        </is>
      </c>
      <c r="L85" s="10" t="inlineStr">
        <is>
          <t>Additional UK sample</t>
        </is>
      </c>
      <c r="M85" s="10" t="inlineStr">
        <is>
          <t>https://www.coventry.ac.uk/blog/five-ways-i-got-more-than-a-degree-from-coventry-university/</t>
        </is>
      </c>
      <c r="N85" s="10" t="inlineStr">
        <is>
          <t>Unconfirmed reach</t>
        </is>
      </c>
      <c r="O85" s="10" t="inlineStr">
        <is>
          <t>Dated earlier / mixed</t>
        </is>
      </c>
      <c r="P85" s="81" t="n">
        <v>46303</v>
      </c>
      <c r="Q85" s="77" t="inlineStr">
        <is>
          <t>Not yet reassessed (institution not reviewed)</t>
        </is>
      </c>
    </row>
    <row r="86" ht="116" customHeight="1">
      <c r="A86" s="10" t="inlineStr">
        <is>
          <t>UK</t>
        </is>
      </c>
      <c r="B86" s="11" t="inlineStr">
        <is>
          <t>Nottingham Trent</t>
        </is>
      </c>
      <c r="C86" s="10" t="inlineStr">
        <is>
          <t>University-wide</t>
        </is>
      </c>
      <c r="D86" s="10" t="inlineStr">
        <is>
          <t>Live/research project</t>
        </is>
      </c>
      <c r="E86" s="10" t="inlineStr">
        <is>
          <t>Grads4Nottm</t>
        </is>
      </c>
      <c r="F86" s="10" t="inlineStr">
        <is>
          <t>Employability / employer engagement</t>
        </is>
      </c>
      <c r="G86" s="10" t="inlineStr">
        <is>
          <t>Co-curricular</t>
        </is>
      </c>
      <c r="H86" s="10" t="inlineStr">
        <is>
          <t>NTU students and graduates across disciplines</t>
        </is>
      </c>
      <c r="I86" s="10" t="inlineStr">
        <is>
          <t>Two-week work-experience challenge matches multidisciplinary student talent to local employer briefs. 2024 evidence marks ten years of delivery.</t>
        </is>
      </c>
      <c r="J86" s="10" t="inlineStr">
        <is>
          <t>Psychology and Graphic Design examples establish cross-school participation; central NTU-only programme.</t>
        </is>
      </c>
      <c r="K86" s="10" t="inlineStr">
        <is>
          <t>2024 evidence; current intake unverified</t>
        </is>
      </c>
      <c r="L86" s="10" t="inlineStr">
        <is>
          <t>Additional UK sample</t>
        </is>
      </c>
      <c r="M86" s="10" t="inlineStr">
        <is>
          <t>https://www.ntu.ac.uk/about-us/news/news-articles/2024/01/grads4nottm-is-back%2C-celebrating-10-years-of-student-and-graduate-talent-supporting-businesses-in-the-city</t>
        </is>
      </c>
      <c r="N86" s="10" t="inlineStr">
        <is>
          <t>Direct eligibility</t>
        </is>
      </c>
      <c r="O86" s="10" t="inlineStr">
        <is>
          <t>Dated earlier / mixed</t>
        </is>
      </c>
      <c r="P86" s="81" t="n">
        <v>46303</v>
      </c>
      <c r="Q86" s="77" t="inlineStr">
        <is>
          <t>Not yet reassessed (institution not reviewed)</t>
        </is>
      </c>
    </row>
    <row r="87" ht="116" customHeight="1">
      <c r="A87" s="10" t="inlineStr">
        <is>
          <t>UK</t>
        </is>
      </c>
      <c r="B87" s="11" t="inlineStr">
        <is>
          <t>Manchester Metropolitan</t>
        </is>
      </c>
      <c r="C87" s="10" t="inlineStr">
        <is>
          <t>University-wide</t>
        </is>
      </c>
      <c r="D87" s="10" t="inlineStr">
        <is>
          <t>Co-curricular award</t>
        </is>
      </c>
      <c r="E87" s="10" t="inlineStr">
        <is>
          <t>Rise</t>
        </is>
      </c>
      <c r="F87" s="10" t="inlineStr">
        <is>
          <t>Central co-curricular programme</t>
        </is>
      </c>
      <c r="G87" s="10" t="inlineStr">
        <is>
          <t>Mixed/varies</t>
        </is>
      </c>
      <c r="H87" s="10" t="inlineStr">
        <is>
          <t>Every Manchester Met student</t>
        </is>
      </c>
      <c r="I87" s="10" t="inlineStr">
        <is>
          <t>Students build a portfolio through bespoke experiences beyond the degree. Recognition uses Rise points; optional assessment can yield additional co-curricular practice credit.</t>
        </is>
      </c>
      <c r="J87" s="10" t="inlineStr">
        <is>
          <t>Official university page states opportunity for every student.</t>
        </is>
      </c>
      <c r="K87" s="10" t="inlineStr">
        <is>
          <t>Official page; intake unverified</t>
        </is>
      </c>
      <c r="L87" s="10" t="inlineStr">
        <is>
          <t>Additional UK sample</t>
        </is>
      </c>
      <c r="M87" s="10" t="inlineStr">
        <is>
          <t>https://rise.mmu.ac.uk/
https://www.mmu.ac.uk/study/why-manchester-met/study-experience</t>
        </is>
      </c>
      <c r="N87" s="10" t="inlineStr">
        <is>
          <t>Direct eligibility</t>
        </is>
      </c>
      <c r="O87" s="10" t="inlineStr">
        <is>
          <t>Undated page</t>
        </is>
      </c>
      <c r="P87" s="81" t="n">
        <v>46303</v>
      </c>
      <c r="Q87" s="77" t="inlineStr">
        <is>
          <t>Not yet reassessed (institution not reviewed)</t>
        </is>
      </c>
    </row>
    <row r="88" ht="116" customHeight="1">
      <c r="A88" s="10" t="inlineStr">
        <is>
          <t>UK</t>
        </is>
      </c>
      <c r="B88" s="11" t="inlineStr">
        <is>
          <t>Plymouth</t>
        </is>
      </c>
      <c r="C88" s="10" t="inlineStr">
        <is>
          <t>Faculty/school</t>
        </is>
      </c>
      <c r="D88" s="10" t="inlineStr">
        <is>
          <t>Live/research project</t>
        </is>
      </c>
      <c r="E88" s="10" t="inlineStr">
        <is>
          <t>Inspiring Futures</t>
        </is>
      </c>
      <c r="F88" s="10" t="inlineStr">
        <is>
          <t>Faculty of Arts, Humanities and Business</t>
        </is>
      </c>
      <c r="G88" s="10" t="inlineStr">
        <is>
          <t>Mixed/varies</t>
        </is>
      </c>
      <c r="H88" s="10" t="inlineStr">
        <is>
          <t>Faculty students on participating programmes</t>
        </is>
      </c>
      <c r="I88" s="10" t="inlineStr">
        <is>
          <t>Curricular knowledge exchange and consultancy with businesses and charities apply subject knowledge to real organisational challenges.</t>
        </is>
      </c>
      <c r="J88" s="10" t="inlineStr">
        <is>
          <t>Official scheme explicitly names one faculty; not evidence of a compulsory university-wide programme.</t>
        </is>
      </c>
      <c r="K88" s="10" t="inlineStr">
        <is>
          <t>Official page; intake unverified</t>
        </is>
      </c>
      <c r="L88" s="10" t="inlineStr">
        <is>
          <t>Additional UK sample</t>
        </is>
      </c>
      <c r="M88" s="10" t="inlineStr">
        <is>
          <t>https://www.plymouth.ac.uk/schools/plymouth-business-school/inspiring-futures</t>
        </is>
      </c>
      <c r="N88" s="10" t="inlineStr">
        <is>
          <t>Direct eligibility</t>
        </is>
      </c>
      <c r="O88" s="10" t="inlineStr">
        <is>
          <t>Undated page</t>
        </is>
      </c>
      <c r="P88" s="81" t="n">
        <v>46303</v>
      </c>
      <c r="Q88" s="77" t="inlineStr">
        <is>
          <t>Not yet reassessed (institution not reviewed)</t>
        </is>
      </c>
    </row>
    <row r="89" ht="116" customHeight="1">
      <c r="A89" s="10" t="inlineStr">
        <is>
          <t>UK</t>
        </is>
      </c>
      <c r="B89" s="11" t="inlineStr">
        <is>
          <t>Plymouth</t>
        </is>
      </c>
      <c r="C89" s="10" t="inlineStr">
        <is>
          <t>Not confirmed</t>
        </is>
      </c>
      <c r="D89" s="10" t="inlineStr">
        <is>
          <t>Enterprise programme</t>
        </is>
      </c>
      <c r="E89" s="10" t="inlineStr">
        <is>
          <t>The Cube: student enterprise support</t>
        </is>
      </c>
      <c r="F89" s="10" t="inlineStr">
        <is>
          <t>Student Enterprise / Research and Innovation</t>
        </is>
      </c>
      <c r="G89" s="10" t="inlineStr">
        <is>
          <t>Co-curricular</t>
        </is>
      </c>
      <c r="H89" s="10" t="inlineStr">
        <is>
          <t>Students and graduates; detailed programme eligibility varies</t>
        </is>
      </c>
      <c r="I89" s="10" t="inlineStr">
        <is>
          <t>Advice, funding and founder support help develop ideas, business models and ventures. Staff service Cube² is separate.</t>
        </is>
      </c>
      <c r="J89" s="10" t="inlineStr">
        <is>
          <t>Central student-enterprise service; university reach inferred, individual programme admissions not verified. Academic reach remains Not confirmed until eligibility or institution-wide framework reach is established.</t>
        </is>
      </c>
      <c r="K89" s="10" t="inlineStr">
        <is>
          <t>Official page; intake unverified</t>
        </is>
      </c>
      <c r="L89" s="10" t="inlineStr">
        <is>
          <t>Additional UK sample</t>
        </is>
      </c>
      <c r="M89" s="10" t="inlineStr">
        <is>
          <t>https://www.plymouth.ac.uk/about-us/university-structure/service-areas/research-and-innovation/the-cube</t>
        </is>
      </c>
      <c r="N89" s="10" t="inlineStr">
        <is>
          <t>Unconfirmed reach</t>
        </is>
      </c>
      <c r="O89" s="10" t="inlineStr">
        <is>
          <t>Undated page</t>
        </is>
      </c>
      <c r="P89" s="81" t="n">
        <v>46303</v>
      </c>
      <c r="Q89" s="77" t="inlineStr">
        <is>
          <t>Not yet reassessed (institution not reviewed)</t>
        </is>
      </c>
    </row>
    <row r="90" ht="116" customHeight="1">
      <c r="A90" s="10" t="inlineStr">
        <is>
          <t>US</t>
        </is>
      </c>
      <c r="B90" s="11" t="inlineStr">
        <is>
          <t>Massachusetts Institute of Technology</t>
        </is>
      </c>
      <c r="C90" s="10" t="inlineStr">
        <is>
          <t>University-wide</t>
        </is>
      </c>
      <c r="D90" s="10" t="inlineStr">
        <is>
          <t>Live/research project</t>
        </is>
      </c>
      <c r="E90" s="10" t="inlineStr">
        <is>
          <t>Undergraduate Research Opportunities Program (UROP)</t>
        </is>
      </c>
      <c r="F90" s="10" t="inlineStr">
        <is>
          <t>Division of Graduate and Undergraduate Education</t>
        </is>
      </c>
      <c r="G90" s="10" t="inlineStr">
        <is>
          <t>Mixed/varies</t>
        </is>
      </c>
      <c r="H90" s="10" t="inlineStr">
        <is>
          <t>MIT undergraduates; project and funding selection applies</t>
        </is>
      </c>
      <c r="I90" s="10" t="inlineStr">
        <is>
          <t>Faculty-supervised original research across the Institute; paid, academic-credit and volunteer routes.</t>
        </is>
      </c>
      <c r="J90" s="10" t="inlineStr">
        <is>
          <t>Institute-wide central research programme; department/project prerequisites apply.</t>
        </is>
      </c>
      <c r="K90" s="10" t="inlineStr">
        <is>
          <t>2026/27 deadlines confirmed</t>
        </is>
      </c>
      <c r="L90" s="10" t="inlineStr">
        <is>
          <t>US sample</t>
        </is>
      </c>
      <c r="M90" s="10" t="inlineStr">
        <is>
          <t>https://urop.mit.edu/
https://urop.mit.edu/students/</t>
        </is>
      </c>
      <c r="N90" s="10" t="inlineStr">
        <is>
          <t>Direct eligibility</t>
        </is>
      </c>
      <c r="O90" s="10" t="inlineStr">
        <is>
          <t>Dated 2026/27</t>
        </is>
      </c>
      <c r="P90" s="81" t="n">
        <v>46303</v>
      </c>
      <c r="Q90" s="77" t="inlineStr">
        <is>
          <t>Not yet reassessed (institution not reviewed)</t>
        </is>
      </c>
    </row>
    <row r="91" ht="116" customHeight="1">
      <c r="A91" s="10" t="inlineStr">
        <is>
          <t>US</t>
        </is>
      </c>
      <c r="B91" s="11" t="inlineStr">
        <is>
          <t>Harvard</t>
        </is>
      </c>
      <c r="C91" s="10" t="inlineStr">
        <is>
          <t>University-wide</t>
        </is>
      </c>
      <c r="D91" s="10" t="inlineStr">
        <is>
          <t>Live/research project</t>
        </is>
      </c>
      <c r="E91" s="10" t="inlineStr">
        <is>
          <t>Mindich Program in Engaged Scholarship</t>
        </is>
      </c>
      <c r="F91" s="10" t="inlineStr">
        <is>
          <t>Harvard College / Faculty of Arts and Sciences</t>
        </is>
      </c>
      <c r="G91" s="10" t="inlineStr">
        <is>
          <t>Elective credit</t>
        </is>
      </c>
      <c r="H91" s="10" t="inlineStr">
        <is>
          <t>Harvard College undergraduates, across academic divisions</t>
        </is>
      </c>
      <c r="I91" s="10" t="inlineStr">
        <is>
          <t>Community-engaged academic courses connect disciplinary study to partner priorities. Around 60 courses annually across all College academic divisions.</t>
        </is>
      </c>
      <c r="J91" s="10" t="inlineStr">
        <is>
          <t>University-wide undergraduate reach across academic divisions; not all professional/graduate schools and not compulsory.</t>
        </is>
      </c>
      <c r="K91" s="10" t="inlineStr">
        <is>
          <t>2026/27 advisory recruitment confirmed</t>
        </is>
      </c>
      <c r="L91" s="10" t="inlineStr">
        <is>
          <t>US sample</t>
        </is>
      </c>
      <c r="M91" s="10" t="inlineStr">
        <is>
          <t>https://engagedscholarship.fas.harvard.edu/
https://engagedscholarship.fas.harvard.edu/about/</t>
        </is>
      </c>
      <c r="N91" s="10" t="inlineStr">
        <is>
          <t>Direct eligibility</t>
        </is>
      </c>
      <c r="O91" s="10" t="inlineStr">
        <is>
          <t>Dated 2026/27</t>
        </is>
      </c>
      <c r="P91" s="81" t="n">
        <v>46303</v>
      </c>
      <c r="Q91" s="77" t="inlineStr">
        <is>
          <t>Not yet reassessed (institution not reviewed)</t>
        </is>
      </c>
    </row>
    <row r="92" ht="116" customHeight="1">
      <c r="A92" s="10" t="inlineStr">
        <is>
          <t>US</t>
        </is>
      </c>
      <c r="B92" s="11" t="inlineStr">
        <is>
          <t>Stanford</t>
        </is>
      </c>
      <c r="C92" s="10" t="inlineStr">
        <is>
          <t>University-wide</t>
        </is>
      </c>
      <c r="D92" s="10" t="inlineStr">
        <is>
          <t>Live/research project</t>
        </is>
      </c>
      <c r="E92" s="10" t="inlineStr">
        <is>
          <t>Design for Extreme Affordability</t>
        </is>
      </c>
      <c r="F92" s="10" t="inlineStr">
        <is>
          <t>d.school; Engineering and Graduate School of Business</t>
        </is>
      </c>
      <c r="G92" s="10" t="inlineStr">
        <is>
          <t>Elective credit</t>
        </is>
      </c>
      <c r="H92" s="10" t="inlineStr">
        <is>
          <t>Graduate students across all Stanford schools; application required</t>
        </is>
      </c>
      <c r="I92" s="10" t="inlineStr">
        <is>
          <t>Two-quarter interdisciplinary course co-designs products/services with low-resource communities and social-impact partners.</t>
        </is>
      </c>
      <c r="J92" s="10" t="inlineStr">
        <is>
          <t>Explicit all-school graduate eligibility; hosts do not restrict academic reach.</t>
        </is>
      </c>
      <c r="K92" s="10" t="inlineStr">
        <is>
          <t>2026 application cycle confirmed</t>
        </is>
      </c>
      <c r="L92" s="10" t="inlineStr">
        <is>
          <t>US sample</t>
        </is>
      </c>
      <c r="M92" s="10" t="inlineStr">
        <is>
          <t>https://extreme.stanford.edu/event/extreme-2026-application-cycle-open/
https://dschool.stanford.edu/study/elective-courses/design-for-extreme-affordability-2</t>
        </is>
      </c>
      <c r="N92" s="10" t="inlineStr">
        <is>
          <t>Direct eligibility</t>
        </is>
      </c>
      <c r="O92" s="10" t="inlineStr">
        <is>
          <t>Dated 2026/27</t>
        </is>
      </c>
      <c r="P92" s="81" t="n">
        <v>46303</v>
      </c>
      <c r="Q92" s="77" t="inlineStr">
        <is>
          <t>Not yet reassessed (institution not reviewed)</t>
        </is>
      </c>
    </row>
    <row r="93" ht="116" customHeight="1">
      <c r="A93" s="10" t="inlineStr">
        <is>
          <t>US</t>
        </is>
      </c>
      <c r="B93" s="11" t="inlineStr">
        <is>
          <t>California Institute of Technology</t>
        </is>
      </c>
      <c r="C93" s="10" t="inlineStr">
        <is>
          <t>University-wide</t>
        </is>
      </c>
      <c r="D93" s="10" t="inlineStr">
        <is>
          <t>Live/research project</t>
        </is>
      </c>
      <c r="E93" s="10" t="inlineStr">
        <is>
          <t>Summer Undergraduate Research Fellowships (SURF)</t>
        </is>
      </c>
      <c r="F93" s="10" t="inlineStr">
        <is>
          <t>Student–Faculty Programs</t>
        </is>
      </c>
      <c r="G93" s="10" t="inlineStr">
        <is>
          <t>Co-curricular</t>
        </is>
      </c>
      <c r="H93" s="10" t="inlineStr">
        <is>
          <t>Continuing undergraduates; GPA and registration requirements; visiting students also eligible</t>
        </is>
      </c>
      <c r="I93" s="10" t="inlineStr">
        <is>
          <t>Mentored summer research; students develop a research proposal and undertake an original project. Selective funded fellowship, not a compulsory degree element.</t>
        </is>
      </c>
      <c r="J93" s="10" t="inlineStr">
        <is>
          <t>Central undergraduate programme with no faculty restriction in published eligibility.</t>
        </is>
      </c>
      <c r="K93" s="10" t="inlineStr">
        <is>
          <t>Official eligibility page; intake unverified</t>
        </is>
      </c>
      <c r="L93" s="10" t="inlineStr">
        <is>
          <t>US sample</t>
        </is>
      </c>
      <c r="M93" s="10" t="inlineStr">
        <is>
          <t>https://sfp.caltech.edu/undergraduate-research/programs/surf/eligibility_requirements
https://www.admissions.caltech.edu/why-caltech/research</t>
        </is>
      </c>
      <c r="N93" s="10" t="inlineStr">
        <is>
          <t>Direct eligibility</t>
        </is>
      </c>
      <c r="O93" s="10" t="inlineStr">
        <is>
          <t>Undated page</t>
        </is>
      </c>
      <c r="P93" s="81" t="n">
        <v>46303</v>
      </c>
      <c r="Q93" s="77" t="inlineStr">
        <is>
          <t>Not yet reassessed (institution not reviewed)</t>
        </is>
      </c>
    </row>
    <row r="94" ht="116" customHeight="1">
      <c r="A94" s="10" t="inlineStr">
        <is>
          <t>US</t>
        </is>
      </c>
      <c r="B94" s="11" t="inlineStr">
        <is>
          <t>California Berkeley</t>
        </is>
      </c>
      <c r="C94" s="10" t="inlineStr">
        <is>
          <t>University-wide</t>
        </is>
      </c>
      <c r="D94" s="10" t="inlineStr">
        <is>
          <t>Live/research project</t>
        </is>
      </c>
      <c r="E94" s="10" t="inlineStr">
        <is>
          <t>Berkeley Discovery</t>
        </is>
      </c>
      <c r="F94" s="10" t="inlineStr">
        <is>
          <t>Central undergraduate Discovery initiative</t>
        </is>
      </c>
      <c r="G94" s="10" t="inlineStr">
        <is>
          <t>Mixed/varies</t>
        </is>
      </c>
      <c r="H94" s="10" t="inlineStr">
        <is>
          <t>Undergraduates across campus; course/project conditions vary</t>
        </is>
      </c>
      <c r="I94" s="10" t="inlineStr">
        <is>
          <t>Institutional framework supports student-led research, industry projects, entrepreneurship and immersive experiences through hubs, courses and an opportunities platform.</t>
        </is>
      </c>
      <c r="J94" s="10" t="inlineStr">
        <is>
          <t>University priority scales access across campus; framework does not establish compulsory participation.</t>
        </is>
      </c>
      <c r="K94" s="10" t="inlineStr">
        <is>
          <t>September 2026 activity confirmed</t>
        </is>
      </c>
      <c r="L94" s="10" t="inlineStr">
        <is>
          <t>US sample</t>
        </is>
      </c>
      <c r="M94" s="10" t="inlineStr">
        <is>
          <t>https://discovery.berkeley.edu/
https://discovery.berkeley.edu/students/overview</t>
        </is>
      </c>
      <c r="N94" s="10" t="inlineStr">
        <is>
          <t>Institutional framework</t>
        </is>
      </c>
      <c r="O94" s="10" t="inlineStr">
        <is>
          <t>Dated 2026/27</t>
        </is>
      </c>
      <c r="P94" s="81" t="n">
        <v>46303</v>
      </c>
      <c r="Q94" s="77" t="inlineStr">
        <is>
          <t>Not yet reassessed (institution not reviewed)</t>
        </is>
      </c>
    </row>
    <row r="95" ht="116" customHeight="1">
      <c r="A95" s="10" t="inlineStr">
        <is>
          <t>US</t>
        </is>
      </c>
      <c r="B95" s="11" t="inlineStr">
        <is>
          <t>Chicago</t>
        </is>
      </c>
      <c r="C95" s="10" t="inlineStr">
        <is>
          <t>University-wide</t>
        </is>
      </c>
      <c r="D95" s="10" t="inlineStr">
        <is>
          <t>Placement/WIL</t>
        </is>
      </c>
      <c r="E95" s="10" t="inlineStr">
        <is>
          <t>Jeff Metcalf Internship Program / Metcalf Sprints</t>
        </is>
      </c>
      <c r="F95" s="10" t="inlineStr">
        <is>
          <t>Career Advancement</t>
        </is>
      </c>
      <c r="G95" s="10" t="inlineStr">
        <is>
          <t>Co-curricular</t>
        </is>
      </c>
      <c r="H95" s="10" t="inlineStr">
        <is>
          <t>College undergraduates across majors</t>
        </is>
      </c>
      <c r="I95" s="10" t="inlineStr">
        <is>
          <t>Paid substantive internships across industries and countries. Project-based Sprints involve undergraduate teams producing deliverables for employer partners.</t>
        </is>
      </c>
      <c r="J95" s="10" t="inlineStr">
        <is>
          <t>Central undergraduate career scheme across majors; excludes a claim of graduate-wide eligibility.</t>
        </is>
      </c>
      <c r="K95" s="10" t="inlineStr">
        <is>
          <t>2026/27 internship label confirmed</t>
        </is>
      </c>
      <c r="L95" s="10" t="inlineStr">
        <is>
          <t>US sample</t>
        </is>
      </c>
      <c r="M95" s="10" t="inlineStr">
        <is>
          <t>https://careeradvancement.uchicago.edu/student-opportunities/internships/internship-programs/</t>
        </is>
      </c>
      <c r="N95" s="10" t="inlineStr">
        <is>
          <t>Direct eligibility</t>
        </is>
      </c>
      <c r="O95" s="10" t="inlineStr">
        <is>
          <t>Dated 2026/27</t>
        </is>
      </c>
      <c r="P95" s="81" t="n">
        <v>46303</v>
      </c>
      <c r="Q95" s="77" t="inlineStr">
        <is>
          <t>Not yet reassessed (institution not reviewed)</t>
        </is>
      </c>
    </row>
    <row r="96" ht="116" customHeight="1">
      <c r="A96" s="10" t="inlineStr">
        <is>
          <t>US</t>
        </is>
      </c>
      <c r="B96" s="11" t="inlineStr">
        <is>
          <t>Pennsylvania</t>
        </is>
      </c>
      <c r="C96" s="10" t="inlineStr">
        <is>
          <t>University-wide</t>
        </is>
      </c>
      <c r="D96" s="10" t="inlineStr">
        <is>
          <t>Live/research project</t>
        </is>
      </c>
      <c r="E96" s="10" t="inlineStr">
        <is>
          <t>Academically Based Community Service (ABCS)</t>
        </is>
      </c>
      <c r="F96" s="10" t="inlineStr">
        <is>
          <t>Netter Center for Community Partnerships</t>
        </is>
      </c>
      <c r="G96" s="10" t="inlineStr">
        <is>
          <t>Elective credit</t>
        </is>
      </c>
      <c r="H96" s="10" t="inlineStr">
        <is>
          <t>Students in eligible undergraduate and graduate courses</t>
        </is>
      </c>
      <c r="I96" s="10" t="inlineStr">
        <is>
          <t>For-credit research, teaching and problem solving with community partners; more than 80 courses offered annually across the curriculum.</t>
        </is>
      </c>
      <c r="J96" s="10" t="inlineStr">
        <is>
          <t>Central cross-university course network; individual courses have level/prerequisite restrictions.</t>
        </is>
      </c>
      <c r="K96" s="10" t="inlineStr">
        <is>
          <t>Spring 2026 catalogue confirmed</t>
        </is>
      </c>
      <c r="L96" s="10" t="inlineStr">
        <is>
          <t>US sample</t>
        </is>
      </c>
      <c r="M96" s="10" t="inlineStr">
        <is>
          <t>https://admissions.upenn.edu/student-life/exploring-community/community-engagement/netter-center
https://www.nettercenter.upenn.edu/what-we-do/abcs-courses/spring-2026-abcs-courses</t>
        </is>
      </c>
      <c r="N96" s="10" t="inlineStr">
        <is>
          <t>Institutional framework</t>
        </is>
      </c>
      <c r="O96" s="10" t="inlineStr">
        <is>
          <t>Dated 2026/27</t>
        </is>
      </c>
      <c r="P96" s="81" t="n">
        <v>46303</v>
      </c>
      <c r="Q96" s="77" t="inlineStr">
        <is>
          <t>Not yet reassessed (institution not reviewed)</t>
        </is>
      </c>
    </row>
    <row r="97" ht="116" customHeight="1">
      <c r="A97" s="10" t="inlineStr">
        <is>
          <t>US</t>
        </is>
      </c>
      <c r="B97" s="11" t="inlineStr">
        <is>
          <t>Cornell</t>
        </is>
      </c>
      <c r="C97" s="10" t="inlineStr">
        <is>
          <t>University-wide</t>
        </is>
      </c>
      <c r="D97" s="10" t="inlineStr">
        <is>
          <t>Live/research project</t>
        </is>
      </c>
      <c r="E97" s="10" t="inlineStr">
        <is>
          <t>Student Project Teams</t>
        </is>
      </c>
      <c r="F97" s="10" t="inlineStr">
        <is>
          <t>Cornell Engineering</t>
        </is>
      </c>
      <c r="G97" s="10" t="inlineStr">
        <is>
          <t>Elective credit</t>
        </is>
      </c>
      <c r="H97" s="10" t="inlineStr">
        <is>
          <t>Undergraduates across colleges; team selection applies</t>
        </is>
      </c>
      <c r="I97" s="10" t="inlineStr">
        <is>
          <t>Student-run design, technology and social-impact teams earn academic credit. Official page records nine colleges/schools and more than 30 majors represented.</t>
        </is>
      </c>
      <c r="J97" s="10" t="inlineStr">
        <is>
          <t>Explicit cross-college recruitment; Engineering hosts the programme but does not restrict participation to Engineering.</t>
        </is>
      </c>
      <c r="K97" s="10" t="inlineStr">
        <is>
          <t>Official academic framework; intake unverified</t>
        </is>
      </c>
      <c r="L97" s="10" t="inlineStr">
        <is>
          <t>US sample</t>
        </is>
      </c>
      <c r="M97" s="10" t="inlineStr">
        <is>
          <t>https://www.engineering.cornell.edu/students/undergraduate-students/special-programs/project-teams
https://www.engineering.cornell.edu/student-project-teams/student-project-teams-academic-framework/</t>
        </is>
      </c>
      <c r="N97" s="10" t="inlineStr">
        <is>
          <t>Direct eligibility</t>
        </is>
      </c>
      <c r="O97" s="10" t="inlineStr">
        <is>
          <t>Undated page</t>
        </is>
      </c>
      <c r="P97" s="81" t="n">
        <v>46303</v>
      </c>
      <c r="Q97" s="77" t="inlineStr">
        <is>
          <t>Not yet reassessed (institution not reviewed)</t>
        </is>
      </c>
    </row>
    <row r="98" ht="116" customHeight="1">
      <c r="A98" s="10" t="inlineStr">
        <is>
          <t>US</t>
        </is>
      </c>
      <c r="B98" s="11" t="inlineStr">
        <is>
          <t>Yale</t>
        </is>
      </c>
      <c r="C98" s="10" t="inlineStr">
        <is>
          <t>University-wide</t>
        </is>
      </c>
      <c r="D98" s="10" t="inlineStr">
        <is>
          <t>Enterprise programme</t>
        </is>
      </c>
      <c r="E98" s="10" t="inlineStr">
        <is>
          <t>Tsai CITY Accelerator</t>
        </is>
      </c>
      <c r="F98" s="10" t="inlineStr">
        <is>
          <t>Tsai Center for Innovative Thinking</t>
        </is>
      </c>
      <c r="G98" s="10" t="inlineStr">
        <is>
          <t>Co-curricular</t>
        </is>
      </c>
      <c r="H98" s="10" t="inlineStr">
        <is>
          <t>Yale student-led teams; venture-stage selection applies</t>
        </is>
      </c>
      <c r="I98" s="10" t="inlineStr">
        <is>
          <t>Semester-long venture development with workshops, mentors, experts and funding; supports commercial, civic, arts and nonprofit projects.</t>
        </is>
      </c>
      <c r="J98" s="10" t="inlineStr">
        <is>
          <t>Central programme supports students across Yale; not a curricular requirement.</t>
        </is>
      </c>
      <c r="K98" s="10" t="inlineStr">
        <is>
          <t>Official programme page; intake unverified</t>
        </is>
      </c>
      <c r="L98" s="10" t="inlineStr">
        <is>
          <t>US sample</t>
        </is>
      </c>
      <c r="M98" s="10" t="inlineStr">
        <is>
          <t>https://city.yale.edu/programs/vdp_accelerator
https://city.yale.edu/student-projects</t>
        </is>
      </c>
      <c r="N98" s="10" t="inlineStr">
        <is>
          <t>Direct eligibility</t>
        </is>
      </c>
      <c r="O98" s="10" t="inlineStr">
        <is>
          <t>Undated page</t>
        </is>
      </c>
      <c r="P98" s="81" t="n">
        <v>46303</v>
      </c>
      <c r="Q98" s="77" t="inlineStr">
        <is>
          <t>Not yet reassessed (institution not reviewed)</t>
        </is>
      </c>
    </row>
    <row r="99" ht="116" customHeight="1">
      <c r="A99" s="10" t="inlineStr">
        <is>
          <t>US</t>
        </is>
      </c>
      <c r="B99" s="11" t="inlineStr">
        <is>
          <t>Princeton</t>
        </is>
      </c>
      <c r="C99" s="10" t="inlineStr">
        <is>
          <t>University-wide</t>
        </is>
      </c>
      <c r="D99" s="10" t="inlineStr">
        <is>
          <t>Live/research project</t>
        </is>
      </c>
      <c r="E99" s="10" t="inlineStr">
        <is>
          <t>Program for Community-Engaged Scholarship (ProCES)</t>
        </is>
      </c>
      <c r="F99" s="10" t="inlineStr">
        <is>
          <t>Central ProCES programme</t>
        </is>
      </c>
      <c r="G99" s="10" t="inlineStr">
        <is>
          <t>Mixed/varies</t>
        </is>
      </c>
      <c r="H99" s="10" t="inlineStr">
        <is>
          <t>Students in participating courses/research collaborations</t>
        </is>
      </c>
      <c r="I99" s="10" t="inlineStr">
        <is>
          <t>Academic inquiry and research engage community knowledge and priorities, with nonprofit, public-sector and grassroots partners. Formerly Community-Based Learning Initiative.</t>
        </is>
      </c>
      <c r="J99" s="10" t="inlineStr">
        <is>
          <t>Institutional course/research support; individual course eligibility applies.</t>
        </is>
      </c>
      <c r="K99" s="10" t="inlineStr">
        <is>
          <t>Official page; intake unverified</t>
        </is>
      </c>
      <c r="L99" s="10" t="inlineStr">
        <is>
          <t>US sample</t>
        </is>
      </c>
      <c r="M99" s="10" t="inlineStr">
        <is>
          <t>https://proces.princeton.edu/
https://proces.princeton.edu/about</t>
        </is>
      </c>
      <c r="N99" s="10" t="inlineStr">
        <is>
          <t>Institutional framework</t>
        </is>
      </c>
      <c r="O99" s="10" t="inlineStr">
        <is>
          <t>Undated page</t>
        </is>
      </c>
      <c r="P99" s="81" t="n">
        <v>46303</v>
      </c>
      <c r="Q99" s="77" t="inlineStr">
        <is>
          <t>Not yet reassessed (institution not reviewed)</t>
        </is>
      </c>
    </row>
    <row r="100" ht="116" customHeight="1">
      <c r="A100" s="10" t="inlineStr">
        <is>
          <t>US</t>
        </is>
      </c>
      <c r="B100" s="11" t="inlineStr">
        <is>
          <t>Columbia</t>
        </is>
      </c>
      <c r="C100" s="10" t="inlineStr">
        <is>
          <t>Faculty/school</t>
        </is>
      </c>
      <c r="D100" s="10" t="inlineStr">
        <is>
          <t>Live/research project</t>
        </is>
      </c>
      <c r="E100" s="10" t="inlineStr">
        <is>
          <t>The Art of Engineering</t>
        </is>
      </c>
      <c r="F100" s="10" t="inlineStr">
        <is>
          <t>School of Engineering and Applied Science</t>
        </is>
      </c>
      <c r="G100" s="10" t="inlineStr">
        <is>
          <t>Compulsory</t>
        </is>
      </c>
      <c r="H100" s="10" t="inlineStr">
        <is>
          <t>First-year Engineering students</t>
        </is>
      </c>
      <c r="I100" s="10" t="inlineStr">
        <is>
          <t>Engineering core introduces design, technical concepts, ethics and project management through applied work.</t>
        </is>
      </c>
      <c r="J100" s="10" t="inlineStr">
        <is>
          <t>2025/26 bulletin identifies requirement for first-year Engineering, not every Columbia student.</t>
        </is>
      </c>
      <c r="K100" s="10" t="inlineStr">
        <is>
          <t>2025/26 bulletin confirmed</t>
        </is>
      </c>
      <c r="L100" s="10" t="inlineStr">
        <is>
          <t>US sample</t>
        </is>
      </c>
      <c r="M100" s="10" t="inlineStr">
        <is>
          <t>https://bulletin.columbia.edu/columbia-engineering/bulletin-pdf/Bulletin_2025-2026_PDF_with_cover_page_.pdf</t>
        </is>
      </c>
      <c r="N100" s="10" t="inlineStr">
        <is>
          <t>Direct eligibility</t>
        </is>
      </c>
      <c r="O100" s="10" t="inlineStr">
        <is>
          <t>Dated earlier / mixed</t>
        </is>
      </c>
      <c r="P100" s="81" t="n">
        <v>46303</v>
      </c>
      <c r="Q100" s="77" t="inlineStr">
        <is>
          <t>Not yet reassessed (institution not reviewed)</t>
        </is>
      </c>
    </row>
    <row r="101" ht="116" customHeight="1">
      <c r="A101" s="10" t="inlineStr">
        <is>
          <t>US</t>
        </is>
      </c>
      <c r="B101" s="11" t="inlineStr">
        <is>
          <t>Columbia</t>
        </is>
      </c>
      <c r="C101" s="10" t="inlineStr">
        <is>
          <t>Cross-faculty</t>
        </is>
      </c>
      <c r="D101" s="10" t="inlineStr">
        <is>
          <t>Enterprise programme</t>
        </is>
      </c>
      <c r="E101" s="10" t="inlineStr">
        <is>
          <t>Columbia Startup Lab Morningside</t>
        </is>
      </c>
      <c r="F101" s="10" t="inlineStr">
        <is>
          <t>Columbia Entrepreneurship</t>
        </is>
      </c>
      <c r="G101" s="10" t="inlineStr">
        <is>
          <t>Co-curricular</t>
        </is>
      </c>
      <c r="H101" s="10" t="inlineStr">
        <is>
          <t>Enrolled students at participating schools listed on scheme page</t>
        </is>
      </c>
      <c r="I101" s="10" t="inlineStr">
        <is>
          <t>Founder community, networking and venture-building support. Graduate and undergraduate students from numerous named schools can join.</t>
        </is>
      </c>
      <c r="J101" s="10" t="inlineStr">
        <is>
          <t>Published agreements cover many named schools but do not establish every-school eligibility; classified cross-faculty.</t>
        </is>
      </c>
      <c r="K101" s="10" t="inlineStr">
        <is>
          <t>Official page; intake unverified</t>
        </is>
      </c>
      <c r="L101" s="10" t="inlineStr">
        <is>
          <t>US sample</t>
        </is>
      </c>
      <c r="M101" s="10" t="inlineStr">
        <is>
          <t>https://entrepreneurship.columbia.edu/resources/columbia-startup-lab-csl-uptown-2/</t>
        </is>
      </c>
      <c r="N101" s="10" t="inlineStr">
        <is>
          <t>Direct eligibility</t>
        </is>
      </c>
      <c r="O101" s="10" t="inlineStr">
        <is>
          <t>Undated page</t>
        </is>
      </c>
      <c r="P101" s="81" t="n">
        <v>46303</v>
      </c>
      <c r="Q101" s="77" t="inlineStr">
        <is>
          <t>Not yet reassessed (institution not reviewed)</t>
        </is>
      </c>
    </row>
    <row r="102" ht="116" customHeight="1">
      <c r="A102" s="10" t="inlineStr">
        <is>
          <t>US</t>
        </is>
      </c>
      <c r="B102" s="11" t="inlineStr">
        <is>
          <t>Johns Hopkins</t>
        </is>
      </c>
      <c r="C102" s="10" t="inlineStr">
        <is>
          <t>Programme/course</t>
        </is>
      </c>
      <c r="D102" s="10" t="inlineStr">
        <is>
          <t>Live/research project</t>
        </is>
      </c>
      <c r="E102" s="10" t="inlineStr">
        <is>
          <t>BME Undergraduate Design Team</t>
        </is>
      </c>
      <c r="F102" s="10" t="inlineStr">
        <is>
          <t>Biomedical Engineering</t>
        </is>
      </c>
      <c r="G102" s="10" t="inlineStr">
        <is>
          <t>Elective credit</t>
        </is>
      </c>
      <c r="H102" s="10" t="inlineStr">
        <is>
          <t>Biomedical Engineering undergraduates</t>
        </is>
      </c>
      <c r="I102" s="10" t="inlineStr">
        <is>
          <t>Longitudinal teams identify clinical needs, prototype and test devices with clinical and industry mentors; published curriculum describes an 18-month process.</t>
        </is>
      </c>
      <c r="J102" s="10" t="inlineStr">
        <is>
          <t>Specific BME degree cohort; no evidence of open access across all university programmes.</t>
        </is>
      </c>
      <c r="K102" s="10" t="inlineStr">
        <is>
          <t>Official curriculum page; intake unverified</t>
        </is>
      </c>
      <c r="L102" s="10" t="inlineStr">
        <is>
          <t>US sample</t>
        </is>
      </c>
      <c r="M102" s="10" t="inlineStr">
        <is>
          <t>https://www.bme.jhu.edu/academics/bme-design/undergraduate-design-team/</t>
        </is>
      </c>
      <c r="N102" s="10" t="inlineStr">
        <is>
          <t>Direct eligibility</t>
        </is>
      </c>
      <c r="O102" s="10" t="inlineStr">
        <is>
          <t>Undated page</t>
        </is>
      </c>
      <c r="P102" s="81" t="n">
        <v>46303</v>
      </c>
      <c r="Q102" s="77" t="inlineStr">
        <is>
          <t>Not yet reassessed (institution not reviewed)</t>
        </is>
      </c>
    </row>
    <row r="103" ht="116" customHeight="1">
      <c r="A103" s="10" t="inlineStr">
        <is>
          <t>US</t>
        </is>
      </c>
      <c r="B103" s="11" t="inlineStr">
        <is>
          <t>Michigan Ann Arbor</t>
        </is>
      </c>
      <c r="C103" s="10" t="inlineStr">
        <is>
          <t>University-wide</t>
        </is>
      </c>
      <c r="D103" s="10" t="inlineStr">
        <is>
          <t>Live/research project</t>
        </is>
      </c>
      <c r="E103" s="10" t="inlineStr">
        <is>
          <t>Multidisciplinary Design Program (MDP)</t>
        </is>
      </c>
      <c r="F103" s="10" t="inlineStr">
        <is>
          <t>College of Engineering</t>
        </is>
      </c>
      <c r="G103" s="10" t="inlineStr">
        <is>
          <t>Elective credit</t>
        </is>
      </c>
      <c r="H103" s="10" t="inlineStr">
        <is>
          <t>All undergraduate and master’s students across the university</t>
        </is>
      </c>
      <c r="I103" s="10" t="inlineStr">
        <is>
          <t>Credit-bearing faculty research, year-long industry-sponsored projects and student design teams; optional multidisciplinary design minor.</t>
        </is>
      </c>
      <c r="J103" s="10" t="inlineStr">
        <is>
          <t>Explicit university-wide eligibility despite Engineering administrative home.</t>
        </is>
      </c>
      <c r="K103" s="10" t="inlineStr">
        <is>
          <t>Official eligibility page; intake unverified</t>
        </is>
      </c>
      <c r="L103" s="10" t="inlineStr">
        <is>
          <t>US sample</t>
        </is>
      </c>
      <c r="M103" s="10" t="inlineStr">
        <is>
          <t>https://mdp.engin.umich.edu/about-mdp/
https://mdp.engin.umich.edu/start-here/</t>
        </is>
      </c>
      <c r="N103" s="10" t="inlineStr">
        <is>
          <t>Direct eligibility</t>
        </is>
      </c>
      <c r="O103" s="10" t="inlineStr">
        <is>
          <t>Undated page</t>
        </is>
      </c>
      <c r="P103" s="81" t="n">
        <v>46303</v>
      </c>
      <c r="Q103" s="77" t="inlineStr">
        <is>
          <t>Not yet reassessed (institution not reviewed)</t>
        </is>
      </c>
    </row>
    <row r="104" ht="116" customHeight="1">
      <c r="A104" s="10" t="inlineStr">
        <is>
          <t>US</t>
        </is>
      </c>
      <c r="B104" s="11" t="inlineStr">
        <is>
          <t>California Los Angeles</t>
        </is>
      </c>
      <c r="C104" s="10" t="inlineStr">
        <is>
          <t>University-wide</t>
        </is>
      </c>
      <c r="D104" s="10" t="inlineStr">
        <is>
          <t>Live/research project</t>
        </is>
      </c>
      <c r="E104" s="10" t="inlineStr">
        <is>
          <t>Community Engagement and Social Change minor</t>
        </is>
      </c>
      <c r="F104" s="10" t="inlineStr">
        <is>
          <t>Center for Community Engagement</t>
        </is>
      </c>
      <c r="G104" s="10" t="inlineStr">
        <is>
          <t>Elective credit</t>
        </is>
      </c>
      <c r="H104" s="10" t="inlineStr">
        <is>
          <t>Undergraduates in any major; GPA and declaration criteria</t>
        </is>
      </c>
      <c r="I104" s="10" t="inlineStr">
        <is>
          <t>Interdisciplinary study integrates sustained community engagement with reflection on social change; optional minor complements any major.</t>
        </is>
      </c>
      <c r="J104" s="10" t="inlineStr">
        <is>
          <t>Explicit any-major eligibility; compulsory activities only after choosing the minor.</t>
        </is>
      </c>
      <c r="K104" s="10" t="inlineStr">
        <is>
          <t>August 2026 information sessions confirmed</t>
        </is>
      </c>
      <c r="L104" s="10" t="inlineStr">
        <is>
          <t>US sample</t>
        </is>
      </c>
      <c r="M104" s="10" t="inlineStr">
        <is>
          <t>https://communityengagement.ucla.edu/programs/community-engagement-and-social-change-minor/1000/</t>
        </is>
      </c>
      <c r="N104" s="10" t="inlineStr">
        <is>
          <t>Direct eligibility</t>
        </is>
      </c>
      <c r="O104" s="10" t="inlineStr">
        <is>
          <t>Dated 2026/27</t>
        </is>
      </c>
      <c r="P104" s="81" t="n">
        <v>46303</v>
      </c>
      <c r="Q104" s="77" t="inlineStr">
        <is>
          <t>Not yet reassessed (institution not reviewed)</t>
        </is>
      </c>
    </row>
    <row r="105" ht="116" customHeight="1">
      <c r="A105" s="10" t="inlineStr">
        <is>
          <t>US</t>
        </is>
      </c>
      <c r="B105" s="11" t="inlineStr">
        <is>
          <t>Duke</t>
        </is>
      </c>
      <c r="C105" s="10" t="inlineStr">
        <is>
          <t>University-wide</t>
        </is>
      </c>
      <c r="D105" s="10" t="inlineStr">
        <is>
          <t>Live/research project</t>
        </is>
      </c>
      <c r="E105" s="10" t="inlineStr">
        <is>
          <t>Bass Connections</t>
        </is>
      </c>
      <c r="F105" s="10" t="inlineStr">
        <is>
          <t>University-wide interdisciplinary initiative</t>
        </is>
      </c>
      <c r="G105" s="10" t="inlineStr">
        <is>
          <t>Elective credit</t>
        </is>
      </c>
      <c r="H105" s="10" t="inlineStr">
        <is>
          <t>Undergraduate and graduate/professional students; project selection</t>
        </is>
      </c>
      <c r="I105" s="10" t="inlineStr">
        <is>
          <t>Faculty-led teams investigate societal challenges, often over an academic year with external partners. Credit and workload depend on team/course.</t>
        </is>
      </c>
      <c r="J105" s="10" t="inlineStr">
        <is>
          <t>Official programme engages faculty and students across Duke and study levels.</t>
        </is>
      </c>
      <c r="K105" s="10" t="inlineStr">
        <is>
          <t>2027/28 project call and 2025/26 report confirmed</t>
        </is>
      </c>
      <c r="L105" s="10" t="inlineStr">
        <is>
          <t>US sample</t>
        </is>
      </c>
      <c r="M105" s="10" t="inlineStr">
        <is>
          <t>https://bassconnections.duke.edu/</t>
        </is>
      </c>
      <c r="N105" s="10" t="inlineStr">
        <is>
          <t>Direct eligibility</t>
        </is>
      </c>
      <c r="O105" s="10" t="inlineStr">
        <is>
          <t>Dated 2026/27</t>
        </is>
      </c>
      <c r="P105" s="81" t="n">
        <v>46303</v>
      </c>
      <c r="Q105" s="77" t="inlineStr">
        <is>
          <t>Not yet reassessed (institution not reviewed)</t>
        </is>
      </c>
    </row>
    <row r="106" ht="116" customHeight="1">
      <c r="A106" s="10" t="inlineStr">
        <is>
          <t>US</t>
        </is>
      </c>
      <c r="B106" s="11" t="inlineStr">
        <is>
          <t>New York University</t>
        </is>
      </c>
      <c r="C106" s="10" t="inlineStr">
        <is>
          <t>Faculty/school</t>
        </is>
      </c>
      <c r="D106" s="10" t="inlineStr">
        <is>
          <t>Live/research project</t>
        </is>
      </c>
      <c r="E106" s="10" t="inlineStr">
        <is>
          <t>Stern Solutions</t>
        </is>
      </c>
      <c r="F106" s="10" t="inlineStr">
        <is>
          <t>Stern School of Business</t>
        </is>
      </c>
      <c r="G106" s="10" t="inlineStr">
        <is>
          <t>Elective credit</t>
        </is>
      </c>
      <c r="H106" s="10" t="inlineStr">
        <is>
          <t>Stern graduate students; course/programme eligibility varies</t>
        </is>
      </c>
      <c r="I106" s="10" t="inlineStr">
        <is>
          <t>Faculty-advised teams tackle organisational challenges over a semester or year in for-credit projects.</t>
        </is>
      </c>
      <c r="J106" s="10" t="inlineStr">
        <is>
          <t>Official programme describes Stern graduate teams; some individual projects involve other schools, but umbrella eligibility is not all NYU.</t>
        </is>
      </c>
      <c r="K106" s="10" t="inlineStr">
        <is>
          <t>Official programme page; intake unverified</t>
        </is>
      </c>
      <c r="L106" s="10" t="inlineStr">
        <is>
          <t>US sample</t>
        </is>
      </c>
      <c r="M106" s="10" t="inlineStr">
        <is>
          <t>https://www.stern.nyu.edu/business-partnerships/solve-business-challenge</t>
        </is>
      </c>
      <c r="N106" s="10" t="inlineStr">
        <is>
          <t>Direct eligibility</t>
        </is>
      </c>
      <c r="O106" s="10" t="inlineStr">
        <is>
          <t>Undated page</t>
        </is>
      </c>
      <c r="P106" s="81" t="n">
        <v>46303</v>
      </c>
      <c r="Q106" s="77" t="inlineStr">
        <is>
          <t>Not yet reassessed (institution not reviewed)</t>
        </is>
      </c>
    </row>
    <row r="107" ht="116" customHeight="1">
      <c r="A107" s="10" t="inlineStr">
        <is>
          <t>US</t>
        </is>
      </c>
      <c r="B107" s="11" t="inlineStr">
        <is>
          <t>New York University</t>
        </is>
      </c>
      <c r="C107" s="10" t="inlineStr">
        <is>
          <t>University-wide</t>
        </is>
      </c>
      <c r="D107" s="10" t="inlineStr">
        <is>
          <t>Enterprise programme</t>
        </is>
      </c>
      <c r="E107" s="10" t="inlineStr">
        <is>
          <t>Summer Launchpad</t>
        </is>
      </c>
      <c r="F107" s="10" t="inlineStr">
        <is>
          <t>NYU Entrepreneurship</t>
        </is>
      </c>
      <c r="G107" s="10" t="inlineStr">
        <is>
          <t>Co-curricular</t>
        </is>
      </c>
      <c r="H107" s="10" t="inlineStr">
        <is>
          <t>Eligible NYU student and recent-graduate founder teams</t>
        </is>
      </c>
      <c r="I107" s="10" t="inlineStr">
        <is>
          <t>Selective nine-week accelerator refines products, business models and customer acquisition; full-time founder commitment required.</t>
        </is>
      </c>
      <c r="J107" s="10" t="inlineStr">
        <is>
          <t>Central university entrepreneurship pathway complements faculty-specific Stern example.</t>
        </is>
      </c>
      <c r="K107" s="10" t="inlineStr">
        <is>
          <t>2026 cohort confirmed</t>
        </is>
      </c>
      <c r="L107" s="10" t="inlineStr">
        <is>
          <t>US sample</t>
        </is>
      </c>
      <c r="M107" s="10" t="inlineStr">
        <is>
          <t>https://entrepreneur.nyu.edu/blog/2026/06/03/meet-the-2026-nyu-summer-launchpad-cohort/
https://entrepreneur.nyu.edu/for-students/</t>
        </is>
      </c>
      <c r="N107" s="10" t="inlineStr">
        <is>
          <t>Direct eligibility</t>
        </is>
      </c>
      <c r="O107" s="10" t="inlineStr">
        <is>
          <t>Dated 2026/27</t>
        </is>
      </c>
      <c r="P107" s="81" t="n">
        <v>46303</v>
      </c>
      <c r="Q107" s="77" t="inlineStr">
        <is>
          <t>Not yet reassessed (institution not reviewed)</t>
        </is>
      </c>
    </row>
    <row r="108" ht="116" customHeight="1">
      <c r="A108" s="10" t="inlineStr">
        <is>
          <t>US</t>
        </is>
      </c>
      <c r="B108" s="11" t="inlineStr">
        <is>
          <t>Northwestern</t>
        </is>
      </c>
      <c r="C108" s="10" t="inlineStr">
        <is>
          <t>University-wide</t>
        </is>
      </c>
      <c r="D108" s="10" t="inlineStr">
        <is>
          <t>Live/research project</t>
        </is>
      </c>
      <c r="E108" s="10" t="inlineStr">
        <is>
          <t>Design Thinking and Communication (DTC)</t>
        </is>
      </c>
      <c r="F108" s="10" t="inlineStr">
        <is>
          <t>McCormick Engineering / Cook Family Writing Program</t>
        </is>
      </c>
      <c r="G108" s="10" t="inlineStr">
        <is>
          <t>Mixed/varies</t>
        </is>
      </c>
      <c r="H108" s="10" t="inlineStr">
        <is>
          <t>Required for first-year McCormick students; also open to any Northwestern undergraduate</t>
        </is>
      </c>
      <c r="I108" s="10" t="inlineStr">
        <is>
          <t>Two-quarter design-and-communication course tackles problems submitted by community and industry partners.</t>
        </is>
      </c>
      <c r="J108" s="10" t="inlineStr">
        <is>
          <t>Any-undergraduate availability gives university-wide reach; compulsory status is restricted to Engineering.</t>
        </is>
      </c>
      <c r="K108" s="10" t="inlineStr">
        <is>
          <t>2026/27 course catalogue confirmed</t>
        </is>
      </c>
      <c r="L108" s="10" t="inlineStr">
        <is>
          <t>US sample</t>
        </is>
      </c>
      <c r="M108" s="10" t="inlineStr">
        <is>
          <t>https://writingprogram.northwestern.edu/courses/2026-2027/course-descriptions/</t>
        </is>
      </c>
      <c r="N108" s="10" t="inlineStr">
        <is>
          <t>Direct eligibility</t>
        </is>
      </c>
      <c r="O108" s="10" t="inlineStr">
        <is>
          <t>Dated 2026/27</t>
        </is>
      </c>
      <c r="P108" s="81" t="n">
        <v>46303</v>
      </c>
      <c r="Q108" s="77" t="inlineStr">
        <is>
          <t>Not yet reassessed (institution not reviewed)</t>
        </is>
      </c>
    </row>
    <row r="109" ht="116" customHeight="1">
      <c r="A109" s="10" t="inlineStr">
        <is>
          <t>US</t>
        </is>
      </c>
      <c r="B109" s="11" t="inlineStr">
        <is>
          <t>Carnegie Mellon</t>
        </is>
      </c>
      <c r="C109" s="10" t="inlineStr">
        <is>
          <t>University-wide</t>
        </is>
      </c>
      <c r="D109" s="10" t="inlineStr">
        <is>
          <t>Interdisciplinary curriculum</t>
        </is>
      </c>
      <c r="E109" s="10" t="inlineStr">
        <is>
          <t>Integrative Design, Arts, and Technology (IDeATe)</t>
        </is>
      </c>
      <c r="F109" s="10" t="inlineStr">
        <is>
          <t>Intercollege IDeATe network</t>
        </is>
      </c>
      <c r="G109" s="10" t="inlineStr">
        <is>
          <t>Elective credit</t>
        </is>
      </c>
      <c r="H109" s="10" t="inlineStr">
        <is>
          <t>Undergraduates from any major</t>
        </is>
      </c>
      <c r="I109" s="10" t="inlineStr">
        <is>
          <t>Project-based arts/technology courses and minors use collaborative labs and making, in areas from game design to physical computing and design for learning.</t>
        </is>
      </c>
      <c r="J109" s="10" t="inlineStr">
        <is>
          <t>Explicit all-major eligibility.</t>
        </is>
      </c>
      <c r="K109" s="10" t="inlineStr">
        <is>
          <t>2026 project activity / official eligibility</t>
        </is>
      </c>
      <c r="L109" s="10" t="inlineStr">
        <is>
          <t>US sample</t>
        </is>
      </c>
      <c r="M109" s="10" t="inlineStr">
        <is>
          <t>https://ideate.cmu.edu/
https://ideate.cmu.edu/about/how-to-enroll-in-ideate.html</t>
        </is>
      </c>
      <c r="N109" s="10" t="inlineStr">
        <is>
          <t>Direct eligibility</t>
        </is>
      </c>
      <c r="O109" s="10" t="inlineStr">
        <is>
          <t>Dated 2026/27</t>
        </is>
      </c>
      <c r="P109" s="81" t="n">
        <v>46303</v>
      </c>
      <c r="Q109" s="77" t="inlineStr">
        <is>
          <t>Not yet reassessed (institution not reviewed)</t>
        </is>
      </c>
    </row>
    <row r="110" ht="116" customHeight="1">
      <c r="A110" s="10" t="inlineStr">
        <is>
          <t>US</t>
        </is>
      </c>
      <c r="B110" s="11" t="inlineStr">
        <is>
          <t>Southern California</t>
        </is>
      </c>
      <c r="C110" s="10" t="inlineStr">
        <is>
          <t>Cross-faculty</t>
        </is>
      </c>
      <c r="D110" s="10" t="inlineStr">
        <is>
          <t>Live/research project</t>
        </is>
      </c>
      <c r="E110" s="10" t="inlineStr">
        <is>
          <t>Joint Educational Project (JEP)</t>
        </is>
      </c>
      <c r="F110" s="10" t="inlineStr">
        <is>
          <t>Dornsife College of Letters, Arts and Sciences</t>
        </is>
      </c>
      <c r="G110" s="10" t="inlineStr">
        <is>
          <t>Mixed/varies</t>
        </is>
      </c>
      <c r="H110" s="10" t="inlineStr">
        <is>
          <t>Students in linked courses and volunteer routes; other schools represented</t>
        </is>
      </c>
      <c r="I110" s="10" t="inlineStr">
        <is>
          <t>Community service-learning placements with local schools, clinics and nonprofits connect course learning to reflection and action.</t>
        </is>
      </c>
      <c r="J110" s="10" t="inlineStr">
        <is>
          <t>Hosted in Dornsife; university accreditation evidence records participation from multiple schools, but unrestricted all-school access not established.</t>
        </is>
      </c>
      <c r="K110" s="10" t="inlineStr">
        <is>
          <t>Fall 2026 registration confirmed</t>
        </is>
      </c>
      <c r="L110" s="10" t="inlineStr">
        <is>
          <t>US sample</t>
        </is>
      </c>
      <c r="M110" s="10" t="inlineStr">
        <is>
          <t>https://dornsife.usc.edu/joint-educational-project/student-sign-up/
https://accreditation.usc.edu/wp-content/uploads/sites/3/2021/01/Appendix-8.13-JEP.pdf</t>
        </is>
      </c>
      <c r="N110" s="10" t="inlineStr">
        <is>
          <t>Direct eligibility</t>
        </is>
      </c>
      <c r="O110" s="10" t="inlineStr">
        <is>
          <t>Dated 2026/27</t>
        </is>
      </c>
      <c r="P110" s="81" t="n">
        <v>46303</v>
      </c>
      <c r="Q110" s="77" t="inlineStr">
        <is>
          <t>Not yet reassessed (institution not reviewed)</t>
        </is>
      </c>
    </row>
    <row r="111" ht="116" customHeight="1">
      <c r="A111" s="10" t="inlineStr">
        <is>
          <t>US</t>
        </is>
      </c>
      <c r="B111" s="11" t="inlineStr">
        <is>
          <t>Texas Austin</t>
        </is>
      </c>
      <c r="C111" s="10" t="inlineStr">
        <is>
          <t>Cross-faculty</t>
        </is>
      </c>
      <c r="D111" s="10" t="inlineStr">
        <is>
          <t>Live/research project</t>
        </is>
      </c>
      <c r="E111" s="10" t="inlineStr">
        <is>
          <t>Projects with Underserved Communities (PUC)</t>
        </is>
      </c>
      <c r="F111" s="10" t="inlineStr">
        <is>
          <t>Texas Global / Cockrell Engineering / Social Work</t>
        </is>
      </c>
      <c r="G111" s="10" t="inlineStr">
        <is>
          <t>Elective credit</t>
        </is>
      </c>
      <c r="H111" s="10" t="inlineStr">
        <is>
          <t>Engineering and Social Work undergraduates</t>
        </is>
      </c>
      <c r="I111" s="10" t="inlineStr">
        <is>
          <t>Year-long project sequence develops and implements community-prioritised solutions internationally; students plan, raise funds and work with partner communities.</t>
        </is>
      </c>
      <c r="J111" s="10" t="inlineStr">
        <is>
          <t>Explicit two-school eligibility; not university-wide.</t>
        </is>
      </c>
      <c r="K111" s="10" t="inlineStr">
        <is>
          <t>2026/27 applications confirmed</t>
        </is>
      </c>
      <c r="L111" s="10" t="inlineStr">
        <is>
          <t>US sample</t>
        </is>
      </c>
      <c r="M111" s="10" t="inlineStr">
        <is>
          <t>https://global.utexas.edu/abroad/programs/service-learning/projects-underserved-communities</t>
        </is>
      </c>
      <c r="N111" s="10" t="inlineStr">
        <is>
          <t>Direct eligibility</t>
        </is>
      </c>
      <c r="O111" s="10" t="inlineStr">
        <is>
          <t>Dated 2026/27</t>
        </is>
      </c>
      <c r="P111" s="81" t="n">
        <v>46303</v>
      </c>
      <c r="Q111" s="77" t="inlineStr">
        <is>
          <t>Not yet reassessed (institution not reviewed)</t>
        </is>
      </c>
    </row>
    <row r="112" ht="116" customHeight="1">
      <c r="A112" s="10" t="inlineStr">
        <is>
          <t>US</t>
        </is>
      </c>
      <c r="B112" s="11" t="inlineStr">
        <is>
          <t>Texas Austin</t>
        </is>
      </c>
      <c r="C112" s="10" t="inlineStr">
        <is>
          <t>University-wide</t>
        </is>
      </c>
      <c r="D112" s="10" t="inlineStr">
        <is>
          <t>Enterprise programme</t>
        </is>
      </c>
      <c r="E112" s="10" t="inlineStr">
        <is>
          <t>Harkey Institute venture-creation programmes</t>
        </is>
      </c>
      <c r="F112" s="10" t="inlineStr">
        <is>
          <t>McCombs School of Business</t>
        </is>
      </c>
      <c r="G112" s="10" t="inlineStr">
        <is>
          <t>Mixed/varies</t>
        </is>
      </c>
      <c r="H112" s="10" t="inlineStr">
        <is>
          <t>All majors and stages; individual programme requirements apply</t>
        </is>
      </c>
      <c r="I112" s="10" t="inlineStr">
        <is>
          <t>Hands-on enterprise experiences, mentoring and connections to the Austin startup ecosystem. Includes an eight-week summer entrepreneurship programme.</t>
        </is>
      </c>
      <c r="J112" s="10" t="inlineStr">
        <is>
          <t>Institute page explicitly welcomes all majors; credit depends on the selected offering.</t>
        </is>
      </c>
      <c r="K112" s="10" t="inlineStr">
        <is>
          <t>Official page; intake unverified</t>
        </is>
      </c>
      <c r="L112" s="10" t="inlineStr">
        <is>
          <t>US sample</t>
        </is>
      </c>
      <c r="M112" s="10" t="inlineStr">
        <is>
          <t>https://www.mccombs.utexas.edu/centers-initiatives/harkey-institute-for-entrepreneurial-studies/</t>
        </is>
      </c>
      <c r="N112" s="10" t="inlineStr">
        <is>
          <t>Direct eligibility</t>
        </is>
      </c>
      <c r="O112" s="10" t="inlineStr">
        <is>
          <t>Undated page</t>
        </is>
      </c>
      <c r="P112" s="81" t="n">
        <v>46303</v>
      </c>
      <c r="Q112" s="77" t="inlineStr">
        <is>
          <t>Not yet reassessed (institution not reviewed)</t>
        </is>
      </c>
    </row>
    <row r="113" ht="116" customHeight="1">
      <c r="A113" s="10" t="inlineStr">
        <is>
          <t>US</t>
        </is>
      </c>
      <c r="B113" s="11" t="inlineStr">
        <is>
          <t>California San Diego</t>
        </is>
      </c>
      <c r="C113" s="10" t="inlineStr">
        <is>
          <t>University-wide</t>
        </is>
      </c>
      <c r="D113" s="10" t="inlineStr">
        <is>
          <t>Live/research project</t>
        </is>
      </c>
      <c r="E113" s="10" t="inlineStr">
        <is>
          <t>Global TIES</t>
        </is>
      </c>
      <c r="F113" s="10" t="inlineStr">
        <is>
          <t>Jacobs School of Engineering / Global Sustainable Development</t>
        </is>
      </c>
      <c r="G113" s="10" t="inlineStr">
        <is>
          <t>Elective credit</t>
        </is>
      </c>
      <c r="H113" s="10" t="inlineStr">
        <is>
          <t>Students across major disciplines; project prerequisites apply</t>
        </is>
      </c>
      <c r="I113" s="10" t="inlineStr">
        <is>
          <t>Interdisciplinary teams co-create engineering and technology solutions with nonprofits and NGOs locally and internationally.</t>
        </is>
      </c>
      <c r="J113" s="10" t="inlineStr">
        <is>
          <t>Official college guidance says students from any major discipline can use Global TIES for breadth requirements.</t>
        </is>
      </c>
      <c r="K113" s="10" t="inlineStr">
        <is>
          <t>Official page; intake unverified</t>
        </is>
      </c>
      <c r="L113" s="10" t="inlineStr">
        <is>
          <t>US sample</t>
        </is>
      </c>
      <c r="M113" s="10" t="inlineStr">
        <is>
          <t>https://cgsd.ucsd.edu/
https://hh-marshall.ucsd.edu/academics/academic-opportunities/index.html</t>
        </is>
      </c>
      <c r="N113" s="10" t="inlineStr">
        <is>
          <t>Direct eligibility</t>
        </is>
      </c>
      <c r="O113" s="10" t="inlineStr">
        <is>
          <t>Undated page</t>
        </is>
      </c>
      <c r="P113" s="81" t="n">
        <v>46303</v>
      </c>
      <c r="Q113" s="77" t="inlineStr">
        <is>
          <t>Not yet reassessed (institution not reviewed)</t>
        </is>
      </c>
    </row>
    <row r="114" ht="116" customHeight="1">
      <c r="A114" s="10" t="inlineStr">
        <is>
          <t>US</t>
        </is>
      </c>
      <c r="B114" s="11" t="inlineStr">
        <is>
          <t>Brown</t>
        </is>
      </c>
      <c r="C114" s="10" t="inlineStr">
        <is>
          <t>University-wide</t>
        </is>
      </c>
      <c r="D114" s="10" t="inlineStr">
        <is>
          <t>Live/research project</t>
        </is>
      </c>
      <c r="E114" s="10" t="inlineStr">
        <is>
          <t>Community-Based Learning and Research (CBLR)</t>
        </is>
      </c>
      <c r="F114" s="10" t="inlineStr">
        <is>
          <t>The College / community-engaged course network</t>
        </is>
      </c>
      <c r="G114" s="10" t="inlineStr">
        <is>
          <t>Elective credit</t>
        </is>
      </c>
      <c r="H114" s="10" t="inlineStr">
        <is>
          <t>Undergraduates on eligible courses</t>
        </is>
      </c>
      <c r="I114" s="10" t="inlineStr">
        <is>
          <t>Courses combine community partnerships, field experience, reflection and outputs shared with partners. Fall 2026 list spans numerous departments.</t>
        </is>
      </c>
      <c r="J114" s="10" t="inlineStr">
        <is>
          <t>Central curricular designation across disciplines; course prerequisites may limit access.</t>
        </is>
      </c>
      <c r="K114" s="10" t="inlineStr">
        <is>
          <t>Fall 2026 catalogue confirmed</t>
        </is>
      </c>
      <c r="L114" s="10" t="inlineStr">
        <is>
          <t>US sample</t>
        </is>
      </c>
      <c r="M114" s="10" t="inlineStr">
        <is>
          <t>https://bulletin.brown.edu/the-college/curricular-programs/
https://college.brown.edu/design-your-education/explore-open-curriculum/course-selection/course-options/cblr</t>
        </is>
      </c>
      <c r="N114" s="10" t="inlineStr">
        <is>
          <t>Direct eligibility</t>
        </is>
      </c>
      <c r="O114" s="10" t="inlineStr">
        <is>
          <t>Dated 2026/27</t>
        </is>
      </c>
      <c r="P114" s="81" t="n">
        <v>46303</v>
      </c>
      <c r="Q114" s="77" t="inlineStr">
        <is>
          <t>Not yet reassessed (institution not reviewed)</t>
        </is>
      </c>
    </row>
    <row r="115" ht="116" customHeight="1">
      <c r="A115" s="10" t="inlineStr">
        <is>
          <t>US</t>
        </is>
      </c>
      <c r="B115" s="11" t="inlineStr">
        <is>
          <t>Illinois Urbana-Champaign</t>
        </is>
      </c>
      <c r="C115" s="10" t="inlineStr">
        <is>
          <t>University-wide</t>
        </is>
      </c>
      <c r="D115" s="10" t="inlineStr">
        <is>
          <t>Enterprise programme</t>
        </is>
      </c>
      <c r="E115" s="10" t="inlineStr">
        <is>
          <t>iVenture Accelerator</t>
        </is>
      </c>
      <c r="F115" s="10" t="inlineStr">
        <is>
          <t>Gies College of Business</t>
        </is>
      </c>
      <c r="G115" s="10" t="inlineStr">
        <is>
          <t>Co-curricular</t>
        </is>
      </c>
      <c r="H115" s="10" t="inlineStr">
        <is>
          <t>Founders from any area of study; majority student ownership and full-time summer commitment</t>
        </is>
      </c>
      <c r="I115" s="10" t="inlineStr">
        <is>
          <t>Ten-week summer venture sprint followed by academic-year support, workshops, advisers and stipends. Teams develop commercial, social, cultural and technology ventures.</t>
        </is>
      </c>
      <c r="J115" s="10" t="inlineStr">
        <is>
          <t>Explicit any-area-of-study eligibility; Business School host does not restrict reach.</t>
        </is>
      </c>
      <c r="K115" s="10" t="inlineStr">
        <is>
          <t>2026 applications and cohort confirmed</t>
        </is>
      </c>
      <c r="L115" s="10" t="inlineStr">
        <is>
          <t>US sample</t>
        </is>
      </c>
      <c r="M115" s="10" t="inlineStr">
        <is>
          <t>https://iventure.illinois.edu/apply
https://giesbusiness.illinois.edu/news/2026/06/24/iventure-cohort-12-building-the-future-with-artificial-intelligence</t>
        </is>
      </c>
      <c r="N115" s="10" t="inlineStr">
        <is>
          <t>Direct eligibility</t>
        </is>
      </c>
      <c r="O115" s="10" t="inlineStr">
        <is>
          <t>Dated 2026/27</t>
        </is>
      </c>
      <c r="P115" s="81" t="n">
        <v>46303</v>
      </c>
      <c r="Q115" s="77" t="inlineStr">
        <is>
          <t>Not yet reassessed (institution not reviewed)</t>
        </is>
      </c>
    </row>
    <row r="116" ht="116" customHeight="1">
      <c r="A116" s="10" t="inlineStr">
        <is>
          <t>US</t>
        </is>
      </c>
      <c r="B116" s="11" t="inlineStr">
        <is>
          <t>Georgia Institute of Technology</t>
        </is>
      </c>
      <c r="C116" s="10" t="inlineStr">
        <is>
          <t>University-wide</t>
        </is>
      </c>
      <c r="D116" s="10" t="inlineStr">
        <is>
          <t>Live/research project</t>
        </is>
      </c>
      <c r="E116" s="10" t="inlineStr">
        <is>
          <t>Vertically Integrated Projects (VIP)</t>
        </is>
      </c>
      <c r="F116" s="10" t="inlineStr">
        <is>
          <t>Central VIP / academic project teams</t>
        </is>
      </c>
      <c r="G116" s="10" t="inlineStr">
        <is>
          <t>Elective credit</t>
        </is>
      </c>
      <c r="H116" s="10" t="inlineStr">
        <is>
          <t>Undergraduate and graduate students across majors; team fit applies</t>
        </is>
      </c>
      <c r="I116" s="10" t="inlineStr">
        <is>
          <t>Multisemester research and development teams combine disciplines and study levels; students contribute to continuing projects.</t>
        </is>
      </c>
      <c r="J116" s="10" t="inlineStr">
        <is>
          <t>Current team recruitment covers all six academic colleges and explicitly welcomes all majors for relevant teams.</t>
        </is>
      </c>
      <c r="K116" s="10" t="inlineStr">
        <is>
          <t>Fall 2026 team recruitment confirmed</t>
        </is>
      </c>
      <c r="L116" s="10" t="inlineStr">
        <is>
          <t>US sample</t>
        </is>
      </c>
      <c r="M116" s="10" t="inlineStr">
        <is>
          <t>https://sites.gatech.edu/ecocar/recruitment-info/
https://vip.gatech.edu/teams-all-in-one/entry/1294/</t>
        </is>
      </c>
      <c r="N116" s="10" t="inlineStr">
        <is>
          <t>Direct eligibility</t>
        </is>
      </c>
      <c r="O116" s="10" t="inlineStr">
        <is>
          <t>Dated 2026/27</t>
        </is>
      </c>
      <c r="P116" s="81" t="n">
        <v>46303</v>
      </c>
      <c r="Q116" s="77" t="inlineStr">
        <is>
          <t>Not yet reassessed (institution not reviewed)</t>
        </is>
      </c>
    </row>
    <row r="117" ht="116" customHeight="1">
      <c r="A117" s="10" t="inlineStr">
        <is>
          <t>US</t>
        </is>
      </c>
      <c r="B117" s="11" t="inlineStr">
        <is>
          <t>Purdue</t>
        </is>
      </c>
      <c r="C117" s="10" t="inlineStr">
        <is>
          <t>University-wide</t>
        </is>
      </c>
      <c r="D117" s="10" t="inlineStr">
        <is>
          <t>Live/research project</t>
        </is>
      </c>
      <c r="E117" s="10" t="inlineStr">
        <is>
          <t>Engineering Projects in Community Service (EPICS)</t>
        </is>
      </c>
      <c r="F117" s="10" t="inlineStr">
        <is>
          <t>Engineering EPICS</t>
        </is>
      </c>
      <c r="G117" s="10" t="inlineStr">
        <is>
          <t>Elective credit</t>
        </is>
      </c>
      <c r="H117" s="10" t="inlineStr">
        <is>
          <t>All undergraduates; senior-design route requires approval</t>
        </is>
      </c>
      <c r="I117" s="10" t="inlineStr">
        <is>
          <t>Long-term teams design, build, deploy and support systems for community partners in education, environment, accessibility and human services.</t>
        </is>
      </c>
      <c r="J117" s="10" t="inlineStr">
        <is>
          <t>Registration explicitly open to all undergraduates.</t>
        </is>
      </c>
      <c r="K117" s="10" t="inlineStr">
        <is>
          <t>Spring 2027 registration confirmed</t>
        </is>
      </c>
      <c r="L117" s="10" t="inlineStr">
        <is>
          <t>US sample</t>
        </is>
      </c>
      <c r="M117" s="10" t="inlineStr">
        <is>
          <t>https://engineering.purdue.edu/EPICS
https://engineering.purdue.edu/EPICS/purdue/future-students/register</t>
        </is>
      </c>
      <c r="N117" s="10" t="inlineStr">
        <is>
          <t>Direct eligibility</t>
        </is>
      </c>
      <c r="O117" s="10" t="inlineStr">
        <is>
          <t>Dated 2026/27</t>
        </is>
      </c>
      <c r="P117" s="81" t="n">
        <v>46303</v>
      </c>
      <c r="Q117" s="77" t="inlineStr">
        <is>
          <t>Not yet reassessed (institution not reviewed)</t>
        </is>
      </c>
    </row>
    <row r="118" ht="116" customHeight="1">
      <c r="A118" s="10" t="inlineStr">
        <is>
          <t>US</t>
        </is>
      </c>
      <c r="B118" s="11" t="inlineStr">
        <is>
          <t>Wisconsin Madison</t>
        </is>
      </c>
      <c r="C118" s="10" t="inlineStr">
        <is>
          <t>Not confirmed</t>
        </is>
      </c>
      <c r="D118" s="10" t="inlineStr">
        <is>
          <t>Live/research project</t>
        </is>
      </c>
      <c r="E118" s="10" t="inlineStr">
        <is>
          <t>UniverCity Year</t>
        </is>
      </c>
      <c r="F118" s="10" t="inlineStr">
        <is>
          <t>UniverCity Alliance</t>
        </is>
      </c>
      <c r="G118" s="10" t="inlineStr">
        <is>
          <t>Mixed/varies</t>
        </is>
      </c>
      <c r="H118" s="10" t="inlineStr">
        <is>
          <t>Students on participating courses; departmental eligibility varies</t>
        </is>
      </c>
      <c r="I118" s="10" t="inlineStr">
        <is>
          <t>Courses and research help local governments address self-defined challenges. Three-year community partnerships bring different disciplines to practical problems.</t>
        </is>
      </c>
      <c r="J118" s="10" t="inlineStr">
        <is>
          <t>Institutional partnership framework spans departments; university-wide remit inferred, not universal student participation. Academic reach remains Not confirmed until eligibility or institution-wide framework reach is established.</t>
        </is>
      </c>
      <c r="K118" s="10" t="inlineStr">
        <is>
          <t>Official programme evidence; current cohort unverified</t>
        </is>
      </c>
      <c r="L118" s="10" t="inlineStr">
        <is>
          <t>US sample</t>
        </is>
      </c>
      <c r="M118" s="10" t="inlineStr">
        <is>
          <t>https://univercity.wisc.edu/2023/02/09/chancellor-jennifer-mnookin-highlights-univercity-year-in-board-of-regents-speech/</t>
        </is>
      </c>
      <c r="N118" s="10" t="inlineStr">
        <is>
          <t>Unconfirmed reach</t>
        </is>
      </c>
      <c r="O118" s="10" t="inlineStr">
        <is>
          <t>Undated page</t>
        </is>
      </c>
      <c r="P118" s="81" t="n">
        <v>46303</v>
      </c>
      <c r="Q118" s="77" t="inlineStr">
        <is>
          <t>Not yet reassessed (institution not reviewed)</t>
        </is>
      </c>
    </row>
    <row r="119" ht="116" customHeight="1">
      <c r="A119" s="10" t="inlineStr">
        <is>
          <t>US</t>
        </is>
      </c>
      <c r="B119" s="11" t="inlineStr">
        <is>
          <t>Washington</t>
        </is>
      </c>
      <c r="C119" s="10" t="inlineStr">
        <is>
          <t>Not confirmed</t>
        </is>
      </c>
      <c r="D119" s="10" t="inlineStr">
        <is>
          <t>Placement/WIL</t>
        </is>
      </c>
      <c r="E119" s="10" t="inlineStr">
        <is>
          <t>Undergraduate Community-Based Internship Program</t>
        </is>
      </c>
      <c r="F119" s="10" t="inlineStr">
        <is>
          <t>Community Engagement and Leadership Education (CELE)</t>
        </is>
      </c>
      <c r="G119" s="10" t="inlineStr">
        <is>
          <t>Co-curricular</t>
        </is>
      </c>
      <c r="H119" s="10" t="inlineStr">
        <is>
          <t>Eligible undergraduates; competitive selection</t>
        </is>
      </c>
      <c r="I119" s="10" t="inlineStr">
        <is>
          <t>Paid internships with nonprofits and public-sector organisations, customised learning plans and structured support for public-service career exploration.</t>
        </is>
      </c>
      <c r="J119" s="10" t="inlineStr">
        <is>
          <t>Central undergraduate community-engagement provision; university reach inferred, specific eligibility should be checked. Academic reach remains Not confirmed until eligibility or institution-wide framework reach is established.</t>
        </is>
      </c>
      <c r="K119" s="10" t="inlineStr">
        <is>
          <t>2025 evidence; current intake unverified</t>
        </is>
      </c>
      <c r="L119" s="10" t="inlineStr">
        <is>
          <t>US sample</t>
        </is>
      </c>
      <c r="M119" s="10" t="inlineStr">
        <is>
          <t>https://www.washington.edu/uaa/2025/02/18/funding-opportunities/
https://www.washington.edu/uaa/scholarships-and-funding/</t>
        </is>
      </c>
      <c r="N119" s="10" t="inlineStr">
        <is>
          <t>Unconfirmed reach</t>
        </is>
      </c>
      <c r="O119" s="10" t="inlineStr">
        <is>
          <t>Dated earlier / mixed</t>
        </is>
      </c>
      <c r="P119" s="81" t="n">
        <v>46303</v>
      </c>
      <c r="Q119" s="77" t="inlineStr">
        <is>
          <t>Not yet reassessed (institution not reviewed)</t>
        </is>
      </c>
    </row>
    <row r="120" ht="116" customHeight="1">
      <c r="A120" s="10" t="inlineStr">
        <is>
          <t>US</t>
        </is>
      </c>
      <c r="B120" s="11" t="inlineStr">
        <is>
          <t>Boston University</t>
        </is>
      </c>
      <c r="C120" s="10" t="inlineStr">
        <is>
          <t>University-wide</t>
        </is>
      </c>
      <c r="D120" s="10" t="inlineStr">
        <is>
          <t>Live/research project</t>
        </is>
      </c>
      <c r="E120" s="10" t="inlineStr">
        <is>
          <t>Cross-College Challenge (XCC)</t>
        </is>
      </c>
      <c r="F120" s="10" t="inlineStr">
        <is>
          <t>BU Hub</t>
        </is>
      </c>
      <c r="G120" s="10" t="inlineStr">
        <is>
          <t>Elective credit</t>
        </is>
      </c>
      <c r="H120" s="10" t="inlineStr">
        <is>
          <t>Juniors and seniors from all undergraduate schools and colleges</t>
        </is>
      </c>
      <c r="I120" s="10" t="inlineStr">
        <is>
          <t>Four-credit, team-based elective co-taught across disciplines addresses a real challenge with a community partner and fulfils Hub requirements.</t>
        </is>
      </c>
      <c r="J120" s="10" t="inlineStr">
        <is>
          <t>Explicit all-undergraduate-school eligibility; year and capacity restrictions apply.</t>
        </is>
      </c>
      <c r="K120" s="10" t="inlineStr">
        <is>
          <t>2026 Hub activity confirmed</t>
        </is>
      </c>
      <c r="L120" s="10" t="inlineStr">
        <is>
          <t>US sample</t>
        </is>
      </c>
      <c r="M120" s="10" t="inlineStr">
        <is>
          <t>https://www.bu.edu/xcc/?p=31
https://www.bu.edu/hub/announcements/</t>
        </is>
      </c>
      <c r="N120" s="10" t="inlineStr">
        <is>
          <t>Direct eligibility</t>
        </is>
      </c>
      <c r="O120" s="10" t="inlineStr">
        <is>
          <t>Dated 2026/27</t>
        </is>
      </c>
      <c r="P120" s="81" t="n">
        <v>46303</v>
      </c>
      <c r="Q120" s="77" t="inlineStr">
        <is>
          <t>Not yet reassessed (institution not reviewed)</t>
        </is>
      </c>
    </row>
    <row r="121" ht="116" customHeight="1">
      <c r="A121" s="10" t="inlineStr">
        <is>
          <t>US</t>
        </is>
      </c>
      <c r="B121" s="11" t="inlineStr">
        <is>
          <t>Pennsylvania State</t>
        </is>
      </c>
      <c r="C121" s="10" t="inlineStr">
        <is>
          <t>Faculty/school</t>
        </is>
      </c>
      <c r="D121" s="10" t="inlineStr">
        <is>
          <t>Live/research project</t>
        </is>
      </c>
      <c r="E121" s="10" t="inlineStr">
        <is>
          <t>Learning Factory Capstone Design</t>
        </is>
      </c>
      <c r="F121" s="10" t="inlineStr">
        <is>
          <t>College of Engineering</t>
        </is>
      </c>
      <c r="G121" s="10" t="inlineStr">
        <is>
          <t>Mixed/varies</t>
        </is>
      </c>
      <c r="H121" s="10" t="inlineStr">
        <is>
          <t>Engineering capstone students; departmental requirements vary</t>
        </is>
      </c>
      <c r="I121" s="10" t="inlineStr">
        <is>
          <t>Client-sponsored design teams undertake problem definition, prototyping, testing and final showcase, using the Learning Factory makerspace.</t>
        </is>
      </c>
      <c r="J121" s="10" t="inlineStr">
        <is>
          <t>Programme page explicitly describes College of Engineering and engineering student teams; compulsory status follows the individual degree.</t>
        </is>
      </c>
      <c r="K121" s="10" t="inlineStr">
        <is>
          <t>Official capstone page; intake unverified</t>
        </is>
      </c>
      <c r="L121" s="10" t="inlineStr">
        <is>
          <t>US sample</t>
        </is>
      </c>
      <c r="M121" s="10" t="inlineStr">
        <is>
          <t>https://lf.psu.edu/students/lf-capstone/
https://lf.psu.edu/students/lf-capstone/capstone4/</t>
        </is>
      </c>
      <c r="N121" s="10" t="inlineStr">
        <is>
          <t>Direct eligibility</t>
        </is>
      </c>
      <c r="O121" s="10" t="inlineStr">
        <is>
          <t>Undated page</t>
        </is>
      </c>
      <c r="P121" s="81" t="n">
        <v>46303</v>
      </c>
      <c r="Q121" s="77" t="inlineStr">
        <is>
          <t>Not yet reassessed (institution not reviewed)</t>
        </is>
      </c>
    </row>
    <row r="122" ht="116" customHeight="1">
      <c r="A122" s="10" t="inlineStr">
        <is>
          <t>US</t>
        </is>
      </c>
      <c r="B122" s="11" t="inlineStr">
        <is>
          <t>Ohio State</t>
        </is>
      </c>
      <c r="C122" s="10" t="inlineStr">
        <is>
          <t>Not confirmed</t>
        </is>
      </c>
      <c r="D122" s="10" t="inlineStr">
        <is>
          <t>Live/research project</t>
        </is>
      </c>
      <c r="E122" s="10" t="inlineStr">
        <is>
          <t>Second-year Transformational Experience Program (STEP)</t>
        </is>
      </c>
      <c r="F122" s="10" t="inlineStr">
        <is>
          <t>Office of Student Life / faculty mentors</t>
        </is>
      </c>
      <c r="G122" s="10" t="inlineStr">
        <is>
          <t>Co-curricular</t>
        </is>
      </c>
      <c r="H122" s="10" t="inlineStr">
        <is>
          <t>Eligible second-year students; campus and funding rules apply</t>
        </is>
      </c>
      <c r="I122" s="10" t="inlineStr">
        <is>
          <t>Mentored cohorts develop a Signature Project in research, internship, service, leadership, creativity or study abroad; eligible experiences can receive up to $2,000.</t>
        </is>
      </c>
      <c r="J122" s="10" t="inlineStr">
        <is>
          <t>Central second-year programme; university reach inferred, not a requirement for all second-years. Academic reach remains Not confirmed until eligibility or institution-wide framework reach is established.</t>
        </is>
      </c>
      <c r="K122" s="10" t="inlineStr">
        <is>
          <t>August 2026 programme activity confirmed</t>
        </is>
      </c>
      <c r="L122" s="10" t="inlineStr">
        <is>
          <t>US sample</t>
        </is>
      </c>
      <c r="M122" s="10" t="inlineStr">
        <is>
          <t>https://step.osu.edu/about
https://step.osu.edu/prospective-students</t>
        </is>
      </c>
      <c r="N122" s="10" t="inlineStr">
        <is>
          <t>Unconfirmed reach</t>
        </is>
      </c>
      <c r="O122" s="10" t="inlineStr">
        <is>
          <t>Dated 2026/27</t>
        </is>
      </c>
      <c r="P122" s="81" t="n">
        <v>46303</v>
      </c>
      <c r="Q122" s="77" t="inlineStr">
        <is>
          <t>Not yet reassessed (institution not reviewed)</t>
        </is>
      </c>
    </row>
    <row r="123" ht="116" customHeight="1">
      <c r="A123" s="10" t="inlineStr">
        <is>
          <t>US</t>
        </is>
      </c>
      <c r="B123" s="11" t="inlineStr">
        <is>
          <t>Johns Hopkins</t>
        </is>
      </c>
      <c r="C123" s="10" t="inlineStr">
        <is>
          <t>University-wide</t>
        </is>
      </c>
      <c r="D123" s="10" t="inlineStr">
        <is>
          <t>Enterprise programme</t>
        </is>
      </c>
      <c r="E123" s="10" t="inlineStr">
        <is>
          <t>Pava Center: Spark / Fuel accelerators</t>
        </is>
      </c>
      <c r="F123" s="10" t="inlineStr">
        <is>
          <t>Pava Marie LaPere Center for Entrepreneurship</t>
        </is>
      </c>
      <c r="G123" s="10" t="inlineStr">
        <is>
          <t>Co-curricular</t>
        </is>
      </c>
      <c r="H123" s="10" t="inlineStr">
        <is>
          <t>Student venture teams with at least one eligible current JHU student co-founder</t>
        </is>
      </c>
      <c r="I123" s="10" t="inlineStr">
        <is>
          <t>Structured venture development, mentoring and Demo Day; Fuel requires at least ten hours weekly. Completion can lead to grant stipends and competition funding.</t>
        </is>
      </c>
      <c r="J123" s="10" t="inlineStr">
        <is>
          <t>Central student entrepreneurship eligibility is not restricted to BME; individual stage/ownership criteria apply.</t>
        </is>
      </c>
      <c r="K123" s="10" t="inlineStr">
        <is>
          <t>December 2026 next application cycle confirmed</t>
        </is>
      </c>
      <c r="L123" s="10" t="inlineStr">
        <is>
          <t>US sample</t>
        </is>
      </c>
      <c r="M123" s="10" t="inlineStr">
        <is>
          <t>https://pavacenter.jhu.edu/programs/student-programs/fuel/</t>
        </is>
      </c>
      <c r="N123" s="10" t="inlineStr">
        <is>
          <t>Direct eligibility</t>
        </is>
      </c>
      <c r="O123" s="10" t="inlineStr">
        <is>
          <t>Dated 2026/27</t>
        </is>
      </c>
      <c r="P123" s="81" t="n">
        <v>46303</v>
      </c>
      <c r="Q123" s="77" t="inlineStr">
        <is>
          <t>Not yet reassessed (institution not reviewed)</t>
        </is>
      </c>
    </row>
    <row r="124" ht="116" customHeight="1">
      <c r="A124" s="10" t="inlineStr">
        <is>
          <t>US</t>
        </is>
      </c>
      <c r="B124" s="11" t="inlineStr">
        <is>
          <t>Pennsylvania State</t>
        </is>
      </c>
      <c r="C124" s="10" t="inlineStr">
        <is>
          <t>University-wide</t>
        </is>
      </c>
      <c r="D124" s="10" t="inlineStr">
        <is>
          <t>Enterprise programme</t>
        </is>
      </c>
      <c r="E124" s="10" t="inlineStr">
        <is>
          <t>Invent Penn State / Summer Founders</t>
        </is>
      </c>
      <c r="F124" s="10" t="inlineStr">
        <is>
          <t>Office of Entrepreneurship and Commercialization</t>
        </is>
      </c>
      <c r="G124" s="10" t="inlineStr">
        <is>
          <t>Co-curricular</t>
        </is>
      </c>
      <c r="H124" s="10" t="inlineStr">
        <is>
          <t>Eligible student founder teams; programme selection applies</t>
        </is>
      </c>
      <c r="I124" s="10" t="inlineStr">
        <is>
          <t>University-wide entrepreneurship framework supports venture development across campuses and colleges. Summer Founders combines a grant, accelerator activity, advisers and a final showcase.</t>
        </is>
      </c>
      <c r="J124" s="10" t="inlineStr">
        <is>
          <t>Official framework spans all academic colleges and 24 campuses; Summer Founders cohort included multiple colleges and graduate students.</t>
        </is>
      </c>
      <c r="K124" s="10" t="inlineStr">
        <is>
          <t>Official framework; latest programme intake unverified</t>
        </is>
      </c>
      <c r="L124" s="10" t="inlineStr">
        <is>
          <t>US sample</t>
        </is>
      </c>
      <c r="M124" s="10" t="inlineStr">
        <is>
          <t>https://invent.psu.edu/about-ips/
https://invent.psu.edu/stories/student-founders-grow-their-startups-through-summer-founders-program/</t>
        </is>
      </c>
      <c r="N124" s="10" t="inlineStr">
        <is>
          <t>Institutional framework</t>
        </is>
      </c>
      <c r="O124" s="10" t="inlineStr">
        <is>
          <t>Undated page</t>
        </is>
      </c>
      <c r="P124" s="81" t="n">
        <v>46303</v>
      </c>
      <c r="Q124" s="77" t="inlineStr">
        <is>
          <t>Not yet reassessed (institution not reviewed)</t>
        </is>
      </c>
    </row>
    <row r="125" ht="116" customHeight="1">
      <c r="A125" s="10" t="inlineStr">
        <is>
          <t>France</t>
        </is>
      </c>
      <c r="B125" s="11" t="inlineStr">
        <is>
          <t>PSL</t>
        </is>
      </c>
      <c r="C125" s="10" t="inlineStr">
        <is>
          <t>Cross-faculty</t>
        </is>
      </c>
      <c r="D125" s="10" t="inlineStr">
        <is>
          <t>Interdisciplinary curriculum</t>
        </is>
      </c>
      <c r="E125" s="10" t="inlineStr">
        <is>
          <t>PSL Weeks</t>
        </is>
      </c>
      <c r="F125" s="10" t="inlineStr">
        <is>
          <t>PSL constituent schools</t>
        </is>
      </c>
      <c r="G125" s="10" t="inlineStr">
        <is>
          <t>Mixed/varies</t>
        </is>
      </c>
      <c r="H125" s="10" t="inlineStr">
        <is>
          <t>Students in participating schools and degree years</t>
        </is>
      </c>
      <c r="I125" s="10" t="inlineStr">
        <is>
          <t>Interdisciplinary immersion weeks expose students to new disciplines and collaborative projects. Some engineering weeks specify ESPCI, Chimie Paris, MINES and CPES year groups.</t>
        </is>
      </c>
      <c r="J125" s="10" t="inlineStr">
        <is>
          <t>Published examples involve named constituent schools; no proof every PSL school/student can access every week.</t>
        </is>
      </c>
      <c r="K125" s="10" t="inlineStr">
        <is>
          <t>Official programme page; intake unverified</t>
        </is>
      </c>
      <c r="L125" s="10" t="inlineStr">
        <is>
          <t>EU sample</t>
        </is>
      </c>
      <c r="M125" s="10" t="inlineStr">
        <is>
          <t>https://psl.eu/en/education/keys-academic-success/student-mobility
https://psl.eu/en/education/enamoma-psl-life-masters-program</t>
        </is>
      </c>
      <c r="N125" s="10" t="inlineStr">
        <is>
          <t>Direct eligibility</t>
        </is>
      </c>
      <c r="O125" s="10" t="inlineStr">
        <is>
          <t>Undated page</t>
        </is>
      </c>
      <c r="P125" s="81" t="n">
        <v>46303</v>
      </c>
      <c r="Q125" s="77" t="inlineStr">
        <is>
          <t>Not yet reassessed (institution not reviewed)</t>
        </is>
      </c>
    </row>
    <row r="126" ht="116" customHeight="1">
      <c r="A126" s="10" t="inlineStr">
        <is>
          <t>France</t>
        </is>
      </c>
      <c r="B126" s="11" t="inlineStr">
        <is>
          <t>PSL</t>
        </is>
      </c>
      <c r="C126" s="10" t="inlineStr">
        <is>
          <t>Programme/course</t>
        </is>
      </c>
      <c r="D126" s="10" t="inlineStr">
        <is>
          <t>Live/research project</t>
        </is>
      </c>
      <c r="E126" s="10" t="inlineStr">
        <is>
          <t>ENAMOMA-PSL partner projects</t>
        </is>
      </c>
      <c r="F126" s="10" t="inlineStr">
        <is>
          <t>ENAMOMA master’s programme</t>
        </is>
      </c>
      <c r="G126" s="10" t="inlineStr">
        <is>
          <t>Compulsory</t>
        </is>
      </c>
      <c r="H126" s="10" t="inlineStr">
        <is>
          <t>Students enrolled in the ENAMOMA master’s</t>
        </is>
      </c>
      <c r="I126" s="10" t="inlineStr">
        <is>
          <t>Ten-week interdisciplinary design/engineering/management teams develop professional-level outputs for external partners with tutors and progress reviews.</t>
        </is>
      </c>
      <c r="J126" s="10" t="inlineStr">
        <is>
          <t>Specific master’s curriculum, not the whole PSL university.</t>
        </is>
      </c>
      <c r="K126" s="10" t="inlineStr">
        <is>
          <t>Official project page; intake unverified</t>
        </is>
      </c>
      <c r="L126" s="10" t="inlineStr">
        <is>
          <t>EU sample</t>
        </is>
      </c>
      <c r="M126" s="10" t="inlineStr">
        <is>
          <t>https://psl.eu/en/education/enamoma-psl-students-projects</t>
        </is>
      </c>
      <c r="N126" s="10" t="inlineStr">
        <is>
          <t>Direct eligibility</t>
        </is>
      </c>
      <c r="O126" s="10" t="inlineStr">
        <is>
          <t>Undated page</t>
        </is>
      </c>
      <c r="P126" s="81" t="n">
        <v>46303</v>
      </c>
      <c r="Q126" s="77" t="inlineStr">
        <is>
          <t>Not yet reassessed (institution not reviewed)</t>
        </is>
      </c>
    </row>
    <row r="127" ht="116" customHeight="1">
      <c r="A127" s="10" t="inlineStr">
        <is>
          <t>France</t>
        </is>
      </c>
      <c r="B127" s="11" t="inlineStr">
        <is>
          <t>Paris-Saclay</t>
        </is>
      </c>
      <c r="C127" s="10" t="inlineStr">
        <is>
          <t>Not confirmed</t>
        </is>
      </c>
      <c r="D127" s="10" t="inlineStr">
        <is>
          <t>Enterprise programme</t>
        </is>
      </c>
      <c r="E127" s="10" t="inlineStr">
        <is>
          <t>Starthèse Start’up Pitch-iD</t>
        </is>
      </c>
      <c r="F127" s="10" t="inlineStr">
        <is>
          <t>Central entrepreneurship / doctoral ecosystem</t>
        </is>
      </c>
      <c r="G127" s="10" t="inlineStr">
        <is>
          <t>Co-curricular</t>
        </is>
      </c>
      <c r="H127" s="10" t="inlineStr">
        <is>
          <t>Eligible doctoral researchers; competitive selection</t>
        </is>
      </c>
      <c r="I127" s="10" t="inlineStr">
        <is>
          <t>Entrepreneurial challenge develops research-based venture ideas, coaching and pitching. Published 2026 regulations and partner announcement confirm the third edition.</t>
        </is>
      </c>
      <c r="J127" s="10" t="inlineStr">
        <is>
          <t>Central doctoral competition; university reach inferred across disciplines, admission conditions apply. Academic reach remains Not confirmed until eligibility or institution-wide framework reach is established.</t>
        </is>
      </c>
      <c r="K127" s="10" t="inlineStr">
        <is>
          <t>2026 competition confirmed</t>
        </is>
      </c>
      <c r="L127" s="10" t="inlineStr">
        <is>
          <t>EU sample</t>
        </is>
      </c>
      <c r="M127" s="10" t="inlineStr">
        <is>
          <t>https://www.universite-paris-saclay.fr/actualites/starthese-startup-pitch-id-troisieme-edition-du-concours-entrepreneurial-pour-doctorantes
https://www.uvsq.fr/3%E1%B5%89-edition-du-challenge-de-pitch-starthese-startup-pitch-id</t>
        </is>
      </c>
      <c r="N127" s="10" t="inlineStr">
        <is>
          <t>Unconfirmed reach</t>
        </is>
      </c>
      <c r="O127" s="10" t="inlineStr">
        <is>
          <t>Dated 2026/27</t>
        </is>
      </c>
      <c r="P127" s="81" t="n">
        <v>46303</v>
      </c>
      <c r="Q127" s="77" t="inlineStr">
        <is>
          <t>Not yet reassessed (institution not reviewed)</t>
        </is>
      </c>
    </row>
    <row r="128" ht="116" customHeight="1">
      <c r="A128" s="10" t="inlineStr">
        <is>
          <t>France</t>
        </is>
      </c>
      <c r="B128" s="11" t="inlineStr">
        <is>
          <t>Sorbonne University</t>
        </is>
      </c>
      <c r="C128" s="10" t="inlineStr">
        <is>
          <t>University-wide</t>
        </is>
      </c>
      <c r="D128" s="10" t="inlineStr">
        <is>
          <t>Enterprise programme</t>
        </is>
      </c>
      <c r="E128" s="10" t="inlineStr">
        <is>
          <t>Pépite Sorbonne Université: student entrepreneurship / SNEE</t>
        </is>
      </c>
      <c r="F128" s="10" t="inlineStr">
        <is>
          <t>Pépite university enterprise network</t>
        </is>
      </c>
      <c r="G128" s="10" t="inlineStr">
        <is>
          <t>Mixed/varies</t>
        </is>
      </c>
      <c r="H128" s="10" t="inlineStr">
        <is>
          <t>Higher-education students from bachelor to doctorate; eligible graduates</t>
        </is>
      </c>
      <c r="I128" s="10" t="inlineStr">
        <is>
          <t>Project coaching and practical venture development. Optional D2E diploma structures business-model, market, pitch and leadership learning.</t>
        </is>
      </c>
      <c r="J128" s="10" t="inlineStr">
        <is>
          <t>Explicit study-level-wide eligibility with no disciplinary prerequisite; diploma is a separate optional route.</t>
        </is>
      </c>
      <c r="K128" s="10" t="inlineStr">
        <is>
          <t>2026 pages and eligibility confirmed</t>
        </is>
      </c>
      <c r="L128" s="10" t="inlineStr">
        <is>
          <t>EU sample</t>
        </is>
      </c>
      <c r="M128" s="10" t="inlineStr">
        <is>
          <t>https://pepite.sorbonne-universite.fr/etre-accompagnee/devenir-etudiante-entrepreneure-snee
https://pepite.sorbonne-universite.fr/etre-accompagnee/entreprendre-pendant-ses-etudes</t>
        </is>
      </c>
      <c r="N128" s="10" t="inlineStr">
        <is>
          <t>Direct eligibility</t>
        </is>
      </c>
      <c r="O128" s="10" t="inlineStr">
        <is>
          <t>Dated 2026/27</t>
        </is>
      </c>
      <c r="P128" s="81" t="n">
        <v>46303</v>
      </c>
      <c r="Q128" s="77" t="inlineStr">
        <is>
          <t>Not yet reassessed (institution not reviewed)</t>
        </is>
      </c>
    </row>
    <row r="129" ht="116" customHeight="1">
      <c r="A129" s="10" t="inlineStr">
        <is>
          <t>France</t>
        </is>
      </c>
      <c r="B129" s="11" t="inlineStr">
        <is>
          <t>Institut Polytechnique de Paris</t>
        </is>
      </c>
      <c r="C129" s="10" t="inlineStr">
        <is>
          <t>Programme/course</t>
        </is>
      </c>
      <c r="D129" s="10" t="inlineStr">
        <is>
          <t>Live/research project</t>
        </is>
      </c>
      <c r="E129" s="10" t="inlineStr">
        <is>
          <t>Projet Scientifique Collectif (PSC)</t>
        </is>
      </c>
      <c r="F129" s="10" t="inlineStr">
        <is>
          <t>École polytechnique; Ingénieur Polytechnicien programme</t>
        </is>
      </c>
      <c r="G129" s="10" t="inlineStr">
        <is>
          <t>Compulsory</t>
        </is>
      </c>
      <c r="H129" s="10" t="inlineStr">
        <is>
          <t>Second-year students on the Ingénieur Polytechnicien degree</t>
        </is>
      </c>
      <c r="I129" s="10" t="inlineStr">
        <is>
          <t>Teams of four or five work half a day weekly through second year to investigate a scientific problem or build a technological demonstrator with laboratories, firms or public partners.</t>
        </is>
      </c>
      <c r="J129" s="10" t="inlineStr">
        <is>
          <t>One degree at one IP Paris member school; not university-wide across IP Paris.</t>
        </is>
      </c>
      <c r="K129" s="10" t="inlineStr">
        <is>
          <t>X25 cohort / June 2026 documents confirmed</t>
        </is>
      </c>
      <c r="L129" s="10" t="inlineStr">
        <is>
          <t>EU sample</t>
        </is>
      </c>
      <c r="M129" s="10" t="inlineStr">
        <is>
          <t>https://www.polytechnique.edu/x25-psc-projet-scientifique-collectif
https://programmes.polytechnique.edu/cycle-ingenieur-polytechnicien/details-du-programme/deuxieme-annee-du-cycle-ingenieur</t>
        </is>
      </c>
      <c r="N129" s="10" t="inlineStr">
        <is>
          <t>Direct eligibility</t>
        </is>
      </c>
      <c r="O129" s="10" t="inlineStr">
        <is>
          <t>Dated 2026/27</t>
        </is>
      </c>
      <c r="P129" s="81" t="n">
        <v>46303</v>
      </c>
      <c r="Q129" s="77" t="inlineStr">
        <is>
          <t>Not yet reassessed (institution not reviewed)</t>
        </is>
      </c>
    </row>
    <row r="130" ht="116" customHeight="1">
      <c r="A130" s="10" t="inlineStr">
        <is>
          <t>France</t>
        </is>
      </c>
      <c r="B130" s="11" t="inlineStr">
        <is>
          <t>Sciences Po</t>
        </is>
      </c>
      <c r="C130" s="10" t="inlineStr">
        <is>
          <t>University-wide</t>
        </is>
      </c>
      <c r="D130" s="10" t="inlineStr">
        <is>
          <t>Live/research project</t>
        </is>
      </c>
      <c r="E130" s="10" t="inlineStr">
        <is>
          <t>Civic Learning Programme (Parcours Civique)</t>
        </is>
      </c>
      <c r="F130" s="10" t="inlineStr">
        <is>
          <t>Undergraduate College across campuses</t>
        </is>
      </c>
      <c r="G130" s="10" t="inlineStr">
        <is>
          <t>Compulsory</t>
        </is>
      </c>
      <c r="H130" s="10" t="inlineStr">
        <is>
          <t>BA undergraduates across the College’s campuses</t>
        </is>
      </c>
      <c r="I130" s="10" t="inlineStr">
        <is>
          <t>First-year 140-hour civic internship, second-year 50-hour civic project and reflective capstone link community work to academic learning; credits awarded.</t>
        </is>
      </c>
      <c r="J130" s="10" t="inlineStr">
        <is>
          <t>Compulsory undergraduate curriculum across campuses; university-wide undergraduate reach, not graduate-wide.</t>
        </is>
      </c>
      <c r="K130" s="10" t="inlineStr">
        <is>
          <t>Official curriculum page; intake unverified</t>
        </is>
      </c>
      <c r="L130" s="10" t="inlineStr">
        <is>
          <t>EU sample</t>
        </is>
      </c>
      <c r="M130" s="10" t="inlineStr">
        <is>
          <t>https://www.sciencespo.fr/college/en/academics/civic-learning-programme/</t>
        </is>
      </c>
      <c r="N130" s="10" t="inlineStr">
        <is>
          <t>Direct eligibility</t>
        </is>
      </c>
      <c r="O130" s="10" t="inlineStr">
        <is>
          <t>Undated page</t>
        </is>
      </c>
      <c r="P130" s="81" t="n">
        <v>46303</v>
      </c>
      <c r="Q130" s="77" t="inlineStr">
        <is>
          <t>Not yet reassessed (institution not reviewed)</t>
        </is>
      </c>
    </row>
    <row r="131" ht="116" customHeight="1">
      <c r="A131" s="10" t="inlineStr">
        <is>
          <t>Germany</t>
        </is>
      </c>
      <c r="B131" s="11" t="inlineStr">
        <is>
          <t>Technical University of Munich</t>
        </is>
      </c>
      <c r="C131" s="10" t="inlineStr">
        <is>
          <t>University-wide</t>
        </is>
      </c>
      <c r="D131" s="10" t="inlineStr">
        <is>
          <t>Live/research project</t>
        </is>
      </c>
      <c r="E131" s="10" t="inlineStr">
        <is>
          <t>TUM Project Weeks</t>
        </is>
      </c>
      <c r="F131" s="10" t="inlineStr">
        <is>
          <t>Central studies / schools</t>
        </is>
      </c>
      <c r="G131" s="10" t="inlineStr">
        <is>
          <t>Elective credit</t>
        </is>
      </c>
      <c r="H131" s="10" t="inlineStr">
        <is>
          <t>Bachelor’s and master’s students; individual projects have target groups</t>
        </is>
      </c>
      <c r="I131" s="10" t="inlineStr">
        <is>
          <t>Interdisciplinary intensive projects tackle sustainability, AI, entrepreneurship and social challenges. 2026/27 catalogue includes all-school options with ECTS.</t>
        </is>
      </c>
      <c r="J131" s="10" t="inlineStr">
        <is>
          <t>University framework plus explicit all-discipline/all-school course eligibility; not every listed project is unrestricted.</t>
        </is>
      </c>
      <c r="K131" s="10" t="inlineStr">
        <is>
          <t>January 2027 project week confirmed</t>
        </is>
      </c>
      <c r="L131" s="10" t="inlineStr">
        <is>
          <t>EU sample</t>
        </is>
      </c>
      <c r="M131" s="10" t="inlineStr">
        <is>
          <t>https://www.tum.de/en/studies/degree-programs/key-skill-programs/project-weeks</t>
        </is>
      </c>
      <c r="N131" s="10" t="inlineStr">
        <is>
          <t>Institutional framework</t>
        </is>
      </c>
      <c r="O131" s="10" t="inlineStr">
        <is>
          <t>Dated 2026/27</t>
        </is>
      </c>
      <c r="P131" s="81" t="n">
        <v>46303</v>
      </c>
      <c r="Q131" s="77" t="inlineStr">
        <is>
          <t>Not yet reassessed (institution not reviewed)</t>
        </is>
      </c>
    </row>
    <row r="132" ht="116" customHeight="1">
      <c r="A132" s="10" t="inlineStr">
        <is>
          <t>Germany</t>
        </is>
      </c>
      <c r="B132" s="11" t="inlineStr">
        <is>
          <t>LMU Munich</t>
        </is>
      </c>
      <c r="C132" s="10" t="inlineStr">
        <is>
          <t>Programme/course</t>
        </is>
      </c>
      <c r="D132" s="10" t="inlineStr">
        <is>
          <t>Live/research project</t>
        </is>
      </c>
      <c r="E132" s="10" t="inlineStr">
        <is>
          <t>el mundo: sustainability in teacher education</t>
        </is>
      </c>
      <c r="F132" s="10" t="inlineStr">
        <is>
          <t>Teacher-education certificate / Geography</t>
        </is>
      </c>
      <c r="G132" s="10" t="inlineStr">
        <is>
          <t>Elective credit</t>
        </is>
      </c>
      <c r="H132" s="10" t="inlineStr">
        <is>
          <t>Teacher-training students across school types and subject combinations</t>
        </is>
      </c>
      <c r="I132" s="10" t="inlineStr">
        <is>
          <t>45-ECTS certificate integrates sustainability, field trips, service learning and partnerships beyond university; programme complements teacher training.</t>
        </is>
      </c>
      <c r="J132" s="10" t="inlineStr">
        <is>
          <t>Specific teacher-education certificate cohort; broad subject combinations do not make it university-wide.</t>
        </is>
      </c>
      <c r="K132" s="10" t="inlineStr">
        <is>
          <t>Official certificate page; intake unverified</t>
        </is>
      </c>
      <c r="L132" s="10" t="inlineStr">
        <is>
          <t>EU sample</t>
        </is>
      </c>
      <c r="M132" s="10" t="inlineStr">
        <is>
          <t>https://www.geo.lmu.de/elmundo/en/infoboxen.html</t>
        </is>
      </c>
      <c r="N132" s="10" t="inlineStr">
        <is>
          <t>Direct eligibility</t>
        </is>
      </c>
      <c r="O132" s="10" t="inlineStr">
        <is>
          <t>Undated page</t>
        </is>
      </c>
      <c r="P132" s="81" t="n">
        <v>46303</v>
      </c>
      <c r="Q132" s="77" t="inlineStr">
        <is>
          <t>Not yet reassessed (institution not reviewed)</t>
        </is>
      </c>
    </row>
    <row r="133" ht="116" customHeight="1">
      <c r="A133" s="10" t="inlineStr">
        <is>
          <t>Germany</t>
        </is>
      </c>
      <c r="B133" s="11" t="inlineStr">
        <is>
          <t>LMU Munich</t>
        </is>
      </c>
      <c r="C133" s="10" t="inlineStr">
        <is>
          <t>University-wide</t>
        </is>
      </c>
      <c r="D133" s="10" t="inlineStr">
        <is>
          <t>Enterprise programme</t>
        </is>
      </c>
      <c r="E133" s="10" t="inlineStr">
        <is>
          <t>impACTup!: Innovation and Entrepreneurship for Better Futures</t>
        </is>
      </c>
      <c r="F133" s="10" t="inlineStr">
        <is>
          <t>LMU Innovation &amp; Entrepreneurship Center</t>
        </is>
      </c>
      <c r="G133" s="10" t="inlineStr">
        <is>
          <t>Elective credit</t>
        </is>
      </c>
      <c r="H133" s="10" t="inlineStr">
        <is>
          <t>All faculties, levels and study programmes</t>
        </is>
      </c>
      <c r="I133" s="10" t="inlineStr">
        <is>
          <t>Online applied innovation course develops impact-enterprise skills, with ECTS and/or certificate options; foundational syllabus describes 3 ECTS.</t>
        </is>
      </c>
      <c r="J133" s="10" t="inlineStr">
        <is>
          <t>Explicit all-faculty eligibility complements the restricted teacher-education example.</t>
        </is>
      </c>
      <c r="K133" s="10" t="inlineStr">
        <is>
          <t>Winter 2026/27 Moodle course confirmed</t>
        </is>
      </c>
      <c r="L133" s="10" t="inlineStr">
        <is>
          <t>EU sample</t>
        </is>
      </c>
      <c r="M133" s="10" t="inlineStr">
        <is>
          <t>https://moodle.lmu.de/course/index.php?categoryid=3592&amp;lang=en
https://cms-cdn.lmu.de/media/lmu/downloads/international/studium/ws25-26_syllabus_impactup_foundational_course_ss25_vhb_eugloh-students.pdf</t>
        </is>
      </c>
      <c r="N133" s="10" t="inlineStr">
        <is>
          <t>Direct eligibility</t>
        </is>
      </c>
      <c r="O133" s="10" t="inlineStr">
        <is>
          <t>Dated 2026/27</t>
        </is>
      </c>
      <c r="P133" s="81" t="n">
        <v>46303</v>
      </c>
      <c r="Q133" s="77" t="inlineStr">
        <is>
          <t>Not yet reassessed (institution not reviewed)</t>
        </is>
      </c>
    </row>
    <row r="134" ht="116" customHeight="1">
      <c r="A134" s="10" t="inlineStr">
        <is>
          <t>Germany</t>
        </is>
      </c>
      <c r="B134" s="11" t="inlineStr">
        <is>
          <t>Heidelberg</t>
        </is>
      </c>
      <c r="C134" s="10" t="inlineStr">
        <is>
          <t>University-wide</t>
        </is>
      </c>
      <c r="D134" s="10" t="inlineStr">
        <is>
          <t>Enterprise programme</t>
        </is>
      </c>
      <c r="E134" s="10" t="inlineStr">
        <is>
          <t>hei_INNOVATION Startup Lab</t>
        </is>
      </c>
      <c r="F134" s="10" t="inlineStr">
        <is>
          <t>hei_INNOVATION transfer / enterprise</t>
        </is>
      </c>
      <c r="G134" s="10" t="inlineStr">
        <is>
          <t>Co-curricular</t>
        </is>
      </c>
      <c r="H134" s="10" t="inlineStr">
        <is>
          <t>Eligible university students and alumni in Baden-Württemberg; selection applies</t>
        </is>
      </c>
      <c r="I134" s="10" t="inlineStr">
        <is>
          <t>Four-week venture-development programme combines workshops, team building, mentoring and coaching with a final pitch.</t>
        </is>
      </c>
      <c r="J134" s="10" t="inlineStr">
        <is>
          <t>Central cross-disciplinary founder programme; explicit student/alumni eligibility, not Heidelberg University in the US.</t>
        </is>
      </c>
      <c r="K134" s="10" t="inlineStr">
        <is>
          <t>March 2026 delivery confirmed</t>
        </is>
      </c>
      <c r="L134" s="10" t="inlineStr">
        <is>
          <t>EU sample</t>
        </is>
      </c>
      <c r="M134" s="10" t="inlineStr">
        <is>
          <t>https://www.uni-heidelberg.de/en/transfer/heiinnovation/startup-lab</t>
        </is>
      </c>
      <c r="N134" s="10" t="inlineStr">
        <is>
          <t>Direct eligibility</t>
        </is>
      </c>
      <c r="O134" s="10" t="inlineStr">
        <is>
          <t>Dated 2026/27</t>
        </is>
      </c>
      <c r="P134" s="81" t="n">
        <v>46303</v>
      </c>
      <c r="Q134" s="77" t="inlineStr">
        <is>
          <t>Not yet reassessed (institution not reviewed)</t>
        </is>
      </c>
    </row>
    <row r="135" ht="116" customHeight="1">
      <c r="A135" s="10" t="inlineStr">
        <is>
          <t>Germany</t>
        </is>
      </c>
      <c r="B135" s="11" t="inlineStr">
        <is>
          <t>RWTH Aachen</t>
        </is>
      </c>
      <c r="C135" s="10" t="inlineStr">
        <is>
          <t>University-wide</t>
        </is>
      </c>
      <c r="D135" s="10" t="inlineStr">
        <is>
          <t>Interdisciplinary curriculum</t>
        </is>
      </c>
      <c r="E135" s="10" t="inlineStr">
        <is>
          <t>Project Leonardo</t>
        </is>
      </c>
      <c r="F135" s="10" t="inlineStr">
        <is>
          <t>Central interdisciplinary teaching / partner departments</t>
        </is>
      </c>
      <c r="G135" s="10" t="inlineStr">
        <is>
          <t>Mixed/varies</t>
        </is>
      </c>
      <c r="H135" s="10" t="inlineStr">
        <is>
          <t>All RWTH students, any degree programme or semester</t>
        </is>
      </c>
      <c r="I135" s="10" t="inlineStr">
        <is>
          <t>Interdisciplinary courses address global challenges; experiential options include theatre, sustainability and clinical perspectives. Credit depends on course and degree approval.</t>
        </is>
      </c>
      <c r="J135" s="10" t="inlineStr">
        <is>
          <t>Explicit all-programme/all-semester eligibility; not every course is a live external-client project.</t>
        </is>
      </c>
      <c r="K135" s="10" t="inlineStr">
        <is>
          <t>Winter 2026/27 catalogue confirmed</t>
        </is>
      </c>
      <c r="L135" s="10" t="inlineStr">
        <is>
          <t>EU sample</t>
        </is>
      </c>
      <c r="M135" s="10" t="inlineStr">
        <is>
          <t>https://www.leonardo.rwth-aachen.de/en/homepage/
https://www.leonardo.rwth-aachen.de/en/the-project/leonardo-for-lecturers/</t>
        </is>
      </c>
      <c r="N135" s="10" t="inlineStr">
        <is>
          <t>Direct eligibility</t>
        </is>
      </c>
      <c r="O135" s="10" t="inlineStr">
        <is>
          <t>Dated 2026/27</t>
        </is>
      </c>
      <c r="P135" s="81" t="n">
        <v>46303</v>
      </c>
      <c r="Q135" s="77" t="inlineStr">
        <is>
          <t>Not yet reassessed (institution not reviewed)</t>
        </is>
      </c>
    </row>
    <row r="136" ht="116" customHeight="1">
      <c r="A136" s="10" t="inlineStr">
        <is>
          <t>Germany</t>
        </is>
      </c>
      <c r="B136" s="11" t="inlineStr">
        <is>
          <t>Karlsruhe Institute of Technology</t>
        </is>
      </c>
      <c r="C136" s="10" t="inlineStr">
        <is>
          <t>University-wide</t>
        </is>
      </c>
      <c r="D136" s="10" t="inlineStr">
        <is>
          <t>International collaboration</t>
        </is>
      </c>
      <c r="E136" s="10" t="inlineStr">
        <is>
          <t>EPICUR En route! cross-border service learning</t>
        </is>
      </c>
      <c r="F136" s="10" t="inlineStr">
        <is>
          <t>FORUM central scientific institution / EPICUR alliance</t>
        </is>
      </c>
      <c r="G136" s="10" t="inlineStr">
        <is>
          <t>Mixed/varies</t>
        </is>
      </c>
      <c r="H136" s="10" t="inlineStr">
        <is>
          <t>Students from EPICUR partner universities; individual admissions apply</t>
        </is>
      </c>
      <c r="I136" s="10" t="inlineStr">
        <is>
          <t>Online learning and reflection accompany civic engagement at partner locations; launched online in 2021, then incorporated in-person service.</t>
        </is>
      </c>
      <c r="J136" s="10" t="inlineStr">
        <is>
          <t>Explicit students from all partner universities; central alliance framework, not one faculty.</t>
        </is>
      </c>
      <c r="K136" s="10" t="inlineStr">
        <is>
          <t>Official page updated August 2026; latest intake unverified</t>
        </is>
      </c>
      <c r="L136" s="10" t="inlineStr">
        <is>
          <t>EU sample</t>
        </is>
      </c>
      <c r="M136" s="10" t="inlineStr">
        <is>
          <t>https://www.forum.kit.edu/english/EPICUR.php</t>
        </is>
      </c>
      <c r="N136" s="10" t="inlineStr">
        <is>
          <t>Institutional framework</t>
        </is>
      </c>
      <c r="O136" s="10" t="inlineStr">
        <is>
          <t>Dated earlier / mixed</t>
        </is>
      </c>
      <c r="P136" s="81" t="n">
        <v>46303</v>
      </c>
      <c r="Q136" s="77" t="inlineStr">
        <is>
          <t>Not yet reassessed (institution not reviewed)</t>
        </is>
      </c>
    </row>
    <row r="137" ht="116" customHeight="1">
      <c r="A137" s="10" t="inlineStr">
        <is>
          <t>Germany</t>
        </is>
      </c>
      <c r="B137" s="11" t="inlineStr">
        <is>
          <t>Humboldt Berlin</t>
        </is>
      </c>
      <c r="C137" s="10" t="inlineStr">
        <is>
          <t>University-wide</t>
        </is>
      </c>
      <c r="D137" s="10" t="inlineStr">
        <is>
          <t>Live/research project</t>
        </is>
      </c>
      <c r="E137" s="10" t="inlineStr">
        <is>
          <t>Q-Teams</t>
        </is>
      </c>
      <c r="F137" s="10" t="inlineStr">
        <is>
          <t>bologna.lab / Q-Programme</t>
        </is>
      </c>
      <c r="G137" s="10" t="inlineStr">
        <is>
          <t>Elective credit</t>
        </is>
      </c>
      <c r="H137" s="10" t="inlineStr">
        <is>
          <t>Bachelor’s and master’s students; team-specific subject preparation</t>
        </is>
      </c>
      <c r="I137" s="10" t="inlineStr">
        <is>
          <t>Small research teams supervised by doctoral/postdoctoral researchers develop questions, undertake research and present outputs over one or two semesters.</t>
        </is>
      </c>
      <c r="J137" s="10" t="inlineStr">
        <is>
          <t>Central university research-learning framework; individual Q-Teams may restrict disciplines.</t>
        </is>
      </c>
      <c r="K137" s="10" t="inlineStr">
        <is>
          <t>2026 course example; framework documents older</t>
        </is>
      </c>
      <c r="L137" s="10" t="inlineStr">
        <is>
          <t>EU sample</t>
        </is>
      </c>
      <c r="M137" s="10" t="inlineStr">
        <is>
          <t>https://bolognalab.hu-berlin.de/en/q-team/call-for-applications/call-for-applications-q-teams_wise22-23.pdf/@@download/file/Call%20for%20Applications%20Q-Teams_WiSe22-23.pdf
https://agnes.hu-berlin.de/lupo/rds?moduleCall=webInfo&amp;publishConfFile=webInfo&amp;publishSubDir=veranstaltung&amp;publishid=225583&amp;state=verpublish&amp;status=init&amp;vmfile=no</t>
        </is>
      </c>
      <c r="N137" s="10" t="inlineStr">
        <is>
          <t>Institutional framework</t>
        </is>
      </c>
      <c r="O137" s="10" t="inlineStr">
        <is>
          <t>Dated 2026/27</t>
        </is>
      </c>
      <c r="P137" s="81" t="n">
        <v>46303</v>
      </c>
      <c r="Q137" s="77" t="inlineStr">
        <is>
          <t>Not yet reassessed (institution not reviewed)</t>
        </is>
      </c>
    </row>
    <row r="138" ht="116" customHeight="1">
      <c r="A138" s="10" t="inlineStr">
        <is>
          <t>Netherlands</t>
        </is>
      </c>
      <c r="B138" s="11" t="inlineStr">
        <is>
          <t>Delft University of Technology</t>
        </is>
      </c>
      <c r="C138" s="10" t="inlineStr">
        <is>
          <t>University-wide</t>
        </is>
      </c>
      <c r="D138" s="10" t="inlineStr">
        <is>
          <t>Live/research project</t>
        </is>
      </c>
      <c r="E138" s="10" t="inlineStr">
        <is>
          <t>Joint Interdisciplinary Project (JIP)</t>
        </is>
      </c>
      <c r="F138" s="10" t="inlineStr">
        <is>
          <t>TU Delft / interdisciplinary master’s programme teams</t>
        </is>
      </c>
      <c r="G138" s="10" t="inlineStr">
        <is>
          <t>Elective credit</t>
        </is>
      </c>
      <c r="H138" s="10" t="inlineStr">
        <is>
          <t>Second-year master’s students; programme approval applies</t>
        </is>
      </c>
      <c r="I138" s="10" t="inlineStr">
        <is>
          <t>Ten-week, 15-ECTS elective brings different disciplines together to solve company research-and-development cases.</t>
        </is>
      </c>
      <c r="J138" s="10" t="inlineStr">
        <is>
          <t>University-hosted research paper describes access for all second-year master’s students; current rules need checking.</t>
        </is>
      </c>
      <c r="K138" s="10" t="inlineStr">
        <is>
          <t>2019–20 delivery evidence; current intake unverified</t>
        </is>
      </c>
      <c r="L138" s="10" t="inlineStr">
        <is>
          <t>EU sample</t>
        </is>
      </c>
      <c r="M138" s="10" t="inlineStr">
        <is>
          <t>https://delta.tudelft.nl/en/article/jip-prepares-students-agile-future
https://repository.tudelft.nl/file/File_4d7bc375-1c67-4fa9-8c76-73b81339b2fe</t>
        </is>
      </c>
      <c r="N138" s="10" t="inlineStr">
        <is>
          <t>Direct eligibility</t>
        </is>
      </c>
      <c r="O138" s="10" t="inlineStr">
        <is>
          <t>Dated earlier / mixed</t>
        </is>
      </c>
      <c r="P138" s="81" t="n">
        <v>46303</v>
      </c>
      <c r="Q138" s="77" t="inlineStr">
        <is>
          <t>Not yet reassessed (institution not reviewed)</t>
        </is>
      </c>
    </row>
    <row r="139" ht="116" customHeight="1">
      <c r="A139" s="10" t="inlineStr">
        <is>
          <t>Netherlands</t>
        </is>
      </c>
      <c r="B139" s="11" t="inlineStr">
        <is>
          <t>Amsterdam</t>
        </is>
      </c>
      <c r="C139" s="10" t="inlineStr">
        <is>
          <t>University-wide</t>
        </is>
      </c>
      <c r="D139" s="10" t="inlineStr">
        <is>
          <t>Interdisciplinary curriculum</t>
        </is>
      </c>
      <c r="E139" s="10" t="inlineStr">
        <is>
          <t>Institute for Interdisciplinary Studies (IIS) electives</t>
        </is>
      </c>
      <c r="F139" s="10" t="inlineStr">
        <is>
          <t>IIS</t>
        </is>
      </c>
      <c r="G139" s="10" t="inlineStr">
        <is>
          <t>Elective credit</t>
        </is>
      </c>
      <c r="H139" s="10" t="inlineStr">
        <is>
          <t>Students and staff from any UvA faculty; external/contract students also possible</t>
        </is>
      </c>
      <c r="I139" s="10" t="inlineStr">
        <is>
          <t>Interdisciplinary electives explore societal questions; practical inquiry and project content depend on the course. Separate research minors involve multidisciplinary projects.</t>
        </is>
      </c>
      <c r="J139" s="10" t="inlineStr">
        <is>
          <t>Explicit any-faculty eligibility; do not treat every elective as experiential client work.</t>
        </is>
      </c>
      <c r="K139" s="10" t="inlineStr">
        <is>
          <t>2026/27 course listing confirmed</t>
        </is>
      </c>
      <c r="L139" s="10" t="inlineStr">
        <is>
          <t>EU sample</t>
        </is>
      </c>
      <c r="M139" s="10" t="inlineStr">
        <is>
          <t>https://iis.uva.nl/en/degree-programmes-courses/iis-courses/iis-courses.html</t>
        </is>
      </c>
      <c r="N139" s="10" t="inlineStr">
        <is>
          <t>Direct eligibility</t>
        </is>
      </c>
      <c r="O139" s="10" t="inlineStr">
        <is>
          <t>Dated 2026/27</t>
        </is>
      </c>
      <c r="P139" s="81" t="n">
        <v>46303</v>
      </c>
      <c r="Q139" s="77" t="inlineStr">
        <is>
          <t>Not yet reassessed (institution not reviewed)</t>
        </is>
      </c>
    </row>
    <row r="140" ht="116" customHeight="1">
      <c r="A140" s="10" t="inlineStr">
        <is>
          <t>Netherlands</t>
        </is>
      </c>
      <c r="B140" s="11" t="inlineStr">
        <is>
          <t>Utrecht</t>
        </is>
      </c>
      <c r="C140" s="10" t="inlineStr">
        <is>
          <t>University-wide</t>
        </is>
      </c>
      <c r="D140" s="10" t="inlineStr">
        <is>
          <t>Live/research project</t>
        </is>
      </c>
      <c r="E140" s="10" t="inlineStr">
        <is>
          <t>Community Engaged Learning (CEL)</t>
        </is>
      </c>
      <c r="F140" s="10" t="inlineStr">
        <is>
          <t>Central CEL / Centre for Academic Teaching and Learning</t>
        </is>
      </c>
      <c r="G140" s="10" t="inlineStr">
        <is>
          <t>Mixed/varies</t>
        </is>
      </c>
      <c r="H140" s="10" t="inlineStr">
        <is>
          <t>Students in participating courses; individual eligibility varies</t>
        </is>
      </c>
      <c r="I140" s="10" t="inlineStr">
        <is>
          <t>Students, lecturers and external organisations work together on shared social issues. Grants and teacher development support curricular implementation.</t>
        </is>
      </c>
      <c r="J140" s="10" t="inlineStr">
        <is>
          <t>University-wide implementation framework and aspiration to embed in every degree; aspiration is not proof every degree already participates.</t>
        </is>
      </c>
      <c r="K140" s="10" t="inlineStr">
        <is>
          <t>2026 programme activity confirmed</t>
        </is>
      </c>
      <c r="L140" s="10" t="inlineStr">
        <is>
          <t>EU sample</t>
        </is>
      </c>
      <c r="M140" s="10" t="inlineStr">
        <is>
          <t>https://www.uu.nl/en/education/community-engaged-learning/about-community-engaged-learning</t>
        </is>
      </c>
      <c r="N140" s="10" t="inlineStr">
        <is>
          <t>Institutional framework</t>
        </is>
      </c>
      <c r="O140" s="10" t="inlineStr">
        <is>
          <t>Dated 2026/27</t>
        </is>
      </c>
      <c r="P140" s="81" t="n">
        <v>46303</v>
      </c>
      <c r="Q140" s="77" t="inlineStr">
        <is>
          <t>Not yet reassessed (institution not reviewed)</t>
        </is>
      </c>
    </row>
    <row r="141" ht="116" customHeight="1">
      <c r="A141" s="10" t="inlineStr">
        <is>
          <t>Netherlands</t>
        </is>
      </c>
      <c r="B141" s="11" t="inlineStr">
        <is>
          <t>Leiden</t>
        </is>
      </c>
      <c r="C141" s="10" t="inlineStr">
        <is>
          <t>University-wide</t>
        </is>
      </c>
      <c r="D141" s="10" t="inlineStr">
        <is>
          <t>Interdisciplinary curriculum</t>
        </is>
      </c>
      <c r="E141" s="10" t="inlineStr">
        <is>
          <t>Bachelor’s Honours Classes</t>
        </is>
      </c>
      <c r="F141" s="10" t="inlineStr">
        <is>
          <t>Honours Academy</t>
        </is>
      </c>
      <c r="G141" s="10" t="inlineStr">
        <is>
          <t>Mixed/varies</t>
        </is>
      </c>
      <c r="H141" s="10" t="inlineStr">
        <is>
          <t>Selected motivated bachelor’s students; year and admission criteria apply</t>
        </is>
      </c>
      <c r="I141" s="10" t="inlineStr">
        <is>
          <t>Five-EC extracurricular academic classes connect disciplines; content may include practical challenges. Courses complement the degree and honours pathways.</t>
        </is>
      </c>
      <c r="J141" s="10" t="inlineStr">
        <is>
          <t>University-wide honours partnership; all-discipline eligibility subject to selection. Extra EC should not be assumed regular degree credit.</t>
        </is>
      </c>
      <c r="K141" s="10" t="inlineStr">
        <is>
          <t>2025/26 catalogue confirmed</t>
        </is>
      </c>
      <c r="L141" s="10" t="inlineStr">
        <is>
          <t>EU sample</t>
        </is>
      </c>
      <c r="M141" s="10" t="inlineStr">
        <is>
          <t>https://studiegids-archief.leidenuniv.nl/studies/10896/bachelor-honours-classes
https://www.organisatiegids.universiteitleiden.nl/binaries/content/assets/honours-academy/reglementen/onderwijsreglement-honours-academy-per-1-sep-2024---english-version.pdf</t>
        </is>
      </c>
      <c r="N141" s="10" t="inlineStr">
        <is>
          <t>Direct eligibility</t>
        </is>
      </c>
      <c r="O141" s="10" t="inlineStr">
        <is>
          <t>Dated earlier / mixed</t>
        </is>
      </c>
      <c r="P141" s="81" t="n">
        <v>46303</v>
      </c>
      <c r="Q141" s="77" t="inlineStr">
        <is>
          <t>Not yet reassessed (institution not reviewed)</t>
        </is>
      </c>
    </row>
    <row r="142" ht="116" customHeight="1">
      <c r="A142" s="10" t="inlineStr">
        <is>
          <t>Netherlands</t>
        </is>
      </c>
      <c r="B142" s="11" t="inlineStr">
        <is>
          <t>Wageningen</t>
        </is>
      </c>
      <c r="C142" s="10" t="inlineStr">
        <is>
          <t>University-wide</t>
        </is>
      </c>
      <c r="D142" s="10" t="inlineStr">
        <is>
          <t>Live/research project</t>
        </is>
      </c>
      <c r="E142" s="10" t="inlineStr">
        <is>
          <t>Academic Consultancy Training (ACT)</t>
        </is>
      </c>
      <c r="F142" s="10" t="inlineStr">
        <is>
          <t>University master’s curriculum</t>
        </is>
      </c>
      <c r="G142" s="10" t="inlineStr">
        <is>
          <t>Mixed/varies</t>
        </is>
      </c>
      <c r="H142" s="10" t="inlineStr">
        <is>
          <t>Master’s students; compulsory in most master’s programmes</t>
        </is>
      </c>
      <c r="I142" s="10" t="inlineStr">
        <is>
          <t>Eight-week consultancy: multidisciplinary teams of five to eight address authentic external-client challenges with academic advisers and a process coach. Named curriculum example carries 9 ECTS.</t>
        </is>
      </c>
      <c r="J142" s="10" t="inlineStr">
        <is>
          <t>Official source says compulsory in most master’s programmes; university framework, not universal across all degrees.</t>
        </is>
      </c>
      <c r="K142" s="10" t="inlineStr">
        <is>
          <t>2026 ACT award and October 2026 case call confirmed</t>
        </is>
      </c>
      <c r="L142" s="10" t="inlineStr">
        <is>
          <t>EU sample</t>
        </is>
      </c>
      <c r="M142" s="10" t="inlineStr">
        <is>
          <t>https://www.wur.nl/en/partner-up-for-impact/collaborate-students/society-based-education/academic-consultancy-training</t>
        </is>
      </c>
      <c r="N142" s="10" t="inlineStr">
        <is>
          <t>Institutional framework</t>
        </is>
      </c>
      <c r="O142" s="10" t="inlineStr">
        <is>
          <t>Dated 2026/27</t>
        </is>
      </c>
      <c r="P142" s="81" t="n">
        <v>46303</v>
      </c>
      <c r="Q142" s="77" t="inlineStr">
        <is>
          <t>Not yet reassessed (institution not reviewed)</t>
        </is>
      </c>
    </row>
    <row r="143" ht="116" customHeight="1">
      <c r="A143" s="10" t="inlineStr">
        <is>
          <t>Belgium</t>
        </is>
      </c>
      <c r="B143" s="11" t="inlineStr">
        <is>
          <t>KU Leuven</t>
        </is>
      </c>
      <c r="C143" s="10" t="inlineStr">
        <is>
          <t>University-wide</t>
        </is>
      </c>
      <c r="D143" s="10" t="inlineStr">
        <is>
          <t>Live/research project</t>
        </is>
      </c>
      <c r="E143" s="10" t="inlineStr">
        <is>
          <t>Service-learning course network</t>
        </is>
      </c>
      <c r="F143" s="10" t="inlineStr">
        <is>
          <t>Central Service-learning team / faculties</t>
        </is>
      </c>
      <c r="G143" s="10" t="inlineStr">
        <is>
          <t>Mixed/varies</t>
        </is>
      </c>
      <c r="H143" s="10" t="inlineStr">
        <is>
          <t>Students in participating courses across academic groups</t>
        </is>
      </c>
      <c r="I143" s="10" t="inlineStr">
        <is>
          <t>Curricular community service, structured reflection and subject learning; list spans humanities, engineering and biomedical faculties. Requirements vary by course.</t>
        </is>
      </c>
      <c r="J143" s="10" t="inlineStr">
        <is>
          <t>Institution-wide support and course network across all three academic groups; not a common compulsory module.</t>
        </is>
      </c>
      <c r="K143" s="10" t="inlineStr">
        <is>
          <t>2026/27 course example; network list partly 2023/24</t>
        </is>
      </c>
      <c r="L143" s="10" t="inlineStr">
        <is>
          <t>EU sample</t>
        </is>
      </c>
      <c r="M143" s="10" t="inlineStr">
        <is>
          <t>https://www.kuleuven.be/english/education/sl/servicelearningatkuleuven/list-of-courses
https://www.kuleuven.be/english/apply/education/sl/whatisservicelearning</t>
        </is>
      </c>
      <c r="N143" s="10" t="inlineStr">
        <is>
          <t>Institutional framework</t>
        </is>
      </c>
      <c r="O143" s="10" t="inlineStr">
        <is>
          <t>Dated 2026/27</t>
        </is>
      </c>
      <c r="P143" s="81" t="n">
        <v>46303</v>
      </c>
      <c r="Q143" s="77" t="inlineStr">
        <is>
          <t>Not yet reassessed (institution not reviewed)</t>
        </is>
      </c>
    </row>
    <row r="144" ht="116" customHeight="1">
      <c r="A144" s="10" t="inlineStr">
        <is>
          <t>Belgium</t>
        </is>
      </c>
      <c r="B144" s="11" t="inlineStr">
        <is>
          <t>Ghent</t>
        </is>
      </c>
      <c r="C144" s="10" t="inlineStr">
        <is>
          <t>University-wide</t>
        </is>
      </c>
      <c r="D144" s="10" t="inlineStr">
        <is>
          <t>Live/research project</t>
        </is>
      </c>
      <c r="E144" s="10" t="inlineStr">
        <is>
          <t>Community Service Learning (CSL) framework</t>
        </is>
      </c>
      <c r="F144" s="10" t="inlineStr">
        <is>
          <t>Central teaching support / participating faculties</t>
        </is>
      </c>
      <c r="G144" s="10" t="inlineStr">
        <is>
          <t>Mixed/varies</t>
        </is>
      </c>
      <c r="H144" s="10" t="inlineStr">
        <is>
          <t>Students in participating courses; admissions differ</t>
        </is>
      </c>
      <c r="I144" s="10" t="inlineStr">
        <is>
          <t>Academic learning and civic engagement combine fieldwork in community organisations with reflection. Official guidance provides examples and curricular design support.</t>
        </is>
      </c>
      <c r="J144" s="10" t="inlineStr">
        <is>
          <t>Central teaching framework applicable across disciplines; specific course availability remains faculty/programme-based.</t>
        </is>
      </c>
      <c r="K144" s="10" t="inlineStr">
        <is>
          <t>Official teaching guidance; intake unverified</t>
        </is>
      </c>
      <c r="L144" s="10" t="inlineStr">
        <is>
          <t>EU sample</t>
        </is>
      </c>
      <c r="M144" s="10" t="inlineStr">
        <is>
          <t>https://www.onderwijstips.ugent.be/en/tips/community-service-learning-de-verbinding-tussen-st/</t>
        </is>
      </c>
      <c r="N144" s="10" t="inlineStr">
        <is>
          <t>Institutional framework</t>
        </is>
      </c>
      <c r="O144" s="10" t="inlineStr">
        <is>
          <t>Undated page</t>
        </is>
      </c>
      <c r="P144" s="81" t="n">
        <v>46303</v>
      </c>
      <c r="Q144" s="77" t="inlineStr">
        <is>
          <t>Not yet reassessed (institution not reviewed)</t>
        </is>
      </c>
    </row>
    <row r="145" ht="116" customHeight="1">
      <c r="A145" s="10" t="inlineStr">
        <is>
          <t>Belgium</t>
        </is>
      </c>
      <c r="B145" s="11" t="inlineStr">
        <is>
          <t>Ghent</t>
        </is>
      </c>
      <c r="C145" s="10" t="inlineStr">
        <is>
          <t>Programme/course</t>
        </is>
      </c>
      <c r="D145" s="10" t="inlineStr">
        <is>
          <t>Live/research project</t>
        </is>
      </c>
      <c r="E145" s="10" t="inlineStr">
        <is>
          <t>Seminar Political Sociology: Community Service Learning</t>
        </is>
      </c>
      <c r="F145" s="10" t="inlineStr">
        <is>
          <t>Department of Sociology</t>
        </is>
      </c>
      <c r="G145" s="10" t="inlineStr">
        <is>
          <t>Elective credit</t>
        </is>
      </c>
      <c r="H145" s="10" t="inlineStr">
        <is>
          <t>Students on the relevant Sociology master’s route</t>
        </is>
      </c>
      <c r="I145" s="10" t="inlineStr">
        <is>
          <t>Five-credit seminar brings community service learning into the political sociology curriculum.</t>
        </is>
      </c>
      <c r="J145" s="10" t="inlineStr">
        <is>
          <t>Named degree-route module; requirements and access follow programme rules.</t>
        </is>
      </c>
      <c r="K145" s="10" t="inlineStr">
        <is>
          <t>2025/26 programme catalogue confirmed</t>
        </is>
      </c>
      <c r="L145" s="10" t="inlineStr">
        <is>
          <t>EU sample</t>
        </is>
      </c>
      <c r="M145" s="10" t="inlineStr">
        <is>
          <t>https://studiekiezer.ugent.be/2025/programmapdf/en/KOMAATSO/6</t>
        </is>
      </c>
      <c r="N145" s="10" t="inlineStr">
        <is>
          <t>Direct eligibility</t>
        </is>
      </c>
      <c r="O145" s="10" t="inlineStr">
        <is>
          <t>Dated earlier / mixed</t>
        </is>
      </c>
      <c r="P145" s="81" t="n">
        <v>46303</v>
      </c>
      <c r="Q145" s="77" t="inlineStr">
        <is>
          <t>Not yet reassessed (institution not reviewed)</t>
        </is>
      </c>
    </row>
    <row r="146" ht="116" customHeight="1">
      <c r="A146" s="10" t="inlineStr">
        <is>
          <t>Ireland</t>
        </is>
      </c>
      <c r="B146" s="11" t="inlineStr">
        <is>
          <t>Trinity College Dublin</t>
        </is>
      </c>
      <c r="C146" s="10" t="inlineStr">
        <is>
          <t>University-wide</t>
        </is>
      </c>
      <c r="D146" s="10" t="inlineStr">
        <is>
          <t>Interdisciplinary curriculum</t>
        </is>
      </c>
      <c r="E146" s="10" t="inlineStr">
        <is>
          <t>Trinity Electives</t>
        </is>
      </c>
      <c r="F146" s="10" t="inlineStr">
        <is>
          <t>Central undergraduate curriculum</t>
        </is>
      </c>
      <c r="G146" s="10" t="inlineStr">
        <is>
          <t>Mixed/varies</t>
        </is>
      </c>
      <c r="H146" s="10" t="inlineStr">
        <is>
          <t>Most eligible undergraduates; many Health Sciences degrees excluded</t>
        </is>
      </c>
      <c r="I146" s="10" t="inlineStr">
        <is>
          <t>Five-ECTS standalone breadth modules address societal, cultural and interdisciplinary themes. Some degrees require electives; practical content varies by module.</t>
        </is>
      </c>
      <c r="J146" s="10" t="inlineStr">
        <is>
          <t>University framework with explicit degree exclusions; university-wide does not mean every programme/student.</t>
        </is>
      </c>
      <c r="K146" s="10" t="inlineStr">
        <is>
          <t>2026/27 timetable and August 2026 update</t>
        </is>
      </c>
      <c r="L146" s="10" t="inlineStr">
        <is>
          <t>EU sample</t>
        </is>
      </c>
      <c r="M146" s="10" t="inlineStr">
        <is>
          <t>https://www.tcd.ie/trinity-electives/information-for-students/</t>
        </is>
      </c>
      <c r="N146" s="10" t="inlineStr">
        <is>
          <t>Institutional framework</t>
        </is>
      </c>
      <c r="O146" s="10" t="inlineStr">
        <is>
          <t>Dated 2026/27</t>
        </is>
      </c>
      <c r="P146" s="81" t="n">
        <v>46303</v>
      </c>
      <c r="Q146" s="77" t="inlineStr">
        <is>
          <t>Not yet reassessed (institution not reviewed)</t>
        </is>
      </c>
    </row>
    <row r="147" ht="116" customHeight="1">
      <c r="A147" s="10" t="inlineStr">
        <is>
          <t>Ireland</t>
        </is>
      </c>
      <c r="B147" s="11" t="inlineStr">
        <is>
          <t>University College Dublin</t>
        </is>
      </c>
      <c r="C147" s="10" t="inlineStr">
        <is>
          <t>University-wide</t>
        </is>
      </c>
      <c r="D147" s="10" t="inlineStr">
        <is>
          <t>Live/research project</t>
        </is>
      </c>
      <c r="E147" s="10" t="inlineStr">
        <is>
          <t>Innovation Academy: Creativity &amp; Innovation, IA20010</t>
        </is>
      </c>
      <c r="F147" s="10" t="inlineStr">
        <is>
          <t>UCD Innovation Academy</t>
        </is>
      </c>
      <c r="G147" s="10" t="inlineStr">
        <is>
          <t>Elective credit</t>
        </is>
      </c>
      <c r="H147" s="10" t="inlineStr">
        <is>
          <t>Students from any discipline; class capacity applies</t>
        </is>
      </c>
      <c r="I147" s="10" t="inlineStr">
        <is>
          <t>Multidisciplinary teams apply design thinking to a real-world problem, with facilitated practice, presentations and reflective assessment.</t>
        </is>
      </c>
      <c r="J147" s="10" t="inlineStr">
        <is>
          <t>2026 module explicitly suitable for any discipline.</t>
        </is>
      </c>
      <c r="K147" s="10" t="inlineStr">
        <is>
          <t>2026 module catalogue confirmed</t>
        </is>
      </c>
      <c r="L147" s="10" t="inlineStr">
        <is>
          <t>EU sample</t>
        </is>
      </c>
      <c r="M147" s="10" t="inlineStr">
        <is>
          <t>https://hub.ucd.ie/usis/!W_HU_MENU.P_PUBLISH?ACYR=2026&amp;MODULE=IA20010&amp;TERMCODE=202600&amp;p_tag=MODULE</t>
        </is>
      </c>
      <c r="N147" s="10" t="inlineStr">
        <is>
          <t>Direct eligibility</t>
        </is>
      </c>
      <c r="O147" s="10" t="inlineStr">
        <is>
          <t>Dated 2026/27</t>
        </is>
      </c>
      <c r="P147" s="81" t="n">
        <v>46303</v>
      </c>
      <c r="Q147" s="77" t="inlineStr">
        <is>
          <t>Not yet reassessed (institution not reviewed)</t>
        </is>
      </c>
    </row>
    <row r="148" ht="116" customHeight="1">
      <c r="A148" s="10" t="inlineStr">
        <is>
          <t>Denmark</t>
        </is>
      </c>
      <c r="B148" s="11" t="inlineStr">
        <is>
          <t>Copenhagen</t>
        </is>
      </c>
      <c r="C148" s="10" t="inlineStr">
        <is>
          <t>University-wide</t>
        </is>
      </c>
      <c r="D148" s="10" t="inlineStr">
        <is>
          <t>Enterprise programme</t>
        </is>
      </c>
      <c r="E148" s="10" t="inlineStr">
        <is>
          <t>UCPH Lighthouse / Lighthouse Launch</t>
        </is>
      </c>
      <c r="F148" s="10" t="inlineStr">
        <is>
          <t>University innovation centre</t>
        </is>
      </c>
      <c r="G148" s="10" t="inlineStr">
        <is>
          <t>Mixed/varies</t>
        </is>
      </c>
      <c r="H148" s="10" t="inlineStr">
        <is>
          <t>All UCPH students, any subject or study stage; programme selection applies</t>
        </is>
      </c>
      <c r="I148" s="10" t="inlineStr">
        <is>
          <t>Practical innovation workshops, idea testing, mentoring, project support and three-month venture-development programme. ECTS innovation-project routes depend on degree approval.</t>
        </is>
      </c>
      <c r="J148" s="10" t="inlineStr">
        <is>
          <t>Official university page explicitly supports all students regardless of subject or progress.</t>
        </is>
      </c>
      <c r="K148" s="10" t="inlineStr">
        <is>
          <t>Official programme page; intake unverified</t>
        </is>
      </c>
      <c r="L148" s="10" t="inlineStr">
        <is>
          <t>EU sample</t>
        </is>
      </c>
      <c r="M148" s="10" t="inlineStr">
        <is>
          <t>https://innovation.ku.dk/english/for-students/
https://lighthouse.ku.dk/en/students/innovation-projects-with-ects/</t>
        </is>
      </c>
      <c r="N148" s="10" t="inlineStr">
        <is>
          <t>Direct eligibility</t>
        </is>
      </c>
      <c r="O148" s="10" t="inlineStr">
        <is>
          <t>Undated page</t>
        </is>
      </c>
      <c r="P148" s="81" t="n">
        <v>46303</v>
      </c>
      <c r="Q148" s="77" t="inlineStr">
        <is>
          <t>Not yet reassessed (institution not reviewed)</t>
        </is>
      </c>
    </row>
    <row r="149" ht="116" customHeight="1">
      <c r="A149" s="10" t="inlineStr">
        <is>
          <t>Denmark</t>
        </is>
      </c>
      <c r="B149" s="11" t="inlineStr">
        <is>
          <t>Aarhus</t>
        </is>
      </c>
      <c r="C149" s="10" t="inlineStr">
        <is>
          <t>University-wide</t>
        </is>
      </c>
      <c r="D149" s="10" t="inlineStr">
        <is>
          <t>Live/research project</t>
        </is>
      </c>
      <c r="E149" s="10" t="inlineStr">
        <is>
          <t>Aarhus Case Competition: Game of Consultancy</t>
        </is>
      </c>
      <c r="F149" s="10" t="inlineStr">
        <is>
          <t>Student-run ACC / university enterprise ecosystem</t>
        </is>
      </c>
      <c r="G149" s="10" t="inlineStr">
        <is>
          <t>Co-curricular</t>
        </is>
      </c>
      <c r="H149" s="10" t="inlineStr">
        <is>
          <t>All Aarhus students for Game of Consultancy; other tracks have separate eligibility</t>
        </is>
      </c>
      <c r="I149" s="10" t="inlineStr">
        <is>
          <t>Time-limited business case solving with consulting partners; workshops and pitching develop applied teamwork and problem solving.</t>
        </is>
      </c>
      <c r="J149" s="10" t="inlineStr">
        <is>
          <t>Organiser explicitly opens Game of Consultancy to all Aarhus students; do not generalise to every competition track.</t>
        </is>
      </c>
      <c r="K149" s="10" t="inlineStr">
        <is>
          <t>March 2026 event confirmed</t>
        </is>
      </c>
      <c r="L149" s="10" t="inlineStr">
        <is>
          <t>EU sample</t>
        </is>
      </c>
      <c r="M149" s="10" t="inlineStr">
        <is>
          <t>https://www.aarhuscasecompetition.com/game-of-consultancy
https://www.aarhuscasecompetition.com/about</t>
        </is>
      </c>
      <c r="N149" s="10" t="inlineStr">
        <is>
          <t>Direct eligibility</t>
        </is>
      </c>
      <c r="O149" s="10" t="inlineStr">
        <is>
          <t>Dated 2026/27</t>
        </is>
      </c>
      <c r="P149" s="81" t="n">
        <v>46303</v>
      </c>
      <c r="Q149" s="77" t="inlineStr">
        <is>
          <t>Not yet reassessed (institution not reviewed)</t>
        </is>
      </c>
    </row>
    <row r="150" ht="116" customHeight="1">
      <c r="A150" s="10" t="inlineStr">
        <is>
          <t>Sweden</t>
        </is>
      </c>
      <c r="B150" s="11" t="inlineStr">
        <is>
          <t>Lund</t>
        </is>
      </c>
      <c r="C150" s="10" t="inlineStr">
        <is>
          <t>University-wide</t>
        </is>
      </c>
      <c r="D150" s="10" t="inlineStr">
        <is>
          <t>Enterprise programme</t>
        </is>
      </c>
      <c r="E150" s="10" t="inlineStr">
        <is>
          <t>VentureLab</t>
        </is>
      </c>
      <c r="F150" s="10" t="inlineStr">
        <is>
          <t>LU Innovation; co-funded by faculties</t>
        </is>
      </c>
      <c r="G150" s="10" t="inlineStr">
        <is>
          <t>Co-curricular</t>
        </is>
      </c>
      <c r="H150" s="10" t="inlineStr">
        <is>
          <t>Students and recent graduates; innovation advice open to all students/researchers</t>
        </is>
      </c>
      <c r="I150" s="10" t="inlineStr">
        <is>
          <t>Idea counselling, venture-development programme, incubator workspace and founder community support testing and developing student ventures.</t>
        </is>
      </c>
      <c r="J150" s="10" t="inlineStr">
        <is>
          <t>Official university innovation page explicitly all-student reach; incubator selection applies.</t>
        </is>
      </c>
      <c r="K150" s="10" t="inlineStr">
        <is>
          <t>2026 events / August 2026 page update</t>
        </is>
      </c>
      <c r="L150" s="10" t="inlineStr">
        <is>
          <t>EU sample</t>
        </is>
      </c>
      <c r="M150" s="10" t="inlineStr">
        <is>
          <t>https://www.innovation.lu.se/en/node/902
https://www.innovation.lu.se/en/students</t>
        </is>
      </c>
      <c r="N150" s="10" t="inlineStr">
        <is>
          <t>Direct eligibility</t>
        </is>
      </c>
      <c r="O150" s="10" t="inlineStr">
        <is>
          <t>Dated 2026/27</t>
        </is>
      </c>
      <c r="P150" s="81" t="n">
        <v>46303</v>
      </c>
      <c r="Q150" s="77" t="inlineStr">
        <is>
          <t>Not yet reassessed (institution not reviewed)</t>
        </is>
      </c>
    </row>
    <row r="151" ht="116" customHeight="1">
      <c r="A151" s="10" t="inlineStr">
        <is>
          <t>Sweden</t>
        </is>
      </c>
      <c r="B151" s="11" t="inlineStr">
        <is>
          <t>KTH Royal Institute of Technology</t>
        </is>
      </c>
      <c r="C151" s="10" t="inlineStr">
        <is>
          <t>University-wide</t>
        </is>
      </c>
      <c r="D151" s="10" t="inlineStr">
        <is>
          <t>Live/research project</t>
        </is>
      </c>
      <c r="E151" s="10" t="inlineStr">
        <is>
          <t>Openlab: Innovations for the Emerging City, MF2065</t>
        </is>
      </c>
      <c r="F151" s="10" t="inlineStr">
        <is>
          <t>KTH / Openlab university partnership</t>
        </is>
      </c>
      <c r="G151" s="10" t="inlineStr">
        <is>
          <t>Elective credit</t>
        </is>
      </c>
      <c r="H151" s="10" t="inlineStr">
        <is>
          <t>Advanced-level master’s students at KTH; partner-university students in shared teams</t>
        </is>
      </c>
      <c r="I151" s="10" t="inlineStr">
        <is>
          <t>15-credit interdisciplinary course develops proposals for city and regional clients addressing growing and sustainable cities; half-time over a semester.</t>
        </is>
      </c>
      <c r="J151" s="10" t="inlineStr">
        <is>
          <t>KTH catalogue opens course to advanced-level master’s students; not restricted to a named school.</t>
        </is>
      </c>
      <c r="K151" s="10" t="inlineStr">
        <is>
          <t>Autumn 2026 offering confirmed</t>
        </is>
      </c>
      <c r="L151" s="10" t="inlineStr">
        <is>
          <t>EU sample</t>
        </is>
      </c>
      <c r="M151" s="10" t="inlineStr">
        <is>
          <t>https://www.kth.se/student/kurser/kurs/MF2065?l=en</t>
        </is>
      </c>
      <c r="N151" s="10" t="inlineStr">
        <is>
          <t>Direct eligibility</t>
        </is>
      </c>
      <c r="O151" s="10" t="inlineStr">
        <is>
          <t>Dated 2026/27</t>
        </is>
      </c>
      <c r="P151" s="81" t="n">
        <v>46303</v>
      </c>
      <c r="Q151" s="77" t="inlineStr">
        <is>
          <t>Not yet reassessed (institution not reviewed)</t>
        </is>
      </c>
    </row>
    <row r="152" ht="116" customHeight="1">
      <c r="A152" s="10" t="inlineStr">
        <is>
          <t>Sweden</t>
        </is>
      </c>
      <c r="B152" s="11" t="inlineStr">
        <is>
          <t>Uppsala</t>
        </is>
      </c>
      <c r="C152" s="10" t="inlineStr">
        <is>
          <t>Not confirmed</t>
        </is>
      </c>
      <c r="D152" s="10" t="inlineStr">
        <is>
          <t>Interdisciplinary curriculum</t>
        </is>
      </c>
      <c r="E152" s="10" t="inlineStr">
        <is>
          <t>CEMUS student-led sustainability courses</t>
        </is>
      </c>
      <c r="F152" s="10" t="inlineStr">
        <is>
          <t>CEMUS; Uppsala / SLU joint environment</t>
        </is>
      </c>
      <c r="G152" s="10" t="inlineStr">
        <is>
          <t>Elective credit</t>
        </is>
      </c>
      <c r="H152" s="10" t="inlineStr">
        <is>
          <t>Eligible students on courses and sustainability packages; admissions apply</t>
        </is>
      </c>
      <c r="I152" s="10" t="inlineStr">
        <is>
          <t>Transdisciplinary sustainability courses are co-created with student coordinators, researchers and societal actors. Applied packages and project content vary.</t>
        </is>
      </c>
      <c r="J152" s="10" t="inlineStr">
        <is>
          <t>Official source establishes transdisciplinary courses, but academic reach across faculties is not established. A joint institutional home alone cannot settle student access.</t>
        </is>
      </c>
      <c r="K152" s="10" t="inlineStr">
        <is>
          <t>Spring 2026 courses confirmed</t>
        </is>
      </c>
      <c r="L152" s="10" t="inlineStr">
        <is>
          <t>EU sample</t>
        </is>
      </c>
      <c r="M152" s="10" t="inlineStr">
        <is>
          <t>https://www.cemus.uu.se/education/</t>
        </is>
      </c>
      <c r="N152" s="10" t="inlineStr">
        <is>
          <t>Unconfirmed reach</t>
        </is>
      </c>
      <c r="O152" s="10" t="inlineStr">
        <is>
          <t>Dated 2026/27</t>
        </is>
      </c>
      <c r="P152" s="81" t="n">
        <v>46303</v>
      </c>
      <c r="Q152" s="77" t="inlineStr">
        <is>
          <t>Not yet reassessed (institution not reviewed)</t>
        </is>
      </c>
    </row>
    <row r="153" ht="116" customHeight="1">
      <c r="A153" s="10" t="inlineStr">
        <is>
          <t>Finland</t>
        </is>
      </c>
      <c r="B153" s="11" t="inlineStr">
        <is>
          <t>Aalto</t>
        </is>
      </c>
      <c r="C153" s="10" t="inlineStr">
        <is>
          <t>University-wide</t>
        </is>
      </c>
      <c r="D153" s="10" t="inlineStr">
        <is>
          <t>Live/research project</t>
        </is>
      </c>
      <c r="E153" s="10" t="inlineStr">
        <is>
          <t>Product Development Project (PdP)</t>
        </is>
      </c>
      <c r="F153" s="10" t="inlineStr">
        <is>
          <t>Aalto Design Factory</t>
        </is>
      </c>
      <c r="G153" s="10" t="inlineStr">
        <is>
          <t>Elective credit</t>
        </is>
      </c>
      <c r="H153" s="10" t="inlineStr">
        <is>
          <t>Master’s students from all backgrounds; selection applies</t>
        </is>
      </c>
      <c r="I153" s="10" t="inlineStr">
        <is>
          <t>Two-semester teams work from an industrial sponsor’s brief to a functioning prototype, culminating in a May gala.</t>
        </is>
      </c>
      <c r="J153" s="10" t="inlineStr">
        <is>
          <t>Explicit all-background master’s eligibility; Engineering/Design/Business are common backgrounds, not exclusive eligibility.</t>
        </is>
      </c>
      <c r="K153" s="10" t="inlineStr">
        <is>
          <t>October 2026 project launch confirmed</t>
        </is>
      </c>
      <c r="L153" s="10" t="inlineStr">
        <is>
          <t>EU sample</t>
        </is>
      </c>
      <c r="M153" s="10" t="inlineStr">
        <is>
          <t>https://www.aalto.fi/en/collaborative-and-industrial-design/product-development-project
https://www.aalto.fi/en/news/from-brief-to-prototype-in-six-hours-pd6-launches-pdp-projects</t>
        </is>
      </c>
      <c r="N153" s="10" t="inlineStr">
        <is>
          <t>Direct eligibility</t>
        </is>
      </c>
      <c r="O153" s="10" t="inlineStr">
        <is>
          <t>Dated 2026/27</t>
        </is>
      </c>
      <c r="P153" s="81" t="n">
        <v>46303</v>
      </c>
      <c r="Q153" s="77" t="inlineStr">
        <is>
          <t>Not yet reassessed (institution not reviewed)</t>
        </is>
      </c>
    </row>
    <row r="154" ht="116" customHeight="1">
      <c r="A154" s="10" t="inlineStr">
        <is>
          <t>Finland</t>
        </is>
      </c>
      <c r="B154" s="11" t="inlineStr">
        <is>
          <t>Helsinki</t>
        </is>
      </c>
      <c r="C154" s="10" t="inlineStr">
        <is>
          <t>University-wide</t>
        </is>
      </c>
      <c r="D154" s="10" t="inlineStr">
        <is>
          <t>Live/research project</t>
        </is>
      </c>
      <c r="E154" s="10" t="inlineStr">
        <is>
          <t>HELSUS Co-Creation Lab</t>
        </is>
      </c>
      <c r="F154" s="10" t="inlineStr">
        <is>
          <t>Helsinki Institute of Sustainability Science</t>
        </is>
      </c>
      <c r="G154" s="10" t="inlineStr">
        <is>
          <t>Elective credit</t>
        </is>
      </c>
      <c r="H154" s="10" t="inlineStr">
        <is>
          <t>Master’s students seeking a thesis topic; thematic relevance and selection apply</t>
        </is>
      </c>
      <c r="I154" s="10" t="inlineStr">
        <is>
          <t>Facilitated co-creation with sustainability partners informs a master’s thesis, with research, interpretation and final presentation stages. Adds to normal thesis seminars.</t>
        </is>
      </c>
      <c r="J154" s="10" t="inlineStr">
        <is>
          <t>Official eligibility addresses Helsinki master’s students generally; relevant field and methods determine admission.</t>
        </is>
      </c>
      <c r="K154" s="10" t="inlineStr">
        <is>
          <t>Latest run October 2024–March 2025; next unverified</t>
        </is>
      </c>
      <c r="L154" s="10" t="inlineStr">
        <is>
          <t>EU sample</t>
        </is>
      </c>
      <c r="M154" s="10" t="inlineStr">
        <is>
          <t>https://www.helsinki.fi/en/helsinki-institute-sustainability-science/helsus-co-creation-lab</t>
        </is>
      </c>
      <c r="N154" s="10" t="inlineStr">
        <is>
          <t>Direct eligibility</t>
        </is>
      </c>
      <c r="O154" s="10" t="inlineStr">
        <is>
          <t>Dated earlier / mixed</t>
        </is>
      </c>
      <c r="P154" s="81" t="n">
        <v>46303</v>
      </c>
      <c r="Q154" s="77" t="inlineStr">
        <is>
          <t>Not yet reassessed (institution not reviewed)</t>
        </is>
      </c>
    </row>
    <row r="155" ht="116" customHeight="1">
      <c r="A155" s="10" t="inlineStr">
        <is>
          <t>Spain</t>
        </is>
      </c>
      <c r="B155" s="11" t="inlineStr">
        <is>
          <t>Barcelona</t>
        </is>
      </c>
      <c r="C155" s="10" t="inlineStr">
        <is>
          <t>Faculty/school</t>
        </is>
      </c>
      <c r="D155" s="10" t="inlineStr">
        <is>
          <t>Live/research project</t>
        </is>
      </c>
      <c r="E155" s="10" t="inlineStr">
        <is>
          <t>Service-learning in Economics and Business</t>
        </is>
      </c>
      <c r="F155" s="10" t="inlineStr">
        <is>
          <t>Faculty of Economics and Business</t>
        </is>
      </c>
      <c r="G155" s="10" t="inlineStr">
        <is>
          <t>Mixed/varies</t>
        </is>
      </c>
      <c r="H155" s="10" t="inlineStr">
        <is>
          <t>Faculty students on participating modules, placements and final projects</t>
        </is>
      </c>
      <c r="I155" s="10" t="inlineStr">
        <is>
          <t>Community service with academic learning can be embedded in required/optional subjects, placements, final projects or recognition-credit programmes.</t>
        </is>
      </c>
      <c r="J155" s="10" t="inlineStr">
        <is>
          <t>Retrieved scheme evidence is faculty-specific; cross-disciplinary methods alone do not establish all-faculty access.</t>
        </is>
      </c>
      <c r="K155" s="10" t="inlineStr">
        <is>
          <t>Official faculty page; intake unverified</t>
        </is>
      </c>
      <c r="L155" s="10" t="inlineStr">
        <is>
          <t>EU sample</t>
        </is>
      </c>
      <c r="M155" s="10" t="inlineStr">
        <is>
          <t>https://web.ub.edu/en/web/facultat-economia-empresa/compromis-social-i-aprenentatge-servei</t>
        </is>
      </c>
      <c r="N155" s="10" t="inlineStr">
        <is>
          <t>Direct eligibility</t>
        </is>
      </c>
      <c r="O155" s="10" t="inlineStr">
        <is>
          <t>Undated page</t>
        </is>
      </c>
      <c r="P155" s="81" t="n">
        <v>46303</v>
      </c>
      <c r="Q155" s="77" t="inlineStr">
        <is>
          <t>Not yet reassessed (institution not reviewed)</t>
        </is>
      </c>
    </row>
    <row r="156" ht="116" customHeight="1">
      <c r="A156" s="10" t="inlineStr">
        <is>
          <t>Spain</t>
        </is>
      </c>
      <c r="B156" s="11" t="inlineStr">
        <is>
          <t>Pompeu Fabra</t>
        </is>
      </c>
      <c r="C156" s="10" t="inlineStr">
        <is>
          <t>Not confirmed</t>
        </is>
      </c>
      <c r="D156" s="10" t="inlineStr">
        <is>
          <t>Live/research project</t>
        </is>
      </c>
      <c r="E156" s="10" t="inlineStr">
        <is>
          <t>HackLab</t>
        </is>
      </c>
      <c r="F156" s="10" t="inlineStr">
        <is>
          <t>University HackLab across three campuses</t>
        </is>
      </c>
      <c r="G156" s="10" t="inlineStr">
        <is>
          <t>Co-curricular</t>
        </is>
      </c>
      <c r="H156" s="10" t="inlineStr">
        <is>
          <t>Students proposing collaborative projects; support/selection applies</t>
        </is>
      </c>
      <c r="I156" s="10" t="inlineStr">
        <is>
          <t>Co-creation, self-learning and peer collaboration in technology, communication and digital arts, with staff support and possible project funding.</t>
        </is>
      </c>
      <c r="J156" s="10" t="inlineStr">
        <is>
          <t>Cross-campus student workshop provision; university reach inferred, no faculty exclusion stated. Academic reach remains Not confirmed until eligibility or institution-wide framework reach is established.</t>
        </is>
      </c>
      <c r="K156" s="10" t="inlineStr">
        <is>
          <t>Official page; intake unverified</t>
        </is>
      </c>
      <c r="L156" s="10" t="inlineStr">
        <is>
          <t>EU sample</t>
        </is>
      </c>
      <c r="M156" s="10" t="inlineStr">
        <is>
          <t>https://www.upf.edu/web/hacklab
https://www.upf.edu/en/web/hacklab/inici/-/asset_publisher/tlv3IC9E5ycz/content/id/157845280</t>
        </is>
      </c>
      <c r="N156" s="10" t="inlineStr">
        <is>
          <t>Unconfirmed reach</t>
        </is>
      </c>
      <c r="O156" s="10" t="inlineStr">
        <is>
          <t>Undated page</t>
        </is>
      </c>
      <c r="P156" s="81" t="n">
        <v>46303</v>
      </c>
      <c r="Q156" s="77" t="inlineStr">
        <is>
          <t>Not yet reassessed (institution not reviewed)</t>
        </is>
      </c>
    </row>
    <row r="157" ht="116" customHeight="1">
      <c r="A157" s="10" t="inlineStr">
        <is>
          <t>Italy</t>
        </is>
      </c>
      <c r="B157" s="11" t="inlineStr">
        <is>
          <t>Politecnico di Milano</t>
        </is>
      </c>
      <c r="C157" s="10" t="inlineStr">
        <is>
          <t>University-wide</t>
        </is>
      </c>
      <c r="D157" s="10" t="inlineStr">
        <is>
          <t>Live/research project</t>
        </is>
      </c>
      <c r="E157" s="10" t="inlineStr">
        <is>
          <t>Alta Scuola Politecnica (ASP)</t>
        </is>
      </c>
      <c r="F157" s="10" t="inlineStr">
        <is>
          <t>Joint Politecnico di Milano / Torino honours programme</t>
        </is>
      </c>
      <c r="G157" s="10" t="inlineStr">
        <is>
          <t>Elective credit</t>
        </is>
      </c>
      <c r="H157" s="10" t="inlineStr">
        <is>
          <t>Selected master’s entrants in Engineering, Architecture and Design</t>
        </is>
      </c>
      <c r="I157" s="10" t="inlineStr">
        <is>
          <t>Two-year interdisciplinary honours programme adds 30 credits alongside the master’s and develops innovation through collaborative projects. Published selection: 90 Milano and 60 Torino students.</t>
        </is>
      </c>
      <c r="J157" s="10" t="inlineStr">
        <is>
          <t>Covers the institution’s three principal academic areas; selective university-level honours programme, not every student.</t>
        </is>
      </c>
      <c r="K157" s="10" t="inlineStr">
        <is>
          <t>Official programme page; intake unverified</t>
        </is>
      </c>
      <c r="L157" s="10" t="inlineStr">
        <is>
          <t>EU sample</t>
        </is>
      </c>
      <c r="M157" s="10" t="inlineStr">
        <is>
          <t>https://www.deib.polimi.it/eng/asp-programme</t>
        </is>
      </c>
      <c r="N157" s="10" t="inlineStr">
        <is>
          <t>Direct eligibility</t>
        </is>
      </c>
      <c r="O157" s="10" t="inlineStr">
        <is>
          <t>Undated page</t>
        </is>
      </c>
      <c r="P157" s="81" t="n">
        <v>46303</v>
      </c>
      <c r="Q157" s="77" t="inlineStr">
        <is>
          <t>Not yet reassessed (institution not reviewed)</t>
        </is>
      </c>
    </row>
    <row r="158" ht="116" customHeight="1">
      <c r="A158" s="10" t="inlineStr">
        <is>
          <t>Spain</t>
        </is>
      </c>
      <c r="B158" s="11" t="inlineStr">
        <is>
          <t>Barcelona</t>
        </is>
      </c>
      <c r="C158" s="10" t="inlineStr">
        <is>
          <t>Cross-faculty</t>
        </is>
      </c>
      <c r="D158" s="10" t="inlineStr">
        <is>
          <t>Live/research project</t>
        </is>
      </c>
      <c r="E158" s="10" t="inlineStr">
        <is>
          <t>UB Service-learning (ApS) coordination network</t>
        </is>
      </c>
      <c r="F158" s="10" t="inlineStr">
        <is>
          <t>Interfaculty ApS working group / faculty coordinators</t>
        </is>
      </c>
      <c r="G158" s="10" t="inlineStr">
        <is>
          <t>Mixed/varies</t>
        </is>
      </c>
      <c r="H158" s="10" t="inlineStr">
        <is>
          <t>Students in participating faculty projects and courses</t>
        </is>
      </c>
      <c r="I158" s="10" t="inlineStr">
        <is>
          <t>Cross-faculty coordination promotes community-based projects integrating service and academic learning; practical delivery remains through faculty modules, placements and final projects.</t>
        </is>
      </c>
      <c r="J158" s="10" t="inlineStr">
        <is>
          <t>University report documents a network of named faculties; this is evidence of cross-faculty coordination, not universal open student access.</t>
        </is>
      </c>
      <c r="K158" s="10" t="inlineStr">
        <is>
          <t>Official report / faculty implementation evidence; current intake unverified</t>
        </is>
      </c>
      <c r="L158" s="10" t="inlineStr">
        <is>
          <t>EU sample</t>
        </is>
      </c>
      <c r="M158" s="10" t="inlineStr">
        <is>
          <t>https://diposit.ub.edu/bitstreams/5b235082-dd8b-4fa7-a433-00c41c5c1a38/download
https://web.ub.edu/en/web/facultat-economia-empresa/compromis-social-i-aprenentatge-servei</t>
        </is>
      </c>
      <c r="N158" s="10" t="inlineStr">
        <is>
          <t>Institutional framework</t>
        </is>
      </c>
      <c r="O158" s="10" t="inlineStr">
        <is>
          <t>Undated page</t>
        </is>
      </c>
      <c r="P158" s="81" t="n">
        <v>46303</v>
      </c>
      <c r="Q158" s="77" t="inlineStr">
        <is>
          <t>Not yet reassessed (institution not reviewed)</t>
        </is>
      </c>
    </row>
  </sheetData>
  <mergeCells count="3">
    <mergeCell ref="A3:F3"/>
    <mergeCell ref="A2:F2"/>
    <mergeCell ref="A4:F4"/>
  </mergeCells>
  <conditionalFormatting sqref="C7:C158">
    <cfRule type="containsText" priority="1" operator="containsText" dxfId="0" text="Not confirmed"/>
  </conditionalFormatting>
  <conditionalFormatting sqref="O7:O158">
    <cfRule type="containsText" priority="2" operator="containsText" dxfId="1" text="Paused"/>
  </conditionalFormatting>
  <dataValidations count="3">
    <dataValidation sqref="C7:C158" showDropDown="0" showInputMessage="0" showErrorMessage="0" allowBlank="0" type="list">
      <formula1>"University-wide,Cross-faculty,Faculty/school,Programme/course,Not confirmed"</formula1>
    </dataValidation>
    <dataValidation sqref="D7:D158" showDropDown="0" showInputMessage="0" showErrorMessage="0" allowBlank="0" type="list">
      <formula1>"Interdisciplinary curriculum,Live/research project,Placement/WIL,Co-curricular award,Enterprise programme,International collaboration"</formula1>
    </dataValidation>
    <dataValidation sqref="G7:G158" showDropDown="0" showInputMessage="0" showErrorMessage="0" allowBlank="0" type="list">
      <formula1>"Compulsory,Elective credit,Co-curricular,Mixed/varies,Not confirmed"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203B60"/>
    <outlinePr summaryBelow="1" summaryRight="1"/>
    <pageSetUpPr/>
  </sheetPr>
  <dimension ref="A1:Q21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5" customWidth="1" min="1" max="1"/>
    <col width="51" customWidth="1" min="2" max="2"/>
    <col width="27" customWidth="1" min="3" max="3"/>
    <col width="17" customWidth="1" min="4" max="4"/>
    <col width="20" customWidth="1" min="5" max="5"/>
    <col width="23" customWidth="1" min="6" max="6"/>
    <col width="23" customWidth="1" min="7" max="7"/>
    <col width="21" customWidth="1" min="8" max="8"/>
    <col width="24" customWidth="1" min="9" max="9"/>
    <col width="21" customWidth="1" min="10" max="10"/>
    <col width="22" customWidth="1" min="11" max="11"/>
    <col width="23" customWidth="1" min="12" max="12"/>
    <col width="21" customWidth="1" min="13" max="13"/>
    <col width="25" customWidth="1" min="14" max="14"/>
    <col width="27" customWidth="1" min="15" max="15"/>
    <col width="19" customWidth="1" min="16" max="16"/>
    <col width="31" customWidth="1" min="17" max="17"/>
  </cols>
  <sheetData>
    <row r="1"/>
    <row r="2" ht="28" customHeight="1">
      <c r="A2" s="4" t="inlineStr">
        <is>
          <t>UK CPD and continuing education: all HESA providers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36" customHeight="1">
      <c r="A3" s="6" t="inlineStr">
        <is>
          <t>Source: user-supplied HESA HE-BCI Table 2b, dt032-table-2b.csv. Actual data: 2024/25 only; 206 HE providers. Raw income inputs in GBP thousands.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6" customHeight="1">
      <c r="A4" s="6" t="inlineStr">
        <is>
          <t>Learner days are rounded reported figures; zero days with income do not prove no learners. Published Total is a separate control, excluded from provider sums. CPD/CE does not capture every lifelong-learning activity.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 ht="40" customHeight="1">
      <c r="A6" s="9" t="inlineStr">
        <is>
          <t>UKPRN</t>
        </is>
      </c>
      <c r="B6" s="9" t="inlineStr">
        <is>
          <t>HESA provider name</t>
        </is>
      </c>
      <c r="C6" s="9" t="inlineStr">
        <is>
          <t>Research cohort</t>
        </is>
      </c>
      <c r="D6" s="9" t="inlineStr">
        <is>
          <t>Academic year</t>
        </is>
      </c>
      <c r="E6" s="9" t="inlineStr">
        <is>
          <t>SMEs (£000)</t>
        </is>
      </c>
      <c r="F6" s="9" t="inlineStr">
        <is>
          <t>Other commercial (£000)</t>
        </is>
      </c>
      <c r="G6" s="9" t="inlineStr">
        <is>
          <t>Non-commercial (£000)</t>
        </is>
      </c>
      <c r="H6" s="9" t="inlineStr">
        <is>
          <t>Individuals (£000)</t>
        </is>
      </c>
      <c r="I6" s="9" t="inlineStr">
        <is>
          <t>Total CPD/CE (£000)</t>
        </is>
      </c>
      <c r="J6" s="9" t="inlineStr">
        <is>
          <t>Learner days</t>
        </is>
      </c>
      <c r="K6" s="9" t="inlineStr">
        <is>
          <t>Total income (£m)</t>
        </is>
      </c>
      <c r="L6" s="9" t="inlineStr">
        <is>
          <t>Organisations (£m)</t>
        </is>
      </c>
      <c r="M6" s="9" t="inlineStr">
        <is>
          <t>Individuals share</t>
        </is>
      </c>
      <c r="N6" s="9" t="inlineStr">
        <is>
          <t>Income per learner day (£)</t>
        </is>
      </c>
      <c r="O6" s="9" t="inlineStr">
        <is>
          <t>Components − total (£000)</t>
        </is>
      </c>
      <c r="P6" s="9" t="inlineStr">
        <is>
          <t>Revenue rank</t>
        </is>
      </c>
      <c r="Q6" s="9" t="inlineStr">
        <is>
          <t>Chart label</t>
        </is>
      </c>
    </row>
    <row r="7" ht="46" customHeight="1">
      <c r="A7" s="10" t="inlineStr">
        <is>
          <t>10007769</t>
        </is>
      </c>
      <c r="B7" s="11" t="inlineStr">
        <is>
          <t>London Business School</t>
        </is>
      </c>
      <c r="C7" s="10" t="inlineStr">
        <is>
          <t>Other HE provider</t>
        </is>
      </c>
      <c r="D7" s="10" t="inlineStr">
        <is>
          <t>2024/25</t>
        </is>
      </c>
      <c r="E7" s="82" t="n">
        <v>0</v>
      </c>
      <c r="F7" s="82" t="n">
        <v>27000</v>
      </c>
      <c r="G7" s="82" t="n">
        <v>11000</v>
      </c>
      <c r="H7" s="82" t="n">
        <v>32000</v>
      </c>
      <c r="I7" s="82" t="n">
        <v>70000</v>
      </c>
      <c r="J7" s="82" t="n">
        <v>67600</v>
      </c>
      <c r="K7" s="83">
        <f>I7/1000</f>
        <v/>
      </c>
      <c r="L7" s="83">
        <f>SUM(E7:G7)/1000</f>
        <v/>
      </c>
      <c r="M7" s="84">
        <f>IF(I7=0,"n.a.",H7/I7)</f>
        <v/>
      </c>
      <c r="N7" s="82">
        <f>IF(J7=0,"n.a.",I7*1000/J7)</f>
        <v/>
      </c>
      <c r="O7" s="82">
        <f>SUM(E7:H7)-I7</f>
        <v/>
      </c>
      <c r="P7" s="82">
        <f>RANK(I7,$I$7:$I$212,0)+COUNTIF($I$7:I7,I7)-1</f>
        <v/>
      </c>
      <c r="Q7" s="10" t="inlineStr">
        <is>
          <t>London Business School</t>
        </is>
      </c>
    </row>
    <row r="8" ht="46" customHeight="1">
      <c r="A8" s="10" t="inlineStr">
        <is>
          <t>10007774</t>
        </is>
      </c>
      <c r="B8" s="11" t="inlineStr">
        <is>
          <t>The University of Oxford</t>
        </is>
      </c>
      <c r="C8" s="10" t="inlineStr">
        <is>
          <t>Russell Group</t>
        </is>
      </c>
      <c r="D8" s="10" t="inlineStr">
        <is>
          <t>2024/25</t>
        </is>
      </c>
      <c r="E8" s="82" t="n">
        <v>3704</v>
      </c>
      <c r="F8" s="82" t="n">
        <v>21117</v>
      </c>
      <c r="G8" s="82" t="n">
        <v>5725</v>
      </c>
      <c r="H8" s="82" t="n">
        <v>14186</v>
      </c>
      <c r="I8" s="82" t="n">
        <v>44732</v>
      </c>
      <c r="J8" s="82" t="n">
        <v>42976</v>
      </c>
      <c r="K8" s="83">
        <f>I8/1000</f>
        <v/>
      </c>
      <c r="L8" s="83">
        <f>SUM(E8:G8)/1000</f>
        <v/>
      </c>
      <c r="M8" s="84">
        <f>IF(I8=0,"n.a.",H8/I8)</f>
        <v/>
      </c>
      <c r="N8" s="82">
        <f>IF(J8=0,"n.a.",I8*1000/J8)</f>
        <v/>
      </c>
      <c r="O8" s="82">
        <f>SUM(E8:H8)-I8</f>
        <v/>
      </c>
      <c r="P8" s="82">
        <f>RANK(I8,$I$7:$I$212,0)+COUNTIF($I$7:I8,I8)-1</f>
        <v/>
      </c>
      <c r="Q8" s="10" t="inlineStr">
        <is>
          <t>Oxford</t>
        </is>
      </c>
    </row>
    <row r="9" ht="46" customHeight="1">
      <c r="A9" s="10" t="inlineStr">
        <is>
          <t>10007788</t>
        </is>
      </c>
      <c r="B9" s="11" t="inlineStr">
        <is>
          <t>The University of Cambridge</t>
        </is>
      </c>
      <c r="C9" s="10" t="inlineStr">
        <is>
          <t>Russell Group</t>
        </is>
      </c>
      <c r="D9" s="10" t="inlineStr">
        <is>
          <t>2024/25</t>
        </is>
      </c>
      <c r="E9" s="82" t="n">
        <v>1968</v>
      </c>
      <c r="F9" s="82" t="n">
        <v>21032</v>
      </c>
      <c r="G9" s="82" t="n">
        <v>7061</v>
      </c>
      <c r="H9" s="82" t="n">
        <v>12682</v>
      </c>
      <c r="I9" s="82" t="n">
        <v>42743</v>
      </c>
      <c r="J9" s="82" t="n">
        <v>67144</v>
      </c>
      <c r="K9" s="83">
        <f>I9/1000</f>
        <v/>
      </c>
      <c r="L9" s="83">
        <f>SUM(E9:G9)/1000</f>
        <v/>
      </c>
      <c r="M9" s="84">
        <f>IF(I9=0,"n.a.",H9/I9)</f>
        <v/>
      </c>
      <c r="N9" s="82">
        <f>IF(J9=0,"n.a.",I9*1000/J9)</f>
        <v/>
      </c>
      <c r="O9" s="82">
        <f>SUM(E9:H9)-I9</f>
        <v/>
      </c>
      <c r="P9" s="82">
        <f>RANK(I9,$I$7:$I$212,0)+COUNTIF($I$7:I9,I9)-1</f>
        <v/>
      </c>
      <c r="Q9" s="10" t="inlineStr">
        <is>
          <t>Cambridge</t>
        </is>
      </c>
    </row>
    <row r="10" ht="46" customHeight="1">
      <c r="A10" s="10" t="inlineStr">
        <is>
          <t>10003645</t>
        </is>
      </c>
      <c r="B10" s="11" t="inlineStr">
        <is>
          <t>King's College London</t>
        </is>
      </c>
      <c r="C10" s="10" t="inlineStr">
        <is>
          <t>Russell Group</t>
        </is>
      </c>
      <c r="D10" s="10" t="inlineStr">
        <is>
          <t>2024/25</t>
        </is>
      </c>
      <c r="E10" s="82" t="n">
        <v>211</v>
      </c>
      <c r="F10" s="82" t="n">
        <v>2446</v>
      </c>
      <c r="G10" s="82" t="n">
        <v>23909</v>
      </c>
      <c r="H10" s="82" t="n">
        <v>14378</v>
      </c>
      <c r="I10" s="82" t="n">
        <v>40944</v>
      </c>
      <c r="J10" s="82" t="n">
        <v>140204</v>
      </c>
      <c r="K10" s="83">
        <f>I10/1000</f>
        <v/>
      </c>
      <c r="L10" s="83">
        <f>SUM(E10:G10)/1000</f>
        <v/>
      </c>
      <c r="M10" s="84">
        <f>IF(I10=0,"n.a.",H10/I10)</f>
        <v/>
      </c>
      <c r="N10" s="82">
        <f>IF(J10=0,"n.a.",I10*1000/J10)</f>
        <v/>
      </c>
      <c r="O10" s="82">
        <f>SUM(E10:H10)-I10</f>
        <v/>
      </c>
      <c r="P10" s="82">
        <f>RANK(I10,$I$7:$I$212,0)+COUNTIF($I$7:I10,I10)-1</f>
        <v/>
      </c>
      <c r="Q10" s="10" t="inlineStr">
        <is>
          <t>King’s College London</t>
        </is>
      </c>
    </row>
    <row r="11" ht="46" customHeight="1">
      <c r="A11" s="10" t="inlineStr">
        <is>
          <t>10004063</t>
        </is>
      </c>
      <c r="B11" s="11" t="inlineStr">
        <is>
          <t>London School of Economics and Political Science</t>
        </is>
      </c>
      <c r="C11" s="10" t="inlineStr">
        <is>
          <t>Russell Group</t>
        </is>
      </c>
      <c r="D11" s="10" t="inlineStr">
        <is>
          <t>2024/25</t>
        </is>
      </c>
      <c r="E11" s="82" t="n">
        <v>57</v>
      </c>
      <c r="F11" s="82" t="n">
        <v>1341</v>
      </c>
      <c r="G11" s="82" t="n">
        <v>2348</v>
      </c>
      <c r="H11" s="82" t="n">
        <v>30030</v>
      </c>
      <c r="I11" s="82" t="n">
        <v>33776</v>
      </c>
      <c r="J11" s="82" t="n">
        <v>71917</v>
      </c>
      <c r="K11" s="83">
        <f>I11/1000</f>
        <v/>
      </c>
      <c r="L11" s="83">
        <f>SUM(E11:G11)/1000</f>
        <v/>
      </c>
      <c r="M11" s="84">
        <f>IF(I11=0,"n.a.",H11/I11)</f>
        <v/>
      </c>
      <c r="N11" s="82">
        <f>IF(J11=0,"n.a.",I11*1000/J11)</f>
        <v/>
      </c>
      <c r="O11" s="82">
        <f>SUM(E11:H11)-I11</f>
        <v/>
      </c>
      <c r="P11" s="82">
        <f>RANK(I11,$I$7:$I$212,0)+COUNTIF($I$7:I11,I11)-1</f>
        <v/>
      </c>
      <c r="Q11" s="10" t="inlineStr">
        <is>
          <t>London School of Economics</t>
        </is>
      </c>
    </row>
    <row r="12" ht="46" customHeight="1">
      <c r="A12" s="10" t="inlineStr">
        <is>
          <t>10007798</t>
        </is>
      </c>
      <c r="B12" s="11" t="inlineStr">
        <is>
          <t>The University of Manchester</t>
        </is>
      </c>
      <c r="C12" s="10" t="inlineStr">
        <is>
          <t>Russell Group</t>
        </is>
      </c>
      <c r="D12" s="10" t="inlineStr">
        <is>
          <t>2024/25</t>
        </is>
      </c>
      <c r="E12" s="82" t="n">
        <v>560</v>
      </c>
      <c r="F12" s="82" t="n">
        <v>3063</v>
      </c>
      <c r="G12" s="82" t="n">
        <v>9581</v>
      </c>
      <c r="H12" s="82" t="n">
        <v>9676</v>
      </c>
      <c r="I12" s="82" t="n">
        <v>22880</v>
      </c>
      <c r="J12" s="82" t="n">
        <v>323834</v>
      </c>
      <c r="K12" s="83">
        <f>I12/1000</f>
        <v/>
      </c>
      <c r="L12" s="83">
        <f>SUM(E12:G12)/1000</f>
        <v/>
      </c>
      <c r="M12" s="84">
        <f>IF(I12=0,"n.a.",H12/I12)</f>
        <v/>
      </c>
      <c r="N12" s="82">
        <f>IF(J12=0,"n.a.",I12*1000/J12)</f>
        <v/>
      </c>
      <c r="O12" s="82">
        <f>SUM(E12:H12)-I12</f>
        <v/>
      </c>
      <c r="P12" s="82">
        <f>RANK(I12,$I$7:$I$212,0)+COUNTIF($I$7:I12,I12)-1</f>
        <v/>
      </c>
      <c r="Q12" s="10" t="inlineStr">
        <is>
          <t>Manchester</t>
        </is>
      </c>
    </row>
    <row r="13" ht="46" customHeight="1">
      <c r="A13" s="10" t="inlineStr">
        <is>
          <t>10007822</t>
        </is>
      </c>
      <c r="B13" s="11" t="inlineStr">
        <is>
          <t>Cranfield University</t>
        </is>
      </c>
      <c r="C13" s="10" t="inlineStr">
        <is>
          <t>Other HE provider</t>
        </is>
      </c>
      <c r="D13" s="10" t="inlineStr">
        <is>
          <t>2024/25</t>
        </is>
      </c>
      <c r="E13" s="82" t="n">
        <v>331</v>
      </c>
      <c r="F13" s="82" t="n">
        <v>10978</v>
      </c>
      <c r="G13" s="82" t="n">
        <v>7770</v>
      </c>
      <c r="H13" s="82" t="n">
        <v>150</v>
      </c>
      <c r="I13" s="82" t="n">
        <v>19229</v>
      </c>
      <c r="J13" s="82" t="n">
        <v>39697</v>
      </c>
      <c r="K13" s="83">
        <f>I13/1000</f>
        <v/>
      </c>
      <c r="L13" s="83">
        <f>SUM(E13:G13)/1000</f>
        <v/>
      </c>
      <c r="M13" s="84">
        <f>IF(I13=0,"n.a.",H13/I13)</f>
        <v/>
      </c>
      <c r="N13" s="82">
        <f>IF(J13=0,"n.a.",I13*1000/J13)</f>
        <v/>
      </c>
      <c r="O13" s="82">
        <f>SUM(E13:H13)-I13</f>
        <v/>
      </c>
      <c r="P13" s="82">
        <f>RANK(I13,$I$7:$I$212,0)+COUNTIF($I$7:I13,I13)-1</f>
        <v/>
      </c>
      <c r="Q13" s="10" t="inlineStr">
        <is>
          <t>Cranfield</t>
        </is>
      </c>
    </row>
    <row r="14" ht="46" customHeight="1">
      <c r="A14" s="10" t="inlineStr">
        <is>
          <t>10007805</t>
        </is>
      </c>
      <c r="B14" s="11" t="inlineStr">
        <is>
          <t>The University of Strathclyde</t>
        </is>
      </c>
      <c r="C14" s="10" t="inlineStr">
        <is>
          <t>Additional UK sample</t>
        </is>
      </c>
      <c r="D14" s="10" t="inlineStr">
        <is>
          <t>2024/25</t>
        </is>
      </c>
      <c r="E14" s="82" t="n">
        <v>280</v>
      </c>
      <c r="F14" s="82" t="n">
        <v>1714</v>
      </c>
      <c r="G14" s="82" t="n">
        <v>7453</v>
      </c>
      <c r="H14" s="82" t="n">
        <v>7681</v>
      </c>
      <c r="I14" s="82" t="n">
        <v>17128</v>
      </c>
      <c r="J14" s="82" t="n">
        <v>0</v>
      </c>
      <c r="K14" s="83">
        <f>I14/1000</f>
        <v/>
      </c>
      <c r="L14" s="83">
        <f>SUM(E14:G14)/1000</f>
        <v/>
      </c>
      <c r="M14" s="84">
        <f>IF(I14=0,"n.a.",H14/I14)</f>
        <v/>
      </c>
      <c r="N14" s="82">
        <f>IF(J14=0,"n.a.",I14*1000/J14)</f>
        <v/>
      </c>
      <c r="O14" s="82">
        <f>SUM(E14:H14)-I14</f>
        <v/>
      </c>
      <c r="P14" s="82">
        <f>RANK(I14,$I$7:$I$212,0)+COUNTIF($I$7:I14,I14)-1</f>
        <v/>
      </c>
      <c r="Q14" s="10" t="inlineStr">
        <is>
          <t>Strathclyde</t>
        </is>
      </c>
    </row>
    <row r="15" ht="46" customHeight="1">
      <c r="A15" s="10" t="inlineStr">
        <is>
          <t>10007784</t>
        </is>
      </c>
      <c r="B15" s="11" t="inlineStr">
        <is>
          <t>University College London</t>
        </is>
      </c>
      <c r="C15" s="10" t="inlineStr">
        <is>
          <t>Russell Group</t>
        </is>
      </c>
      <c r="D15" s="10" t="inlineStr">
        <is>
          <t>2024/25</t>
        </is>
      </c>
      <c r="E15" s="82" t="n">
        <v>591</v>
      </c>
      <c r="F15" s="82" t="n">
        <v>1486</v>
      </c>
      <c r="G15" s="82" t="n">
        <v>435</v>
      </c>
      <c r="H15" s="82" t="n">
        <v>14225</v>
      </c>
      <c r="I15" s="82" t="n">
        <v>16737</v>
      </c>
      <c r="J15" s="82" t="n">
        <v>85424</v>
      </c>
      <c r="K15" s="83">
        <f>I15/1000</f>
        <v/>
      </c>
      <c r="L15" s="83">
        <f>SUM(E15:G15)/1000</f>
        <v/>
      </c>
      <c r="M15" s="84">
        <f>IF(I15=0,"n.a.",H15/I15)</f>
        <v/>
      </c>
      <c r="N15" s="82">
        <f>IF(J15=0,"n.a.",I15*1000/J15)</f>
        <v/>
      </c>
      <c r="O15" s="82">
        <f>SUM(E15:H15)-I15</f>
        <v/>
      </c>
      <c r="P15" s="82">
        <f>RANK(I15,$I$7:$I$212,0)+COUNTIF($I$7:I15,I15)-1</f>
        <v/>
      </c>
      <c r="Q15" s="10" t="inlineStr">
        <is>
          <t>UCL</t>
        </is>
      </c>
    </row>
    <row r="16" ht="46" customHeight="1">
      <c r="A16" s="10" t="inlineStr">
        <is>
          <t>10007141</t>
        </is>
      </c>
      <c r="B16" s="11" t="inlineStr">
        <is>
          <t>University of Lancashire</t>
        </is>
      </c>
      <c r="C16" s="10" t="inlineStr">
        <is>
          <t>Other HE provider</t>
        </is>
      </c>
      <c r="D16" s="10" t="inlineStr">
        <is>
          <t>2024/25</t>
        </is>
      </c>
      <c r="E16" s="82" t="n">
        <v>299</v>
      </c>
      <c r="F16" s="82" t="n">
        <v>1067</v>
      </c>
      <c r="G16" s="82" t="n">
        <v>14112</v>
      </c>
      <c r="H16" s="82" t="n">
        <v>787</v>
      </c>
      <c r="I16" s="82" t="n">
        <v>16265</v>
      </c>
      <c r="J16" s="82" t="n">
        <v>90361</v>
      </c>
      <c r="K16" s="83">
        <f>I16/1000</f>
        <v/>
      </c>
      <c r="L16" s="83">
        <f>SUM(E16:G16)/1000</f>
        <v/>
      </c>
      <c r="M16" s="84">
        <f>IF(I16=0,"n.a.",H16/I16)</f>
        <v/>
      </c>
      <c r="N16" s="82">
        <f>IF(J16=0,"n.a.",I16*1000/J16)</f>
        <v/>
      </c>
      <c r="O16" s="82">
        <f>SUM(E16:H16)-I16</f>
        <v/>
      </c>
      <c r="P16" s="82">
        <f>RANK(I16,$I$7:$I$212,0)+COUNTIF($I$7:I16,I16)-1</f>
        <v/>
      </c>
      <c r="Q16" s="10" t="inlineStr">
        <is>
          <t>Lancashire</t>
        </is>
      </c>
    </row>
    <row r="17" ht="46" customHeight="1">
      <c r="A17" s="10" t="inlineStr">
        <is>
          <t>10007790</t>
        </is>
      </c>
      <c r="B17" s="11" t="inlineStr">
        <is>
          <t>The University of Edinburgh</t>
        </is>
      </c>
      <c r="C17" s="10" t="inlineStr">
        <is>
          <t>Russell Group</t>
        </is>
      </c>
      <c r="D17" s="10" t="inlineStr">
        <is>
          <t>2024/25</t>
        </is>
      </c>
      <c r="E17" s="82" t="n">
        <v>0</v>
      </c>
      <c r="F17" s="82" t="n">
        <v>0</v>
      </c>
      <c r="G17" s="82" t="n">
        <v>0</v>
      </c>
      <c r="H17" s="82" t="n">
        <v>15702</v>
      </c>
      <c r="I17" s="82" t="n">
        <v>15702</v>
      </c>
      <c r="J17" s="82" t="n">
        <v>0</v>
      </c>
      <c r="K17" s="83">
        <f>I17/1000</f>
        <v/>
      </c>
      <c r="L17" s="83">
        <f>SUM(E17:G17)/1000</f>
        <v/>
      </c>
      <c r="M17" s="84">
        <f>IF(I17=0,"n.a.",H17/I17)</f>
        <v/>
      </c>
      <c r="N17" s="82">
        <f>IF(J17=0,"n.a.",I17*1000/J17)</f>
        <v/>
      </c>
      <c r="O17" s="82">
        <f>SUM(E17:H17)-I17</f>
        <v/>
      </c>
      <c r="P17" s="82">
        <f>RANK(I17,$I$7:$I$212,0)+COUNTIF($I$7:I17,I17)-1</f>
        <v/>
      </c>
      <c r="Q17" s="10" t="inlineStr">
        <is>
          <t>Edinburgh</t>
        </is>
      </c>
    </row>
    <row r="18" ht="46" customHeight="1">
      <c r="A18" s="10" t="inlineStr">
        <is>
          <t>10003270</t>
        </is>
      </c>
      <c r="B18" s="11" t="inlineStr">
        <is>
          <t>Imperial College of Science, Technology and Medicine</t>
        </is>
      </c>
      <c r="C18" s="10" t="inlineStr">
        <is>
          <t>Russell Group</t>
        </is>
      </c>
      <c r="D18" s="10" t="inlineStr">
        <is>
          <t>2024/25</t>
        </is>
      </c>
      <c r="E18" s="82" t="n">
        <v>3</v>
      </c>
      <c r="F18" s="82" t="n">
        <v>4632</v>
      </c>
      <c r="G18" s="82" t="n">
        <v>951</v>
      </c>
      <c r="H18" s="82" t="n">
        <v>9964</v>
      </c>
      <c r="I18" s="82" t="n">
        <v>15550</v>
      </c>
      <c r="J18" s="82" t="n">
        <v>137817</v>
      </c>
      <c r="K18" s="83">
        <f>I18/1000</f>
        <v/>
      </c>
      <c r="L18" s="83">
        <f>SUM(E18:G18)/1000</f>
        <v/>
      </c>
      <c r="M18" s="84">
        <f>IF(I18=0,"n.a.",H18/I18)</f>
        <v/>
      </c>
      <c r="N18" s="82">
        <f>IF(J18=0,"n.a.",I18*1000/J18)</f>
        <v/>
      </c>
      <c r="O18" s="82">
        <f>SUM(E18:H18)-I18</f>
        <v/>
      </c>
      <c r="P18" s="82">
        <f>RANK(I18,$I$7:$I$212,0)+COUNTIF($I$7:I18,I18)-1</f>
        <v/>
      </c>
      <c r="Q18" s="10" t="inlineStr">
        <is>
          <t>Imperial College London</t>
        </is>
      </c>
    </row>
    <row r="19" ht="46" customHeight="1">
      <c r="A19" s="10" t="inlineStr">
        <is>
          <t>10007775</t>
        </is>
      </c>
      <c r="B19" s="11" t="inlineStr">
        <is>
          <t>Queen Mary University of London</t>
        </is>
      </c>
      <c r="C19" s="10" t="inlineStr">
        <is>
          <t>Russell Group</t>
        </is>
      </c>
      <c r="D19" s="10" t="inlineStr">
        <is>
          <t>2024/25</t>
        </is>
      </c>
      <c r="E19" s="82" t="n">
        <v>4</v>
      </c>
      <c r="F19" s="82" t="n">
        <v>9</v>
      </c>
      <c r="G19" s="82" t="n">
        <v>0</v>
      </c>
      <c r="H19" s="82" t="n">
        <v>11965</v>
      </c>
      <c r="I19" s="82" t="n">
        <v>11978</v>
      </c>
      <c r="J19" s="82" t="n">
        <v>0</v>
      </c>
      <c r="K19" s="83">
        <f>I19/1000</f>
        <v/>
      </c>
      <c r="L19" s="83">
        <f>SUM(E19:G19)/1000</f>
        <v/>
      </c>
      <c r="M19" s="84">
        <f>IF(I19=0,"n.a.",H19/I19)</f>
        <v/>
      </c>
      <c r="N19" s="82">
        <f>IF(J19=0,"n.a.",I19*1000/J19)</f>
        <v/>
      </c>
      <c r="O19" s="82">
        <f>SUM(E19:H19)-I19</f>
        <v/>
      </c>
      <c r="P19" s="82">
        <f>RANK(I19,$I$7:$I$212,0)+COUNTIF($I$7:I19,I19)-1</f>
        <v/>
      </c>
      <c r="Q19" s="10" t="inlineStr">
        <is>
          <t>Queen Mary University of London</t>
        </is>
      </c>
    </row>
    <row r="20" ht="46" customHeight="1">
      <c r="A20" s="10" t="inlineStr">
        <is>
          <t>10007802</t>
        </is>
      </c>
      <c r="B20" s="11" t="inlineStr">
        <is>
          <t>The University of Reading</t>
        </is>
      </c>
      <c r="C20" s="10" t="inlineStr">
        <is>
          <t>Additional UK sample</t>
        </is>
      </c>
      <c r="D20" s="10" t="inlineStr">
        <is>
          <t>2024/25</t>
        </is>
      </c>
      <c r="E20" s="82" t="n">
        <v>0</v>
      </c>
      <c r="F20" s="82" t="n">
        <v>11763</v>
      </c>
      <c r="G20" s="82" t="n">
        <v>0</v>
      </c>
      <c r="H20" s="82" t="n">
        <v>205</v>
      </c>
      <c r="I20" s="82" t="n">
        <v>11968</v>
      </c>
      <c r="J20" s="82" t="n">
        <v>16548</v>
      </c>
      <c r="K20" s="83">
        <f>I20/1000</f>
        <v/>
      </c>
      <c r="L20" s="83">
        <f>SUM(E20:G20)/1000</f>
        <v/>
      </c>
      <c r="M20" s="84">
        <f>IF(I20=0,"n.a.",H20/I20)</f>
        <v/>
      </c>
      <c r="N20" s="82">
        <f>IF(J20=0,"n.a.",I20*1000/J20)</f>
        <v/>
      </c>
      <c r="O20" s="82">
        <f>SUM(E20:H20)-I20</f>
        <v/>
      </c>
      <c r="P20" s="82">
        <f>RANK(I20,$I$7:$I$212,0)+COUNTIF($I$7:I20,I20)-1</f>
        <v/>
      </c>
      <c r="Q20" s="10" t="inlineStr">
        <is>
          <t>Reading</t>
        </is>
      </c>
    </row>
    <row r="21" ht="46" customHeight="1">
      <c r="A21" s="10" t="inlineStr">
        <is>
          <t>10000291</t>
        </is>
      </c>
      <c r="B21" s="11" t="inlineStr">
        <is>
          <t>Anglia Ruskin University</t>
        </is>
      </c>
      <c r="C21" s="10" t="inlineStr">
        <is>
          <t>Other HE provider</t>
        </is>
      </c>
      <c r="D21" s="10" t="inlineStr">
        <is>
          <t>2024/25</t>
        </is>
      </c>
      <c r="E21" s="82" t="n">
        <v>942</v>
      </c>
      <c r="F21" s="82" t="n">
        <v>2825</v>
      </c>
      <c r="G21" s="82" t="n">
        <v>7768</v>
      </c>
      <c r="H21" s="82" t="n">
        <v>235</v>
      </c>
      <c r="I21" s="82" t="n">
        <v>11770</v>
      </c>
      <c r="J21" s="82" t="n">
        <v>93717</v>
      </c>
      <c r="K21" s="83">
        <f>I21/1000</f>
        <v/>
      </c>
      <c r="L21" s="83">
        <f>SUM(E21:G21)/1000</f>
        <v/>
      </c>
      <c r="M21" s="84">
        <f>IF(I21=0,"n.a.",H21/I21)</f>
        <v/>
      </c>
      <c r="N21" s="82">
        <f>IF(J21=0,"n.a.",I21*1000/J21)</f>
        <v/>
      </c>
      <c r="O21" s="82">
        <f>SUM(E21:H21)-I21</f>
        <v/>
      </c>
      <c r="P21" s="82">
        <f>RANK(I21,$I$7:$I$212,0)+COUNTIF($I$7:I21,I21)-1</f>
        <v/>
      </c>
      <c r="Q21" s="10" t="inlineStr">
        <is>
          <t>Anglia Ruskin</t>
        </is>
      </c>
    </row>
    <row r="22" ht="46" customHeight="1">
      <c r="A22" s="10" t="inlineStr">
        <is>
          <t>10001143</t>
        </is>
      </c>
      <c r="B22" s="11" t="inlineStr">
        <is>
          <t>Canterbury Christ Church University</t>
        </is>
      </c>
      <c r="C22" s="10" t="inlineStr">
        <is>
          <t>Other HE provider</t>
        </is>
      </c>
      <c r="D22" s="10" t="inlineStr">
        <is>
          <t>2024/25</t>
        </is>
      </c>
      <c r="E22" s="82" t="n">
        <v>1998</v>
      </c>
      <c r="F22" s="82" t="n">
        <v>1243</v>
      </c>
      <c r="G22" s="82" t="n">
        <v>5084</v>
      </c>
      <c r="H22" s="82" t="n">
        <v>3389</v>
      </c>
      <c r="I22" s="82" t="n">
        <v>11714</v>
      </c>
      <c r="J22" s="82" t="n">
        <v>35210</v>
      </c>
      <c r="K22" s="83">
        <f>I22/1000</f>
        <v/>
      </c>
      <c r="L22" s="83">
        <f>SUM(E22:G22)/1000</f>
        <v/>
      </c>
      <c r="M22" s="84">
        <f>IF(I22=0,"n.a.",H22/I22)</f>
        <v/>
      </c>
      <c r="N22" s="82">
        <f>IF(J22=0,"n.a.",I22*1000/J22)</f>
        <v/>
      </c>
      <c r="O22" s="82">
        <f>SUM(E22:H22)-I22</f>
        <v/>
      </c>
      <c r="P22" s="82">
        <f>RANK(I22,$I$7:$I$212,0)+COUNTIF($I$7:I22,I22)-1</f>
        <v/>
      </c>
      <c r="Q22" s="10" t="inlineStr">
        <is>
          <t>Canterbury Christ Church</t>
        </is>
      </c>
    </row>
    <row r="23" ht="46" customHeight="1">
      <c r="A23" s="10" t="inlineStr">
        <is>
          <t>10001726</t>
        </is>
      </c>
      <c r="B23" s="11" t="inlineStr">
        <is>
          <t>Coventry University</t>
        </is>
      </c>
      <c r="C23" s="10" t="inlineStr">
        <is>
          <t>Additional UK sample</t>
        </is>
      </c>
      <c r="D23" s="10" t="inlineStr">
        <is>
          <t>2024/25</t>
        </is>
      </c>
      <c r="E23" s="82" t="n">
        <v>176</v>
      </c>
      <c r="F23" s="82" t="n">
        <v>2895</v>
      </c>
      <c r="G23" s="82" t="n">
        <v>1867</v>
      </c>
      <c r="H23" s="82" t="n">
        <v>6722</v>
      </c>
      <c r="I23" s="82" t="n">
        <v>11660</v>
      </c>
      <c r="J23" s="82" t="n">
        <v>124930</v>
      </c>
      <c r="K23" s="83">
        <f>I23/1000</f>
        <v/>
      </c>
      <c r="L23" s="83">
        <f>SUM(E23:G23)/1000</f>
        <v/>
      </c>
      <c r="M23" s="84">
        <f>IF(I23=0,"n.a.",H23/I23)</f>
        <v/>
      </c>
      <c r="N23" s="82">
        <f>IF(J23=0,"n.a.",I23*1000/J23)</f>
        <v/>
      </c>
      <c r="O23" s="82">
        <f>SUM(E23:H23)-I23</f>
        <v/>
      </c>
      <c r="P23" s="82">
        <f>RANK(I23,$I$7:$I$212,0)+COUNTIF($I$7:I23,I23)-1</f>
        <v/>
      </c>
      <c r="Q23" s="10" t="inlineStr">
        <is>
          <t>Coventry</t>
        </is>
      </c>
    </row>
    <row r="24" ht="46" customHeight="1">
      <c r="A24" s="10" t="inlineStr">
        <is>
          <t>10007814</t>
        </is>
      </c>
      <c r="B24" s="11" t="inlineStr">
        <is>
          <t>Cardiff University</t>
        </is>
      </c>
      <c r="C24" s="10" t="inlineStr">
        <is>
          <t>Russell Group</t>
        </is>
      </c>
      <c r="D24" s="10" t="inlineStr">
        <is>
          <t>2024/25</t>
        </is>
      </c>
      <c r="E24" s="82" t="n">
        <v>2080</v>
      </c>
      <c r="F24" s="82" t="n">
        <v>812</v>
      </c>
      <c r="G24" s="82" t="n">
        <v>6290</v>
      </c>
      <c r="H24" s="82" t="n">
        <v>1804</v>
      </c>
      <c r="I24" s="82" t="n">
        <v>10986</v>
      </c>
      <c r="J24" s="82" t="n">
        <v>103694</v>
      </c>
      <c r="K24" s="83">
        <f>I24/1000</f>
        <v/>
      </c>
      <c r="L24" s="83">
        <f>SUM(E24:G24)/1000</f>
        <v/>
      </c>
      <c r="M24" s="84">
        <f>IF(I24=0,"n.a.",H24/I24)</f>
        <v/>
      </c>
      <c r="N24" s="82">
        <f>IF(J24=0,"n.a.",I24*1000/J24)</f>
        <v/>
      </c>
      <c r="O24" s="82">
        <f>SUM(E24:H24)-I24</f>
        <v/>
      </c>
      <c r="P24" s="82">
        <f>RANK(I24,$I$7:$I$212,0)+COUNTIF($I$7:I24,I24)-1</f>
        <v/>
      </c>
      <c r="Q24" s="10" t="inlineStr">
        <is>
          <t>Cardiff</t>
        </is>
      </c>
    </row>
    <row r="25" ht="46" customHeight="1">
      <c r="A25" s="10" t="inlineStr">
        <is>
          <t>10007851</t>
        </is>
      </c>
      <c r="B25" s="11" t="inlineStr">
        <is>
          <t>University of Derby</t>
        </is>
      </c>
      <c r="C25" s="10" t="inlineStr">
        <is>
          <t>Other HE provider</t>
        </is>
      </c>
      <c r="D25" s="10" t="inlineStr">
        <is>
          <t>2024/25</t>
        </is>
      </c>
      <c r="E25" s="82" t="n">
        <v>31</v>
      </c>
      <c r="F25" s="82" t="n">
        <v>334</v>
      </c>
      <c r="G25" s="82" t="n">
        <v>121</v>
      </c>
      <c r="H25" s="82" t="n">
        <v>10044</v>
      </c>
      <c r="I25" s="82" t="n">
        <v>10530</v>
      </c>
      <c r="J25" s="82" t="n">
        <v>30174</v>
      </c>
      <c r="K25" s="83">
        <f>I25/1000</f>
        <v/>
      </c>
      <c r="L25" s="83">
        <f>SUM(E25:G25)/1000</f>
        <v/>
      </c>
      <c r="M25" s="84">
        <f>IF(I25=0,"n.a.",H25/I25)</f>
        <v/>
      </c>
      <c r="N25" s="82">
        <f>IF(J25=0,"n.a.",I25*1000/J25)</f>
        <v/>
      </c>
      <c r="O25" s="82">
        <f>SUM(E25:H25)-I25</f>
        <v/>
      </c>
      <c r="P25" s="82">
        <f>RANK(I25,$I$7:$I$212,0)+COUNTIF($I$7:I25,I25)-1</f>
        <v/>
      </c>
      <c r="Q25" s="10" t="inlineStr">
        <is>
          <t>Derby</t>
        </is>
      </c>
    </row>
    <row r="26" ht="46" customHeight="1">
      <c r="A26" s="10" t="inlineStr">
        <is>
          <t>10007857</t>
        </is>
      </c>
      <c r="B26" s="11" t="inlineStr">
        <is>
          <t>Bangor University</t>
        </is>
      </c>
      <c r="C26" s="10" t="inlineStr">
        <is>
          <t>Other HE provider</t>
        </is>
      </c>
      <c r="D26" s="10" t="inlineStr">
        <is>
          <t>2024/25</t>
        </is>
      </c>
      <c r="E26" s="82" t="n">
        <v>9</v>
      </c>
      <c r="F26" s="82" t="n">
        <v>10</v>
      </c>
      <c r="G26" s="82" t="n">
        <v>67</v>
      </c>
      <c r="H26" s="82" t="n">
        <v>10022</v>
      </c>
      <c r="I26" s="82" t="n">
        <v>10108</v>
      </c>
      <c r="J26" s="82" t="n">
        <v>86838</v>
      </c>
      <c r="K26" s="83">
        <f>I26/1000</f>
        <v/>
      </c>
      <c r="L26" s="83">
        <f>SUM(E26:G26)/1000</f>
        <v/>
      </c>
      <c r="M26" s="84">
        <f>IF(I26=0,"n.a.",H26/I26)</f>
        <v/>
      </c>
      <c r="N26" s="82">
        <f>IF(J26=0,"n.a.",I26*1000/J26)</f>
        <v/>
      </c>
      <c r="O26" s="82">
        <f>SUM(E26:H26)-I26</f>
        <v/>
      </c>
      <c r="P26" s="82">
        <f>RANK(I26,$I$7:$I$212,0)+COUNTIF($I$7:I26,I26)-1</f>
        <v/>
      </c>
      <c r="Q26" s="10" t="inlineStr">
        <is>
          <t>Bangor</t>
        </is>
      </c>
    </row>
    <row r="27" ht="46" customHeight="1">
      <c r="A27" s="10" t="inlineStr">
        <is>
          <t>10004351</t>
        </is>
      </c>
      <c r="B27" s="11" t="inlineStr">
        <is>
          <t>Middlesex University</t>
        </is>
      </c>
      <c r="C27" s="10" t="inlineStr">
        <is>
          <t>Other HE provider</t>
        </is>
      </c>
      <c r="D27" s="10" t="inlineStr">
        <is>
          <t>2024/25</t>
        </is>
      </c>
      <c r="E27" s="82" t="n">
        <v>23</v>
      </c>
      <c r="F27" s="82" t="n">
        <v>48</v>
      </c>
      <c r="G27" s="82" t="n">
        <v>5299</v>
      </c>
      <c r="H27" s="82" t="n">
        <v>3638</v>
      </c>
      <c r="I27" s="82" t="n">
        <v>9008</v>
      </c>
      <c r="J27" s="82" t="n">
        <v>58794</v>
      </c>
      <c r="K27" s="83">
        <f>I27/1000</f>
        <v/>
      </c>
      <c r="L27" s="83">
        <f>SUM(E27:G27)/1000</f>
        <v/>
      </c>
      <c r="M27" s="84">
        <f>IF(I27=0,"n.a.",H27/I27)</f>
        <v/>
      </c>
      <c r="N27" s="82">
        <f>IF(J27=0,"n.a.",I27*1000/J27)</f>
        <v/>
      </c>
      <c r="O27" s="82">
        <f>SUM(E27:H27)-I27</f>
        <v/>
      </c>
      <c r="P27" s="82">
        <f>RANK(I27,$I$7:$I$212,0)+COUNTIF($I$7:I27,I27)-1</f>
        <v/>
      </c>
      <c r="Q27" s="10" t="inlineStr">
        <is>
          <t>Middlesex</t>
        </is>
      </c>
    </row>
    <row r="28" ht="46" customHeight="1">
      <c r="A28" s="10" t="inlineStr">
        <is>
          <t>10007842</t>
        </is>
      </c>
      <c r="B28" s="11" t="inlineStr">
        <is>
          <t>University of Cumbria</t>
        </is>
      </c>
      <c r="C28" s="10" t="inlineStr">
        <is>
          <t>Other HE provider</t>
        </is>
      </c>
      <c r="D28" s="10" t="inlineStr">
        <is>
          <t>2024/25</t>
        </is>
      </c>
      <c r="E28" s="82" t="n">
        <v>64</v>
      </c>
      <c r="F28" s="82" t="n">
        <v>1924</v>
      </c>
      <c r="G28" s="82" t="n">
        <v>3485</v>
      </c>
      <c r="H28" s="82" t="n">
        <v>3420</v>
      </c>
      <c r="I28" s="82" t="n">
        <v>8893</v>
      </c>
      <c r="J28" s="82" t="n">
        <v>128269</v>
      </c>
      <c r="K28" s="83">
        <f>I28/1000</f>
        <v/>
      </c>
      <c r="L28" s="83">
        <f>SUM(E28:G28)/1000</f>
        <v/>
      </c>
      <c r="M28" s="84">
        <f>IF(I28=0,"n.a.",H28/I28)</f>
        <v/>
      </c>
      <c r="N28" s="82">
        <f>IF(J28=0,"n.a.",I28*1000/J28)</f>
        <v/>
      </c>
      <c r="O28" s="82">
        <f>SUM(E28:H28)-I28</f>
        <v/>
      </c>
      <c r="P28" s="82">
        <f>RANK(I28,$I$7:$I$212,0)+COUNTIF($I$7:I28,I28)-1</f>
        <v/>
      </c>
      <c r="Q28" s="10" t="inlineStr">
        <is>
          <t>Cumbria</t>
        </is>
      </c>
    </row>
    <row r="29" ht="46" customHeight="1">
      <c r="A29" s="10" t="inlineStr">
        <is>
          <t>10007794</t>
        </is>
      </c>
      <c r="B29" s="11" t="inlineStr">
        <is>
          <t>The University of Glasgow</t>
        </is>
      </c>
      <c r="C29" s="10" t="inlineStr">
        <is>
          <t>Russell Group</t>
        </is>
      </c>
      <c r="D29" s="10" t="inlineStr">
        <is>
          <t>2024/25</t>
        </is>
      </c>
      <c r="E29" s="82" t="n">
        <v>0</v>
      </c>
      <c r="F29" s="82" t="n">
        <v>0</v>
      </c>
      <c r="G29" s="82" t="n">
        <v>5620</v>
      </c>
      <c r="H29" s="82" t="n">
        <v>3253</v>
      </c>
      <c r="I29" s="82" t="n">
        <v>8873</v>
      </c>
      <c r="J29" s="82" t="n">
        <v>0</v>
      </c>
      <c r="K29" s="83">
        <f>I29/1000</f>
        <v/>
      </c>
      <c r="L29" s="83">
        <f>SUM(E29:G29)/1000</f>
        <v/>
      </c>
      <c r="M29" s="84">
        <f>IF(I29=0,"n.a.",H29/I29)</f>
        <v/>
      </c>
      <c r="N29" s="82">
        <f>IF(J29=0,"n.a.",I29*1000/J29)</f>
        <v/>
      </c>
      <c r="O29" s="82">
        <f>SUM(E29:H29)-I29</f>
        <v/>
      </c>
      <c r="P29" s="82">
        <f>RANK(I29,$I$7:$I$212,0)+COUNTIF($I$7:I29,I29)-1</f>
        <v/>
      </c>
      <c r="Q29" s="10" t="inlineStr">
        <is>
          <t>Glasgow</t>
        </is>
      </c>
    </row>
    <row r="30" ht="46" customHeight="1">
      <c r="A30" s="10" t="inlineStr">
        <is>
          <t>10007164</t>
        </is>
      </c>
      <c r="B30" s="11" t="inlineStr">
        <is>
          <t>University of the West of England, Bristol</t>
        </is>
      </c>
      <c r="C30" s="10" t="inlineStr">
        <is>
          <t>Other HE provider</t>
        </is>
      </c>
      <c r="D30" s="10" t="inlineStr">
        <is>
          <t>2024/25</t>
        </is>
      </c>
      <c r="E30" s="82" t="n">
        <v>225</v>
      </c>
      <c r="F30" s="82" t="n">
        <v>536</v>
      </c>
      <c r="G30" s="82" t="n">
        <v>7005</v>
      </c>
      <c r="H30" s="82" t="n">
        <v>783</v>
      </c>
      <c r="I30" s="82" t="n">
        <v>8549</v>
      </c>
      <c r="J30" s="82" t="n">
        <v>38892</v>
      </c>
      <c r="K30" s="83">
        <f>I30/1000</f>
        <v/>
      </c>
      <c r="L30" s="83">
        <f>SUM(E30:G30)/1000</f>
        <v/>
      </c>
      <c r="M30" s="84">
        <f>IF(I30=0,"n.a.",H30/I30)</f>
        <v/>
      </c>
      <c r="N30" s="82">
        <f>IF(J30=0,"n.a.",I30*1000/J30)</f>
        <v/>
      </c>
      <c r="O30" s="82">
        <f>SUM(E30:H30)-I30</f>
        <v/>
      </c>
      <c r="P30" s="82">
        <f>RANK(I30,$I$7:$I$212,0)+COUNTIF($I$7:I30,I30)-1</f>
        <v/>
      </c>
      <c r="Q30" s="10" t="inlineStr">
        <is>
          <t>the West of England, Bristol</t>
        </is>
      </c>
    </row>
    <row r="31" ht="46" customHeight="1">
      <c r="A31" s="10" t="inlineStr">
        <is>
          <t>10007163</t>
        </is>
      </c>
      <c r="B31" s="11" t="inlineStr">
        <is>
          <t>The University of Warwick</t>
        </is>
      </c>
      <c r="C31" s="10" t="inlineStr">
        <is>
          <t>Russell Group</t>
        </is>
      </c>
      <c r="D31" s="10" t="inlineStr">
        <is>
          <t>2024/25</t>
        </is>
      </c>
      <c r="E31" s="82" t="n">
        <v>107</v>
      </c>
      <c r="F31" s="82" t="n">
        <v>2220</v>
      </c>
      <c r="G31" s="82" t="n">
        <v>3244</v>
      </c>
      <c r="H31" s="82" t="n">
        <v>2933</v>
      </c>
      <c r="I31" s="82" t="n">
        <v>8504</v>
      </c>
      <c r="J31" s="82" t="n">
        <v>11479</v>
      </c>
      <c r="K31" s="83">
        <f>I31/1000</f>
        <v/>
      </c>
      <c r="L31" s="83">
        <f>SUM(E31:G31)/1000</f>
        <v/>
      </c>
      <c r="M31" s="84">
        <f>IF(I31=0,"n.a.",H31/I31)</f>
        <v/>
      </c>
      <c r="N31" s="82">
        <f>IF(J31=0,"n.a.",I31*1000/J31)</f>
        <v/>
      </c>
      <c r="O31" s="82">
        <f>SUM(E31:H31)-I31</f>
        <v/>
      </c>
      <c r="P31" s="82">
        <f>RANK(I31,$I$7:$I$212,0)+COUNTIF($I$7:I31,I31)-1</f>
        <v/>
      </c>
      <c r="Q31" s="10" t="inlineStr">
        <is>
          <t>Warwick</t>
        </is>
      </c>
    </row>
    <row r="32" ht="46" customHeight="1">
      <c r="A32" s="10" t="inlineStr">
        <is>
          <t>10006022</t>
        </is>
      </c>
      <c r="B32" s="11" t="inlineStr">
        <is>
          <t>Southampton Solent University</t>
        </is>
      </c>
      <c r="C32" s="10" t="inlineStr">
        <is>
          <t>Other HE provider</t>
        </is>
      </c>
      <c r="D32" s="10" t="inlineStr">
        <is>
          <t>2024/25</t>
        </is>
      </c>
      <c r="E32" s="82" t="n">
        <v>1365</v>
      </c>
      <c r="F32" s="82" t="n">
        <v>2138</v>
      </c>
      <c r="G32" s="82" t="n">
        <v>1039</v>
      </c>
      <c r="H32" s="82" t="n">
        <v>3707</v>
      </c>
      <c r="I32" s="82" t="n">
        <v>8249</v>
      </c>
      <c r="J32" s="82" t="n">
        <v>33667</v>
      </c>
      <c r="K32" s="83">
        <f>I32/1000</f>
        <v/>
      </c>
      <c r="L32" s="83">
        <f>SUM(E32:G32)/1000</f>
        <v/>
      </c>
      <c r="M32" s="84">
        <f>IF(I32=0,"n.a.",H32/I32)</f>
        <v/>
      </c>
      <c r="N32" s="82">
        <f>IF(J32=0,"n.a.",I32*1000/J32)</f>
        <v/>
      </c>
      <c r="O32" s="82">
        <f>SUM(E32:H32)-I32</f>
        <v/>
      </c>
      <c r="P32" s="82">
        <f>RANK(I32,$I$7:$I$212,0)+COUNTIF($I$7:I32,I32)-1</f>
        <v/>
      </c>
      <c r="Q32" s="10" t="inlineStr">
        <is>
          <t>Southampton Solent</t>
        </is>
      </c>
    </row>
    <row r="33" ht="46" customHeight="1">
      <c r="A33" s="10" t="inlineStr">
        <is>
          <t>10007780</t>
        </is>
      </c>
      <c r="B33" s="11" t="inlineStr">
        <is>
          <t>SOAS University of London</t>
        </is>
      </c>
      <c r="C33" s="10" t="inlineStr">
        <is>
          <t>Additional UK sample</t>
        </is>
      </c>
      <c r="D33" s="10" t="inlineStr">
        <is>
          <t>2024/25</t>
        </is>
      </c>
      <c r="E33" s="82" t="n">
        <v>0</v>
      </c>
      <c r="F33" s="82" t="n">
        <v>0</v>
      </c>
      <c r="G33" s="82" t="n">
        <v>43</v>
      </c>
      <c r="H33" s="82" t="n">
        <v>8185</v>
      </c>
      <c r="I33" s="82" t="n">
        <v>8228</v>
      </c>
      <c r="J33" s="82" t="n">
        <v>90037</v>
      </c>
      <c r="K33" s="83">
        <f>I33/1000</f>
        <v/>
      </c>
      <c r="L33" s="83">
        <f>SUM(E33:G33)/1000</f>
        <v/>
      </c>
      <c r="M33" s="84">
        <f>IF(I33=0,"n.a.",H33/I33)</f>
        <v/>
      </c>
      <c r="N33" s="82">
        <f>IF(J33=0,"n.a.",I33*1000/J33)</f>
        <v/>
      </c>
      <c r="O33" s="82">
        <f>SUM(E33:H33)-I33</f>
        <v/>
      </c>
      <c r="P33" s="82">
        <f>RANK(I33,$I$7:$I$212,0)+COUNTIF($I$7:I33,I33)-1</f>
        <v/>
      </c>
      <c r="Q33" s="10" t="inlineStr">
        <is>
          <t>SOAS</t>
        </is>
      </c>
    </row>
    <row r="34" ht="46" customHeight="1">
      <c r="A34" s="10" t="inlineStr">
        <is>
          <t>10007161</t>
        </is>
      </c>
      <c r="B34" s="11" t="inlineStr">
        <is>
          <t>Teesside University</t>
        </is>
      </c>
      <c r="C34" s="10" t="inlineStr">
        <is>
          <t>Other HE provider</t>
        </is>
      </c>
      <c r="D34" s="10" t="inlineStr">
        <is>
          <t>2024/25</t>
        </is>
      </c>
      <c r="E34" s="82" t="n">
        <v>595</v>
      </c>
      <c r="F34" s="82" t="n">
        <v>809</v>
      </c>
      <c r="G34" s="82" t="n">
        <v>4602</v>
      </c>
      <c r="H34" s="82" t="n">
        <v>2155</v>
      </c>
      <c r="I34" s="82" t="n">
        <v>8161</v>
      </c>
      <c r="J34" s="82" t="n">
        <v>164776</v>
      </c>
      <c r="K34" s="83">
        <f>I34/1000</f>
        <v/>
      </c>
      <c r="L34" s="83">
        <f>SUM(E34:G34)/1000</f>
        <v/>
      </c>
      <c r="M34" s="84">
        <f>IF(I34=0,"n.a.",H34/I34)</f>
        <v/>
      </c>
      <c r="N34" s="82">
        <f>IF(J34=0,"n.a.",I34*1000/J34)</f>
        <v/>
      </c>
      <c r="O34" s="82">
        <f>SUM(E34:H34)-I34</f>
        <v/>
      </c>
      <c r="P34" s="82">
        <f>RANK(I34,$I$7:$I$212,0)+COUNTIF($I$7:I34,I34)-1</f>
        <v/>
      </c>
      <c r="Q34" s="10" t="inlineStr">
        <is>
          <t>Teesside</t>
        </is>
      </c>
    </row>
    <row r="35" ht="46" customHeight="1">
      <c r="A35" s="10" t="inlineStr">
        <is>
          <t>10006842</t>
        </is>
      </c>
      <c r="B35" s="11" t="inlineStr">
        <is>
          <t>The University of Liverpool</t>
        </is>
      </c>
      <c r="C35" s="10" t="inlineStr">
        <is>
          <t>Russell Group</t>
        </is>
      </c>
      <c r="D35" s="10" t="inlineStr">
        <is>
          <t>2024/25</t>
        </is>
      </c>
      <c r="E35" s="82" t="n">
        <v>415</v>
      </c>
      <c r="F35" s="82" t="n">
        <v>29</v>
      </c>
      <c r="G35" s="82" t="n">
        <v>6664</v>
      </c>
      <c r="H35" s="82" t="n">
        <v>954</v>
      </c>
      <c r="I35" s="82" t="n">
        <v>8062</v>
      </c>
      <c r="J35" s="82" t="n">
        <v>17388</v>
      </c>
      <c r="K35" s="83">
        <f>I35/1000</f>
        <v/>
      </c>
      <c r="L35" s="83">
        <f>SUM(E35:G35)/1000</f>
        <v/>
      </c>
      <c r="M35" s="84">
        <f>IF(I35=0,"n.a.",H35/I35)</f>
        <v/>
      </c>
      <c r="N35" s="82">
        <f>IF(J35=0,"n.a.",I35*1000/J35)</f>
        <v/>
      </c>
      <c r="O35" s="82">
        <f>SUM(E35:H35)-I35</f>
        <v/>
      </c>
      <c r="P35" s="82">
        <f>RANK(I35,$I$7:$I$212,0)+COUNTIF($I$7:I35,I35)-1</f>
        <v/>
      </c>
      <c r="Q35" s="10" t="inlineStr">
        <is>
          <t>Liverpool</t>
        </is>
      </c>
    </row>
    <row r="36" ht="46" customHeight="1">
      <c r="A36" s="10" t="inlineStr">
        <is>
          <t>10001282</t>
        </is>
      </c>
      <c r="B36" s="11" t="inlineStr">
        <is>
          <t>University of Northumbria at Newcastle</t>
        </is>
      </c>
      <c r="C36" s="10" t="inlineStr">
        <is>
          <t>Additional UK sample</t>
        </is>
      </c>
      <c r="D36" s="10" t="inlineStr">
        <is>
          <t>2024/25</t>
        </is>
      </c>
      <c r="E36" s="82" t="n">
        <v>139</v>
      </c>
      <c r="F36" s="82" t="n">
        <v>20</v>
      </c>
      <c r="G36" s="82" t="n">
        <v>5110</v>
      </c>
      <c r="H36" s="82" t="n">
        <v>2328</v>
      </c>
      <c r="I36" s="82" t="n">
        <v>7597</v>
      </c>
      <c r="J36" s="82" t="n">
        <v>29694</v>
      </c>
      <c r="K36" s="83">
        <f>I36/1000</f>
        <v/>
      </c>
      <c r="L36" s="83">
        <f>SUM(E36:G36)/1000</f>
        <v/>
      </c>
      <c r="M36" s="84">
        <f>IF(I36=0,"n.a.",H36/I36)</f>
        <v/>
      </c>
      <c r="N36" s="82">
        <f>IF(J36=0,"n.a.",I36*1000/J36)</f>
        <v/>
      </c>
      <c r="O36" s="82">
        <f>SUM(E36:H36)-I36</f>
        <v/>
      </c>
      <c r="P36" s="82">
        <f>RANK(I36,$I$7:$I$212,0)+COUNTIF($I$7:I36,I36)-1</f>
        <v/>
      </c>
      <c r="Q36" s="10" t="inlineStr">
        <is>
          <t>Northumbria</t>
        </is>
      </c>
    </row>
    <row r="37" ht="46" customHeight="1">
      <c r="A37" s="10" t="inlineStr">
        <is>
          <t>10001883</t>
        </is>
      </c>
      <c r="B37" s="11" t="inlineStr">
        <is>
          <t>De Montfort University</t>
        </is>
      </c>
      <c r="C37" s="10" t="inlineStr">
        <is>
          <t>Other HE provider</t>
        </is>
      </c>
      <c r="D37" s="10" t="inlineStr">
        <is>
          <t>2024/25</t>
        </is>
      </c>
      <c r="E37" s="82" t="n">
        <v>158</v>
      </c>
      <c r="F37" s="82" t="n">
        <v>336</v>
      </c>
      <c r="G37" s="82" t="n">
        <v>5325</v>
      </c>
      <c r="H37" s="82" t="n">
        <v>1649</v>
      </c>
      <c r="I37" s="82" t="n">
        <v>7468</v>
      </c>
      <c r="J37" s="82" t="n">
        <v>92618</v>
      </c>
      <c r="K37" s="83">
        <f>I37/1000</f>
        <v/>
      </c>
      <c r="L37" s="83">
        <f>SUM(E37:G37)/1000</f>
        <v/>
      </c>
      <c r="M37" s="84">
        <f>IF(I37=0,"n.a.",H37/I37)</f>
        <v/>
      </c>
      <c r="N37" s="82">
        <f>IF(J37=0,"n.a.",I37*1000/J37)</f>
        <v/>
      </c>
      <c r="O37" s="82">
        <f>SUM(E37:H37)-I37</f>
        <v/>
      </c>
      <c r="P37" s="82">
        <f>RANK(I37,$I$7:$I$212,0)+COUNTIF($I$7:I37,I37)-1</f>
        <v/>
      </c>
      <c r="Q37" s="10" t="inlineStr">
        <is>
          <t>De Montfort</t>
        </is>
      </c>
    </row>
    <row r="38" ht="46" customHeight="1">
      <c r="A38" s="10" t="inlineStr">
        <is>
          <t>10007140</t>
        </is>
      </c>
      <c r="B38" s="11" t="inlineStr">
        <is>
          <t>Birmingham City University</t>
        </is>
      </c>
      <c r="C38" s="10" t="inlineStr">
        <is>
          <t>Other HE provider</t>
        </is>
      </c>
      <c r="D38" s="10" t="inlineStr">
        <is>
          <t>2024/25</t>
        </is>
      </c>
      <c r="E38" s="82" t="n">
        <v>230</v>
      </c>
      <c r="F38" s="82" t="n">
        <v>42</v>
      </c>
      <c r="G38" s="82" t="n">
        <v>6516</v>
      </c>
      <c r="H38" s="82" t="n">
        <v>311</v>
      </c>
      <c r="I38" s="82" t="n">
        <v>7099</v>
      </c>
      <c r="J38" s="82" t="n">
        <v>62406</v>
      </c>
      <c r="K38" s="83">
        <f>I38/1000</f>
        <v/>
      </c>
      <c r="L38" s="83">
        <f>SUM(E38:G38)/1000</f>
        <v/>
      </c>
      <c r="M38" s="84">
        <f>IF(I38=0,"n.a.",H38/I38)</f>
        <v/>
      </c>
      <c r="N38" s="82">
        <f>IF(J38=0,"n.a.",I38*1000/J38)</f>
        <v/>
      </c>
      <c r="O38" s="82">
        <f>SUM(E38:H38)-I38</f>
        <v/>
      </c>
      <c r="P38" s="82">
        <f>RANK(I38,$I$7:$I$212,0)+COUNTIF($I$7:I38,I38)-1</f>
        <v/>
      </c>
      <c r="Q38" s="10" t="inlineStr">
        <is>
          <t>Birmingham City</t>
        </is>
      </c>
    </row>
    <row r="39" ht="46" customHeight="1">
      <c r="A39" s="10" t="inlineStr">
        <is>
          <t>10005790</t>
        </is>
      </c>
      <c r="B39" s="11" t="inlineStr">
        <is>
          <t>Sheffield Hallam University</t>
        </is>
      </c>
      <c r="C39" s="10" t="inlineStr">
        <is>
          <t>Other HE provider</t>
        </is>
      </c>
      <c r="D39" s="10" t="inlineStr">
        <is>
          <t>2024/25</t>
        </is>
      </c>
      <c r="E39" s="82" t="n">
        <v>52</v>
      </c>
      <c r="F39" s="82" t="n">
        <v>159</v>
      </c>
      <c r="G39" s="82" t="n">
        <v>5334</v>
      </c>
      <c r="H39" s="82" t="n">
        <v>1489</v>
      </c>
      <c r="I39" s="82" t="n">
        <v>7034</v>
      </c>
      <c r="J39" s="82" t="n">
        <v>0</v>
      </c>
      <c r="K39" s="83">
        <f>I39/1000</f>
        <v/>
      </c>
      <c r="L39" s="83">
        <f>SUM(E39:G39)/1000</f>
        <v/>
      </c>
      <c r="M39" s="84">
        <f>IF(I39=0,"n.a.",H39/I39)</f>
        <v/>
      </c>
      <c r="N39" s="82">
        <f>IF(J39=0,"n.a.",I39*1000/J39)</f>
        <v/>
      </c>
      <c r="O39" s="82">
        <f>SUM(E39:H39)-I39</f>
        <v/>
      </c>
      <c r="P39" s="82">
        <f>RANK(I39,$I$7:$I$212,0)+COUNTIF($I$7:I39,I39)-1</f>
        <v/>
      </c>
      <c r="Q39" s="10" t="inlineStr">
        <is>
          <t>Sheffield Hallam</t>
        </is>
      </c>
    </row>
    <row r="40" ht="46" customHeight="1">
      <c r="A40" s="10" t="inlineStr">
        <is>
          <t>10004797</t>
        </is>
      </c>
      <c r="B40" s="11" t="inlineStr">
        <is>
          <t>The Nottingham Trent University</t>
        </is>
      </c>
      <c r="C40" s="10" t="inlineStr">
        <is>
          <t>Additional UK sample</t>
        </is>
      </c>
      <c r="D40" s="10" t="inlineStr">
        <is>
          <t>2024/25</t>
        </is>
      </c>
      <c r="E40" s="82" t="n">
        <v>0</v>
      </c>
      <c r="F40" s="82" t="n">
        <v>458</v>
      </c>
      <c r="G40" s="82" t="n">
        <v>183</v>
      </c>
      <c r="H40" s="82" t="n">
        <v>6375</v>
      </c>
      <c r="I40" s="82" t="n">
        <v>7016</v>
      </c>
      <c r="J40" s="82" t="n">
        <v>51865</v>
      </c>
      <c r="K40" s="83">
        <f>I40/1000</f>
        <v/>
      </c>
      <c r="L40" s="83">
        <f>SUM(E40:G40)/1000</f>
        <v/>
      </c>
      <c r="M40" s="84">
        <f>IF(I40=0,"n.a.",H40/I40)</f>
        <v/>
      </c>
      <c r="N40" s="82">
        <f>IF(J40=0,"n.a.",I40*1000/J40)</f>
        <v/>
      </c>
      <c r="O40" s="82">
        <f>SUM(E40:H40)-I40</f>
        <v/>
      </c>
      <c r="P40" s="82">
        <f>RANK(I40,$I$7:$I$212,0)+COUNTIF($I$7:I40,I40)-1</f>
        <v/>
      </c>
      <c r="Q40" s="10" t="inlineStr">
        <is>
          <t>Nottingham Trent</t>
        </is>
      </c>
    </row>
    <row r="41" ht="46" customHeight="1">
      <c r="A41" s="10" t="inlineStr">
        <is>
          <t>10007850</t>
        </is>
      </c>
      <c r="B41" s="11" t="inlineStr">
        <is>
          <t>The University of Bath</t>
        </is>
      </c>
      <c r="C41" s="10" t="inlineStr">
        <is>
          <t>Additional UK sample</t>
        </is>
      </c>
      <c r="D41" s="10" t="inlineStr">
        <is>
          <t>2024/25</t>
        </is>
      </c>
      <c r="E41" s="82" t="n">
        <v>101</v>
      </c>
      <c r="F41" s="82" t="n">
        <v>354</v>
      </c>
      <c r="G41" s="82" t="n">
        <v>2722</v>
      </c>
      <c r="H41" s="82" t="n">
        <v>3570</v>
      </c>
      <c r="I41" s="82" t="n">
        <v>6747</v>
      </c>
      <c r="J41" s="82" t="n">
        <v>46521</v>
      </c>
      <c r="K41" s="83">
        <f>I41/1000</f>
        <v/>
      </c>
      <c r="L41" s="83">
        <f>SUM(E41:G41)/1000</f>
        <v/>
      </c>
      <c r="M41" s="84">
        <f>IF(I41=0,"n.a.",H41/I41)</f>
        <v/>
      </c>
      <c r="N41" s="82">
        <f>IF(J41=0,"n.a.",I41*1000/J41)</f>
        <v/>
      </c>
      <c r="O41" s="82">
        <f>SUM(E41:H41)-I41</f>
        <v/>
      </c>
      <c r="P41" s="82">
        <f>RANK(I41,$I$7:$I$212,0)+COUNTIF($I$7:I41,I41)-1</f>
        <v/>
      </c>
      <c r="Q41" s="10" t="inlineStr">
        <is>
          <t>Bath</t>
        </is>
      </c>
    </row>
    <row r="42" ht="46" customHeight="1">
      <c r="A42" s="10" t="inlineStr">
        <is>
          <t>10007789</t>
        </is>
      </c>
      <c r="B42" s="11" t="inlineStr">
        <is>
          <t>The University of East Anglia</t>
        </is>
      </c>
      <c r="C42" s="10" t="inlineStr">
        <is>
          <t>Additional UK sample</t>
        </is>
      </c>
      <c r="D42" s="10" t="inlineStr">
        <is>
          <t>2024/25</t>
        </is>
      </c>
      <c r="E42" s="82" t="n">
        <v>36</v>
      </c>
      <c r="F42" s="82" t="n">
        <v>291</v>
      </c>
      <c r="G42" s="82" t="n">
        <v>4615</v>
      </c>
      <c r="H42" s="82" t="n">
        <v>1467</v>
      </c>
      <c r="I42" s="82" t="n">
        <v>6409</v>
      </c>
      <c r="J42" s="82" t="n">
        <v>17235</v>
      </c>
      <c r="K42" s="83">
        <f>I42/1000</f>
        <v/>
      </c>
      <c r="L42" s="83">
        <f>SUM(E42:G42)/1000</f>
        <v/>
      </c>
      <c r="M42" s="84">
        <f>IF(I42=0,"n.a.",H42/I42)</f>
        <v/>
      </c>
      <c r="N42" s="82">
        <f>IF(J42=0,"n.a.",I42*1000/J42)</f>
        <v/>
      </c>
      <c r="O42" s="82">
        <f>SUM(E42:H42)-I42</f>
        <v/>
      </c>
      <c r="P42" s="82">
        <f>RANK(I42,$I$7:$I$212,0)+COUNTIF($I$7:I42,I42)-1</f>
        <v/>
      </c>
      <c r="Q42" s="10" t="inlineStr">
        <is>
          <t>East Anglia</t>
        </is>
      </c>
    </row>
    <row r="43" ht="46" customHeight="1">
      <c r="A43" s="10" t="inlineStr">
        <is>
          <t>10007147</t>
        </is>
      </c>
      <c r="B43" s="11" t="inlineStr">
        <is>
          <t>University of Hertfordshire</t>
        </is>
      </c>
      <c r="C43" s="10" t="inlineStr">
        <is>
          <t>Other HE provider</t>
        </is>
      </c>
      <c r="D43" s="10" t="inlineStr">
        <is>
          <t>2024/25</t>
        </is>
      </c>
      <c r="E43" s="82" t="n">
        <v>19</v>
      </c>
      <c r="F43" s="82" t="n">
        <v>139</v>
      </c>
      <c r="G43" s="82" t="n">
        <v>4895</v>
      </c>
      <c r="H43" s="82" t="n">
        <v>1324</v>
      </c>
      <c r="I43" s="82" t="n">
        <v>6377</v>
      </c>
      <c r="J43" s="82" t="n">
        <v>28490</v>
      </c>
      <c r="K43" s="83">
        <f>I43/1000</f>
        <v/>
      </c>
      <c r="L43" s="83">
        <f>SUM(E43:G43)/1000</f>
        <v/>
      </c>
      <c r="M43" s="84">
        <f>IF(I43=0,"n.a.",H43/I43)</f>
        <v/>
      </c>
      <c r="N43" s="82">
        <f>IF(J43=0,"n.a.",I43*1000/J43)</f>
        <v/>
      </c>
      <c r="O43" s="82">
        <f>SUM(E43:H43)-I43</f>
        <v/>
      </c>
      <c r="P43" s="82">
        <f>RANK(I43,$I$7:$I$212,0)+COUNTIF($I$7:I43,I43)-1</f>
        <v/>
      </c>
      <c r="Q43" s="10" t="inlineStr">
        <is>
          <t>Hertfordshire</t>
        </is>
      </c>
    </row>
    <row r="44" ht="46" customHeight="1">
      <c r="A44" s="10" t="inlineStr">
        <is>
          <t>10039956</t>
        </is>
      </c>
      <c r="B44" s="11" t="inlineStr">
        <is>
          <t>The University of Law</t>
        </is>
      </c>
      <c r="C44" s="10" t="inlineStr">
        <is>
          <t>Other HE provider</t>
        </is>
      </c>
      <c r="D44" s="10" t="inlineStr">
        <is>
          <t>2024/25</t>
        </is>
      </c>
      <c r="E44" s="82" t="n">
        <v>0</v>
      </c>
      <c r="F44" s="82" t="n">
        <v>2518</v>
      </c>
      <c r="G44" s="82" t="n">
        <v>0</v>
      </c>
      <c r="H44" s="82" t="n">
        <v>3834</v>
      </c>
      <c r="I44" s="82" t="n">
        <v>6352</v>
      </c>
      <c r="J44" s="82" t="n">
        <v>3240</v>
      </c>
      <c r="K44" s="83">
        <f>I44/1000</f>
        <v/>
      </c>
      <c r="L44" s="83">
        <f>SUM(E44:G44)/1000</f>
        <v/>
      </c>
      <c r="M44" s="84">
        <f>IF(I44=0,"n.a.",H44/I44)</f>
        <v/>
      </c>
      <c r="N44" s="82">
        <f>IF(J44=0,"n.a.",I44*1000/J44)</f>
        <v/>
      </c>
      <c r="O44" s="82">
        <f>SUM(E44:H44)-I44</f>
        <v/>
      </c>
      <c r="P44" s="82">
        <f>RANK(I44,$I$7:$I$212,0)+COUNTIF($I$7:I44,I44)-1</f>
        <v/>
      </c>
      <c r="Q44" s="10" t="inlineStr">
        <is>
          <t>Law</t>
        </is>
      </c>
    </row>
    <row r="45" ht="46" customHeight="1">
      <c r="A45" s="10" t="inlineStr">
        <is>
          <t>10001478</t>
        </is>
      </c>
      <c r="B45" s="11" t="inlineStr">
        <is>
          <t>City St George's, University of London</t>
        </is>
      </c>
      <c r="C45" s="10" t="inlineStr">
        <is>
          <t>Additional UK sample</t>
        </is>
      </c>
      <c r="D45" s="10" t="inlineStr">
        <is>
          <t>2024/25</t>
        </is>
      </c>
      <c r="E45" s="82" t="n">
        <v>875</v>
      </c>
      <c r="F45" s="82" t="n">
        <v>1731</v>
      </c>
      <c r="G45" s="82" t="n">
        <v>2604</v>
      </c>
      <c r="H45" s="82" t="n">
        <v>787</v>
      </c>
      <c r="I45" s="82" t="n">
        <v>5997</v>
      </c>
      <c r="J45" s="82" t="n">
        <v>11693</v>
      </c>
      <c r="K45" s="83">
        <f>I45/1000</f>
        <v/>
      </c>
      <c r="L45" s="83">
        <f>SUM(E45:G45)/1000</f>
        <v/>
      </c>
      <c r="M45" s="84">
        <f>IF(I45=0,"n.a.",H45/I45)</f>
        <v/>
      </c>
      <c r="N45" s="82">
        <f>IF(J45=0,"n.a.",I45*1000/J45)</f>
        <v/>
      </c>
      <c r="O45" s="82">
        <f>SUM(E45:H45)-I45</f>
        <v/>
      </c>
      <c r="P45" s="82">
        <f>RANK(I45,$I$7:$I$212,0)+COUNTIF($I$7:I45,I45)-1</f>
        <v/>
      </c>
      <c r="Q45" s="10" t="inlineStr">
        <is>
          <t>City St George’s</t>
        </is>
      </c>
    </row>
    <row r="46" ht="46" customHeight="1">
      <c r="A46" s="10" t="inlineStr">
        <is>
          <t>10007773</t>
        </is>
      </c>
      <c r="B46" s="11" t="inlineStr">
        <is>
          <t>The Open University</t>
        </is>
      </c>
      <c r="C46" s="10" t="inlineStr">
        <is>
          <t>Other HE provider</t>
        </is>
      </c>
      <c r="D46" s="10" t="inlineStr">
        <is>
          <t>2024/25</t>
        </is>
      </c>
      <c r="E46" s="82" t="n">
        <v>594</v>
      </c>
      <c r="F46" s="82" t="n">
        <v>1039</v>
      </c>
      <c r="G46" s="82" t="n">
        <v>2469</v>
      </c>
      <c r="H46" s="82" t="n">
        <v>1825</v>
      </c>
      <c r="I46" s="82" t="n">
        <v>5927</v>
      </c>
      <c r="J46" s="82" t="n">
        <v>626208</v>
      </c>
      <c r="K46" s="83">
        <f>I46/1000</f>
        <v/>
      </c>
      <c r="L46" s="83">
        <f>SUM(E46:G46)/1000</f>
        <v/>
      </c>
      <c r="M46" s="84">
        <f>IF(I46=0,"n.a.",H46/I46)</f>
        <v/>
      </c>
      <c r="N46" s="82">
        <f>IF(J46=0,"n.a.",I46*1000/J46)</f>
        <v/>
      </c>
      <c r="O46" s="82">
        <f>SUM(E46:H46)-I46</f>
        <v/>
      </c>
      <c r="P46" s="82">
        <f>RANK(I46,$I$7:$I$212,0)+COUNTIF($I$7:I46,I46)-1</f>
        <v/>
      </c>
      <c r="Q46" s="10" t="inlineStr">
        <is>
          <t>The Open</t>
        </is>
      </c>
    </row>
    <row r="47" ht="46" customHeight="1">
      <c r="A47" s="10" t="inlineStr">
        <is>
          <t>10007155</t>
        </is>
      </c>
      <c r="B47" s="11" t="inlineStr">
        <is>
          <t>The University of Portsmouth</t>
        </is>
      </c>
      <c r="C47" s="10" t="inlineStr">
        <is>
          <t>Additional UK sample</t>
        </is>
      </c>
      <c r="D47" s="10" t="inlineStr">
        <is>
          <t>2024/25</t>
        </is>
      </c>
      <c r="E47" s="82" t="n">
        <v>101</v>
      </c>
      <c r="F47" s="82" t="n">
        <v>482</v>
      </c>
      <c r="G47" s="82" t="n">
        <v>4134</v>
      </c>
      <c r="H47" s="82" t="n">
        <v>951</v>
      </c>
      <c r="I47" s="82" t="n">
        <v>5668</v>
      </c>
      <c r="J47" s="82" t="n">
        <v>29434</v>
      </c>
      <c r="K47" s="83">
        <f>I47/1000</f>
        <v/>
      </c>
      <c r="L47" s="83">
        <f>SUM(E47:G47)/1000</f>
        <v/>
      </c>
      <c r="M47" s="84">
        <f>IF(I47=0,"n.a.",H47/I47)</f>
        <v/>
      </c>
      <c r="N47" s="82">
        <f>IF(J47=0,"n.a.",I47*1000/J47)</f>
        <v/>
      </c>
      <c r="O47" s="82">
        <f>SUM(E47:H47)-I47</f>
        <v/>
      </c>
      <c r="P47" s="82">
        <f>RANK(I47,$I$7:$I$212,0)+COUNTIF($I$7:I47,I47)-1</f>
        <v/>
      </c>
      <c r="Q47" s="10" t="inlineStr">
        <is>
          <t>Portsmouth</t>
        </is>
      </c>
    </row>
    <row r="48" ht="46" customHeight="1">
      <c r="A48" s="10" t="inlineStr">
        <is>
          <t>10005343</t>
        </is>
      </c>
      <c r="B48" s="11" t="inlineStr">
        <is>
          <t>Queen's University Belfast</t>
        </is>
      </c>
      <c r="C48" s="10" t="inlineStr">
        <is>
          <t>Russell Group</t>
        </is>
      </c>
      <c r="D48" s="10" t="inlineStr">
        <is>
          <t>2024/25</t>
        </is>
      </c>
      <c r="E48" s="82" t="n">
        <v>0</v>
      </c>
      <c r="F48" s="82" t="n">
        <v>10</v>
      </c>
      <c r="G48" s="82" t="n">
        <v>5555</v>
      </c>
      <c r="H48" s="82" t="n">
        <v>0</v>
      </c>
      <c r="I48" s="82" t="n">
        <v>5565</v>
      </c>
      <c r="J48" s="82" t="n">
        <v>14571</v>
      </c>
      <c r="K48" s="83">
        <f>I48/1000</f>
        <v/>
      </c>
      <c r="L48" s="83">
        <f>SUM(E48:G48)/1000</f>
        <v/>
      </c>
      <c r="M48" s="84">
        <f>IF(I48=0,"n.a.",H48/I48)</f>
        <v/>
      </c>
      <c r="N48" s="82">
        <f>IF(J48=0,"n.a.",I48*1000/J48)</f>
        <v/>
      </c>
      <c r="O48" s="82">
        <f>SUM(E48:H48)-I48</f>
        <v/>
      </c>
      <c r="P48" s="82">
        <f>RANK(I48,$I$7:$I$212,0)+COUNTIF($I$7:I48,I48)-1</f>
        <v/>
      </c>
      <c r="Q48" s="10" t="inlineStr">
        <is>
          <t>Queen’s University Belfast</t>
        </is>
      </c>
    </row>
    <row r="49" ht="46" customHeight="1">
      <c r="A49" s="10" t="inlineStr">
        <is>
          <t>10007162</t>
        </is>
      </c>
      <c r="B49" s="11" t="inlineStr">
        <is>
          <t>University of the Arts, London</t>
        </is>
      </c>
      <c r="C49" s="10" t="inlineStr">
        <is>
          <t>Other HE provider</t>
        </is>
      </c>
      <c r="D49" s="10" t="inlineStr">
        <is>
          <t>2024/25</t>
        </is>
      </c>
      <c r="E49" s="82" t="n">
        <v>104</v>
      </c>
      <c r="F49" s="82" t="n">
        <v>74</v>
      </c>
      <c r="G49" s="82" t="n">
        <v>209</v>
      </c>
      <c r="H49" s="82" t="n">
        <v>5163</v>
      </c>
      <c r="I49" s="82" t="n">
        <v>5550</v>
      </c>
      <c r="J49" s="82" t="n">
        <v>25170</v>
      </c>
      <c r="K49" s="83">
        <f>I49/1000</f>
        <v/>
      </c>
      <c r="L49" s="83">
        <f>SUM(E49:G49)/1000</f>
        <v/>
      </c>
      <c r="M49" s="84">
        <f>IF(I49=0,"n.a.",H49/I49)</f>
        <v/>
      </c>
      <c r="N49" s="82">
        <f>IF(J49=0,"n.a.",I49*1000/J49)</f>
        <v/>
      </c>
      <c r="O49" s="82">
        <f>SUM(E49:H49)-I49</f>
        <v/>
      </c>
      <c r="P49" s="82">
        <f>RANK(I49,$I$7:$I$212,0)+COUNTIF($I$7:I49,I49)-1</f>
        <v/>
      </c>
      <c r="Q49" s="10" t="inlineStr">
        <is>
          <t>the Arts, London</t>
        </is>
      </c>
    </row>
    <row r="50" ht="46" customHeight="1">
      <c r="A50" s="10" t="inlineStr">
        <is>
          <t>10004180</t>
        </is>
      </c>
      <c r="B50" s="11" t="inlineStr">
        <is>
          <t>The Manchester Metropolitan University</t>
        </is>
      </c>
      <c r="C50" s="10" t="inlineStr">
        <is>
          <t>Additional UK sample</t>
        </is>
      </c>
      <c r="D50" s="10" t="inlineStr">
        <is>
          <t>2024/25</t>
        </is>
      </c>
      <c r="E50" s="82" t="n">
        <v>0</v>
      </c>
      <c r="F50" s="82" t="n">
        <v>81</v>
      </c>
      <c r="G50" s="82" t="n">
        <v>3650</v>
      </c>
      <c r="H50" s="82" t="n">
        <v>1751</v>
      </c>
      <c r="I50" s="82" t="n">
        <v>5482</v>
      </c>
      <c r="J50" s="82" t="n">
        <v>24981</v>
      </c>
      <c r="K50" s="83">
        <f>I50/1000</f>
        <v/>
      </c>
      <c r="L50" s="83">
        <f>SUM(E50:G50)/1000</f>
        <v/>
      </c>
      <c r="M50" s="84">
        <f>IF(I50=0,"n.a.",H50/I50)</f>
        <v/>
      </c>
      <c r="N50" s="82">
        <f>IF(J50=0,"n.a.",I50*1000/J50)</f>
        <v/>
      </c>
      <c r="O50" s="82">
        <f>SUM(E50:H50)-I50</f>
        <v/>
      </c>
      <c r="P50" s="82">
        <f>RANK(I50,$I$7:$I$212,0)+COUNTIF($I$7:I50,I50)-1</f>
        <v/>
      </c>
      <c r="Q50" s="10" t="inlineStr">
        <is>
          <t>Manchester Metropolitan</t>
        </is>
      </c>
    </row>
    <row r="51" ht="46" customHeight="1">
      <c r="A51" s="10" t="inlineStr">
        <is>
          <t>10007151</t>
        </is>
      </c>
      <c r="B51" s="11" t="inlineStr">
        <is>
          <t>The University of Lincoln</t>
        </is>
      </c>
      <c r="C51" s="10" t="inlineStr">
        <is>
          <t>Other HE provider</t>
        </is>
      </c>
      <c r="D51" s="10" t="inlineStr">
        <is>
          <t>2024/25</t>
        </is>
      </c>
      <c r="E51" s="82" t="n">
        <v>60</v>
      </c>
      <c r="F51" s="82" t="n">
        <v>119</v>
      </c>
      <c r="G51" s="82" t="n">
        <v>4855</v>
      </c>
      <c r="H51" s="82" t="n">
        <v>268</v>
      </c>
      <c r="I51" s="82" t="n">
        <v>5302</v>
      </c>
      <c r="J51" s="82" t="n">
        <v>35140</v>
      </c>
      <c r="K51" s="83">
        <f>I51/1000</f>
        <v/>
      </c>
      <c r="L51" s="83">
        <f>SUM(E51:G51)/1000</f>
        <v/>
      </c>
      <c r="M51" s="84">
        <f>IF(I51=0,"n.a.",H51/I51)</f>
        <v/>
      </c>
      <c r="N51" s="82">
        <f>IF(J51=0,"n.a.",I51*1000/J51)</f>
        <v/>
      </c>
      <c r="O51" s="82">
        <f>SUM(E51:H51)-I51</f>
        <v/>
      </c>
      <c r="P51" s="82">
        <f>RANK(I51,$I$7:$I$212,0)+COUNTIF($I$7:I51,I51)-1</f>
        <v/>
      </c>
      <c r="Q51" s="10" t="inlineStr">
        <is>
          <t>Lincoln</t>
        </is>
      </c>
    </row>
    <row r="52" ht="46" customHeight="1">
      <c r="A52" s="10" t="inlineStr">
        <is>
          <t>10007783</t>
        </is>
      </c>
      <c r="B52" s="11" t="inlineStr">
        <is>
          <t>The University of Aberdeen</t>
        </is>
      </c>
      <c r="C52" s="10" t="inlineStr">
        <is>
          <t>Additional UK sample</t>
        </is>
      </c>
      <c r="D52" s="10" t="inlineStr">
        <is>
          <t>2024/25</t>
        </is>
      </c>
      <c r="E52" s="82" t="n">
        <v>117</v>
      </c>
      <c r="F52" s="82" t="n">
        <v>291</v>
      </c>
      <c r="G52" s="82" t="n">
        <v>1638</v>
      </c>
      <c r="H52" s="82" t="n">
        <v>3153</v>
      </c>
      <c r="I52" s="82" t="n">
        <v>5199</v>
      </c>
      <c r="J52" s="82" t="n">
        <v>114009</v>
      </c>
      <c r="K52" s="83">
        <f>I52/1000</f>
        <v/>
      </c>
      <c r="L52" s="83">
        <f>SUM(E52:G52)/1000</f>
        <v/>
      </c>
      <c r="M52" s="84">
        <f>IF(I52=0,"n.a.",H52/I52)</f>
        <v/>
      </c>
      <c r="N52" s="82">
        <f>IF(J52=0,"n.a.",I52*1000/J52)</f>
        <v/>
      </c>
      <c r="O52" s="82">
        <f>SUM(E52:H52)-I52</f>
        <v/>
      </c>
      <c r="P52" s="82">
        <f>RANK(I52,$I$7:$I$212,0)+COUNTIF($I$7:I52,I52)-1</f>
        <v/>
      </c>
      <c r="Q52" s="10" t="inlineStr">
        <is>
          <t>Aberdeen</t>
        </is>
      </c>
    </row>
    <row r="53" ht="46" customHeight="1">
      <c r="A53" s="10" t="inlineStr">
        <is>
          <t>10007145</t>
        </is>
      </c>
      <c r="B53" s="11" t="inlineStr">
        <is>
          <t>University of Gloucestershire</t>
        </is>
      </c>
      <c r="C53" s="10" t="inlineStr">
        <is>
          <t>Other HE provider</t>
        </is>
      </c>
      <c r="D53" s="10" t="inlineStr">
        <is>
          <t>2024/25</t>
        </is>
      </c>
      <c r="E53" s="82" t="n">
        <v>353</v>
      </c>
      <c r="F53" s="82" t="n">
        <v>470</v>
      </c>
      <c r="G53" s="82" t="n">
        <v>4346</v>
      </c>
      <c r="H53" s="82" t="n">
        <v>15</v>
      </c>
      <c r="I53" s="82" t="n">
        <v>5184</v>
      </c>
      <c r="J53" s="82" t="n">
        <v>22688</v>
      </c>
      <c r="K53" s="83">
        <f>I53/1000</f>
        <v/>
      </c>
      <c r="L53" s="83">
        <f>SUM(E53:G53)/1000</f>
        <v/>
      </c>
      <c r="M53" s="84">
        <f>IF(I53=0,"n.a.",H53/I53)</f>
        <v/>
      </c>
      <c r="N53" s="82">
        <f>IF(J53=0,"n.a.",I53*1000/J53)</f>
        <v/>
      </c>
      <c r="O53" s="82">
        <f>SUM(E53:H53)-I53</f>
        <v/>
      </c>
      <c r="P53" s="82">
        <f>RANK(I53,$I$7:$I$212,0)+COUNTIF($I$7:I53,I53)-1</f>
        <v/>
      </c>
      <c r="Q53" s="10" t="inlineStr">
        <is>
          <t>Gloucestershire</t>
        </is>
      </c>
    </row>
    <row r="54" ht="46" customHeight="1">
      <c r="A54" s="10" t="inlineStr">
        <is>
          <t>10005500</t>
        </is>
      </c>
      <c r="B54" s="11" t="inlineStr">
        <is>
          <t>Robert Gordon University</t>
        </is>
      </c>
      <c r="C54" s="10" t="inlineStr">
        <is>
          <t>Other HE provider</t>
        </is>
      </c>
      <c r="D54" s="10" t="inlineStr">
        <is>
          <t>2024/25</t>
        </is>
      </c>
      <c r="E54" s="82" t="n">
        <v>98</v>
      </c>
      <c r="F54" s="82" t="n">
        <v>397</v>
      </c>
      <c r="G54" s="82" t="n">
        <v>1989</v>
      </c>
      <c r="H54" s="82" t="n">
        <v>2506</v>
      </c>
      <c r="I54" s="82" t="n">
        <v>4990</v>
      </c>
      <c r="J54" s="82" t="n">
        <v>0</v>
      </c>
      <c r="K54" s="83">
        <f>I54/1000</f>
        <v/>
      </c>
      <c r="L54" s="83">
        <f>SUM(E54:G54)/1000</f>
        <v/>
      </c>
      <c r="M54" s="84">
        <f>IF(I54=0,"n.a.",H54/I54)</f>
        <v/>
      </c>
      <c r="N54" s="82">
        <f>IF(J54=0,"n.a.",I54*1000/J54)</f>
        <v/>
      </c>
      <c r="O54" s="82">
        <f>SUM(E54:H54)-I54</f>
        <v/>
      </c>
      <c r="P54" s="82">
        <f>RANK(I54,$I$7:$I$212,0)+COUNTIF($I$7:I54,I54)-1</f>
        <v/>
      </c>
      <c r="Q54" s="10" t="inlineStr">
        <is>
          <t>Robert Gordon</t>
        </is>
      </c>
    </row>
    <row r="55" ht="46" customHeight="1">
      <c r="A55" s="10" t="inlineStr">
        <is>
          <t>10007167</t>
        </is>
      </c>
      <c r="B55" s="11" t="inlineStr">
        <is>
          <t>The University of York</t>
        </is>
      </c>
      <c r="C55" s="10" t="inlineStr">
        <is>
          <t>Russell Group</t>
        </is>
      </c>
      <c r="D55" s="10" t="inlineStr">
        <is>
          <t>2024/25</t>
        </is>
      </c>
      <c r="E55" s="82" t="n">
        <v>89</v>
      </c>
      <c r="F55" s="82" t="n">
        <v>1006</v>
      </c>
      <c r="G55" s="82" t="n">
        <v>3416</v>
      </c>
      <c r="H55" s="82" t="n">
        <v>259</v>
      </c>
      <c r="I55" s="82" t="n">
        <v>4770</v>
      </c>
      <c r="J55" s="82" t="n">
        <v>7817</v>
      </c>
      <c r="K55" s="83">
        <f>I55/1000</f>
        <v/>
      </c>
      <c r="L55" s="83">
        <f>SUM(E55:G55)/1000</f>
        <v/>
      </c>
      <c r="M55" s="84">
        <f>IF(I55=0,"n.a.",H55/I55)</f>
        <v/>
      </c>
      <c r="N55" s="82">
        <f>IF(J55=0,"n.a.",I55*1000/J55)</f>
        <v/>
      </c>
      <c r="O55" s="82">
        <f>SUM(E55:H55)-I55</f>
        <v/>
      </c>
      <c r="P55" s="82">
        <f>RANK(I55,$I$7:$I$212,0)+COUNTIF($I$7:I55,I55)-1</f>
        <v/>
      </c>
      <c r="Q55" s="10" t="inlineStr">
        <is>
          <t>York</t>
        </is>
      </c>
    </row>
    <row r="56" ht="46" customHeight="1">
      <c r="A56" s="10" t="inlineStr">
        <is>
          <t>10007823</t>
        </is>
      </c>
      <c r="B56" s="11" t="inlineStr">
        <is>
          <t>Edge Hill University</t>
        </is>
      </c>
      <c r="C56" s="10" t="inlineStr">
        <is>
          <t>Other HE provider</t>
        </is>
      </c>
      <c r="D56" s="10" t="inlineStr">
        <is>
          <t>2024/25</t>
        </is>
      </c>
      <c r="E56" s="82" t="n">
        <v>16</v>
      </c>
      <c r="F56" s="82" t="n">
        <v>0</v>
      </c>
      <c r="G56" s="82" t="n">
        <v>3684</v>
      </c>
      <c r="H56" s="82" t="n">
        <v>900</v>
      </c>
      <c r="I56" s="82" t="n">
        <v>4600</v>
      </c>
      <c r="J56" s="82" t="n">
        <v>11308</v>
      </c>
      <c r="K56" s="83">
        <f>I56/1000</f>
        <v/>
      </c>
      <c r="L56" s="83">
        <f>SUM(E56:G56)/1000</f>
        <v/>
      </c>
      <c r="M56" s="84">
        <f>IF(I56=0,"n.a.",H56/I56)</f>
        <v/>
      </c>
      <c r="N56" s="82">
        <f>IF(J56=0,"n.a.",I56*1000/J56)</f>
        <v/>
      </c>
      <c r="O56" s="82">
        <f>SUM(E56:H56)-I56</f>
        <v/>
      </c>
      <c r="P56" s="82">
        <f>RANK(I56,$I$7:$I$212,0)+COUNTIF($I$7:I56,I56)-1</f>
        <v/>
      </c>
      <c r="Q56" s="10" t="inlineStr">
        <is>
          <t>Edge Hill</t>
        </is>
      </c>
    </row>
    <row r="57" ht="46" customHeight="1">
      <c r="A57" s="10" t="inlineStr">
        <is>
          <t>10009292</t>
        </is>
      </c>
      <c r="B57" s="11" t="inlineStr">
        <is>
          <t>Royal Academy of Dramatic Art</t>
        </is>
      </c>
      <c r="C57" s="10" t="inlineStr">
        <is>
          <t>Other HE provider</t>
        </is>
      </c>
      <c r="D57" s="10" t="inlineStr">
        <is>
          <t>2024/25</t>
        </is>
      </c>
      <c r="E57" s="82" t="n">
        <v>419</v>
      </c>
      <c r="F57" s="82" t="n">
        <v>605</v>
      </c>
      <c r="G57" s="82" t="n">
        <v>462</v>
      </c>
      <c r="H57" s="82" t="n">
        <v>3061</v>
      </c>
      <c r="I57" s="82" t="n">
        <v>4547</v>
      </c>
      <c r="J57" s="82" t="n">
        <v>13991</v>
      </c>
      <c r="K57" s="83">
        <f>I57/1000</f>
        <v/>
      </c>
      <c r="L57" s="83">
        <f>SUM(E57:G57)/1000</f>
        <v/>
      </c>
      <c r="M57" s="84">
        <f>IF(I57=0,"n.a.",H57/I57)</f>
        <v/>
      </c>
      <c r="N57" s="82">
        <f>IF(J57=0,"n.a.",I57*1000/J57)</f>
        <v/>
      </c>
      <c r="O57" s="82">
        <f>SUM(E57:H57)-I57</f>
        <v/>
      </c>
      <c r="P57" s="82">
        <f>RANK(I57,$I$7:$I$212,0)+COUNTIF($I$7:I57,I57)-1</f>
        <v/>
      </c>
      <c r="Q57" s="10" t="inlineStr">
        <is>
          <t>Royal Academy of Dramatic Art</t>
        </is>
      </c>
    </row>
    <row r="58" ht="46" customHeight="1">
      <c r="A58" s="10" t="inlineStr">
        <is>
          <t>10006299</t>
        </is>
      </c>
      <c r="B58" s="11" t="inlineStr">
        <is>
          <t>University of Staffordshire</t>
        </is>
      </c>
      <c r="C58" s="10" t="inlineStr">
        <is>
          <t>Other HE provider</t>
        </is>
      </c>
      <c r="D58" s="10" t="inlineStr">
        <is>
          <t>2024/25</t>
        </is>
      </c>
      <c r="E58" s="82" t="n">
        <v>0</v>
      </c>
      <c r="F58" s="82" t="n">
        <v>0</v>
      </c>
      <c r="G58" s="82" t="n">
        <v>3964</v>
      </c>
      <c r="H58" s="82" t="n">
        <v>529</v>
      </c>
      <c r="I58" s="82" t="n">
        <v>4493</v>
      </c>
      <c r="J58" s="82" t="n">
        <v>0</v>
      </c>
      <c r="K58" s="83">
        <f>I58/1000</f>
        <v/>
      </c>
      <c r="L58" s="83">
        <f>SUM(E58:G58)/1000</f>
        <v/>
      </c>
      <c r="M58" s="84">
        <f>IF(I58=0,"n.a.",H58/I58)</f>
        <v/>
      </c>
      <c r="N58" s="82">
        <f>IF(J58=0,"n.a.",I58*1000/J58)</f>
        <v/>
      </c>
      <c r="O58" s="82">
        <f>SUM(E58:H58)-I58</f>
        <v/>
      </c>
      <c r="P58" s="82">
        <f>RANK(I58,$I$7:$I$212,0)+COUNTIF($I$7:I58,I58)-1</f>
        <v/>
      </c>
      <c r="Q58" s="10" t="inlineStr">
        <is>
          <t>Staffordshire</t>
        </is>
      </c>
    </row>
    <row r="59" ht="46" customHeight="1">
      <c r="A59" s="10" t="inlineStr">
        <is>
          <t>10007792</t>
        </is>
      </c>
      <c r="B59" s="11" t="inlineStr">
        <is>
          <t>The University of Exeter</t>
        </is>
      </c>
      <c r="C59" s="10" t="inlineStr">
        <is>
          <t>Russell Group</t>
        </is>
      </c>
      <c r="D59" s="10" t="inlineStr">
        <is>
          <t>2024/25</t>
        </is>
      </c>
      <c r="E59" s="82" t="n">
        <v>1018</v>
      </c>
      <c r="F59" s="82" t="n">
        <v>1740</v>
      </c>
      <c r="G59" s="82" t="n">
        <v>1103</v>
      </c>
      <c r="H59" s="82" t="n">
        <v>382</v>
      </c>
      <c r="I59" s="82" t="n">
        <v>4243</v>
      </c>
      <c r="J59" s="82" t="n">
        <v>0</v>
      </c>
      <c r="K59" s="83">
        <f>I59/1000</f>
        <v/>
      </c>
      <c r="L59" s="83">
        <f>SUM(E59:G59)/1000</f>
        <v/>
      </c>
      <c r="M59" s="84">
        <f>IF(I59=0,"n.a.",H59/I59)</f>
        <v/>
      </c>
      <c r="N59" s="82">
        <f>IF(J59=0,"n.a.",I59*1000/J59)</f>
        <v/>
      </c>
      <c r="O59" s="82">
        <f>SUM(E59:H59)-I59</f>
        <v/>
      </c>
      <c r="P59" s="82">
        <f>RANK(I59,$I$7:$I$212,0)+COUNTIF($I$7:I59,I59)-1</f>
        <v/>
      </c>
      <c r="Q59" s="10" t="inlineStr">
        <is>
          <t>Exeter</t>
        </is>
      </c>
    </row>
    <row r="60" ht="46" customHeight="1">
      <c r="A60" s="10" t="inlineStr">
        <is>
          <t>10007855</t>
        </is>
      </c>
      <c r="B60" s="11" t="inlineStr">
        <is>
          <t>Swansea University</t>
        </is>
      </c>
      <c r="C60" s="10" t="inlineStr">
        <is>
          <t>Additional UK sample</t>
        </is>
      </c>
      <c r="D60" s="10" t="inlineStr">
        <is>
          <t>2024/25</t>
        </is>
      </c>
      <c r="E60" s="82" t="n">
        <v>15</v>
      </c>
      <c r="F60" s="82" t="n">
        <v>110</v>
      </c>
      <c r="G60" s="82" t="n">
        <v>1954</v>
      </c>
      <c r="H60" s="82" t="n">
        <v>2136</v>
      </c>
      <c r="I60" s="82" t="n">
        <v>4215</v>
      </c>
      <c r="J60" s="82" t="n">
        <v>37852</v>
      </c>
      <c r="K60" s="83">
        <f>I60/1000</f>
        <v/>
      </c>
      <c r="L60" s="83">
        <f>SUM(E60:G60)/1000</f>
        <v/>
      </c>
      <c r="M60" s="84">
        <f>IF(I60=0,"n.a.",H60/I60)</f>
        <v/>
      </c>
      <c r="N60" s="82">
        <f>IF(J60=0,"n.a.",I60*1000/J60)</f>
        <v/>
      </c>
      <c r="O60" s="82">
        <f>SUM(E60:H60)-I60</f>
        <v/>
      </c>
      <c r="P60" s="82">
        <f>RANK(I60,$I$7:$I$212,0)+COUNTIF($I$7:I60,I60)-1</f>
        <v/>
      </c>
      <c r="Q60" s="10" t="inlineStr">
        <is>
          <t>Swansea</t>
        </is>
      </c>
    </row>
    <row r="61" ht="46" customHeight="1">
      <c r="A61" s="10" t="inlineStr">
        <is>
          <t>10007139</t>
        </is>
      </c>
      <c r="B61" s="11" t="inlineStr">
        <is>
          <t>University of Worcester</t>
        </is>
      </c>
      <c r="C61" s="10" t="inlineStr">
        <is>
          <t>Other HE provider</t>
        </is>
      </c>
      <c r="D61" s="10" t="inlineStr">
        <is>
          <t>2024/25</t>
        </is>
      </c>
      <c r="E61" s="82" t="n">
        <v>195</v>
      </c>
      <c r="F61" s="82" t="n">
        <v>142</v>
      </c>
      <c r="G61" s="82" t="n">
        <v>1811</v>
      </c>
      <c r="H61" s="82" t="n">
        <v>1913</v>
      </c>
      <c r="I61" s="82" t="n">
        <v>4061</v>
      </c>
      <c r="J61" s="82" t="n">
        <v>21835</v>
      </c>
      <c r="K61" s="83">
        <f>I61/1000</f>
        <v/>
      </c>
      <c r="L61" s="83">
        <f>SUM(E61:G61)/1000</f>
        <v/>
      </c>
      <c r="M61" s="84">
        <f>IF(I61=0,"n.a.",H61/I61)</f>
        <v/>
      </c>
      <c r="N61" s="82">
        <f>IF(J61=0,"n.a.",I61*1000/J61)</f>
        <v/>
      </c>
      <c r="O61" s="82">
        <f>SUM(E61:H61)-I61</f>
        <v/>
      </c>
      <c r="P61" s="82">
        <f>RANK(I61,$I$7:$I$212,0)+COUNTIF($I$7:I61,I61)-1</f>
        <v/>
      </c>
      <c r="Q61" s="10" t="inlineStr">
        <is>
          <t>Worcester</t>
        </is>
      </c>
    </row>
    <row r="62" ht="46" customHeight="1">
      <c r="A62" s="10" t="inlineStr">
        <is>
          <t>10007149</t>
        </is>
      </c>
      <c r="B62" s="11" t="inlineStr">
        <is>
          <t>The University of Hull</t>
        </is>
      </c>
      <c r="C62" s="10" t="inlineStr">
        <is>
          <t>Other HE provider</t>
        </is>
      </c>
      <c r="D62" s="10" t="inlineStr">
        <is>
          <t>2024/25</t>
        </is>
      </c>
      <c r="E62" s="82" t="n">
        <v>23</v>
      </c>
      <c r="F62" s="82" t="n">
        <v>180</v>
      </c>
      <c r="G62" s="82" t="n">
        <v>1802</v>
      </c>
      <c r="H62" s="82" t="n">
        <v>1945</v>
      </c>
      <c r="I62" s="82" t="n">
        <v>3950</v>
      </c>
      <c r="J62" s="82" t="n">
        <v>19281</v>
      </c>
      <c r="K62" s="83">
        <f>I62/1000</f>
        <v/>
      </c>
      <c r="L62" s="83">
        <f>SUM(E62:G62)/1000</f>
        <v/>
      </c>
      <c r="M62" s="84">
        <f>IF(I62=0,"n.a.",H62/I62)</f>
        <v/>
      </c>
      <c r="N62" s="82">
        <f>IF(J62=0,"n.a.",I62*1000/J62)</f>
        <v/>
      </c>
      <c r="O62" s="82">
        <f>SUM(E62:H62)-I62</f>
        <v/>
      </c>
      <c r="P62" s="82">
        <f>RANK(I62,$I$7:$I$212,0)+COUNTIF($I$7:I62,I62)-1</f>
        <v/>
      </c>
      <c r="Q62" s="10" t="inlineStr">
        <is>
          <t>Hull</t>
        </is>
      </c>
    </row>
    <row r="63" ht="46" customHeight="1">
      <c r="A63" s="10" t="inlineStr">
        <is>
          <t>10007795</t>
        </is>
      </c>
      <c r="B63" s="11" t="inlineStr">
        <is>
          <t>The University of Leeds</t>
        </is>
      </c>
      <c r="C63" s="10" t="inlineStr">
        <is>
          <t>Russell Group</t>
        </is>
      </c>
      <c r="D63" s="10" t="inlineStr">
        <is>
          <t>2024/25</t>
        </is>
      </c>
      <c r="E63" s="82" t="n">
        <v>40</v>
      </c>
      <c r="F63" s="82" t="n">
        <v>1208</v>
      </c>
      <c r="G63" s="82" t="n">
        <v>2231</v>
      </c>
      <c r="H63" s="82" t="n">
        <v>437</v>
      </c>
      <c r="I63" s="82" t="n">
        <v>3916</v>
      </c>
      <c r="J63" s="82" t="n">
        <v>33901</v>
      </c>
      <c r="K63" s="83">
        <f>I63/1000</f>
        <v/>
      </c>
      <c r="L63" s="83">
        <f>SUM(E63:G63)/1000</f>
        <v/>
      </c>
      <c r="M63" s="84">
        <f>IF(I63=0,"n.a.",H63/I63)</f>
        <v/>
      </c>
      <c r="N63" s="82">
        <f>IF(J63=0,"n.a.",I63*1000/J63)</f>
        <v/>
      </c>
      <c r="O63" s="82">
        <f>SUM(E63:H63)-I63</f>
        <v/>
      </c>
      <c r="P63" s="82">
        <f>RANK(I63,$I$7:$I$212,0)+COUNTIF($I$7:I63,I63)-1</f>
        <v/>
      </c>
      <c r="Q63" s="10" t="inlineStr">
        <is>
          <t>Leeds</t>
        </is>
      </c>
    </row>
    <row r="64" ht="46" customHeight="1">
      <c r="A64" s="10" t="inlineStr">
        <is>
          <t>10003861</t>
        </is>
      </c>
      <c r="B64" s="11" t="inlineStr">
        <is>
          <t>Leeds Beckett University</t>
        </is>
      </c>
      <c r="C64" s="10" t="inlineStr">
        <is>
          <t>Other HE provider</t>
        </is>
      </c>
      <c r="D64" s="10" t="inlineStr">
        <is>
          <t>2024/25</t>
        </is>
      </c>
      <c r="E64" s="82" t="n">
        <v>667</v>
      </c>
      <c r="F64" s="82" t="n">
        <v>684</v>
      </c>
      <c r="G64" s="82" t="n">
        <v>2234</v>
      </c>
      <c r="H64" s="82" t="n">
        <v>231</v>
      </c>
      <c r="I64" s="82" t="n">
        <v>3816</v>
      </c>
      <c r="J64" s="82" t="n">
        <v>57597</v>
      </c>
      <c r="K64" s="83">
        <f>I64/1000</f>
        <v/>
      </c>
      <c r="L64" s="83">
        <f>SUM(E64:G64)/1000</f>
        <v/>
      </c>
      <c r="M64" s="84">
        <f>IF(I64=0,"n.a.",H64/I64)</f>
        <v/>
      </c>
      <c r="N64" s="82">
        <f>IF(J64=0,"n.a.",I64*1000/J64)</f>
        <v/>
      </c>
      <c r="O64" s="82">
        <f>SUM(E64:H64)-I64</f>
        <v/>
      </c>
      <c r="P64" s="82">
        <f>RANK(I64,$I$7:$I$212,0)+COUNTIF($I$7:I64,I64)-1</f>
        <v/>
      </c>
      <c r="Q64" s="10" t="inlineStr">
        <is>
          <t>Leeds Beckett</t>
        </is>
      </c>
    </row>
    <row r="65" ht="46" customHeight="1">
      <c r="A65" s="10" t="inlineStr">
        <is>
          <t>10007165</t>
        </is>
      </c>
      <c r="B65" s="11" t="inlineStr">
        <is>
          <t>The University of Westminster</t>
        </is>
      </c>
      <c r="C65" s="10" t="inlineStr">
        <is>
          <t>Other HE provider</t>
        </is>
      </c>
      <c r="D65" s="10" t="inlineStr">
        <is>
          <t>2024/25</t>
        </is>
      </c>
      <c r="E65" s="82" t="n">
        <v>770</v>
      </c>
      <c r="F65" s="82" t="n">
        <v>296</v>
      </c>
      <c r="G65" s="82" t="n">
        <v>514</v>
      </c>
      <c r="H65" s="82" t="n">
        <v>2210</v>
      </c>
      <c r="I65" s="82" t="n">
        <v>3790</v>
      </c>
      <c r="J65" s="82" t="n">
        <v>25105</v>
      </c>
      <c r="K65" s="83">
        <f>I65/1000</f>
        <v/>
      </c>
      <c r="L65" s="83">
        <f>SUM(E65:G65)/1000</f>
        <v/>
      </c>
      <c r="M65" s="84">
        <f>IF(I65=0,"n.a.",H65/I65)</f>
        <v/>
      </c>
      <c r="N65" s="82">
        <f>IF(J65=0,"n.a.",I65*1000/J65)</f>
        <v/>
      </c>
      <c r="O65" s="82">
        <f>SUM(E65:H65)-I65</f>
        <v/>
      </c>
      <c r="P65" s="82">
        <f>RANK(I65,$I$7:$I$212,0)+COUNTIF($I$7:I65,I65)-1</f>
        <v/>
      </c>
      <c r="Q65" s="10" t="inlineStr">
        <is>
          <t>Westminster</t>
        </is>
      </c>
    </row>
    <row r="66" ht="46" customHeight="1">
      <c r="A66" s="10" t="inlineStr">
        <is>
          <t>10007799</t>
        </is>
      </c>
      <c r="B66" s="11" t="inlineStr">
        <is>
          <t>Newcastle University</t>
        </is>
      </c>
      <c r="C66" s="10" t="inlineStr">
        <is>
          <t>Russell Group</t>
        </is>
      </c>
      <c r="D66" s="10" t="inlineStr">
        <is>
          <t>2024/25</t>
        </is>
      </c>
      <c r="E66" s="82" t="n">
        <v>90</v>
      </c>
      <c r="F66" s="82" t="n">
        <v>36</v>
      </c>
      <c r="G66" s="82" t="n">
        <v>2353</v>
      </c>
      <c r="H66" s="82" t="n">
        <v>1247</v>
      </c>
      <c r="I66" s="82" t="n">
        <v>3726</v>
      </c>
      <c r="J66" s="82" t="n">
        <v>46185</v>
      </c>
      <c r="K66" s="83">
        <f>I66/1000</f>
        <v/>
      </c>
      <c r="L66" s="83">
        <f>SUM(E66:G66)/1000</f>
        <v/>
      </c>
      <c r="M66" s="84">
        <f>IF(I66=0,"n.a.",H66/I66)</f>
        <v/>
      </c>
      <c r="N66" s="82">
        <f>IF(J66=0,"n.a.",I66*1000/J66)</f>
        <v/>
      </c>
      <c r="O66" s="82">
        <f>SUM(E66:H66)-I66</f>
        <v/>
      </c>
      <c r="P66" s="82">
        <f>RANK(I66,$I$7:$I$212,0)+COUNTIF($I$7:I66,I66)-1</f>
        <v/>
      </c>
      <c r="Q66" s="10" t="inlineStr">
        <is>
          <t>Newcastle</t>
        </is>
      </c>
    </row>
    <row r="67" ht="46" customHeight="1">
      <c r="A67" s="10" t="inlineStr">
        <is>
          <t>10004511</t>
        </is>
      </c>
      <c r="B67" s="11" t="inlineStr">
        <is>
          <t>The National Film and Television School</t>
        </is>
      </c>
      <c r="C67" s="10" t="inlineStr">
        <is>
          <t>Other HE provider</t>
        </is>
      </c>
      <c r="D67" s="10" t="inlineStr">
        <is>
          <t>2024/25</t>
        </is>
      </c>
      <c r="E67" s="82" t="n">
        <v>0</v>
      </c>
      <c r="F67" s="82" t="n">
        <v>0</v>
      </c>
      <c r="G67" s="82" t="n">
        <v>0</v>
      </c>
      <c r="H67" s="82" t="n">
        <v>3599</v>
      </c>
      <c r="I67" s="82" t="n">
        <v>3599</v>
      </c>
      <c r="J67" s="82" t="n">
        <v>0</v>
      </c>
      <c r="K67" s="83">
        <f>I67/1000</f>
        <v/>
      </c>
      <c r="L67" s="83">
        <f>SUM(E67:G67)/1000</f>
        <v/>
      </c>
      <c r="M67" s="84">
        <f>IF(I67=0,"n.a.",H67/I67)</f>
        <v/>
      </c>
      <c r="N67" s="82">
        <f>IF(J67=0,"n.a.",I67*1000/J67)</f>
        <v/>
      </c>
      <c r="O67" s="82">
        <f>SUM(E67:H67)-I67</f>
        <v/>
      </c>
      <c r="P67" s="82">
        <f>RANK(I67,$I$7:$I$212,0)+COUNTIF($I$7:I67,I67)-1</f>
        <v/>
      </c>
      <c r="Q67" s="10" t="inlineStr">
        <is>
          <t>The National Film and Television School</t>
        </is>
      </c>
    </row>
    <row r="68" ht="46" customHeight="1">
      <c r="A68" s="10" t="inlineStr">
        <is>
          <t>10007793</t>
        </is>
      </c>
      <c r="B68" s="11" t="inlineStr">
        <is>
          <t>University of South Wales</t>
        </is>
      </c>
      <c r="C68" s="10" t="inlineStr">
        <is>
          <t>Other HE provider</t>
        </is>
      </c>
      <c r="D68" s="10" t="inlineStr">
        <is>
          <t>2024/25</t>
        </is>
      </c>
      <c r="E68" s="82" t="n">
        <v>4</v>
      </c>
      <c r="F68" s="82" t="n">
        <v>229</v>
      </c>
      <c r="G68" s="82" t="n">
        <v>2365</v>
      </c>
      <c r="H68" s="82" t="n">
        <v>958</v>
      </c>
      <c r="I68" s="82" t="n">
        <v>3556</v>
      </c>
      <c r="J68" s="82" t="n">
        <v>32802</v>
      </c>
      <c r="K68" s="83">
        <f>I68/1000</f>
        <v/>
      </c>
      <c r="L68" s="83">
        <f>SUM(E68:G68)/1000</f>
        <v/>
      </c>
      <c r="M68" s="84">
        <f>IF(I68=0,"n.a.",H68/I68)</f>
        <v/>
      </c>
      <c r="N68" s="82">
        <f>IF(J68=0,"n.a.",I68*1000/J68)</f>
        <v/>
      </c>
      <c r="O68" s="82">
        <f>SUM(E68:H68)-I68</f>
        <v/>
      </c>
      <c r="P68" s="82">
        <f>RANK(I68,$I$7:$I$212,0)+COUNTIF($I$7:I68,I68)-1</f>
        <v/>
      </c>
      <c r="Q68" s="10" t="inlineStr">
        <is>
          <t>South Wales</t>
        </is>
      </c>
    </row>
    <row r="69" ht="46" customHeight="1">
      <c r="A69" s="10" t="inlineStr">
        <is>
          <t>10007796</t>
        </is>
      </c>
      <c r="B69" s="11" t="inlineStr">
        <is>
          <t>The University of Leicester</t>
        </is>
      </c>
      <c r="C69" s="10" t="inlineStr">
        <is>
          <t>Additional UK sample</t>
        </is>
      </c>
      <c r="D69" s="10" t="inlineStr">
        <is>
          <t>2024/25</t>
        </is>
      </c>
      <c r="E69" s="82" t="n">
        <v>18</v>
      </c>
      <c r="F69" s="82" t="n">
        <v>298</v>
      </c>
      <c r="G69" s="82" t="n">
        <v>2073</v>
      </c>
      <c r="H69" s="82" t="n">
        <v>1152</v>
      </c>
      <c r="I69" s="82" t="n">
        <v>3541</v>
      </c>
      <c r="J69" s="82" t="n">
        <v>18062</v>
      </c>
      <c r="K69" s="83">
        <f>I69/1000</f>
        <v/>
      </c>
      <c r="L69" s="83">
        <f>SUM(E69:G69)/1000</f>
        <v/>
      </c>
      <c r="M69" s="84">
        <f>IF(I69=0,"n.a.",H69/I69)</f>
        <v/>
      </c>
      <c r="N69" s="82">
        <f>IF(J69=0,"n.a.",I69*1000/J69)</f>
        <v/>
      </c>
      <c r="O69" s="82">
        <f>SUM(E69:H69)-I69</f>
        <v/>
      </c>
      <c r="P69" s="82">
        <f>RANK(I69,$I$7:$I$212,0)+COUNTIF($I$7:I69,I69)-1</f>
        <v/>
      </c>
      <c r="Q69" s="10" t="inlineStr">
        <is>
          <t>Leicester</t>
        </is>
      </c>
    </row>
    <row r="70" ht="46" customHeight="1">
      <c r="A70" s="10" t="inlineStr">
        <is>
          <t>10007807</t>
        </is>
      </c>
      <c r="B70" s="11" t="inlineStr">
        <is>
          <t>Ulster University</t>
        </is>
      </c>
      <c r="C70" s="10" t="inlineStr">
        <is>
          <t>Other HE provider</t>
        </is>
      </c>
      <c r="D70" s="10" t="inlineStr">
        <is>
          <t>2024/25</t>
        </is>
      </c>
      <c r="E70" s="82" t="n">
        <v>521</v>
      </c>
      <c r="F70" s="82" t="n">
        <v>485</v>
      </c>
      <c r="G70" s="82" t="n">
        <v>648</v>
      </c>
      <c r="H70" s="82" t="n">
        <v>1887</v>
      </c>
      <c r="I70" s="82" t="n">
        <v>3541</v>
      </c>
      <c r="J70" s="82" t="n">
        <v>12665</v>
      </c>
      <c r="K70" s="83">
        <f>I70/1000</f>
        <v/>
      </c>
      <c r="L70" s="83">
        <f>SUM(E70:G70)/1000</f>
        <v/>
      </c>
      <c r="M70" s="84">
        <f>IF(I70=0,"n.a.",H70/I70)</f>
        <v/>
      </c>
      <c r="N70" s="82">
        <f>IF(J70=0,"n.a.",I70*1000/J70)</f>
        <v/>
      </c>
      <c r="O70" s="82">
        <f>SUM(E70:H70)-I70</f>
        <v/>
      </c>
      <c r="P70" s="82">
        <f>RANK(I70,$I$7:$I$212,0)+COUNTIF($I$7:I70,I70)-1</f>
        <v/>
      </c>
      <c r="Q70" s="10" t="inlineStr">
        <is>
          <t>Ulster</t>
        </is>
      </c>
    </row>
    <row r="71" ht="46" customHeight="1">
      <c r="A71" s="10" t="inlineStr">
        <is>
          <t>10007791</t>
        </is>
      </c>
      <c r="B71" s="11" t="inlineStr">
        <is>
          <t>The University of Essex</t>
        </is>
      </c>
      <c r="C71" s="10" t="inlineStr">
        <is>
          <t>Additional UK sample</t>
        </is>
      </c>
      <c r="D71" s="10" t="inlineStr">
        <is>
          <t>2024/25</t>
        </is>
      </c>
      <c r="E71" s="82" t="n">
        <v>53</v>
      </c>
      <c r="F71" s="82" t="n">
        <v>8</v>
      </c>
      <c r="G71" s="82" t="n">
        <v>2286</v>
      </c>
      <c r="H71" s="82" t="n">
        <v>929</v>
      </c>
      <c r="I71" s="82" t="n">
        <v>3276</v>
      </c>
      <c r="J71" s="82" t="n">
        <v>5935</v>
      </c>
      <c r="K71" s="83">
        <f>I71/1000</f>
        <v/>
      </c>
      <c r="L71" s="83">
        <f>SUM(E71:G71)/1000</f>
        <v/>
      </c>
      <c r="M71" s="84">
        <f>IF(I71=0,"n.a.",H71/I71)</f>
        <v/>
      </c>
      <c r="N71" s="82">
        <f>IF(J71=0,"n.a.",I71*1000/J71)</f>
        <v/>
      </c>
      <c r="O71" s="82">
        <f>SUM(E71:H71)-I71</f>
        <v/>
      </c>
      <c r="P71" s="82">
        <f>RANK(I71,$I$7:$I$212,0)+COUNTIF($I$7:I71,I71)-1</f>
        <v/>
      </c>
      <c r="Q71" s="10" t="inlineStr">
        <is>
          <t>Essex</t>
        </is>
      </c>
    </row>
    <row r="72" ht="46" customHeight="1">
      <c r="A72" s="10" t="inlineStr">
        <is>
          <t>10007156</t>
        </is>
      </c>
      <c r="B72" s="11" t="inlineStr">
        <is>
          <t>The University of Salford</t>
        </is>
      </c>
      <c r="C72" s="10" t="inlineStr">
        <is>
          <t>Other HE provider</t>
        </is>
      </c>
      <c r="D72" s="10" t="inlineStr">
        <is>
          <t>2024/25</t>
        </is>
      </c>
      <c r="E72" s="82" t="n">
        <v>562</v>
      </c>
      <c r="F72" s="82" t="n">
        <v>499</v>
      </c>
      <c r="G72" s="82" t="n">
        <v>1771</v>
      </c>
      <c r="H72" s="82" t="n">
        <v>349</v>
      </c>
      <c r="I72" s="82" t="n">
        <v>3181</v>
      </c>
      <c r="J72" s="82" t="n">
        <v>18077</v>
      </c>
      <c r="K72" s="83">
        <f>I72/1000</f>
        <v/>
      </c>
      <c r="L72" s="83">
        <f>SUM(E72:G72)/1000</f>
        <v/>
      </c>
      <c r="M72" s="84">
        <f>IF(I72=0,"n.a.",H72/I72)</f>
        <v/>
      </c>
      <c r="N72" s="82">
        <f>IF(J72=0,"n.a.",I72*1000/J72)</f>
        <v/>
      </c>
      <c r="O72" s="82">
        <f>SUM(E72:H72)-I72</f>
        <v/>
      </c>
      <c r="P72" s="82">
        <f>RANK(I72,$I$7:$I$212,0)+COUNTIF($I$7:I72,I72)-1</f>
        <v/>
      </c>
      <c r="Q72" s="10" t="inlineStr">
        <is>
          <t>Salford</t>
        </is>
      </c>
    </row>
    <row r="73" ht="46" customHeight="1">
      <c r="A73" s="10" t="inlineStr">
        <is>
          <t>10007764</t>
        </is>
      </c>
      <c r="B73" s="11" t="inlineStr">
        <is>
          <t>Heriot-Watt University</t>
        </is>
      </c>
      <c r="C73" s="10" t="inlineStr">
        <is>
          <t>Additional UK sample</t>
        </is>
      </c>
      <c r="D73" s="10" t="inlineStr">
        <is>
          <t>2024/25</t>
        </is>
      </c>
      <c r="E73" s="82" t="n">
        <v>105</v>
      </c>
      <c r="F73" s="82" t="n">
        <v>138</v>
      </c>
      <c r="G73" s="82" t="n">
        <v>559</v>
      </c>
      <c r="H73" s="82" t="n">
        <v>2374</v>
      </c>
      <c r="I73" s="82" t="n">
        <v>3176</v>
      </c>
      <c r="J73" s="82" t="n">
        <v>0</v>
      </c>
      <c r="K73" s="83">
        <f>I73/1000</f>
        <v/>
      </c>
      <c r="L73" s="83">
        <f>SUM(E73:G73)/1000</f>
        <v/>
      </c>
      <c r="M73" s="84">
        <f>IF(I73=0,"n.a.",H73/I73)</f>
        <v/>
      </c>
      <c r="N73" s="82">
        <f>IF(J73=0,"n.a.",I73*1000/J73)</f>
        <v/>
      </c>
      <c r="O73" s="82">
        <f>SUM(E73:H73)-I73</f>
        <v/>
      </c>
      <c r="P73" s="82">
        <f>RANK(I73,$I$7:$I$212,0)+COUNTIF($I$7:I73,I73)-1</f>
        <v/>
      </c>
      <c r="Q73" s="10" t="inlineStr">
        <is>
          <t>Heriot-Watt</t>
        </is>
      </c>
    </row>
    <row r="74" ht="46" customHeight="1">
      <c r="A74" s="10" t="inlineStr">
        <is>
          <t>10007760</t>
        </is>
      </c>
      <c r="B74" s="11" t="inlineStr">
        <is>
          <t>Birkbeck College</t>
        </is>
      </c>
      <c r="C74" s="10" t="inlineStr">
        <is>
          <t>Additional UK sample</t>
        </is>
      </c>
      <c r="D74" s="10" t="inlineStr">
        <is>
          <t>2024/25</t>
        </is>
      </c>
      <c r="E74" s="82" t="n">
        <v>14</v>
      </c>
      <c r="F74" s="82" t="n">
        <v>27</v>
      </c>
      <c r="G74" s="82" t="n">
        <v>74</v>
      </c>
      <c r="H74" s="82" t="n">
        <v>3044</v>
      </c>
      <c r="I74" s="82" t="n">
        <v>3159</v>
      </c>
      <c r="J74" s="82" t="n">
        <v>13865</v>
      </c>
      <c r="K74" s="83">
        <f>I74/1000</f>
        <v/>
      </c>
      <c r="L74" s="83">
        <f>SUM(E74:G74)/1000</f>
        <v/>
      </c>
      <c r="M74" s="84">
        <f>IF(I74=0,"n.a.",H74/I74)</f>
        <v/>
      </c>
      <c r="N74" s="82">
        <f>IF(J74=0,"n.a.",I74*1000/J74)</f>
        <v/>
      </c>
      <c r="O74" s="82">
        <f>SUM(E74:H74)-I74</f>
        <v/>
      </c>
      <c r="P74" s="82">
        <f>RANK(I74,$I$7:$I$212,0)+COUNTIF($I$7:I74,I74)-1</f>
        <v/>
      </c>
      <c r="Q74" s="10" t="inlineStr">
        <is>
          <t>Birkbeck</t>
        </is>
      </c>
    </row>
    <row r="75" ht="46" customHeight="1">
      <c r="A75" s="10" t="inlineStr">
        <is>
          <t>10004078</t>
        </is>
      </c>
      <c r="B75" s="11" t="inlineStr">
        <is>
          <t>London South Bank University</t>
        </is>
      </c>
      <c r="C75" s="10" t="inlineStr">
        <is>
          <t>Other HE provider</t>
        </is>
      </c>
      <c r="D75" s="10" t="inlineStr">
        <is>
          <t>2024/25</t>
        </is>
      </c>
      <c r="E75" s="82" t="n">
        <v>105</v>
      </c>
      <c r="F75" s="82" t="n">
        <v>32</v>
      </c>
      <c r="G75" s="82" t="n">
        <v>1597</v>
      </c>
      <c r="H75" s="82" t="n">
        <v>1421</v>
      </c>
      <c r="I75" s="82" t="n">
        <v>3155</v>
      </c>
      <c r="J75" s="82" t="n">
        <v>33836</v>
      </c>
      <c r="K75" s="83">
        <f>I75/1000</f>
        <v/>
      </c>
      <c r="L75" s="83">
        <f>SUM(E75:G75)/1000</f>
        <v/>
      </c>
      <c r="M75" s="84">
        <f>IF(I75=0,"n.a.",H75/I75)</f>
        <v/>
      </c>
      <c r="N75" s="82">
        <f>IF(J75=0,"n.a.",I75*1000/J75)</f>
        <v/>
      </c>
      <c r="O75" s="82">
        <f>SUM(E75:H75)-I75</f>
        <v/>
      </c>
      <c r="P75" s="82">
        <f>RANK(I75,$I$7:$I$212,0)+COUNTIF($I$7:I75,I75)-1</f>
        <v/>
      </c>
      <c r="Q75" s="10" t="inlineStr">
        <is>
          <t>London South Bank</t>
        </is>
      </c>
    </row>
    <row r="76" ht="46" customHeight="1">
      <c r="A76" s="10" t="inlineStr">
        <is>
          <t>10000824</t>
        </is>
      </c>
      <c r="B76" s="11" t="inlineStr">
        <is>
          <t>Bournemouth University</t>
        </is>
      </c>
      <c r="C76" s="10" t="inlineStr">
        <is>
          <t>Other HE provider</t>
        </is>
      </c>
      <c r="D76" s="10" t="inlineStr">
        <is>
          <t>2024/25</t>
        </is>
      </c>
      <c r="E76" s="82" t="n">
        <v>113</v>
      </c>
      <c r="F76" s="82" t="n">
        <v>22</v>
      </c>
      <c r="G76" s="82" t="n">
        <v>2410</v>
      </c>
      <c r="H76" s="82" t="n">
        <v>598</v>
      </c>
      <c r="I76" s="82" t="n">
        <v>3143</v>
      </c>
      <c r="J76" s="82" t="n">
        <v>10476</v>
      </c>
      <c r="K76" s="83">
        <f>I76/1000</f>
        <v/>
      </c>
      <c r="L76" s="83">
        <f>SUM(E76:G76)/1000</f>
        <v/>
      </c>
      <c r="M76" s="84">
        <f>IF(I76=0,"n.a.",H76/I76)</f>
        <v/>
      </c>
      <c r="N76" s="82">
        <f>IF(J76=0,"n.a.",I76*1000/J76)</f>
        <v/>
      </c>
      <c r="O76" s="82">
        <f>SUM(E76:H76)-I76</f>
        <v/>
      </c>
      <c r="P76" s="82">
        <f>RANK(I76,$I$7:$I$212,0)+COUNTIF($I$7:I76,I76)-1</f>
        <v/>
      </c>
      <c r="Q76" s="10" t="inlineStr">
        <is>
          <t>Bournemouth</t>
        </is>
      </c>
    </row>
    <row r="77" ht="46" customHeight="1">
      <c r="A77" s="10" t="inlineStr">
        <is>
          <t>10007154</t>
        </is>
      </c>
      <c r="B77" s="11" t="inlineStr">
        <is>
          <t>University of Nottingham</t>
        </is>
      </c>
      <c r="C77" s="10" t="inlineStr">
        <is>
          <t>Russell Group</t>
        </is>
      </c>
      <c r="D77" s="10" t="inlineStr">
        <is>
          <t>2024/25</t>
        </is>
      </c>
      <c r="E77" s="82" t="n">
        <v>22</v>
      </c>
      <c r="F77" s="82" t="n">
        <v>419</v>
      </c>
      <c r="G77" s="82" t="n">
        <v>1154</v>
      </c>
      <c r="H77" s="82" t="n">
        <v>1505</v>
      </c>
      <c r="I77" s="82" t="n">
        <v>3100</v>
      </c>
      <c r="J77" s="82" t="n">
        <v>3345</v>
      </c>
      <c r="K77" s="83">
        <f>I77/1000</f>
        <v/>
      </c>
      <c r="L77" s="83">
        <f>SUM(E77:G77)/1000</f>
        <v/>
      </c>
      <c r="M77" s="84">
        <f>IF(I77=0,"n.a.",H77/I77)</f>
        <v/>
      </c>
      <c r="N77" s="82">
        <f>IF(J77=0,"n.a.",I77*1000/J77)</f>
        <v/>
      </c>
      <c r="O77" s="82">
        <f>SUM(E77:H77)-I77</f>
        <v/>
      </c>
      <c r="P77" s="82">
        <f>RANK(I77,$I$7:$I$212,0)+COUNTIF($I$7:I77,I77)-1</f>
        <v/>
      </c>
      <c r="Q77" s="10" t="inlineStr">
        <is>
          <t>Nottingham</t>
        </is>
      </c>
    </row>
    <row r="78" ht="46" customHeight="1">
      <c r="A78" s="10" t="inlineStr">
        <is>
          <t>10007833</t>
        </is>
      </c>
      <c r="B78" s="11" t="inlineStr">
        <is>
          <t>Wrexham University</t>
        </is>
      </c>
      <c r="C78" s="10" t="inlineStr">
        <is>
          <t>Other HE provider</t>
        </is>
      </c>
      <c r="D78" s="10" t="inlineStr">
        <is>
          <t>2024/25</t>
        </is>
      </c>
      <c r="E78" s="82" t="n">
        <v>78</v>
      </c>
      <c r="F78" s="82" t="n">
        <v>13</v>
      </c>
      <c r="G78" s="82" t="n">
        <v>2427</v>
      </c>
      <c r="H78" s="82" t="n">
        <v>576</v>
      </c>
      <c r="I78" s="82" t="n">
        <v>3094</v>
      </c>
      <c r="J78" s="82" t="n">
        <v>30078</v>
      </c>
      <c r="K78" s="83">
        <f>I78/1000</f>
        <v/>
      </c>
      <c r="L78" s="83">
        <f>SUM(E78:G78)/1000</f>
        <v/>
      </c>
      <c r="M78" s="84">
        <f>IF(I78=0,"n.a.",H78/I78)</f>
        <v/>
      </c>
      <c r="N78" s="82">
        <f>IF(J78=0,"n.a.",I78*1000/J78)</f>
        <v/>
      </c>
      <c r="O78" s="82">
        <f>SUM(E78:H78)-I78</f>
        <v/>
      </c>
      <c r="P78" s="82">
        <f>RANK(I78,$I$7:$I$212,0)+COUNTIF($I$7:I78,I78)-1</f>
        <v/>
      </c>
      <c r="Q78" s="10" t="inlineStr">
        <is>
          <t>Wrexham</t>
        </is>
      </c>
    </row>
    <row r="79" ht="46" customHeight="1">
      <c r="A79" s="10" t="inlineStr">
        <is>
          <t>10000886</t>
        </is>
      </c>
      <c r="B79" s="11" t="inlineStr">
        <is>
          <t>The University of Brighton</t>
        </is>
      </c>
      <c r="C79" s="10" t="inlineStr">
        <is>
          <t>Other HE provider</t>
        </is>
      </c>
      <c r="D79" s="10" t="inlineStr">
        <is>
          <t>2024/25</t>
        </is>
      </c>
      <c r="E79" s="82" t="n">
        <v>4</v>
      </c>
      <c r="F79" s="82" t="n">
        <v>0</v>
      </c>
      <c r="G79" s="82" t="n">
        <v>3019</v>
      </c>
      <c r="H79" s="82" t="n">
        <v>36</v>
      </c>
      <c r="I79" s="82" t="n">
        <v>3059</v>
      </c>
      <c r="J79" s="82" t="n">
        <v>72000</v>
      </c>
      <c r="K79" s="83">
        <f>I79/1000</f>
        <v/>
      </c>
      <c r="L79" s="83">
        <f>SUM(E79:G79)/1000</f>
        <v/>
      </c>
      <c r="M79" s="84">
        <f>IF(I79=0,"n.a.",H79/I79)</f>
        <v/>
      </c>
      <c r="N79" s="82">
        <f>IF(J79=0,"n.a.",I79*1000/J79)</f>
        <v/>
      </c>
      <c r="O79" s="82">
        <f>SUM(E79:H79)-I79</f>
        <v/>
      </c>
      <c r="P79" s="82">
        <f>RANK(I79,$I$7:$I$212,0)+COUNTIF($I$7:I79,I79)-1</f>
        <v/>
      </c>
      <c r="Q79" s="10" t="inlineStr">
        <is>
          <t>Brighton</t>
        </is>
      </c>
    </row>
    <row r="80" ht="46" customHeight="1">
      <c r="A80" s="10" t="inlineStr">
        <is>
          <t>10007144</t>
        </is>
      </c>
      <c r="B80" s="11" t="inlineStr">
        <is>
          <t>The University of East London</t>
        </is>
      </c>
      <c r="C80" s="10" t="inlineStr">
        <is>
          <t>Other HE provider</t>
        </is>
      </c>
      <c r="D80" s="10" t="inlineStr">
        <is>
          <t>2024/25</t>
        </is>
      </c>
      <c r="E80" s="82" t="n">
        <v>0</v>
      </c>
      <c r="F80" s="82" t="n">
        <v>0</v>
      </c>
      <c r="G80" s="82" t="n">
        <v>382</v>
      </c>
      <c r="H80" s="82" t="n">
        <v>2651</v>
      </c>
      <c r="I80" s="82" t="n">
        <v>3033</v>
      </c>
      <c r="J80" s="82" t="n">
        <v>23996</v>
      </c>
      <c r="K80" s="83">
        <f>I80/1000</f>
        <v/>
      </c>
      <c r="L80" s="83">
        <f>SUM(E80:G80)/1000</f>
        <v/>
      </c>
      <c r="M80" s="84">
        <f>IF(I80=0,"n.a.",H80/I80)</f>
        <v/>
      </c>
      <c r="N80" s="82">
        <f>IF(J80=0,"n.a.",I80*1000/J80)</f>
        <v/>
      </c>
      <c r="O80" s="82">
        <f>SUM(E80:H80)-I80</f>
        <v/>
      </c>
      <c r="P80" s="82">
        <f>RANK(I80,$I$7:$I$212,0)+COUNTIF($I$7:I80,I80)-1</f>
        <v/>
      </c>
      <c r="Q80" s="10" t="inlineStr">
        <is>
          <t>East London</t>
        </is>
      </c>
    </row>
    <row r="81" ht="46" customHeight="1">
      <c r="A81" s="10" t="inlineStr">
        <is>
          <t>10003957</t>
        </is>
      </c>
      <c r="B81" s="11" t="inlineStr">
        <is>
          <t>Liverpool John Moores University</t>
        </is>
      </c>
      <c r="C81" s="10" t="inlineStr">
        <is>
          <t>Other HE provider</t>
        </is>
      </c>
      <c r="D81" s="10" t="inlineStr">
        <is>
          <t>2024/25</t>
        </is>
      </c>
      <c r="E81" s="82" t="n">
        <v>0</v>
      </c>
      <c r="F81" s="82" t="n">
        <v>172</v>
      </c>
      <c r="G81" s="82" t="n">
        <v>2685</v>
      </c>
      <c r="H81" s="82" t="n">
        <v>0</v>
      </c>
      <c r="I81" s="82" t="n">
        <v>2857</v>
      </c>
      <c r="J81" s="82" t="n">
        <v>0</v>
      </c>
      <c r="K81" s="83">
        <f>I81/1000</f>
        <v/>
      </c>
      <c r="L81" s="83">
        <f>SUM(E81:G81)/1000</f>
        <v/>
      </c>
      <c r="M81" s="84">
        <f>IF(I81=0,"n.a.",H81/I81)</f>
        <v/>
      </c>
      <c r="N81" s="82">
        <f>IF(J81=0,"n.a.",I81*1000/J81)</f>
        <v/>
      </c>
      <c r="O81" s="82">
        <f>SUM(E81:H81)-I81</f>
        <v/>
      </c>
      <c r="P81" s="82">
        <f>RANK(I81,$I$7:$I$212,0)+COUNTIF($I$7:I81,I81)-1</f>
        <v/>
      </c>
      <c r="Q81" s="10" t="inlineStr">
        <is>
          <t>Liverpool John Moores</t>
        </is>
      </c>
    </row>
    <row r="82" ht="46" customHeight="1">
      <c r="A82" s="10" t="inlineStr">
        <is>
          <t>10007158</t>
        </is>
      </c>
      <c r="B82" s="11" t="inlineStr">
        <is>
          <t>The University of Southampton</t>
        </is>
      </c>
      <c r="C82" s="10" t="inlineStr">
        <is>
          <t>Russell Group</t>
        </is>
      </c>
      <c r="D82" s="10" t="inlineStr">
        <is>
          <t>2024/25</t>
        </is>
      </c>
      <c r="E82" s="82" t="n">
        <v>128</v>
      </c>
      <c r="F82" s="82" t="n">
        <v>129</v>
      </c>
      <c r="G82" s="82" t="n">
        <v>1974</v>
      </c>
      <c r="H82" s="82" t="n">
        <v>370</v>
      </c>
      <c r="I82" s="82" t="n">
        <v>2601</v>
      </c>
      <c r="J82" s="82" t="n">
        <v>6027</v>
      </c>
      <c r="K82" s="83">
        <f>I82/1000</f>
        <v/>
      </c>
      <c r="L82" s="83">
        <f>SUM(E82:G82)/1000</f>
        <v/>
      </c>
      <c r="M82" s="84">
        <f>IF(I82=0,"n.a.",H82/I82)</f>
        <v/>
      </c>
      <c r="N82" s="82">
        <f>IF(J82=0,"n.a.",I82*1000/J82)</f>
        <v/>
      </c>
      <c r="O82" s="82">
        <f>SUM(E82:H82)-I82</f>
        <v/>
      </c>
      <c r="P82" s="82">
        <f>RANK(I82,$I$7:$I$212,0)+COUNTIF($I$7:I82,I82)-1</f>
        <v/>
      </c>
      <c r="Q82" s="10" t="inlineStr">
        <is>
          <t>Southampton</t>
        </is>
      </c>
    </row>
    <row r="83" ht="46" customHeight="1">
      <c r="A83" s="10" t="inlineStr">
        <is>
          <t>10007159</t>
        </is>
      </c>
      <c r="B83" s="11" t="inlineStr">
        <is>
          <t>The University of Sunderland</t>
        </is>
      </c>
      <c r="C83" s="10" t="inlineStr">
        <is>
          <t>Other HE provider</t>
        </is>
      </c>
      <c r="D83" s="10" t="inlineStr">
        <is>
          <t>2024/25</t>
        </is>
      </c>
      <c r="E83" s="82" t="n">
        <v>111</v>
      </c>
      <c r="F83" s="82" t="n">
        <v>330</v>
      </c>
      <c r="G83" s="82" t="n">
        <v>1229</v>
      </c>
      <c r="H83" s="82" t="n">
        <v>918</v>
      </c>
      <c r="I83" s="82" t="n">
        <v>2588</v>
      </c>
      <c r="J83" s="82" t="n">
        <v>15750</v>
      </c>
      <c r="K83" s="83">
        <f>I83/1000</f>
        <v/>
      </c>
      <c r="L83" s="83">
        <f>SUM(E83:G83)/1000</f>
        <v/>
      </c>
      <c r="M83" s="84">
        <f>IF(I83=0,"n.a.",H83/I83)</f>
        <v/>
      </c>
      <c r="N83" s="82">
        <f>IF(J83=0,"n.a.",I83*1000/J83)</f>
        <v/>
      </c>
      <c r="O83" s="82">
        <f>SUM(E83:H83)-I83</f>
        <v/>
      </c>
      <c r="P83" s="82">
        <f>RANK(I83,$I$7:$I$212,0)+COUNTIF($I$7:I83,I83)-1</f>
        <v/>
      </c>
      <c r="Q83" s="10" t="inlineStr">
        <is>
          <t>Sunderland</t>
        </is>
      </c>
    </row>
    <row r="84" ht="46" customHeight="1">
      <c r="A84" s="10" t="inlineStr">
        <is>
          <t>10007148</t>
        </is>
      </c>
      <c r="B84" s="11" t="inlineStr">
        <is>
          <t>The University of Huddersfield</t>
        </is>
      </c>
      <c r="C84" s="10" t="inlineStr">
        <is>
          <t>Other HE provider</t>
        </is>
      </c>
      <c r="D84" s="10" t="inlineStr">
        <is>
          <t>2024/25</t>
        </is>
      </c>
      <c r="E84" s="82" t="n">
        <v>39</v>
      </c>
      <c r="F84" s="82" t="n">
        <v>31</v>
      </c>
      <c r="G84" s="82" t="n">
        <v>2150</v>
      </c>
      <c r="H84" s="82" t="n">
        <v>354</v>
      </c>
      <c r="I84" s="82" t="n">
        <v>2574</v>
      </c>
      <c r="J84" s="82" t="n">
        <v>2203</v>
      </c>
      <c r="K84" s="83">
        <f>I84/1000</f>
        <v/>
      </c>
      <c r="L84" s="83">
        <f>SUM(E84:G84)/1000</f>
        <v/>
      </c>
      <c r="M84" s="84">
        <f>IF(I84=0,"n.a.",H84/I84)</f>
        <v/>
      </c>
      <c r="N84" s="82">
        <f>IF(J84=0,"n.a.",I84*1000/J84)</f>
        <v/>
      </c>
      <c r="O84" s="82">
        <f>SUM(E84:H84)-I84</f>
        <v/>
      </c>
      <c r="P84" s="82">
        <f>RANK(I84,$I$7:$I$212,0)+COUNTIF($I$7:I84,I84)-1</f>
        <v/>
      </c>
      <c r="Q84" s="10" t="inlineStr">
        <is>
          <t>Huddersfield</t>
        </is>
      </c>
    </row>
    <row r="85" ht="46" customHeight="1">
      <c r="A85" s="10" t="inlineStr">
        <is>
          <t>10007166</t>
        </is>
      </c>
      <c r="B85" s="11" t="inlineStr">
        <is>
          <t>The University of Wolverhampton</t>
        </is>
      </c>
      <c r="C85" s="10" t="inlineStr">
        <is>
          <t>Other HE provider</t>
        </is>
      </c>
      <c r="D85" s="10" t="inlineStr">
        <is>
          <t>2024/25</t>
        </is>
      </c>
      <c r="E85" s="82" t="n">
        <v>17</v>
      </c>
      <c r="F85" s="82" t="n">
        <v>1</v>
      </c>
      <c r="G85" s="82" t="n">
        <v>1274</v>
      </c>
      <c r="H85" s="82" t="n">
        <v>1225</v>
      </c>
      <c r="I85" s="82" t="n">
        <v>2517</v>
      </c>
      <c r="J85" s="82" t="n">
        <v>2891</v>
      </c>
      <c r="K85" s="83">
        <f>I85/1000</f>
        <v/>
      </c>
      <c r="L85" s="83">
        <f>SUM(E85:G85)/1000</f>
        <v/>
      </c>
      <c r="M85" s="84">
        <f>IF(I85=0,"n.a.",H85/I85)</f>
        <v/>
      </c>
      <c r="N85" s="82">
        <f>IF(J85=0,"n.a.",I85*1000/J85)</f>
        <v/>
      </c>
      <c r="O85" s="82">
        <f>SUM(E85:H85)-I85</f>
        <v/>
      </c>
      <c r="P85" s="82">
        <f>RANK(I85,$I$7:$I$212,0)+COUNTIF($I$7:I85,I85)-1</f>
        <v/>
      </c>
      <c r="Q85" s="10" t="inlineStr">
        <is>
          <t>Wolverhampton</t>
        </is>
      </c>
    </row>
    <row r="86" ht="46" customHeight="1">
      <c r="A86" s="10" t="inlineStr">
        <is>
          <t>10007858</t>
        </is>
      </c>
      <c r="B86" s="11" t="inlineStr">
        <is>
          <t>University of Wales Trinity Saint David</t>
        </is>
      </c>
      <c r="C86" s="10" t="inlineStr">
        <is>
          <t>Other HE provider</t>
        </is>
      </c>
      <c r="D86" s="10" t="inlineStr">
        <is>
          <t>2024/25</t>
        </is>
      </c>
      <c r="E86" s="82" t="n">
        <v>146</v>
      </c>
      <c r="F86" s="82" t="n">
        <v>68</v>
      </c>
      <c r="G86" s="82" t="n">
        <v>671</v>
      </c>
      <c r="H86" s="82" t="n">
        <v>1338</v>
      </c>
      <c r="I86" s="82" t="n">
        <v>2223</v>
      </c>
      <c r="J86" s="82" t="n">
        <v>27400</v>
      </c>
      <c r="K86" s="83">
        <f>I86/1000</f>
        <v/>
      </c>
      <c r="L86" s="83">
        <f>SUM(E86:G86)/1000</f>
        <v/>
      </c>
      <c r="M86" s="84">
        <f>IF(I86=0,"n.a.",H86/I86)</f>
        <v/>
      </c>
      <c r="N86" s="82">
        <f>IF(J86=0,"n.a.",I86*1000/J86)</f>
        <v/>
      </c>
      <c r="O86" s="82">
        <f>SUM(E86:H86)-I86</f>
        <v/>
      </c>
      <c r="P86" s="82">
        <f>RANK(I86,$I$7:$I$212,0)+COUNTIF($I$7:I86,I86)-1</f>
        <v/>
      </c>
      <c r="Q86" s="10" t="inlineStr">
        <is>
          <t>Wales Trinity Saint David</t>
        </is>
      </c>
    </row>
    <row r="87" ht="46" customHeight="1">
      <c r="A87" s="10" t="inlineStr">
        <is>
          <t>10007776</t>
        </is>
      </c>
      <c r="B87" s="11" t="inlineStr">
        <is>
          <t>Roehampton University</t>
        </is>
      </c>
      <c r="C87" s="10" t="inlineStr">
        <is>
          <t>Other HE provider</t>
        </is>
      </c>
      <c r="D87" s="10" t="inlineStr">
        <is>
          <t>2024/25</t>
        </is>
      </c>
      <c r="E87" s="82" t="n">
        <v>0</v>
      </c>
      <c r="F87" s="82" t="n">
        <v>0</v>
      </c>
      <c r="G87" s="82" t="n">
        <v>157</v>
      </c>
      <c r="H87" s="82" t="n">
        <v>2027</v>
      </c>
      <c r="I87" s="82" t="n">
        <v>2184</v>
      </c>
      <c r="J87" s="82" t="n">
        <v>39106</v>
      </c>
      <c r="K87" s="83">
        <f>I87/1000</f>
        <v/>
      </c>
      <c r="L87" s="83">
        <f>SUM(E87:G87)/1000</f>
        <v/>
      </c>
      <c r="M87" s="84">
        <f>IF(I87=0,"n.a.",H87/I87)</f>
        <v/>
      </c>
      <c r="N87" s="82">
        <f>IF(J87=0,"n.a.",I87*1000/J87)</f>
        <v/>
      </c>
      <c r="O87" s="82">
        <f>SUM(E87:H87)-I87</f>
        <v/>
      </c>
      <c r="P87" s="82">
        <f>RANK(I87,$I$7:$I$212,0)+COUNTIF($I$7:I87,I87)-1</f>
        <v/>
      </c>
      <c r="Q87" s="10" t="inlineStr">
        <is>
          <t>Roehampton</t>
        </is>
      </c>
    </row>
    <row r="88" ht="46" customHeight="1">
      <c r="A88" s="10" t="inlineStr">
        <is>
          <t>10007152</t>
        </is>
      </c>
      <c r="B88" s="11" t="inlineStr">
        <is>
          <t>University of Bedfordshire</t>
        </is>
      </c>
      <c r="C88" s="10" t="inlineStr">
        <is>
          <t>Other HE provider</t>
        </is>
      </c>
      <c r="D88" s="10" t="inlineStr">
        <is>
          <t>2024/25</t>
        </is>
      </c>
      <c r="E88" s="82" t="n">
        <v>423</v>
      </c>
      <c r="F88" s="82" t="n">
        <v>10</v>
      </c>
      <c r="G88" s="82" t="n">
        <v>168</v>
      </c>
      <c r="H88" s="82" t="n">
        <v>1559</v>
      </c>
      <c r="I88" s="82" t="n">
        <v>2160</v>
      </c>
      <c r="J88" s="82" t="n">
        <v>25012</v>
      </c>
      <c r="K88" s="83">
        <f>I88/1000</f>
        <v/>
      </c>
      <c r="L88" s="83">
        <f>SUM(E88:G88)/1000</f>
        <v/>
      </c>
      <c r="M88" s="84">
        <f>IF(I88=0,"n.a.",H88/I88)</f>
        <v/>
      </c>
      <c r="N88" s="82">
        <f>IF(J88=0,"n.a.",I88*1000/J88)</f>
        <v/>
      </c>
      <c r="O88" s="82">
        <f>SUM(E88:H88)-I88</f>
        <v/>
      </c>
      <c r="P88" s="82">
        <f>RANK(I88,$I$7:$I$212,0)+COUNTIF($I$7:I88,I88)-1</f>
        <v/>
      </c>
      <c r="Q88" s="10" t="inlineStr">
        <is>
          <t>Bedfordshire</t>
        </is>
      </c>
    </row>
    <row r="89" ht="46" customHeight="1">
      <c r="A89" s="10" t="inlineStr">
        <is>
          <t>10007771</t>
        </is>
      </c>
      <c r="B89" s="11" t="inlineStr">
        <is>
          <t>London School of Hygiene and Tropical Medicine</t>
        </is>
      </c>
      <c r="C89" s="10" t="inlineStr">
        <is>
          <t>Other HE provider</t>
        </is>
      </c>
      <c r="D89" s="10" t="inlineStr">
        <is>
          <t>2024/25</t>
        </is>
      </c>
      <c r="E89" s="82" t="n">
        <v>2</v>
      </c>
      <c r="F89" s="82" t="n">
        <v>263</v>
      </c>
      <c r="G89" s="82" t="n">
        <v>644</v>
      </c>
      <c r="H89" s="82" t="n">
        <v>1245</v>
      </c>
      <c r="I89" s="82" t="n">
        <v>2154</v>
      </c>
      <c r="J89" s="82" t="n">
        <v>14022</v>
      </c>
      <c r="K89" s="83">
        <f>I89/1000</f>
        <v/>
      </c>
      <c r="L89" s="83">
        <f>SUM(E89:G89)/1000</f>
        <v/>
      </c>
      <c r="M89" s="84">
        <f>IF(I89=0,"n.a.",H89/I89)</f>
        <v/>
      </c>
      <c r="N89" s="82">
        <f>IF(J89=0,"n.a.",I89*1000/J89)</f>
        <v/>
      </c>
      <c r="O89" s="82">
        <f>SUM(E89:H89)-I89</f>
        <v/>
      </c>
      <c r="P89" s="82">
        <f>RANK(I89,$I$7:$I$212,0)+COUNTIF($I$7:I89,I89)-1</f>
        <v/>
      </c>
      <c r="Q89" s="10" t="inlineStr">
        <is>
          <t>London School of Hygiene and Tropical Medicine</t>
        </is>
      </c>
    </row>
    <row r="90" ht="46" customHeight="1">
      <c r="A90" s="10" t="inlineStr">
        <is>
          <t>10007804</t>
        </is>
      </c>
      <c r="B90" s="11" t="inlineStr">
        <is>
          <t>The University of Stirling</t>
        </is>
      </c>
      <c r="C90" s="10" t="inlineStr">
        <is>
          <t>Additional UK sample</t>
        </is>
      </c>
      <c r="D90" s="10" t="inlineStr">
        <is>
          <t>2024/25</t>
        </is>
      </c>
      <c r="E90" s="82" t="n">
        <v>20</v>
      </c>
      <c r="F90" s="82" t="n">
        <v>15</v>
      </c>
      <c r="G90" s="82" t="n">
        <v>326</v>
      </c>
      <c r="H90" s="82" t="n">
        <v>1636</v>
      </c>
      <c r="I90" s="82" t="n">
        <v>1997</v>
      </c>
      <c r="J90" s="82" t="n">
        <v>28957</v>
      </c>
      <c r="K90" s="83">
        <f>I90/1000</f>
        <v/>
      </c>
      <c r="L90" s="83">
        <f>SUM(E90:G90)/1000</f>
        <v/>
      </c>
      <c r="M90" s="84">
        <f>IF(I90=0,"n.a.",H90/I90)</f>
        <v/>
      </c>
      <c r="N90" s="82">
        <f>IF(J90=0,"n.a.",I90*1000/J90)</f>
        <v/>
      </c>
      <c r="O90" s="82">
        <f>SUM(E90:H90)-I90</f>
        <v/>
      </c>
      <c r="P90" s="82">
        <f>RANK(I90,$I$7:$I$212,0)+COUNTIF($I$7:I90,I90)-1</f>
        <v/>
      </c>
      <c r="Q90" s="10" t="inlineStr">
        <is>
          <t>Stirling</t>
        </is>
      </c>
    </row>
    <row r="91" ht="46" customHeight="1">
      <c r="A91" s="10" t="inlineStr">
        <is>
          <t>10007801</t>
        </is>
      </c>
      <c r="B91" s="11" t="inlineStr">
        <is>
          <t>University of Plymouth</t>
        </is>
      </c>
      <c r="C91" s="10" t="inlineStr">
        <is>
          <t>Additional UK sample</t>
        </is>
      </c>
      <c r="D91" s="10" t="inlineStr">
        <is>
          <t>2024/25</t>
        </is>
      </c>
      <c r="E91" s="82" t="n">
        <v>42</v>
      </c>
      <c r="F91" s="82" t="n">
        <v>12</v>
      </c>
      <c r="G91" s="82" t="n">
        <v>1790</v>
      </c>
      <c r="H91" s="82" t="n">
        <v>121</v>
      </c>
      <c r="I91" s="82" t="n">
        <v>1965</v>
      </c>
      <c r="J91" s="82" t="n">
        <v>9230</v>
      </c>
      <c r="K91" s="83">
        <f>I91/1000</f>
        <v/>
      </c>
      <c r="L91" s="83">
        <f>SUM(E91:G91)/1000</f>
        <v/>
      </c>
      <c r="M91" s="84">
        <f>IF(I91=0,"n.a.",H91/I91)</f>
        <v/>
      </c>
      <c r="N91" s="82">
        <f>IF(J91=0,"n.a.",I91*1000/J91)</f>
        <v/>
      </c>
      <c r="O91" s="82">
        <f>SUM(E91:H91)-I91</f>
        <v/>
      </c>
      <c r="P91" s="82">
        <f>RANK(I91,$I$7:$I$212,0)+COUNTIF($I$7:I91,I91)-1</f>
        <v/>
      </c>
      <c r="Q91" s="10" t="inlineStr">
        <is>
          <t>Plymouth</t>
        </is>
      </c>
    </row>
    <row r="92" ht="46" customHeight="1">
      <c r="A92" s="10" t="inlineStr">
        <is>
          <t>10007762</t>
        </is>
      </c>
      <c r="B92" s="11" t="inlineStr">
        <is>
          <t>Glasgow Caledonian University</t>
        </is>
      </c>
      <c r="C92" s="10" t="inlineStr">
        <is>
          <t>Other HE provider</t>
        </is>
      </c>
      <c r="D92" s="10" t="inlineStr">
        <is>
          <t>2024/25</t>
        </is>
      </c>
      <c r="E92" s="82" t="n">
        <v>15</v>
      </c>
      <c r="F92" s="82" t="n">
        <v>52</v>
      </c>
      <c r="G92" s="82" t="n">
        <v>1655</v>
      </c>
      <c r="H92" s="82" t="n">
        <v>241</v>
      </c>
      <c r="I92" s="82" t="n">
        <v>1963</v>
      </c>
      <c r="J92" s="82" t="n">
        <v>6886</v>
      </c>
      <c r="K92" s="83">
        <f>I92/1000</f>
        <v/>
      </c>
      <c r="L92" s="83">
        <f>SUM(E92:G92)/1000</f>
        <v/>
      </c>
      <c r="M92" s="84">
        <f>IF(I92=0,"n.a.",H92/I92)</f>
        <v/>
      </c>
      <c r="N92" s="82">
        <f>IF(J92=0,"n.a.",I92*1000/J92)</f>
        <v/>
      </c>
      <c r="O92" s="82">
        <f>SUM(E92:H92)-I92</f>
        <v/>
      </c>
      <c r="P92" s="82">
        <f>RANK(I92,$I$7:$I$212,0)+COUNTIF($I$7:I92,I92)-1</f>
        <v/>
      </c>
      <c r="Q92" s="10" t="inlineStr">
        <is>
          <t>Glasgow Caledonian</t>
        </is>
      </c>
    </row>
    <row r="93" ht="46" customHeight="1">
      <c r="A93" s="10" t="inlineStr">
        <is>
          <t>10007848</t>
        </is>
      </c>
      <c r="B93" s="11" t="inlineStr">
        <is>
          <t>University of Chester</t>
        </is>
      </c>
      <c r="C93" s="10" t="inlineStr">
        <is>
          <t>Other HE provider</t>
        </is>
      </c>
      <c r="D93" s="10" t="inlineStr">
        <is>
          <t>2024/25</t>
        </is>
      </c>
      <c r="E93" s="82" t="n">
        <v>153</v>
      </c>
      <c r="F93" s="82" t="n">
        <v>0</v>
      </c>
      <c r="G93" s="82" t="n">
        <v>598</v>
      </c>
      <c r="H93" s="82" t="n">
        <v>1081</v>
      </c>
      <c r="I93" s="82" t="n">
        <v>1832</v>
      </c>
      <c r="J93" s="82" t="n">
        <v>4318</v>
      </c>
      <c r="K93" s="83">
        <f>I93/1000</f>
        <v/>
      </c>
      <c r="L93" s="83">
        <f>SUM(E93:G93)/1000</f>
        <v/>
      </c>
      <c r="M93" s="84">
        <f>IF(I93=0,"n.a.",H93/I93)</f>
        <v/>
      </c>
      <c r="N93" s="82">
        <f>IF(J93=0,"n.a.",I93*1000/J93)</f>
        <v/>
      </c>
      <c r="O93" s="82">
        <f>SUM(E93:H93)-I93</f>
        <v/>
      </c>
      <c r="P93" s="82">
        <f>RANK(I93,$I$7:$I$212,0)+COUNTIF($I$7:I93,I93)-1</f>
        <v/>
      </c>
      <c r="Q93" s="10" t="inlineStr">
        <is>
          <t>Chester</t>
        </is>
      </c>
    </row>
    <row r="94" ht="46" customHeight="1">
      <c r="A94" s="10" t="inlineStr">
        <is>
          <t>10007146</t>
        </is>
      </c>
      <c r="B94" s="11" t="inlineStr">
        <is>
          <t>The University of Greenwich</t>
        </is>
      </c>
      <c r="C94" s="10" t="inlineStr">
        <is>
          <t>Other HE provider</t>
        </is>
      </c>
      <c r="D94" s="10" t="inlineStr">
        <is>
          <t>2024/25</t>
        </is>
      </c>
      <c r="E94" s="82" t="n">
        <v>264</v>
      </c>
      <c r="F94" s="82" t="n">
        <v>123</v>
      </c>
      <c r="G94" s="82" t="n">
        <v>1403</v>
      </c>
      <c r="H94" s="82" t="n">
        <v>40</v>
      </c>
      <c r="I94" s="82" t="n">
        <v>1830</v>
      </c>
      <c r="J94" s="82" t="n">
        <v>3660</v>
      </c>
      <c r="K94" s="83">
        <f>I94/1000</f>
        <v/>
      </c>
      <c r="L94" s="83">
        <f>SUM(E94:G94)/1000</f>
        <v/>
      </c>
      <c r="M94" s="84">
        <f>IF(I94=0,"n.a.",H94/I94)</f>
        <v/>
      </c>
      <c r="N94" s="82">
        <f>IF(J94=0,"n.a.",I94*1000/J94)</f>
        <v/>
      </c>
      <c r="O94" s="82">
        <f>SUM(E94:H94)-I94</f>
        <v/>
      </c>
      <c r="P94" s="82">
        <f>RANK(I94,$I$7:$I$212,0)+COUNTIF($I$7:I94,I94)-1</f>
        <v/>
      </c>
      <c r="Q94" s="10" t="inlineStr">
        <is>
          <t>Greenwich</t>
        </is>
      </c>
    </row>
    <row r="95" ht="46" customHeight="1">
      <c r="A95" s="10" t="inlineStr">
        <is>
          <t>10003678</t>
        </is>
      </c>
      <c r="B95" s="11" t="inlineStr">
        <is>
          <t>Kingston University</t>
        </is>
      </c>
      <c r="C95" s="10" t="inlineStr">
        <is>
          <t>Other HE provider</t>
        </is>
      </c>
      <c r="D95" s="10" t="inlineStr">
        <is>
          <t>2024/25</t>
        </is>
      </c>
      <c r="E95" s="82" t="n">
        <v>560</v>
      </c>
      <c r="F95" s="82" t="n">
        <v>0</v>
      </c>
      <c r="G95" s="82" t="n">
        <v>1053</v>
      </c>
      <c r="H95" s="82" t="n">
        <v>91</v>
      </c>
      <c r="I95" s="82" t="n">
        <v>1704</v>
      </c>
      <c r="J95" s="82" t="n">
        <v>6423</v>
      </c>
      <c r="K95" s="83">
        <f>I95/1000</f>
        <v/>
      </c>
      <c r="L95" s="83">
        <f>SUM(E95:G95)/1000</f>
        <v/>
      </c>
      <c r="M95" s="84">
        <f>IF(I95=0,"n.a.",H95/I95)</f>
        <v/>
      </c>
      <c r="N95" s="82">
        <f>IF(J95=0,"n.a.",I95*1000/J95)</f>
        <v/>
      </c>
      <c r="O95" s="82">
        <f>SUM(E95:H95)-I95</f>
        <v/>
      </c>
      <c r="P95" s="82">
        <f>RANK(I95,$I$7:$I$212,0)+COUNTIF($I$7:I95,I95)-1</f>
        <v/>
      </c>
      <c r="Q95" s="10" t="inlineStr">
        <is>
          <t>Kingston</t>
        </is>
      </c>
    </row>
    <row r="96" ht="46" customHeight="1">
      <c r="A96" s="10" t="inlineStr">
        <is>
          <t>10007786</t>
        </is>
      </c>
      <c r="B96" s="11" t="inlineStr">
        <is>
          <t>The University of Bristol</t>
        </is>
      </c>
      <c r="C96" s="10" t="inlineStr">
        <is>
          <t>Russell Group</t>
        </is>
      </c>
      <c r="D96" s="10" t="inlineStr">
        <is>
          <t>2024/25</t>
        </is>
      </c>
      <c r="E96" s="82" t="n">
        <v>27</v>
      </c>
      <c r="F96" s="82" t="n">
        <v>556</v>
      </c>
      <c r="G96" s="82" t="n">
        <v>949</v>
      </c>
      <c r="H96" s="82" t="n">
        <v>26</v>
      </c>
      <c r="I96" s="82" t="n">
        <v>1558</v>
      </c>
      <c r="J96" s="82" t="n">
        <v>4718</v>
      </c>
      <c r="K96" s="83">
        <f>I96/1000</f>
        <v/>
      </c>
      <c r="L96" s="83">
        <f>SUM(E96:G96)/1000</f>
        <v/>
      </c>
      <c r="M96" s="84">
        <f>IF(I96=0,"n.a.",H96/I96)</f>
        <v/>
      </c>
      <c r="N96" s="82">
        <f>IF(J96=0,"n.a.",I96*1000/J96)</f>
        <v/>
      </c>
      <c r="O96" s="82">
        <f>SUM(E96:H96)-I96</f>
        <v/>
      </c>
      <c r="P96" s="82">
        <f>RANK(I96,$I$7:$I$212,0)+COUNTIF($I$7:I96,I96)-1</f>
        <v/>
      </c>
      <c r="Q96" s="10" t="inlineStr">
        <is>
          <t>Bristol</t>
        </is>
      </c>
    </row>
    <row r="97" ht="46" customHeight="1">
      <c r="A97" s="10" t="inlineStr">
        <is>
          <t>10007114</t>
        </is>
      </c>
      <c r="B97" s="11" t="inlineStr">
        <is>
          <t>University of the Highlands and Islands</t>
        </is>
      </c>
      <c r="C97" s="10" t="inlineStr">
        <is>
          <t>Other HE provider</t>
        </is>
      </c>
      <c r="D97" s="10" t="inlineStr">
        <is>
          <t>2024/25</t>
        </is>
      </c>
      <c r="E97" s="82" t="n">
        <v>293</v>
      </c>
      <c r="F97" s="82" t="n">
        <v>195</v>
      </c>
      <c r="G97" s="82" t="n">
        <v>271</v>
      </c>
      <c r="H97" s="82" t="n">
        <v>737</v>
      </c>
      <c r="I97" s="82" t="n">
        <v>1496</v>
      </c>
      <c r="J97" s="82" t="n">
        <v>26950</v>
      </c>
      <c r="K97" s="83">
        <f>I97/1000</f>
        <v/>
      </c>
      <c r="L97" s="83">
        <f>SUM(E97:G97)/1000</f>
        <v/>
      </c>
      <c r="M97" s="84">
        <f>IF(I97=0,"n.a.",H97/I97)</f>
        <v/>
      </c>
      <c r="N97" s="82">
        <f>IF(J97=0,"n.a.",I97*1000/J97)</f>
        <v/>
      </c>
      <c r="O97" s="82">
        <f>SUM(E97:H97)-I97</f>
        <v/>
      </c>
      <c r="P97" s="82">
        <f>RANK(I97,$I$7:$I$212,0)+COUNTIF($I$7:I97,I97)-1</f>
        <v/>
      </c>
      <c r="Q97" s="10" t="inlineStr">
        <is>
          <t>the Highlands and Islands</t>
        </is>
      </c>
    </row>
    <row r="98" ht="46" customHeight="1">
      <c r="A98" s="10" t="inlineStr">
        <is>
          <t>10004930</t>
        </is>
      </c>
      <c r="B98" s="11" t="inlineStr">
        <is>
          <t>Oxford Brookes University</t>
        </is>
      </c>
      <c r="C98" s="10" t="inlineStr">
        <is>
          <t>Additional UK sample</t>
        </is>
      </c>
      <c r="D98" s="10" t="inlineStr">
        <is>
          <t>2024/25</t>
        </is>
      </c>
      <c r="E98" s="82" t="n">
        <v>19</v>
      </c>
      <c r="F98" s="82" t="n">
        <v>5</v>
      </c>
      <c r="G98" s="82" t="n">
        <v>953</v>
      </c>
      <c r="H98" s="82" t="n">
        <v>508</v>
      </c>
      <c r="I98" s="82" t="n">
        <v>1485</v>
      </c>
      <c r="J98" s="82" t="n">
        <v>5275</v>
      </c>
      <c r="K98" s="83">
        <f>I98/1000</f>
        <v/>
      </c>
      <c r="L98" s="83">
        <f>SUM(E98:G98)/1000</f>
        <v/>
      </c>
      <c r="M98" s="84">
        <f>IF(I98=0,"n.a.",H98/I98)</f>
        <v/>
      </c>
      <c r="N98" s="82">
        <f>IF(J98=0,"n.a.",I98*1000/J98)</f>
        <v/>
      </c>
      <c r="O98" s="82">
        <f>SUM(E98:H98)-I98</f>
        <v/>
      </c>
      <c r="P98" s="82">
        <f>RANK(I98,$I$7:$I$212,0)+COUNTIF($I$7:I98,I98)-1</f>
        <v/>
      </c>
      <c r="Q98" s="10" t="inlineStr">
        <is>
          <t>Oxford Brookes</t>
        </is>
      </c>
    </row>
    <row r="99" ht="46" customHeight="1">
      <c r="A99" s="10" t="inlineStr">
        <is>
          <t>10007160</t>
        </is>
      </c>
      <c r="B99" s="11" t="inlineStr">
        <is>
          <t>The University of Surrey</t>
        </is>
      </c>
      <c r="C99" s="10" t="inlineStr">
        <is>
          <t>Additional UK sample</t>
        </is>
      </c>
      <c r="D99" s="10" t="inlineStr">
        <is>
          <t>2024/25</t>
        </is>
      </c>
      <c r="E99" s="82" t="n">
        <v>86</v>
      </c>
      <c r="F99" s="82" t="n">
        <v>200</v>
      </c>
      <c r="G99" s="82" t="n">
        <v>827</v>
      </c>
      <c r="H99" s="82" t="n">
        <v>330</v>
      </c>
      <c r="I99" s="82" t="n">
        <v>1443</v>
      </c>
      <c r="J99" s="82" t="n">
        <v>7140</v>
      </c>
      <c r="K99" s="83">
        <f>I99/1000</f>
        <v/>
      </c>
      <c r="L99" s="83">
        <f>SUM(E99:G99)/1000</f>
        <v/>
      </c>
      <c r="M99" s="84">
        <f>IF(I99=0,"n.a.",H99/I99)</f>
        <v/>
      </c>
      <c r="N99" s="82">
        <f>IF(J99=0,"n.a.",I99*1000/J99)</f>
        <v/>
      </c>
      <c r="O99" s="82">
        <f>SUM(E99:H99)-I99</f>
        <v/>
      </c>
      <c r="P99" s="82">
        <f>RANK(I99,$I$7:$I$212,0)+COUNTIF($I$7:I99,I99)-1</f>
        <v/>
      </c>
      <c r="Q99" s="10" t="inlineStr">
        <is>
          <t>Surrey</t>
        </is>
      </c>
    </row>
    <row r="100" ht="46" customHeight="1">
      <c r="A100" s="10" t="inlineStr">
        <is>
          <t>10019178</t>
        </is>
      </c>
      <c r="B100" s="11" t="inlineStr">
        <is>
          <t>Point Blank Music School</t>
        </is>
      </c>
      <c r="C100" s="10" t="inlineStr">
        <is>
          <t>Other HE provider</t>
        </is>
      </c>
      <c r="D100" s="10" t="inlineStr">
        <is>
          <t>2024/25</t>
        </is>
      </c>
      <c r="E100" s="82" t="n">
        <v>0</v>
      </c>
      <c r="F100" s="82" t="n">
        <v>0</v>
      </c>
      <c r="G100" s="82" t="n">
        <v>0</v>
      </c>
      <c r="H100" s="82" t="n">
        <v>1389</v>
      </c>
      <c r="I100" s="82" t="n">
        <v>1389</v>
      </c>
      <c r="J100" s="82" t="n">
        <v>12305</v>
      </c>
      <c r="K100" s="83">
        <f>I100/1000</f>
        <v/>
      </c>
      <c r="L100" s="83">
        <f>SUM(E100:G100)/1000</f>
        <v/>
      </c>
      <c r="M100" s="84">
        <f>IF(I100=0,"n.a.",H100/I100)</f>
        <v/>
      </c>
      <c r="N100" s="82">
        <f>IF(J100=0,"n.a.",I100*1000/J100)</f>
        <v/>
      </c>
      <c r="O100" s="82">
        <f>SUM(E100:H100)-I100</f>
        <v/>
      </c>
      <c r="P100" s="82">
        <f>RANK(I100,$I$7:$I$212,0)+COUNTIF($I$7:I100,I100)-1</f>
        <v/>
      </c>
      <c r="Q100" s="10" t="inlineStr">
        <is>
          <t>Point Blank Music School</t>
        </is>
      </c>
    </row>
    <row r="101" ht="46" customHeight="1">
      <c r="A101" s="10" t="inlineStr">
        <is>
          <t>10000961</t>
        </is>
      </c>
      <c r="B101" s="11" t="inlineStr">
        <is>
          <t>Brunel University London</t>
        </is>
      </c>
      <c r="C101" s="10" t="inlineStr">
        <is>
          <t>Additional UK sample</t>
        </is>
      </c>
      <c r="D101" s="10" t="inlineStr">
        <is>
          <t>2024/25</t>
        </is>
      </c>
      <c r="E101" s="82" t="n">
        <v>269</v>
      </c>
      <c r="F101" s="82" t="n">
        <v>0</v>
      </c>
      <c r="G101" s="82" t="n">
        <v>4</v>
      </c>
      <c r="H101" s="82" t="n">
        <v>1109</v>
      </c>
      <c r="I101" s="82" t="n">
        <v>1382</v>
      </c>
      <c r="J101" s="82" t="n">
        <v>12169</v>
      </c>
      <c r="K101" s="83">
        <f>I101/1000</f>
        <v/>
      </c>
      <c r="L101" s="83">
        <f>SUM(E101:G101)/1000</f>
        <v/>
      </c>
      <c r="M101" s="84">
        <f>IF(I101=0,"n.a.",H101/I101)</f>
        <v/>
      </c>
      <c r="N101" s="82">
        <f>IF(J101=0,"n.a.",I101*1000/J101)</f>
        <v/>
      </c>
      <c r="O101" s="82">
        <f>SUM(E101:H101)-I101</f>
        <v/>
      </c>
      <c r="P101" s="82">
        <f>RANK(I101,$I$7:$I$212,0)+COUNTIF($I$7:I101,I101)-1</f>
        <v/>
      </c>
      <c r="Q101" s="10" t="inlineStr">
        <is>
          <t>Brunel</t>
        </is>
      </c>
    </row>
    <row r="102" ht="46" customHeight="1">
      <c r="A102" s="10" t="inlineStr">
        <is>
          <t>10007837</t>
        </is>
      </c>
      <c r="B102" s="11" t="inlineStr">
        <is>
          <t>Royal Northern College of Music</t>
        </is>
      </c>
      <c r="C102" s="10" t="inlineStr">
        <is>
          <t>Other HE provider</t>
        </is>
      </c>
      <c r="D102" s="10" t="inlineStr">
        <is>
          <t>2024/25</t>
        </is>
      </c>
      <c r="E102" s="82" t="n">
        <v>0</v>
      </c>
      <c r="F102" s="82" t="n">
        <v>0</v>
      </c>
      <c r="G102" s="82" t="n">
        <v>0</v>
      </c>
      <c r="H102" s="82" t="n">
        <v>1382</v>
      </c>
      <c r="I102" s="82" t="n">
        <v>1382</v>
      </c>
      <c r="J102" s="82" t="n">
        <v>17492</v>
      </c>
      <c r="K102" s="83">
        <f>I102/1000</f>
        <v/>
      </c>
      <c r="L102" s="83">
        <f>SUM(E102:G102)/1000</f>
        <v/>
      </c>
      <c r="M102" s="84">
        <f>IF(I102=0,"n.a.",H102/I102)</f>
        <v/>
      </c>
      <c r="N102" s="82">
        <f>IF(J102=0,"n.a.",I102*1000/J102)</f>
        <v/>
      </c>
      <c r="O102" s="82">
        <f>SUM(E102:H102)-I102</f>
        <v/>
      </c>
      <c r="P102" s="82">
        <f>RANK(I102,$I$7:$I$212,0)+COUNTIF($I$7:I102,I102)-1</f>
        <v/>
      </c>
      <c r="Q102" s="10" t="inlineStr">
        <is>
          <t>Royal Northern College of Music</t>
        </is>
      </c>
    </row>
    <row r="103" ht="46" customHeight="1">
      <c r="A103" s="10" t="inlineStr">
        <is>
          <t>10007778</t>
        </is>
      </c>
      <c r="B103" s="11" t="inlineStr">
        <is>
          <t>Royal College of Music</t>
        </is>
      </c>
      <c r="C103" s="10" t="inlineStr">
        <is>
          <t>Other HE provider</t>
        </is>
      </c>
      <c r="D103" s="10" t="inlineStr">
        <is>
          <t>2024/25</t>
        </is>
      </c>
      <c r="E103" s="82" t="n">
        <v>0</v>
      </c>
      <c r="F103" s="82" t="n">
        <v>0</v>
      </c>
      <c r="G103" s="82" t="n">
        <v>0</v>
      </c>
      <c r="H103" s="82" t="n">
        <v>1348</v>
      </c>
      <c r="I103" s="82" t="n">
        <v>1348</v>
      </c>
      <c r="J103" s="82" t="n">
        <v>8863</v>
      </c>
      <c r="K103" s="83">
        <f>I103/1000</f>
        <v/>
      </c>
      <c r="L103" s="83">
        <f>SUM(E103:G103)/1000</f>
        <v/>
      </c>
      <c r="M103" s="84">
        <f>IF(I103=0,"n.a.",H103/I103)</f>
        <v/>
      </c>
      <c r="N103" s="82">
        <f>IF(J103=0,"n.a.",I103*1000/J103)</f>
        <v/>
      </c>
      <c r="O103" s="82">
        <f>SUM(E103:H103)-I103</f>
        <v/>
      </c>
      <c r="P103" s="82">
        <f>RANK(I103,$I$7:$I$212,0)+COUNTIF($I$7:I103,I103)-1</f>
        <v/>
      </c>
      <c r="Q103" s="10" t="inlineStr">
        <is>
          <t>Royal College of Music</t>
        </is>
      </c>
    </row>
    <row r="104" ht="46" customHeight="1">
      <c r="A104" s="10" t="inlineStr">
        <is>
          <t>10007856</t>
        </is>
      </c>
      <c r="B104" s="11" t="inlineStr">
        <is>
          <t>Aberystwyth University</t>
        </is>
      </c>
      <c r="C104" s="10" t="inlineStr">
        <is>
          <t>Other HE provider</t>
        </is>
      </c>
      <c r="D104" s="10" t="inlineStr">
        <is>
          <t>2024/25</t>
        </is>
      </c>
      <c r="E104" s="82" t="n">
        <v>38</v>
      </c>
      <c r="F104" s="82" t="n">
        <v>46</v>
      </c>
      <c r="G104" s="82" t="n">
        <v>104</v>
      </c>
      <c r="H104" s="82" t="n">
        <v>1150</v>
      </c>
      <c r="I104" s="82" t="n">
        <v>1338</v>
      </c>
      <c r="J104" s="82" t="n">
        <v>57686</v>
      </c>
      <c r="K104" s="83">
        <f>I104/1000</f>
        <v/>
      </c>
      <c r="L104" s="83">
        <f>SUM(E104:G104)/1000</f>
        <v/>
      </c>
      <c r="M104" s="84">
        <f>IF(I104=0,"n.a.",H104/I104)</f>
        <v/>
      </c>
      <c r="N104" s="82">
        <f>IF(J104=0,"n.a.",I104*1000/J104)</f>
        <v/>
      </c>
      <c r="O104" s="82">
        <f>SUM(E104:H104)-I104</f>
        <v/>
      </c>
      <c r="P104" s="82">
        <f>RANK(I104,$I$7:$I$212,0)+COUNTIF($I$7:I104,I104)-1</f>
        <v/>
      </c>
      <c r="Q104" s="10" t="inlineStr">
        <is>
          <t>Aberystwyth</t>
        </is>
      </c>
    </row>
    <row r="105" ht="46" customHeight="1">
      <c r="A105" s="10" t="inlineStr">
        <is>
          <t>10007143</t>
        </is>
      </c>
      <c r="B105" s="11" t="inlineStr">
        <is>
          <t>University of Durham</t>
        </is>
      </c>
      <c r="C105" s="10" t="inlineStr">
        <is>
          <t>Russell Group</t>
        </is>
      </c>
      <c r="D105" s="10" t="inlineStr">
        <is>
          <t>2024/25</t>
        </is>
      </c>
      <c r="E105" s="82" t="n">
        <v>0</v>
      </c>
      <c r="F105" s="82" t="n">
        <v>283</v>
      </c>
      <c r="G105" s="82" t="n">
        <v>458</v>
      </c>
      <c r="H105" s="82" t="n">
        <v>595</v>
      </c>
      <c r="I105" s="82" t="n">
        <v>1336</v>
      </c>
      <c r="J105" s="82" t="n">
        <v>12766</v>
      </c>
      <c r="K105" s="83">
        <f>I105/1000</f>
        <v/>
      </c>
      <c r="L105" s="83">
        <f>SUM(E105:G105)/1000</f>
        <v/>
      </c>
      <c r="M105" s="84">
        <f>IF(I105=0,"n.a.",H105/I105)</f>
        <v/>
      </c>
      <c r="N105" s="82">
        <f>IF(J105=0,"n.a.",I105*1000/J105)</f>
        <v/>
      </c>
      <c r="O105" s="82">
        <f>SUM(E105:H105)-I105</f>
        <v/>
      </c>
      <c r="P105" s="82">
        <f>RANK(I105,$I$7:$I$212,0)+COUNTIF($I$7:I105,I105)-1</f>
        <v/>
      </c>
      <c r="Q105" s="10" t="inlineStr">
        <is>
          <t>Durham</t>
        </is>
      </c>
    </row>
    <row r="106" ht="46" customHeight="1">
      <c r="A106" s="10" t="inlineStr">
        <is>
          <t>10005337</t>
        </is>
      </c>
      <c r="B106" s="11" t="inlineStr">
        <is>
          <t>Queen Margaret University, Edinburgh</t>
        </is>
      </c>
      <c r="C106" s="10" t="inlineStr">
        <is>
          <t>Other HE provider</t>
        </is>
      </c>
      <c r="D106" s="10" t="inlineStr">
        <is>
          <t>2024/25</t>
        </is>
      </c>
      <c r="E106" s="82" t="n">
        <v>0</v>
      </c>
      <c r="F106" s="82" t="n">
        <v>0</v>
      </c>
      <c r="G106" s="82" t="n">
        <v>13</v>
      </c>
      <c r="H106" s="82" t="n">
        <v>1301</v>
      </c>
      <c r="I106" s="82" t="n">
        <v>1314</v>
      </c>
      <c r="J106" s="82" t="n">
        <v>8000</v>
      </c>
      <c r="K106" s="83">
        <f>I106/1000</f>
        <v/>
      </c>
      <c r="L106" s="83">
        <f>SUM(E106:G106)/1000</f>
        <v/>
      </c>
      <c r="M106" s="84">
        <f>IF(I106=0,"n.a.",H106/I106)</f>
        <v/>
      </c>
      <c r="N106" s="82">
        <f>IF(J106=0,"n.a.",I106*1000/J106)</f>
        <v/>
      </c>
      <c r="O106" s="82">
        <f>SUM(E106:H106)-I106</f>
        <v/>
      </c>
      <c r="P106" s="82">
        <f>RANK(I106,$I$7:$I$212,0)+COUNTIF($I$7:I106,I106)-1</f>
        <v/>
      </c>
      <c r="Q106" s="10" t="inlineStr">
        <is>
          <t>Queen Margaret University, Edinburgh</t>
        </is>
      </c>
    </row>
    <row r="107" ht="46" customHeight="1">
      <c r="A107" s="10" t="inlineStr">
        <is>
          <t>10006841</t>
        </is>
      </c>
      <c r="B107" s="11" t="inlineStr">
        <is>
          <t>University of Greater Manchester</t>
        </is>
      </c>
      <c r="C107" s="10" t="inlineStr">
        <is>
          <t>Other HE provider</t>
        </is>
      </c>
      <c r="D107" s="10" t="inlineStr">
        <is>
          <t>2024/25</t>
        </is>
      </c>
      <c r="E107" s="82" t="n">
        <v>695</v>
      </c>
      <c r="F107" s="82" t="n">
        <v>140</v>
      </c>
      <c r="G107" s="82" t="n">
        <v>369</v>
      </c>
      <c r="H107" s="82" t="n">
        <v>94</v>
      </c>
      <c r="I107" s="82" t="n">
        <v>1298</v>
      </c>
      <c r="J107" s="82" t="n">
        <v>9984</v>
      </c>
      <c r="K107" s="83">
        <f>I107/1000</f>
        <v/>
      </c>
      <c r="L107" s="83">
        <f>SUM(E107:G107)/1000</f>
        <v/>
      </c>
      <c r="M107" s="84">
        <f>IF(I107=0,"n.a.",H107/I107)</f>
        <v/>
      </c>
      <c r="N107" s="82">
        <f>IF(J107=0,"n.a.",I107*1000/J107)</f>
        <v/>
      </c>
      <c r="O107" s="82">
        <f>SUM(E107:H107)-I107</f>
        <v/>
      </c>
      <c r="P107" s="82">
        <f>RANK(I107,$I$7:$I$212,0)+COUNTIF($I$7:I107,I107)-1</f>
        <v/>
      </c>
      <c r="Q107" s="10" t="inlineStr">
        <is>
          <t>Greater Manchester</t>
        </is>
      </c>
    </row>
    <row r="108" ht="46" customHeight="1">
      <c r="A108" s="10" t="inlineStr">
        <is>
          <t>10007768</t>
        </is>
      </c>
      <c r="B108" s="11" t="inlineStr">
        <is>
          <t>The University of Lancaster</t>
        </is>
      </c>
      <c r="C108" s="10" t="inlineStr">
        <is>
          <t>Additional UK sample</t>
        </is>
      </c>
      <c r="D108" s="10" t="inlineStr">
        <is>
          <t>2024/25</t>
        </is>
      </c>
      <c r="E108" s="82" t="n">
        <v>177</v>
      </c>
      <c r="F108" s="82" t="n">
        <v>510</v>
      </c>
      <c r="G108" s="82" t="n">
        <v>500</v>
      </c>
      <c r="H108" s="82" t="n">
        <v>102</v>
      </c>
      <c r="I108" s="82" t="n">
        <v>1289</v>
      </c>
      <c r="J108" s="82" t="n">
        <v>3148</v>
      </c>
      <c r="K108" s="83">
        <f>I108/1000</f>
        <v/>
      </c>
      <c r="L108" s="83">
        <f>SUM(E108:G108)/1000</f>
        <v/>
      </c>
      <c r="M108" s="84">
        <f>IF(I108=0,"n.a.",H108/I108)</f>
        <v/>
      </c>
      <c r="N108" s="82">
        <f>IF(J108=0,"n.a.",I108*1000/J108)</f>
        <v/>
      </c>
      <c r="O108" s="82">
        <f>SUM(E108:H108)-I108</f>
        <v/>
      </c>
      <c r="P108" s="82">
        <f>RANK(I108,$I$7:$I$212,0)+COUNTIF($I$7:I108,I108)-1</f>
        <v/>
      </c>
      <c r="Q108" s="10" t="inlineStr">
        <is>
          <t>Lancaster</t>
        </is>
      </c>
    </row>
    <row r="109" ht="46" customHeight="1">
      <c r="A109" s="10" t="inlineStr">
        <is>
          <t>10007777</t>
        </is>
      </c>
      <c r="B109" s="11" t="inlineStr">
        <is>
          <t>Royal College of Art</t>
        </is>
      </c>
      <c r="C109" s="10" t="inlineStr">
        <is>
          <t>Other HE provider</t>
        </is>
      </c>
      <c r="D109" s="10" t="inlineStr">
        <is>
          <t>2024/25</t>
        </is>
      </c>
      <c r="E109" s="82" t="n">
        <v>0</v>
      </c>
      <c r="F109" s="82" t="n">
        <v>727</v>
      </c>
      <c r="G109" s="82" t="n">
        <v>0</v>
      </c>
      <c r="H109" s="82" t="n">
        <v>505</v>
      </c>
      <c r="I109" s="82" t="n">
        <v>1232</v>
      </c>
      <c r="J109" s="82" t="n">
        <v>8622</v>
      </c>
      <c r="K109" s="83">
        <f>I109/1000</f>
        <v/>
      </c>
      <c r="L109" s="83">
        <f>SUM(E109:G109)/1000</f>
        <v/>
      </c>
      <c r="M109" s="84">
        <f>IF(I109=0,"n.a.",H109/I109)</f>
        <v/>
      </c>
      <c r="N109" s="82">
        <f>IF(J109=0,"n.a.",I109*1000/J109)</f>
        <v/>
      </c>
      <c r="O109" s="82">
        <f>SUM(E109:H109)-I109</f>
        <v/>
      </c>
      <c r="P109" s="82">
        <f>RANK(I109,$I$7:$I$212,0)+COUNTIF($I$7:I109,I109)-1</f>
        <v/>
      </c>
      <c r="Q109" s="10" t="inlineStr">
        <is>
          <t>Royal College of Art</t>
        </is>
      </c>
    </row>
    <row r="110" ht="46" customHeight="1">
      <c r="A110" s="10" t="inlineStr">
        <is>
          <t>10007785</t>
        </is>
      </c>
      <c r="B110" s="11" t="inlineStr">
        <is>
          <t>The University of Bradford</t>
        </is>
      </c>
      <c r="C110" s="10" t="inlineStr">
        <is>
          <t>Other HE provider</t>
        </is>
      </c>
      <c r="D110" s="10" t="inlineStr">
        <is>
          <t>2024/25</t>
        </is>
      </c>
      <c r="E110" s="82" t="n">
        <v>311</v>
      </c>
      <c r="F110" s="82" t="n">
        <v>154</v>
      </c>
      <c r="G110" s="82" t="n">
        <v>706</v>
      </c>
      <c r="H110" s="82" t="n">
        <v>52</v>
      </c>
      <c r="I110" s="82" t="n">
        <v>1223</v>
      </c>
      <c r="J110" s="82" t="n">
        <v>6115</v>
      </c>
      <c r="K110" s="83">
        <f>I110/1000</f>
        <v/>
      </c>
      <c r="L110" s="83">
        <f>SUM(E110:G110)/1000</f>
        <v/>
      </c>
      <c r="M110" s="84">
        <f>IF(I110=0,"n.a.",H110/I110)</f>
        <v/>
      </c>
      <c r="N110" s="82">
        <f>IF(J110=0,"n.a.",I110*1000/J110)</f>
        <v/>
      </c>
      <c r="O110" s="82">
        <f>SUM(E110:H110)-I110</f>
        <v/>
      </c>
      <c r="P110" s="82">
        <f>RANK(I110,$I$7:$I$212,0)+COUNTIF($I$7:I110,I110)-1</f>
        <v/>
      </c>
      <c r="Q110" s="10" t="inlineStr">
        <is>
          <t>Bradford</t>
        </is>
      </c>
    </row>
    <row r="111" ht="46" customHeight="1">
      <c r="A111" s="10" t="inlineStr">
        <is>
          <t>10007772</t>
        </is>
      </c>
      <c r="B111" s="11" t="inlineStr">
        <is>
          <t>Edinburgh Napier University</t>
        </is>
      </c>
      <c r="C111" s="10" t="inlineStr">
        <is>
          <t>Other HE provider</t>
        </is>
      </c>
      <c r="D111" s="10" t="inlineStr">
        <is>
          <t>2024/25</t>
        </is>
      </c>
      <c r="E111" s="82" t="n">
        <v>5</v>
      </c>
      <c r="F111" s="82" t="n">
        <v>382</v>
      </c>
      <c r="G111" s="82" t="n">
        <v>686</v>
      </c>
      <c r="H111" s="82" t="n">
        <v>98</v>
      </c>
      <c r="I111" s="82" t="n">
        <v>1171</v>
      </c>
      <c r="J111" s="82" t="n">
        <v>5267</v>
      </c>
      <c r="K111" s="83">
        <f>I111/1000</f>
        <v/>
      </c>
      <c r="L111" s="83">
        <f>SUM(E111:G111)/1000</f>
        <v/>
      </c>
      <c r="M111" s="84">
        <f>IF(I111=0,"n.a.",H111/I111)</f>
        <v/>
      </c>
      <c r="N111" s="82">
        <f>IF(J111=0,"n.a.",I111*1000/J111)</f>
        <v/>
      </c>
      <c r="O111" s="82">
        <f>SUM(E111:H111)-I111</f>
        <v/>
      </c>
      <c r="P111" s="82">
        <f>RANK(I111,$I$7:$I$212,0)+COUNTIF($I$7:I111,I111)-1</f>
        <v/>
      </c>
      <c r="Q111" s="10" t="inlineStr">
        <is>
          <t>Edinburgh Napier</t>
        </is>
      </c>
    </row>
    <row r="112" ht="46" customHeight="1">
      <c r="A112" s="10" t="inlineStr">
        <is>
          <t>10006566</t>
        </is>
      </c>
      <c r="B112" s="11" t="inlineStr">
        <is>
          <t>The University of West London</t>
        </is>
      </c>
      <c r="C112" s="10" t="inlineStr">
        <is>
          <t>Other HE provider</t>
        </is>
      </c>
      <c r="D112" s="10" t="inlineStr">
        <is>
          <t>2024/25</t>
        </is>
      </c>
      <c r="E112" s="82" t="n">
        <v>0</v>
      </c>
      <c r="F112" s="82" t="n">
        <v>0</v>
      </c>
      <c r="G112" s="82" t="n">
        <v>311</v>
      </c>
      <c r="H112" s="82" t="n">
        <v>823</v>
      </c>
      <c r="I112" s="82" t="n">
        <v>1134</v>
      </c>
      <c r="J112" s="82" t="n">
        <v>2269</v>
      </c>
      <c r="K112" s="83">
        <f>I112/1000</f>
        <v/>
      </c>
      <c r="L112" s="83">
        <f>SUM(E112:G112)/1000</f>
        <v/>
      </c>
      <c r="M112" s="84">
        <f>IF(I112=0,"n.a.",H112/I112)</f>
        <v/>
      </c>
      <c r="N112" s="82">
        <f>IF(J112=0,"n.a.",I112*1000/J112)</f>
        <v/>
      </c>
      <c r="O112" s="82">
        <f>SUM(E112:H112)-I112</f>
        <v/>
      </c>
      <c r="P112" s="82">
        <f>RANK(I112,$I$7:$I$212,0)+COUNTIF($I$7:I112,I112)-1</f>
        <v/>
      </c>
      <c r="Q112" s="10" t="inlineStr">
        <is>
          <t>West London</t>
        </is>
      </c>
    </row>
    <row r="113" ht="46" customHeight="1">
      <c r="A113" s="10" t="inlineStr">
        <is>
          <t>10007832</t>
        </is>
      </c>
      <c r="B113" s="11" t="inlineStr">
        <is>
          <t>Birmingham Newman University</t>
        </is>
      </c>
      <c r="C113" s="10" t="inlineStr">
        <is>
          <t>Other HE provider</t>
        </is>
      </c>
      <c r="D113" s="10" t="inlineStr">
        <is>
          <t>2024/25</t>
        </is>
      </c>
      <c r="E113" s="82" t="n">
        <v>0</v>
      </c>
      <c r="F113" s="82" t="n">
        <v>0</v>
      </c>
      <c r="G113" s="82" t="n">
        <v>0</v>
      </c>
      <c r="H113" s="82" t="n">
        <v>1114</v>
      </c>
      <c r="I113" s="82" t="n">
        <v>1114</v>
      </c>
      <c r="J113" s="82" t="n">
        <v>6372</v>
      </c>
      <c r="K113" s="83">
        <f>I113/1000</f>
        <v/>
      </c>
      <c r="L113" s="83">
        <f>SUM(E113:G113)/1000</f>
        <v/>
      </c>
      <c r="M113" s="84">
        <f>IF(I113=0,"n.a.",H113/I113)</f>
        <v/>
      </c>
      <c r="N113" s="82">
        <f>IF(J113=0,"n.a.",I113*1000/J113)</f>
        <v/>
      </c>
      <c r="O113" s="82">
        <f>SUM(E113:H113)-I113</f>
        <v/>
      </c>
      <c r="P113" s="82">
        <f>RANK(I113,$I$7:$I$212,0)+COUNTIF($I$7:I113,I113)-1</f>
        <v/>
      </c>
      <c r="Q113" s="10" t="inlineStr">
        <is>
          <t>Birmingham Newman</t>
        </is>
      </c>
    </row>
    <row r="114" ht="46" customHeight="1">
      <c r="A114" s="10" t="inlineStr">
        <is>
          <t>10006427</t>
        </is>
      </c>
      <c r="B114" s="11" t="inlineStr">
        <is>
          <t>University for the Creative Arts</t>
        </is>
      </c>
      <c r="C114" s="10" t="inlineStr">
        <is>
          <t>Other HE provider</t>
        </is>
      </c>
      <c r="D114" s="10" t="inlineStr">
        <is>
          <t>2024/25</t>
        </is>
      </c>
      <c r="E114" s="82" t="n">
        <v>0</v>
      </c>
      <c r="F114" s="82" t="n">
        <v>0</v>
      </c>
      <c r="G114" s="82" t="n">
        <v>0</v>
      </c>
      <c r="H114" s="82" t="n">
        <v>1105</v>
      </c>
      <c r="I114" s="82" t="n">
        <v>1105</v>
      </c>
      <c r="J114" s="82" t="n">
        <v>4466</v>
      </c>
      <c r="K114" s="83">
        <f>I114/1000</f>
        <v/>
      </c>
      <c r="L114" s="83">
        <f>SUM(E114:G114)/1000</f>
        <v/>
      </c>
      <c r="M114" s="84">
        <f>IF(I114=0,"n.a.",H114/I114)</f>
        <v/>
      </c>
      <c r="N114" s="82">
        <f>IF(J114=0,"n.a.",I114*1000/J114)</f>
        <v/>
      </c>
      <c r="O114" s="82">
        <f>SUM(E114:H114)-I114</f>
        <v/>
      </c>
      <c r="P114" s="82">
        <f>RANK(I114,$I$7:$I$212,0)+COUNTIF($I$7:I114,I114)-1</f>
        <v/>
      </c>
      <c r="Q114" s="10" t="inlineStr">
        <is>
          <t>University for the Creative Arts</t>
        </is>
      </c>
    </row>
    <row r="115" ht="46" customHeight="1">
      <c r="A115" s="10" t="inlineStr">
        <is>
          <t>10007803</t>
        </is>
      </c>
      <c r="B115" s="11" t="inlineStr">
        <is>
          <t>The University of St. Andrews</t>
        </is>
      </c>
      <c r="C115" s="10" t="inlineStr">
        <is>
          <t>Additional UK sample</t>
        </is>
      </c>
      <c r="D115" s="10" t="inlineStr">
        <is>
          <t>2024/25</t>
        </is>
      </c>
      <c r="E115" s="82" t="n">
        <v>20</v>
      </c>
      <c r="F115" s="82" t="n">
        <v>2</v>
      </c>
      <c r="G115" s="82" t="n">
        <v>101</v>
      </c>
      <c r="H115" s="82" t="n">
        <v>950</v>
      </c>
      <c r="I115" s="82" t="n">
        <v>1073</v>
      </c>
      <c r="J115" s="82" t="n">
        <v>1636</v>
      </c>
      <c r="K115" s="83">
        <f>I115/1000</f>
        <v/>
      </c>
      <c r="L115" s="83">
        <f>SUM(E115:G115)/1000</f>
        <v/>
      </c>
      <c r="M115" s="84">
        <f>IF(I115=0,"n.a.",H115/I115)</f>
        <v/>
      </c>
      <c r="N115" s="82">
        <f>IF(J115=0,"n.a.",I115*1000/J115)</f>
        <v/>
      </c>
      <c r="O115" s="82">
        <f>SUM(E115:H115)-I115</f>
        <v/>
      </c>
      <c r="P115" s="82">
        <f>RANK(I115,$I$7:$I$212,0)+COUNTIF($I$7:I115,I115)-1</f>
        <v/>
      </c>
      <c r="Q115" s="10" t="inlineStr">
        <is>
          <t>St Andrews</t>
        </is>
      </c>
    </row>
    <row r="116" ht="46" customHeight="1">
      <c r="A116" s="10" t="inlineStr">
        <is>
          <t>10007854</t>
        </is>
      </c>
      <c r="B116" s="11" t="inlineStr">
        <is>
          <t>Cardiff Metropolitan University</t>
        </is>
      </c>
      <c r="C116" s="10" t="inlineStr">
        <is>
          <t>Other HE provider</t>
        </is>
      </c>
      <c r="D116" s="10" t="inlineStr">
        <is>
          <t>2024/25</t>
        </is>
      </c>
      <c r="E116" s="82" t="n">
        <v>4</v>
      </c>
      <c r="F116" s="82" t="n">
        <v>1</v>
      </c>
      <c r="G116" s="82" t="n">
        <v>365</v>
      </c>
      <c r="H116" s="82" t="n">
        <v>699</v>
      </c>
      <c r="I116" s="82" t="n">
        <v>1069</v>
      </c>
      <c r="J116" s="82" t="n">
        <v>28559</v>
      </c>
      <c r="K116" s="83">
        <f>I116/1000</f>
        <v/>
      </c>
      <c r="L116" s="83">
        <f>SUM(E116:G116)/1000</f>
        <v/>
      </c>
      <c r="M116" s="84">
        <f>IF(I116=0,"n.a.",H116/I116)</f>
        <v/>
      </c>
      <c r="N116" s="82">
        <f>IF(J116=0,"n.a.",I116*1000/J116)</f>
        <v/>
      </c>
      <c r="O116" s="82">
        <f>SUM(E116:H116)-I116</f>
        <v/>
      </c>
      <c r="P116" s="82">
        <f>RANK(I116,$I$7:$I$212,0)+COUNTIF($I$7:I116,I116)-1</f>
        <v/>
      </c>
      <c r="Q116" s="10" t="inlineStr">
        <is>
          <t>Cardiff Metropolitan</t>
        </is>
      </c>
    </row>
    <row r="117" ht="46" customHeight="1">
      <c r="A117" s="10" t="inlineStr">
        <is>
          <t>10007157</t>
        </is>
      </c>
      <c r="B117" s="11" t="inlineStr">
        <is>
          <t>The University of Sheffield</t>
        </is>
      </c>
      <c r="C117" s="10" t="inlineStr">
        <is>
          <t>Russell Group</t>
        </is>
      </c>
      <c r="D117" s="10" t="inlineStr">
        <is>
          <t>2024/25</t>
        </is>
      </c>
      <c r="E117" s="82" t="n">
        <v>26</v>
      </c>
      <c r="F117" s="82" t="n">
        <v>108</v>
      </c>
      <c r="G117" s="82" t="n">
        <v>622</v>
      </c>
      <c r="H117" s="82" t="n">
        <v>269</v>
      </c>
      <c r="I117" s="82" t="n">
        <v>1025</v>
      </c>
      <c r="J117" s="82" t="n">
        <v>9619</v>
      </c>
      <c r="K117" s="83">
        <f>I117/1000</f>
        <v/>
      </c>
      <c r="L117" s="83">
        <f>SUM(E117:G117)/1000</f>
        <v/>
      </c>
      <c r="M117" s="84">
        <f>IF(I117=0,"n.a.",H117/I117)</f>
        <v/>
      </c>
      <c r="N117" s="82">
        <f>IF(J117=0,"n.a.",I117*1000/J117)</f>
        <v/>
      </c>
      <c r="O117" s="82">
        <f>SUM(E117:H117)-I117</f>
        <v/>
      </c>
      <c r="P117" s="82">
        <f>RANK(I117,$I$7:$I$212,0)+COUNTIF($I$7:I117,I117)-1</f>
        <v/>
      </c>
      <c r="Q117" s="10" t="inlineStr">
        <is>
          <t>Sheffield</t>
        </is>
      </c>
    </row>
    <row r="118" ht="46" customHeight="1">
      <c r="A118" s="10" t="inlineStr">
        <is>
          <t>10002718</t>
        </is>
      </c>
      <c r="B118" s="11" t="inlineStr">
        <is>
          <t>Goldsmiths College</t>
        </is>
      </c>
      <c r="C118" s="10" t="inlineStr">
        <is>
          <t>Other HE provider</t>
        </is>
      </c>
      <c r="D118" s="10" t="inlineStr">
        <is>
          <t>2024/25</t>
        </is>
      </c>
      <c r="E118" s="82" t="n">
        <v>2</v>
      </c>
      <c r="F118" s="82" t="n">
        <v>6</v>
      </c>
      <c r="G118" s="82" t="n">
        <v>37</v>
      </c>
      <c r="H118" s="82" t="n">
        <v>973</v>
      </c>
      <c r="I118" s="82" t="n">
        <v>1018</v>
      </c>
      <c r="J118" s="82" t="n">
        <v>3153</v>
      </c>
      <c r="K118" s="83">
        <f>I118/1000</f>
        <v/>
      </c>
      <c r="L118" s="83">
        <f>SUM(E118:G118)/1000</f>
        <v/>
      </c>
      <c r="M118" s="84">
        <f>IF(I118=0,"n.a.",H118/I118)</f>
        <v/>
      </c>
      <c r="N118" s="82">
        <f>IF(J118=0,"n.a.",I118*1000/J118)</f>
        <v/>
      </c>
      <c r="O118" s="82">
        <f>SUM(E118:H118)-I118</f>
        <v/>
      </c>
      <c r="P118" s="82">
        <f>RANK(I118,$I$7:$I$212,0)+COUNTIF($I$7:I118,I118)-1</f>
        <v/>
      </c>
      <c r="Q118" s="10" t="inlineStr">
        <is>
          <t>Goldsmiths College</t>
        </is>
      </c>
    </row>
    <row r="119" ht="46" customHeight="1">
      <c r="A119" s="10" t="inlineStr">
        <is>
          <t>10008816</t>
        </is>
      </c>
      <c r="B119" s="11" t="inlineStr">
        <is>
          <t>Northern School of Contemporary Dance</t>
        </is>
      </c>
      <c r="C119" s="10" t="inlineStr">
        <is>
          <t>Other HE provider</t>
        </is>
      </c>
      <c r="D119" s="10" t="inlineStr">
        <is>
          <t>2024/25</t>
        </is>
      </c>
      <c r="E119" s="82" t="n">
        <v>0</v>
      </c>
      <c r="F119" s="82" t="n">
        <v>0</v>
      </c>
      <c r="G119" s="82" t="n">
        <v>0</v>
      </c>
      <c r="H119" s="82" t="n">
        <v>1012</v>
      </c>
      <c r="I119" s="82" t="n">
        <v>1012</v>
      </c>
      <c r="J119" s="82" t="n">
        <v>0</v>
      </c>
      <c r="K119" s="83">
        <f>I119/1000</f>
        <v/>
      </c>
      <c r="L119" s="83">
        <f>SUM(E119:G119)/1000</f>
        <v/>
      </c>
      <c r="M119" s="84">
        <f>IF(I119=0,"n.a.",H119/I119)</f>
        <v/>
      </c>
      <c r="N119" s="82">
        <f>IF(J119=0,"n.a.",I119*1000/J119)</f>
        <v/>
      </c>
      <c r="O119" s="82">
        <f>SUM(E119:H119)-I119</f>
        <v/>
      </c>
      <c r="P119" s="82">
        <f>RANK(I119,$I$7:$I$212,0)+COUNTIF($I$7:I119,I119)-1</f>
        <v/>
      </c>
      <c r="Q119" s="10" t="inlineStr">
        <is>
          <t>Northern School of Contemporary Dance</t>
        </is>
      </c>
    </row>
    <row r="120" ht="46" customHeight="1">
      <c r="A120" s="10" t="inlineStr">
        <is>
          <t>10007779</t>
        </is>
      </c>
      <c r="B120" s="11" t="inlineStr">
        <is>
          <t>The Royal Veterinary College</t>
        </is>
      </c>
      <c r="C120" s="10" t="inlineStr">
        <is>
          <t>Other HE provider</t>
        </is>
      </c>
      <c r="D120" s="10" t="inlineStr">
        <is>
          <t>2024/25</t>
        </is>
      </c>
      <c r="E120" s="82" t="n">
        <v>257</v>
      </c>
      <c r="F120" s="82" t="n">
        <v>66</v>
      </c>
      <c r="G120" s="82" t="n">
        <v>76</v>
      </c>
      <c r="H120" s="82" t="n">
        <v>539</v>
      </c>
      <c r="I120" s="82" t="n">
        <v>938</v>
      </c>
      <c r="J120" s="82" t="n">
        <v>5277</v>
      </c>
      <c r="K120" s="83">
        <f>I120/1000</f>
        <v/>
      </c>
      <c r="L120" s="83">
        <f>SUM(E120:G120)/1000</f>
        <v/>
      </c>
      <c r="M120" s="84">
        <f>IF(I120=0,"n.a.",H120/I120)</f>
        <v/>
      </c>
      <c r="N120" s="82">
        <f>IF(J120=0,"n.a.",I120*1000/J120)</f>
        <v/>
      </c>
      <c r="O120" s="82">
        <f>SUM(E120:H120)-I120</f>
        <v/>
      </c>
      <c r="P120" s="82">
        <f>RANK(I120,$I$7:$I$212,0)+COUNTIF($I$7:I120,I120)-1</f>
        <v/>
      </c>
      <c r="Q120" s="10" t="inlineStr">
        <is>
          <t>The Royal Veterinary College</t>
        </is>
      </c>
    </row>
    <row r="121" ht="46" customHeight="1">
      <c r="A121" s="10" t="inlineStr">
        <is>
          <t>10007806</t>
        </is>
      </c>
      <c r="B121" s="11" t="inlineStr">
        <is>
          <t>The University of Sussex</t>
        </is>
      </c>
      <c r="C121" s="10" t="inlineStr">
        <is>
          <t>Additional UK sample</t>
        </is>
      </c>
      <c r="D121" s="10" t="inlineStr">
        <is>
          <t>2024/25</t>
        </is>
      </c>
      <c r="E121" s="82" t="n">
        <v>0</v>
      </c>
      <c r="F121" s="82" t="n">
        <v>0</v>
      </c>
      <c r="G121" s="82" t="n">
        <v>91</v>
      </c>
      <c r="H121" s="82" t="n">
        <v>839</v>
      </c>
      <c r="I121" s="82" t="n">
        <v>930</v>
      </c>
      <c r="J121" s="82" t="n">
        <v>980</v>
      </c>
      <c r="K121" s="83">
        <f>I121/1000</f>
        <v/>
      </c>
      <c r="L121" s="83">
        <f>SUM(E121:G121)/1000</f>
        <v/>
      </c>
      <c r="M121" s="84">
        <f>IF(I121=0,"n.a.",H121/I121)</f>
        <v/>
      </c>
      <c r="N121" s="82">
        <f>IF(J121=0,"n.a.",I121*1000/J121)</f>
        <v/>
      </c>
      <c r="O121" s="82">
        <f>SUM(E121:H121)-I121</f>
        <v/>
      </c>
      <c r="P121" s="82">
        <f>RANK(I121,$I$7:$I$212,0)+COUNTIF($I$7:I121,I121)-1</f>
        <v/>
      </c>
      <c r="Q121" s="10" t="inlineStr">
        <is>
          <t>Sussex</t>
        </is>
      </c>
    </row>
    <row r="122" ht="46" customHeight="1">
      <c r="A122" s="10" t="inlineStr">
        <is>
          <t>10007759</t>
        </is>
      </c>
      <c r="B122" s="11" t="inlineStr">
        <is>
          <t>Aston University</t>
        </is>
      </c>
      <c r="C122" s="10" t="inlineStr">
        <is>
          <t>Additional UK sample</t>
        </is>
      </c>
      <c r="D122" s="10" t="inlineStr">
        <is>
          <t>2024/25</t>
        </is>
      </c>
      <c r="E122" s="82" t="n">
        <v>441</v>
      </c>
      <c r="F122" s="82" t="n">
        <v>209</v>
      </c>
      <c r="G122" s="82" t="n">
        <v>145</v>
      </c>
      <c r="H122" s="82" t="n">
        <v>124</v>
      </c>
      <c r="I122" s="82" t="n">
        <v>919</v>
      </c>
      <c r="J122" s="82" t="n">
        <v>1748</v>
      </c>
      <c r="K122" s="83">
        <f>I122/1000</f>
        <v/>
      </c>
      <c r="L122" s="83">
        <f>SUM(E122:G122)/1000</f>
        <v/>
      </c>
      <c r="M122" s="84">
        <f>IF(I122=0,"n.a.",H122/I122)</f>
        <v/>
      </c>
      <c r="N122" s="82">
        <f>IF(J122=0,"n.a.",I122*1000/J122)</f>
        <v/>
      </c>
      <c r="O122" s="82">
        <f>SUM(E122:H122)-I122</f>
        <v/>
      </c>
      <c r="P122" s="82">
        <f>RANK(I122,$I$7:$I$212,0)+COUNTIF($I$7:I122,I122)-1</f>
        <v/>
      </c>
      <c r="Q122" s="10" t="inlineStr">
        <is>
          <t>Aston</t>
        </is>
      </c>
    </row>
    <row r="123" ht="46" customHeight="1">
      <c r="A123" s="10" t="inlineStr">
        <is>
          <t>10000385</t>
        </is>
      </c>
      <c r="B123" s="11" t="inlineStr">
        <is>
          <t>The Arts University Bournemouth</t>
        </is>
      </c>
      <c r="C123" s="10" t="inlineStr">
        <is>
          <t>Other HE provider</t>
        </is>
      </c>
      <c r="D123" s="10" t="inlineStr">
        <is>
          <t>2024/25</t>
        </is>
      </c>
      <c r="E123" s="82" t="n">
        <v>0</v>
      </c>
      <c r="F123" s="82" t="n">
        <v>0</v>
      </c>
      <c r="G123" s="82" t="n">
        <v>0</v>
      </c>
      <c r="H123" s="82" t="n">
        <v>908</v>
      </c>
      <c r="I123" s="82" t="n">
        <v>908</v>
      </c>
      <c r="J123" s="82" t="n">
        <v>0</v>
      </c>
      <c r="K123" s="83">
        <f>I123/1000</f>
        <v/>
      </c>
      <c r="L123" s="83">
        <f>SUM(E123:G123)/1000</f>
        <v/>
      </c>
      <c r="M123" s="84">
        <f>IF(I123=0,"n.a.",H123/I123)</f>
        <v/>
      </c>
      <c r="N123" s="82">
        <f>IF(J123=0,"n.a.",I123*1000/J123)</f>
        <v/>
      </c>
      <c r="O123" s="82">
        <f>SUM(E123:H123)-I123</f>
        <v/>
      </c>
      <c r="P123" s="82">
        <f>RANK(I123,$I$7:$I$212,0)+COUNTIF($I$7:I123,I123)-1</f>
        <v/>
      </c>
      <c r="Q123" s="10" t="inlineStr">
        <is>
          <t>The Arts University Bournemouth</t>
        </is>
      </c>
    </row>
    <row r="124" ht="46" customHeight="1">
      <c r="A124" s="10" t="inlineStr">
        <is>
          <t>10007767</t>
        </is>
      </c>
      <c r="B124" s="11" t="inlineStr">
        <is>
          <t>Keele University</t>
        </is>
      </c>
      <c r="C124" s="10" t="inlineStr">
        <is>
          <t>Other HE provider</t>
        </is>
      </c>
      <c r="D124" s="10" t="inlineStr">
        <is>
          <t>2024/25</t>
        </is>
      </c>
      <c r="E124" s="82" t="n">
        <v>2</v>
      </c>
      <c r="F124" s="82" t="n">
        <v>17</v>
      </c>
      <c r="G124" s="82" t="n">
        <v>613</v>
      </c>
      <c r="H124" s="82" t="n">
        <v>252</v>
      </c>
      <c r="I124" s="82" t="n">
        <v>884</v>
      </c>
      <c r="J124" s="82" t="n">
        <v>11592</v>
      </c>
      <c r="K124" s="83">
        <f>I124/1000</f>
        <v/>
      </c>
      <c r="L124" s="83">
        <f>SUM(E124:G124)/1000</f>
        <v/>
      </c>
      <c r="M124" s="84">
        <f>IF(I124=0,"n.a.",H124/I124)</f>
        <v/>
      </c>
      <c r="N124" s="82">
        <f>IF(J124=0,"n.a.",I124*1000/J124)</f>
        <v/>
      </c>
      <c r="O124" s="82">
        <f>SUM(E124:H124)-I124</f>
        <v/>
      </c>
      <c r="P124" s="82">
        <f>RANK(I124,$I$7:$I$212,0)+COUNTIF($I$7:I124,I124)-1</f>
        <v/>
      </c>
      <c r="Q124" s="10" t="inlineStr">
        <is>
          <t>Keele</t>
        </is>
      </c>
    </row>
    <row r="125" ht="46" customHeight="1">
      <c r="A125" s="10" t="inlineStr">
        <is>
          <t>10004113</t>
        </is>
      </c>
      <c r="B125" s="11" t="inlineStr">
        <is>
          <t>Loughborough University</t>
        </is>
      </c>
      <c r="C125" s="10" t="inlineStr">
        <is>
          <t>Additional UK sample</t>
        </is>
      </c>
      <c r="D125" s="10" t="inlineStr">
        <is>
          <t>2024/25</t>
        </is>
      </c>
      <c r="E125" s="82" t="n">
        <v>0</v>
      </c>
      <c r="F125" s="82" t="n">
        <v>234</v>
      </c>
      <c r="G125" s="82" t="n">
        <v>483</v>
      </c>
      <c r="H125" s="82" t="n">
        <v>129</v>
      </c>
      <c r="I125" s="82" t="n">
        <v>846</v>
      </c>
      <c r="J125" s="82" t="n">
        <v>1128</v>
      </c>
      <c r="K125" s="83">
        <f>I125/1000</f>
        <v/>
      </c>
      <c r="L125" s="83">
        <f>SUM(E125:G125)/1000</f>
        <v/>
      </c>
      <c r="M125" s="84">
        <f>IF(I125=0,"n.a.",H125/I125)</f>
        <v/>
      </c>
      <c r="N125" s="82">
        <f>IF(J125=0,"n.a.",I125*1000/J125)</f>
        <v/>
      </c>
      <c r="O125" s="82">
        <f>SUM(E125:H125)-I125</f>
        <v/>
      </c>
      <c r="P125" s="82">
        <f>RANK(I125,$I$7:$I$212,0)+COUNTIF($I$7:I125,I125)-1</f>
        <v/>
      </c>
      <c r="Q125" s="10" t="inlineStr">
        <is>
          <t>Loughborough</t>
        </is>
      </c>
    </row>
    <row r="126" ht="46" customHeight="1">
      <c r="A126" s="10" t="inlineStr">
        <is>
          <t>10007138</t>
        </is>
      </c>
      <c r="B126" s="11" t="inlineStr">
        <is>
          <t>The University of Northampton</t>
        </is>
      </c>
      <c r="C126" s="10" t="inlineStr">
        <is>
          <t>Other HE provider</t>
        </is>
      </c>
      <c r="D126" s="10" t="inlineStr">
        <is>
          <t>2024/25</t>
        </is>
      </c>
      <c r="E126" s="82" t="n">
        <v>6</v>
      </c>
      <c r="F126" s="82" t="n">
        <v>0</v>
      </c>
      <c r="G126" s="82" t="n">
        <v>690</v>
      </c>
      <c r="H126" s="82" t="n">
        <v>144</v>
      </c>
      <c r="I126" s="82" t="n">
        <v>840</v>
      </c>
      <c r="J126" s="82" t="n">
        <v>2261</v>
      </c>
      <c r="K126" s="83">
        <f>I126/1000</f>
        <v/>
      </c>
      <c r="L126" s="83">
        <f>SUM(E126:G126)/1000</f>
        <v/>
      </c>
      <c r="M126" s="84">
        <f>IF(I126=0,"n.a.",H126/I126)</f>
        <v/>
      </c>
      <c r="N126" s="82">
        <f>IF(J126=0,"n.a.",I126*1000/J126)</f>
        <v/>
      </c>
      <c r="O126" s="82">
        <f>SUM(E126:H126)-I126</f>
        <v/>
      </c>
      <c r="P126" s="82">
        <f>RANK(I126,$I$7:$I$212,0)+COUNTIF($I$7:I126,I126)-1</f>
        <v/>
      </c>
      <c r="Q126" s="10" t="inlineStr">
        <is>
          <t>Northampton</t>
        </is>
      </c>
    </row>
    <row r="127" ht="46" customHeight="1">
      <c r="A127" s="10" t="inlineStr">
        <is>
          <t>10007852</t>
        </is>
      </c>
      <c r="B127" s="11" t="inlineStr">
        <is>
          <t>The University of Dundee</t>
        </is>
      </c>
      <c r="C127" s="10" t="inlineStr">
        <is>
          <t>Additional UK sample</t>
        </is>
      </c>
      <c r="D127" s="10" t="inlineStr">
        <is>
          <t>2024/25</t>
        </is>
      </c>
      <c r="E127" s="82" t="n">
        <v>90</v>
      </c>
      <c r="F127" s="82" t="n">
        <v>75</v>
      </c>
      <c r="G127" s="82" t="n">
        <v>221</v>
      </c>
      <c r="H127" s="82" t="n">
        <v>422</v>
      </c>
      <c r="I127" s="82" t="n">
        <v>808</v>
      </c>
      <c r="J127" s="82" t="n">
        <v>2301</v>
      </c>
      <c r="K127" s="83">
        <f>I127/1000</f>
        <v/>
      </c>
      <c r="L127" s="83">
        <f>SUM(E127:G127)/1000</f>
        <v/>
      </c>
      <c r="M127" s="84">
        <f>IF(I127=0,"n.a.",H127/I127)</f>
        <v/>
      </c>
      <c r="N127" s="82">
        <f>IF(J127=0,"n.a.",I127*1000/J127)</f>
        <v/>
      </c>
      <c r="O127" s="82">
        <f>SUM(E127:H127)-I127</f>
        <v/>
      </c>
      <c r="P127" s="82">
        <f>RANK(I127,$I$7:$I$212,0)+COUNTIF($I$7:I127,I127)-1</f>
        <v/>
      </c>
      <c r="Q127" s="10" t="inlineStr">
        <is>
          <t>Dundee</t>
        </is>
      </c>
    </row>
    <row r="128" ht="46" customHeight="1">
      <c r="A128" s="10" t="inlineStr">
        <is>
          <t>10000163</t>
        </is>
      </c>
      <c r="B128" s="11" t="inlineStr">
        <is>
          <t>Health Sciences University</t>
        </is>
      </c>
      <c r="C128" s="10" t="inlineStr">
        <is>
          <t>Other HE provider</t>
        </is>
      </c>
      <c r="D128" s="10" t="inlineStr">
        <is>
          <t>2024/25</t>
        </is>
      </c>
      <c r="E128" s="82" t="n">
        <v>23</v>
      </c>
      <c r="F128" s="82" t="n">
        <v>1</v>
      </c>
      <c r="G128" s="82" t="n">
        <v>407</v>
      </c>
      <c r="H128" s="82" t="n">
        <v>339</v>
      </c>
      <c r="I128" s="82" t="n">
        <v>770</v>
      </c>
      <c r="J128" s="82" t="n">
        <v>2568</v>
      </c>
      <c r="K128" s="83">
        <f>I128/1000</f>
        <v/>
      </c>
      <c r="L128" s="83">
        <f>SUM(E128:G128)/1000</f>
        <v/>
      </c>
      <c r="M128" s="84">
        <f>IF(I128=0,"n.a.",H128/I128)</f>
        <v/>
      </c>
      <c r="N128" s="82">
        <f>IF(J128=0,"n.a.",I128*1000/J128)</f>
        <v/>
      </c>
      <c r="O128" s="82">
        <f>SUM(E128:H128)-I128</f>
        <v/>
      </c>
      <c r="P128" s="82">
        <f>RANK(I128,$I$7:$I$212,0)+COUNTIF($I$7:I128,I128)-1</f>
        <v/>
      </c>
      <c r="Q128" s="10" t="inlineStr">
        <is>
          <t>Health Sciences</t>
        </is>
      </c>
    </row>
    <row r="129" ht="46" customHeight="1">
      <c r="A129" s="10" t="inlineStr">
        <is>
          <t>10000975</t>
        </is>
      </c>
      <c r="B129" s="11" t="inlineStr">
        <is>
          <t>Buckinghamshire New University</t>
        </is>
      </c>
      <c r="C129" s="10" t="inlineStr">
        <is>
          <t>Other HE provider</t>
        </is>
      </c>
      <c r="D129" s="10" t="inlineStr">
        <is>
          <t>2024/25</t>
        </is>
      </c>
      <c r="E129" s="82" t="n">
        <v>253</v>
      </c>
      <c r="F129" s="82" t="n">
        <v>0</v>
      </c>
      <c r="G129" s="82" t="n">
        <v>170</v>
      </c>
      <c r="H129" s="82" t="n">
        <v>275</v>
      </c>
      <c r="I129" s="82" t="n">
        <v>698</v>
      </c>
      <c r="J129" s="82" t="n">
        <v>3633</v>
      </c>
      <c r="K129" s="83">
        <f>I129/1000</f>
        <v/>
      </c>
      <c r="L129" s="83">
        <f>SUM(E129:G129)/1000</f>
        <v/>
      </c>
      <c r="M129" s="84">
        <f>IF(I129=0,"n.a.",H129/I129)</f>
        <v/>
      </c>
      <c r="N129" s="82">
        <f>IF(J129=0,"n.a.",I129*1000/J129)</f>
        <v/>
      </c>
      <c r="O129" s="82">
        <f>SUM(E129:H129)-I129</f>
        <v/>
      </c>
      <c r="P129" s="82">
        <f>RANK(I129,$I$7:$I$212,0)+COUNTIF($I$7:I129,I129)-1</f>
        <v/>
      </c>
      <c r="Q129" s="10" t="inlineStr">
        <is>
          <t>Buckinghamshire New</t>
        </is>
      </c>
    </row>
    <row r="130" ht="46" customHeight="1">
      <c r="A130" s="10" t="inlineStr">
        <is>
          <t>10007825</t>
        </is>
      </c>
      <c r="B130" s="11" t="inlineStr">
        <is>
          <t>Guildhall School of Music and Drama</t>
        </is>
      </c>
      <c r="C130" s="10" t="inlineStr">
        <is>
          <t>Other HE provider</t>
        </is>
      </c>
      <c r="D130" s="10" t="inlineStr">
        <is>
          <t>2024/25</t>
        </is>
      </c>
      <c r="E130" s="82" t="n">
        <v>0</v>
      </c>
      <c r="F130" s="82" t="n">
        <v>0</v>
      </c>
      <c r="G130" s="82" t="n">
        <v>0</v>
      </c>
      <c r="H130" s="82" t="n">
        <v>688</v>
      </c>
      <c r="I130" s="82" t="n">
        <v>688</v>
      </c>
      <c r="J130" s="82" t="n">
        <v>3539</v>
      </c>
      <c r="K130" s="83">
        <f>I130/1000</f>
        <v/>
      </c>
      <c r="L130" s="83">
        <f>SUM(E130:G130)/1000</f>
        <v/>
      </c>
      <c r="M130" s="84">
        <f>IF(I130=0,"n.a.",H130/I130)</f>
        <v/>
      </c>
      <c r="N130" s="82">
        <f>IF(J130=0,"n.a.",I130*1000/J130)</f>
        <v/>
      </c>
      <c r="O130" s="82">
        <f>SUM(E130:H130)-I130</f>
        <v/>
      </c>
      <c r="P130" s="82">
        <f>RANK(I130,$I$7:$I$212,0)+COUNTIF($I$7:I130,I130)-1</f>
        <v/>
      </c>
      <c r="Q130" s="10" t="inlineStr">
        <is>
          <t>Guildhall School of Music and Drama</t>
        </is>
      </c>
    </row>
    <row r="131" ht="46" customHeight="1">
      <c r="A131" s="10" t="inlineStr">
        <is>
          <t>10004775</t>
        </is>
      </c>
      <c r="B131" s="11" t="inlineStr">
        <is>
          <t>Norwich University of the Arts</t>
        </is>
      </c>
      <c r="C131" s="10" t="inlineStr">
        <is>
          <t>Other HE provider</t>
        </is>
      </c>
      <c r="D131" s="10" t="inlineStr">
        <is>
          <t>2024/25</t>
        </is>
      </c>
      <c r="E131" s="82" t="n">
        <v>0</v>
      </c>
      <c r="F131" s="82" t="n">
        <v>0</v>
      </c>
      <c r="G131" s="82" t="n">
        <v>0</v>
      </c>
      <c r="H131" s="82" t="n">
        <v>672</v>
      </c>
      <c r="I131" s="82" t="n">
        <v>672</v>
      </c>
      <c r="J131" s="82" t="n">
        <v>1620</v>
      </c>
      <c r="K131" s="83">
        <f>I131/1000</f>
        <v/>
      </c>
      <c r="L131" s="83">
        <f>SUM(E131:G131)/1000</f>
        <v/>
      </c>
      <c r="M131" s="84">
        <f>IF(I131=0,"n.a.",H131/I131)</f>
        <v/>
      </c>
      <c r="N131" s="82">
        <f>IF(J131=0,"n.a.",I131*1000/J131)</f>
        <v/>
      </c>
      <c r="O131" s="82">
        <f>SUM(E131:H131)-I131</f>
        <v/>
      </c>
      <c r="P131" s="82">
        <f>RANK(I131,$I$7:$I$212,0)+COUNTIF($I$7:I131,I131)-1</f>
        <v/>
      </c>
      <c r="Q131" s="10" t="inlineStr">
        <is>
          <t>Norwich University of the Arts</t>
        </is>
      </c>
    </row>
    <row r="132" ht="46" customHeight="1">
      <c r="A132" s="10" t="inlineStr">
        <is>
          <t>10006840</t>
        </is>
      </c>
      <c r="B132" s="11" t="inlineStr">
        <is>
          <t>The University of Birmingham</t>
        </is>
      </c>
      <c r="C132" s="10" t="inlineStr">
        <is>
          <t>Russell Group</t>
        </is>
      </c>
      <c r="D132" s="10" t="inlineStr">
        <is>
          <t>2024/25</t>
        </is>
      </c>
      <c r="E132" s="82" t="n">
        <v>1</v>
      </c>
      <c r="F132" s="82" t="n">
        <v>1</v>
      </c>
      <c r="G132" s="82" t="n">
        <v>328</v>
      </c>
      <c r="H132" s="82" t="n">
        <v>342</v>
      </c>
      <c r="I132" s="82" t="n">
        <v>672</v>
      </c>
      <c r="J132" s="82" t="n">
        <v>4938</v>
      </c>
      <c r="K132" s="83">
        <f>I132/1000</f>
        <v/>
      </c>
      <c r="L132" s="83">
        <f>SUM(E132:G132)/1000</f>
        <v/>
      </c>
      <c r="M132" s="84">
        <f>IF(I132=0,"n.a.",H132/I132)</f>
        <v/>
      </c>
      <c r="N132" s="82">
        <f>IF(J132=0,"n.a.",I132*1000/J132)</f>
        <v/>
      </c>
      <c r="O132" s="82">
        <f>SUM(E132:H132)-I132</f>
        <v/>
      </c>
      <c r="P132" s="82">
        <f>RANK(I132,$I$7:$I$212,0)+COUNTIF($I$7:I132,I132)-1</f>
        <v/>
      </c>
      <c r="Q132" s="10" t="inlineStr">
        <is>
          <t>Birmingham</t>
        </is>
      </c>
    </row>
    <row r="133" ht="46" customHeight="1">
      <c r="A133" s="10" t="inlineStr">
        <is>
          <t>10007797</t>
        </is>
      </c>
      <c r="B133" s="11" t="inlineStr">
        <is>
          <t>University of London (Institutes and activities)</t>
        </is>
      </c>
      <c r="C133" s="10" t="inlineStr">
        <is>
          <t>Other HE provider</t>
        </is>
      </c>
      <c r="D133" s="10" t="inlineStr">
        <is>
          <t>2024/25</t>
        </is>
      </c>
      <c r="E133" s="82" t="n">
        <v>0</v>
      </c>
      <c r="F133" s="82" t="n">
        <v>145</v>
      </c>
      <c r="G133" s="82" t="n">
        <v>0</v>
      </c>
      <c r="H133" s="82" t="n">
        <v>506</v>
      </c>
      <c r="I133" s="82" t="n">
        <v>651</v>
      </c>
      <c r="J133" s="82" t="n">
        <v>1629</v>
      </c>
      <c r="K133" s="83">
        <f>I133/1000</f>
        <v/>
      </c>
      <c r="L133" s="83">
        <f>SUM(E133:G133)/1000</f>
        <v/>
      </c>
      <c r="M133" s="84">
        <f>IF(I133=0,"n.a.",H133/I133)</f>
        <v/>
      </c>
      <c r="N133" s="82">
        <f>IF(J133=0,"n.a.",I133*1000/J133)</f>
        <v/>
      </c>
      <c r="O133" s="82">
        <f>SUM(E133:H133)-I133</f>
        <v/>
      </c>
      <c r="P133" s="82">
        <f>RANK(I133,$I$7:$I$212,0)+COUNTIF($I$7:I133,I133)-1</f>
        <v/>
      </c>
      <c r="Q133" s="10" t="inlineStr">
        <is>
          <t>London (Institutes and activities)</t>
        </is>
      </c>
    </row>
    <row r="134" ht="46" customHeight="1">
      <c r="A134" s="10" t="inlineStr">
        <is>
          <t>10005553</t>
        </is>
      </c>
      <c r="B134" s="11" t="inlineStr">
        <is>
          <t>Royal Holloway and Bedford New College</t>
        </is>
      </c>
      <c r="C134" s="10" t="inlineStr">
        <is>
          <t>Additional UK sample</t>
        </is>
      </c>
      <c r="D134" s="10" t="inlineStr">
        <is>
          <t>2024/25</t>
        </is>
      </c>
      <c r="E134" s="82" t="n">
        <v>0</v>
      </c>
      <c r="F134" s="82" t="n">
        <v>0</v>
      </c>
      <c r="G134" s="82" t="n">
        <v>439</v>
      </c>
      <c r="H134" s="82" t="n">
        <v>206</v>
      </c>
      <c r="I134" s="82" t="n">
        <v>645</v>
      </c>
      <c r="J134" s="82" t="n">
        <v>1600</v>
      </c>
      <c r="K134" s="83">
        <f>I134/1000</f>
        <v/>
      </c>
      <c r="L134" s="83">
        <f>SUM(E134:G134)/1000</f>
        <v/>
      </c>
      <c r="M134" s="84">
        <f>IF(I134=0,"n.a.",H134/I134)</f>
        <v/>
      </c>
      <c r="N134" s="82">
        <f>IF(J134=0,"n.a.",I134*1000/J134)</f>
        <v/>
      </c>
      <c r="O134" s="82">
        <f>SUM(E134:H134)-I134</f>
        <v/>
      </c>
      <c r="P134" s="82">
        <f>RANK(I134,$I$7:$I$212,0)+COUNTIF($I$7:I134,I134)-1</f>
        <v/>
      </c>
      <c r="Q134" s="10" t="inlineStr">
        <is>
          <t>Royal Holloway</t>
        </is>
      </c>
    </row>
    <row r="135" ht="46" customHeight="1">
      <c r="A135" s="10" t="inlineStr">
        <is>
          <t>10007816</t>
        </is>
      </c>
      <c r="B135" s="11" t="inlineStr">
        <is>
          <t>The Royal Central School of Speech and Drama</t>
        </is>
      </c>
      <c r="C135" s="10" t="inlineStr">
        <is>
          <t>Other HE provider</t>
        </is>
      </c>
      <c r="D135" s="10" t="inlineStr">
        <is>
          <t>2024/25</t>
        </is>
      </c>
      <c r="E135" s="82" t="n">
        <v>0</v>
      </c>
      <c r="F135" s="82" t="n">
        <v>30</v>
      </c>
      <c r="G135" s="82" t="n">
        <v>34</v>
      </c>
      <c r="H135" s="82" t="n">
        <v>551</v>
      </c>
      <c r="I135" s="82" t="n">
        <v>615</v>
      </c>
      <c r="J135" s="82" t="n">
        <v>4072</v>
      </c>
      <c r="K135" s="83">
        <f>I135/1000</f>
        <v/>
      </c>
      <c r="L135" s="83">
        <f>SUM(E135:G135)/1000</f>
        <v/>
      </c>
      <c r="M135" s="84">
        <f>IF(I135=0,"n.a.",H135/I135)</f>
        <v/>
      </c>
      <c r="N135" s="82">
        <f>IF(J135=0,"n.a.",I135*1000/J135)</f>
        <v/>
      </c>
      <c r="O135" s="82">
        <f>SUM(E135:H135)-I135</f>
        <v/>
      </c>
      <c r="P135" s="82">
        <f>RANK(I135,$I$7:$I$212,0)+COUNTIF($I$7:I135,I135)-1</f>
        <v/>
      </c>
      <c r="Q135" s="10" t="inlineStr">
        <is>
          <t>The Royal Central School of Speech and Drama</t>
        </is>
      </c>
    </row>
    <row r="136" ht="46" customHeight="1">
      <c r="A136" s="10" t="inlineStr">
        <is>
          <t>10003956</t>
        </is>
      </c>
      <c r="B136" s="11" t="inlineStr">
        <is>
          <t>Liverpool Hope University</t>
        </is>
      </c>
      <c r="C136" s="10" t="inlineStr">
        <is>
          <t>Other HE provider</t>
        </is>
      </c>
      <c r="D136" s="10" t="inlineStr">
        <is>
          <t>2024/25</t>
        </is>
      </c>
      <c r="E136" s="82" t="n">
        <v>0</v>
      </c>
      <c r="F136" s="82" t="n">
        <v>0</v>
      </c>
      <c r="G136" s="82" t="n">
        <v>523</v>
      </c>
      <c r="H136" s="82" t="n">
        <v>87</v>
      </c>
      <c r="I136" s="82" t="n">
        <v>610</v>
      </c>
      <c r="J136" s="82" t="n">
        <v>2312</v>
      </c>
      <c r="K136" s="83">
        <f>I136/1000</f>
        <v/>
      </c>
      <c r="L136" s="83">
        <f>SUM(E136:G136)/1000</f>
        <v/>
      </c>
      <c r="M136" s="84">
        <f>IF(I136=0,"n.a.",H136/I136)</f>
        <v/>
      </c>
      <c r="N136" s="82">
        <f>IF(J136=0,"n.a.",I136*1000/J136)</f>
        <v/>
      </c>
      <c r="O136" s="82">
        <f>SUM(E136:H136)-I136</f>
        <v/>
      </c>
      <c r="P136" s="82">
        <f>RANK(I136,$I$7:$I$212,0)+COUNTIF($I$7:I136,I136)-1</f>
        <v/>
      </c>
      <c r="Q136" s="10" t="inlineStr">
        <is>
          <t>Liverpool Hope</t>
        </is>
      </c>
    </row>
    <row r="137" ht="46" customHeight="1">
      <c r="A137" s="10" t="inlineStr">
        <is>
          <t>10042570</t>
        </is>
      </c>
      <c r="B137" s="11" t="inlineStr">
        <is>
          <t>Escape Studios</t>
        </is>
      </c>
      <c r="C137" s="10" t="inlineStr">
        <is>
          <t>Other HE provider</t>
        </is>
      </c>
      <c r="D137" s="10" t="inlineStr">
        <is>
          <t>2024/25</t>
        </is>
      </c>
      <c r="E137" s="82" t="n">
        <v>0</v>
      </c>
      <c r="F137" s="82" t="n">
        <v>7</v>
      </c>
      <c r="G137" s="82" t="n">
        <v>29</v>
      </c>
      <c r="H137" s="82" t="n">
        <v>542</v>
      </c>
      <c r="I137" s="82" t="n">
        <v>578</v>
      </c>
      <c r="J137" s="82" t="n">
        <v>3592</v>
      </c>
      <c r="K137" s="83">
        <f>I137/1000</f>
        <v/>
      </c>
      <c r="L137" s="83">
        <f>SUM(E137:G137)/1000</f>
        <v/>
      </c>
      <c r="M137" s="84">
        <f>IF(I137=0,"n.a.",H137/I137)</f>
        <v/>
      </c>
      <c r="N137" s="82">
        <f>IF(J137=0,"n.a.",I137*1000/J137)</f>
        <v/>
      </c>
      <c r="O137" s="82">
        <f>SUM(E137:H137)-I137</f>
        <v/>
      </c>
      <c r="P137" s="82">
        <f>RANK(I137,$I$7:$I$212,0)+COUNTIF($I$7:I137,I137)-1</f>
        <v/>
      </c>
      <c r="Q137" s="10" t="inlineStr">
        <is>
          <t>Escape Studios</t>
        </is>
      </c>
    </row>
    <row r="138" ht="46" customHeight="1">
      <c r="A138" s="10" t="inlineStr">
        <is>
          <t>10035638</t>
        </is>
      </c>
      <c r="B138" s="11" t="inlineStr">
        <is>
          <t>Institute of Contemporary Music Performance</t>
        </is>
      </c>
      <c r="C138" s="10" t="inlineStr">
        <is>
          <t>Other HE provider</t>
        </is>
      </c>
      <c r="D138" s="10" t="inlineStr">
        <is>
          <t>2024/25</t>
        </is>
      </c>
      <c r="E138" s="82" t="n">
        <v>0</v>
      </c>
      <c r="F138" s="82" t="n">
        <v>0</v>
      </c>
      <c r="G138" s="82" t="n">
        <v>0</v>
      </c>
      <c r="H138" s="82" t="n">
        <v>574</v>
      </c>
      <c r="I138" s="82" t="n">
        <v>574</v>
      </c>
      <c r="J138" s="82" t="n">
        <v>450</v>
      </c>
      <c r="K138" s="83">
        <f>I138/1000</f>
        <v/>
      </c>
      <c r="L138" s="83">
        <f>SUM(E138:G138)/1000</f>
        <v/>
      </c>
      <c r="M138" s="84">
        <f>IF(I138=0,"n.a.",H138/I138)</f>
        <v/>
      </c>
      <c r="N138" s="82">
        <f>IF(J138=0,"n.a.",I138*1000/J138)</f>
        <v/>
      </c>
      <c r="O138" s="82">
        <f>SUM(E138:H138)-I138</f>
        <v/>
      </c>
      <c r="P138" s="82">
        <f>RANK(I138,$I$7:$I$212,0)+COUNTIF($I$7:I138,I138)-1</f>
        <v/>
      </c>
      <c r="Q138" s="10" t="inlineStr">
        <is>
          <t>Institute of Contemporary Music Performance</t>
        </is>
      </c>
    </row>
    <row r="139" ht="46" customHeight="1">
      <c r="A139" s="10" t="inlineStr">
        <is>
          <t>10003614</t>
        </is>
      </c>
      <c r="B139" s="11" t="inlineStr">
        <is>
          <t>The University of Winchester</t>
        </is>
      </c>
      <c r="C139" s="10" t="inlineStr">
        <is>
          <t>Other HE provider</t>
        </is>
      </c>
      <c r="D139" s="10" t="inlineStr">
        <is>
          <t>2024/25</t>
        </is>
      </c>
      <c r="E139" s="82" t="n">
        <v>0</v>
      </c>
      <c r="F139" s="82" t="n">
        <v>19</v>
      </c>
      <c r="G139" s="82" t="n">
        <v>469</v>
      </c>
      <c r="H139" s="82" t="n">
        <v>73</v>
      </c>
      <c r="I139" s="82" t="n">
        <v>561</v>
      </c>
      <c r="J139" s="82" t="n">
        <v>3224</v>
      </c>
      <c r="K139" s="83">
        <f>I139/1000</f>
        <v/>
      </c>
      <c r="L139" s="83">
        <f>SUM(E139:G139)/1000</f>
        <v/>
      </c>
      <c r="M139" s="84">
        <f>IF(I139=0,"n.a.",H139/I139)</f>
        <v/>
      </c>
      <c r="N139" s="82">
        <f>IF(J139=0,"n.a.",I139*1000/J139)</f>
        <v/>
      </c>
      <c r="O139" s="82">
        <f>SUM(E139:H139)-I139</f>
        <v/>
      </c>
      <c r="P139" s="82">
        <f>RANK(I139,$I$7:$I$212,0)+COUNTIF($I$7:I139,I139)-1</f>
        <v/>
      </c>
      <c r="Q139" s="10" t="inlineStr">
        <is>
          <t>Winchester</t>
        </is>
      </c>
    </row>
    <row r="140" ht="46" customHeight="1">
      <c r="A140" s="10" t="inlineStr">
        <is>
          <t>10014001</t>
        </is>
      </c>
      <c r="B140" s="11" t="inlineStr">
        <is>
          <t>University of Suffolk</t>
        </is>
      </c>
      <c r="C140" s="10" t="inlineStr">
        <is>
          <t>Other HE provider</t>
        </is>
      </c>
      <c r="D140" s="10" t="inlineStr">
        <is>
          <t>2024/25</t>
        </is>
      </c>
      <c r="E140" s="82" t="n">
        <v>0</v>
      </c>
      <c r="F140" s="82" t="n">
        <v>0</v>
      </c>
      <c r="G140" s="82" t="n">
        <v>527</v>
      </c>
      <c r="H140" s="82" t="n">
        <v>26</v>
      </c>
      <c r="I140" s="82" t="n">
        <v>553</v>
      </c>
      <c r="J140" s="82" t="n">
        <v>1252</v>
      </c>
      <c r="K140" s="83">
        <f>I140/1000</f>
        <v/>
      </c>
      <c r="L140" s="83">
        <f>SUM(E140:G140)/1000</f>
        <v/>
      </c>
      <c r="M140" s="84">
        <f>IF(I140=0,"n.a.",H140/I140)</f>
        <v/>
      </c>
      <c r="N140" s="82">
        <f>IF(J140=0,"n.a.",I140*1000/J140)</f>
        <v/>
      </c>
      <c r="O140" s="82">
        <f>SUM(E140:H140)-I140</f>
        <v/>
      </c>
      <c r="P140" s="82">
        <f>RANK(I140,$I$7:$I$212,0)+COUNTIF($I$7:I140,I140)-1</f>
        <v/>
      </c>
      <c r="Q140" s="10" t="inlineStr">
        <is>
          <t>Suffolk</t>
        </is>
      </c>
    </row>
    <row r="141" ht="46" customHeight="1">
      <c r="A141" s="10" t="inlineStr">
        <is>
          <t>10005561</t>
        </is>
      </c>
      <c r="B141" s="11" t="inlineStr">
        <is>
          <t>Royal Conservatoire of Scotland</t>
        </is>
      </c>
      <c r="C141" s="10" t="inlineStr">
        <is>
          <t>Other HE provider</t>
        </is>
      </c>
      <c r="D141" s="10" t="inlineStr">
        <is>
          <t>2024/25</t>
        </is>
      </c>
      <c r="E141" s="82" t="n">
        <v>0</v>
      </c>
      <c r="F141" s="82" t="n">
        <v>0</v>
      </c>
      <c r="G141" s="82" t="n">
        <v>0</v>
      </c>
      <c r="H141" s="82" t="n">
        <v>547</v>
      </c>
      <c r="I141" s="82" t="n">
        <v>547</v>
      </c>
      <c r="J141" s="82" t="n">
        <v>4450</v>
      </c>
      <c r="K141" s="83">
        <f>I141/1000</f>
        <v/>
      </c>
      <c r="L141" s="83">
        <f>SUM(E141:G141)/1000</f>
        <v/>
      </c>
      <c r="M141" s="84">
        <f>IF(I141=0,"n.a.",H141/I141)</f>
        <v/>
      </c>
      <c r="N141" s="82">
        <f>IF(J141=0,"n.a.",I141*1000/J141)</f>
        <v/>
      </c>
      <c r="O141" s="82">
        <f>SUM(E141:H141)-I141</f>
        <v/>
      </c>
      <c r="P141" s="82">
        <f>RANK(I141,$I$7:$I$212,0)+COUNTIF($I$7:I141,I141)-1</f>
        <v/>
      </c>
      <c r="Q141" s="10" t="inlineStr">
        <is>
          <t>Royal Conservatoire of Scotland</t>
        </is>
      </c>
    </row>
    <row r="142" ht="46" customHeight="1">
      <c r="A142" s="10" t="inlineStr">
        <is>
          <t>10007137</t>
        </is>
      </c>
      <c r="B142" s="11" t="inlineStr">
        <is>
          <t>The University of Chichester</t>
        </is>
      </c>
      <c r="C142" s="10" t="inlineStr">
        <is>
          <t>Other HE provider</t>
        </is>
      </c>
      <c r="D142" s="10" t="inlineStr">
        <is>
          <t>2024/25</t>
        </is>
      </c>
      <c r="E142" s="82" t="n">
        <v>0</v>
      </c>
      <c r="F142" s="82" t="n">
        <v>1</v>
      </c>
      <c r="G142" s="82" t="n">
        <v>445</v>
      </c>
      <c r="H142" s="82" t="n">
        <v>72</v>
      </c>
      <c r="I142" s="82" t="n">
        <v>518</v>
      </c>
      <c r="J142" s="82" t="n">
        <v>1264</v>
      </c>
      <c r="K142" s="83">
        <f>I142/1000</f>
        <v/>
      </c>
      <c r="L142" s="83">
        <f>SUM(E142:G142)/1000</f>
        <v/>
      </c>
      <c r="M142" s="84">
        <f>IF(I142=0,"n.a.",H142/I142)</f>
        <v/>
      </c>
      <c r="N142" s="82">
        <f>IF(J142=0,"n.a.",I142*1000/J142)</f>
        <v/>
      </c>
      <c r="O142" s="82">
        <f>SUM(E142:H142)-I142</f>
        <v/>
      </c>
      <c r="P142" s="82">
        <f>RANK(I142,$I$7:$I$212,0)+COUNTIF($I$7:I142,I142)-1</f>
        <v/>
      </c>
      <c r="Q142" s="10" t="inlineStr">
        <is>
          <t>Chichester</t>
        </is>
      </c>
    </row>
    <row r="143" ht="46" customHeight="1">
      <c r="A143" s="10" t="inlineStr">
        <is>
          <t>10007800</t>
        </is>
      </c>
      <c r="B143" s="11" t="inlineStr">
        <is>
          <t>The University of the West of Scotland</t>
        </is>
      </c>
      <c r="C143" s="10" t="inlineStr">
        <is>
          <t>Other HE provider</t>
        </is>
      </c>
      <c r="D143" s="10" t="inlineStr">
        <is>
          <t>2024/25</t>
        </is>
      </c>
      <c r="E143" s="82" t="n">
        <v>11</v>
      </c>
      <c r="F143" s="82" t="n">
        <v>10</v>
      </c>
      <c r="G143" s="82" t="n">
        <v>445</v>
      </c>
      <c r="H143" s="82" t="n">
        <v>36</v>
      </c>
      <c r="I143" s="82" t="n">
        <v>502</v>
      </c>
      <c r="J143" s="82" t="n">
        <v>1390</v>
      </c>
      <c r="K143" s="83">
        <f>I143/1000</f>
        <v/>
      </c>
      <c r="L143" s="83">
        <f>SUM(E143:G143)/1000</f>
        <v/>
      </c>
      <c r="M143" s="84">
        <f>IF(I143=0,"n.a.",H143/I143)</f>
        <v/>
      </c>
      <c r="N143" s="82">
        <f>IF(J143=0,"n.a.",I143*1000/J143)</f>
        <v/>
      </c>
      <c r="O143" s="82">
        <f>SUM(E143:H143)-I143</f>
        <v/>
      </c>
      <c r="P143" s="82">
        <f>RANK(I143,$I$7:$I$212,0)+COUNTIF($I$7:I143,I143)-1</f>
        <v/>
      </c>
      <c r="Q143" s="10" t="inlineStr">
        <is>
          <t>the West of Scotland</t>
        </is>
      </c>
    </row>
    <row r="144" ht="46" customHeight="1">
      <c r="A144" s="10" t="inlineStr">
        <is>
          <t>10040812</t>
        </is>
      </c>
      <c r="B144" s="11" t="inlineStr">
        <is>
          <t>Harper Adams University</t>
        </is>
      </c>
      <c r="C144" s="10" t="inlineStr">
        <is>
          <t>Other HE provider</t>
        </is>
      </c>
      <c r="D144" s="10" t="inlineStr">
        <is>
          <t>2024/25</t>
        </is>
      </c>
      <c r="E144" s="82" t="n">
        <v>118</v>
      </c>
      <c r="F144" s="82" t="n">
        <v>120</v>
      </c>
      <c r="G144" s="82" t="n">
        <v>160</v>
      </c>
      <c r="H144" s="82" t="n">
        <v>84</v>
      </c>
      <c r="I144" s="82" t="n">
        <v>482</v>
      </c>
      <c r="J144" s="82" t="n">
        <v>5708</v>
      </c>
      <c r="K144" s="83">
        <f>I144/1000</f>
        <v/>
      </c>
      <c r="L144" s="83">
        <f>SUM(E144:G144)/1000</f>
        <v/>
      </c>
      <c r="M144" s="84">
        <f>IF(I144=0,"n.a.",H144/I144)</f>
        <v/>
      </c>
      <c r="N144" s="82">
        <f>IF(J144=0,"n.a.",I144*1000/J144)</f>
        <v/>
      </c>
      <c r="O144" s="82">
        <f>SUM(E144:H144)-I144</f>
        <v/>
      </c>
      <c r="P144" s="82">
        <f>RANK(I144,$I$7:$I$212,0)+COUNTIF($I$7:I144,I144)-1</f>
        <v/>
      </c>
      <c r="Q144" s="10" t="inlineStr">
        <is>
          <t>Harper Adams</t>
        </is>
      </c>
    </row>
    <row r="145" ht="46" customHeight="1">
      <c r="A145" s="10" t="inlineStr">
        <is>
          <t>10007761</t>
        </is>
      </c>
      <c r="B145" s="11" t="inlineStr">
        <is>
          <t>Courtauld Institute of Art</t>
        </is>
      </c>
      <c r="C145" s="10" t="inlineStr">
        <is>
          <t>Other HE provider</t>
        </is>
      </c>
      <c r="D145" s="10" t="inlineStr">
        <is>
          <t>2024/25</t>
        </is>
      </c>
      <c r="E145" s="82" t="n">
        <v>0</v>
      </c>
      <c r="F145" s="82" t="n">
        <v>0</v>
      </c>
      <c r="G145" s="82" t="n">
        <v>0</v>
      </c>
      <c r="H145" s="82" t="n">
        <v>473</v>
      </c>
      <c r="I145" s="82" t="n">
        <v>473</v>
      </c>
      <c r="J145" s="82" t="n">
        <v>3422</v>
      </c>
      <c r="K145" s="83">
        <f>I145/1000</f>
        <v/>
      </c>
      <c r="L145" s="83">
        <f>SUM(E145:G145)/1000</f>
        <v/>
      </c>
      <c r="M145" s="84">
        <f>IF(I145=0,"n.a.",H145/I145)</f>
        <v/>
      </c>
      <c r="N145" s="82">
        <f>IF(J145=0,"n.a.",I145*1000/J145)</f>
        <v/>
      </c>
      <c r="O145" s="82">
        <f>SUM(E145:H145)-I145</f>
        <v/>
      </c>
      <c r="P145" s="82">
        <f>RANK(I145,$I$7:$I$212,0)+COUNTIF($I$7:I145,I145)-1</f>
        <v/>
      </c>
      <c r="Q145" s="10" t="inlineStr">
        <is>
          <t>Courtauld Institute of Art</t>
        </is>
      </c>
    </row>
    <row r="146" ht="46" customHeight="1">
      <c r="A146" s="10" t="inlineStr">
        <is>
          <t>10080811</t>
        </is>
      </c>
      <c r="B146" s="11" t="inlineStr">
        <is>
          <t>Hartpury University</t>
        </is>
      </c>
      <c r="C146" s="10" t="inlineStr">
        <is>
          <t>Other HE provider</t>
        </is>
      </c>
      <c r="D146" s="10" t="inlineStr">
        <is>
          <t>2024/25</t>
        </is>
      </c>
      <c r="E146" s="82" t="n">
        <v>41</v>
      </c>
      <c r="F146" s="82" t="n">
        <v>4</v>
      </c>
      <c r="G146" s="82" t="n">
        <v>5</v>
      </c>
      <c r="H146" s="82" t="n">
        <v>408</v>
      </c>
      <c r="I146" s="82" t="n">
        <v>458</v>
      </c>
      <c r="J146" s="82" t="n">
        <v>2113</v>
      </c>
      <c r="K146" s="83">
        <f>I146/1000</f>
        <v/>
      </c>
      <c r="L146" s="83">
        <f>SUM(E146:G146)/1000</f>
        <v/>
      </c>
      <c r="M146" s="84">
        <f>IF(I146=0,"n.a.",H146/I146)</f>
        <v/>
      </c>
      <c r="N146" s="82">
        <f>IF(J146=0,"n.a.",I146*1000/J146)</f>
        <v/>
      </c>
      <c r="O146" s="82">
        <f>SUM(E146:H146)-I146</f>
        <v/>
      </c>
      <c r="P146" s="82">
        <f>RANK(I146,$I$7:$I$212,0)+COUNTIF($I$7:I146,I146)-1</f>
        <v/>
      </c>
      <c r="Q146" s="10" t="inlineStr">
        <is>
          <t>Hartpury</t>
        </is>
      </c>
    </row>
    <row r="147" ht="46" customHeight="1">
      <c r="A147" s="10" t="inlineStr">
        <is>
          <t>10037449</t>
        </is>
      </c>
      <c r="B147" s="11" t="inlineStr">
        <is>
          <t>University of St Mark and St John</t>
        </is>
      </c>
      <c r="C147" s="10" t="inlineStr">
        <is>
          <t>Other HE provider</t>
        </is>
      </c>
      <c r="D147" s="10" t="inlineStr">
        <is>
          <t>2024/25</t>
        </is>
      </c>
      <c r="E147" s="82" t="n">
        <v>2</v>
      </c>
      <c r="F147" s="82" t="n">
        <v>0</v>
      </c>
      <c r="G147" s="82" t="n">
        <v>383</v>
      </c>
      <c r="H147" s="82" t="n">
        <v>64</v>
      </c>
      <c r="I147" s="82" t="n">
        <v>449</v>
      </c>
      <c r="J147" s="82" t="n">
        <v>1857</v>
      </c>
      <c r="K147" s="83">
        <f>I147/1000</f>
        <v/>
      </c>
      <c r="L147" s="83">
        <f>SUM(E147:G147)/1000</f>
        <v/>
      </c>
      <c r="M147" s="84">
        <f>IF(I147=0,"n.a.",H147/I147)</f>
        <v/>
      </c>
      <c r="N147" s="82">
        <f>IF(J147=0,"n.a.",I147*1000/J147)</f>
        <v/>
      </c>
      <c r="O147" s="82">
        <f>SUM(E147:H147)-I147</f>
        <v/>
      </c>
      <c r="P147" s="82">
        <f>RANK(I147,$I$7:$I$212,0)+COUNTIF($I$7:I147,I147)-1</f>
        <v/>
      </c>
      <c r="Q147" s="10" t="inlineStr">
        <is>
          <t>St Mark and St John</t>
        </is>
      </c>
    </row>
    <row r="148" ht="46" customHeight="1">
      <c r="A148" s="10" t="inlineStr">
        <is>
          <t>10004048</t>
        </is>
      </c>
      <c r="B148" s="11" t="inlineStr">
        <is>
          <t>London Metropolitan University</t>
        </is>
      </c>
      <c r="C148" s="10" t="inlineStr">
        <is>
          <t>Other HE provider</t>
        </is>
      </c>
      <c r="D148" s="10" t="inlineStr">
        <is>
          <t>2024/25</t>
        </is>
      </c>
      <c r="E148" s="82" t="n">
        <v>75</v>
      </c>
      <c r="F148" s="82" t="n">
        <v>0</v>
      </c>
      <c r="G148" s="82" t="n">
        <v>109</v>
      </c>
      <c r="H148" s="82" t="n">
        <v>220</v>
      </c>
      <c r="I148" s="82" t="n">
        <v>404</v>
      </c>
      <c r="J148" s="82" t="n">
        <v>3350</v>
      </c>
      <c r="K148" s="83">
        <f>I148/1000</f>
        <v/>
      </c>
      <c r="L148" s="83">
        <f>SUM(E148:G148)/1000</f>
        <v/>
      </c>
      <c r="M148" s="84">
        <f>IF(I148=0,"n.a.",H148/I148)</f>
        <v/>
      </c>
      <c r="N148" s="82">
        <f>IF(J148=0,"n.a.",I148*1000/J148)</f>
        <v/>
      </c>
      <c r="O148" s="82">
        <f>SUM(E148:H148)-I148</f>
        <v/>
      </c>
      <c r="P148" s="82">
        <f>RANK(I148,$I$7:$I$212,0)+COUNTIF($I$7:I148,I148)-1</f>
        <v/>
      </c>
      <c r="Q148" s="10" t="inlineStr">
        <is>
          <t>London Metropolitan</t>
        </is>
      </c>
    </row>
    <row r="149" ht="46" customHeight="1">
      <c r="A149" s="10" t="inlineStr">
        <is>
          <t>10001444</t>
        </is>
      </c>
      <c r="B149" s="11" t="inlineStr">
        <is>
          <t>National Centre for Circus Arts</t>
        </is>
      </c>
      <c r="C149" s="10" t="inlineStr">
        <is>
          <t>Other HE provider</t>
        </is>
      </c>
      <c r="D149" s="10" t="inlineStr">
        <is>
          <t>2024/25</t>
        </is>
      </c>
      <c r="E149" s="82" t="n">
        <v>5</v>
      </c>
      <c r="F149" s="82" t="n">
        <v>0</v>
      </c>
      <c r="G149" s="82" t="n">
        <v>0</v>
      </c>
      <c r="H149" s="82" t="n">
        <v>394</v>
      </c>
      <c r="I149" s="82" t="n">
        <v>399</v>
      </c>
      <c r="J149" s="82" t="n">
        <v>92</v>
      </c>
      <c r="K149" s="83">
        <f>I149/1000</f>
        <v/>
      </c>
      <c r="L149" s="83">
        <f>SUM(E149:G149)/1000</f>
        <v/>
      </c>
      <c r="M149" s="84">
        <f>IF(I149=0,"n.a.",H149/I149)</f>
        <v/>
      </c>
      <c r="N149" s="82">
        <f>IF(J149=0,"n.a.",I149*1000/J149)</f>
        <v/>
      </c>
      <c r="O149" s="82">
        <f>SUM(E149:H149)-I149</f>
        <v/>
      </c>
      <c r="P149" s="82">
        <f>RANK(I149,$I$7:$I$212,0)+COUNTIF($I$7:I149,I149)-1</f>
        <v/>
      </c>
      <c r="Q149" s="10" t="inlineStr">
        <is>
          <t>National Centre for Circus Arts</t>
        </is>
      </c>
    </row>
    <row r="150" ht="46" customHeight="1">
      <c r="A150" s="10" t="inlineStr">
        <is>
          <t>10067623</t>
        </is>
      </c>
      <c r="B150" s="11" t="inlineStr">
        <is>
          <t>The London Interdisciplinary School Ltd</t>
        </is>
      </c>
      <c r="C150" s="10" t="inlineStr">
        <is>
          <t>Other HE provider</t>
        </is>
      </c>
      <c r="D150" s="10" t="inlineStr">
        <is>
          <t>2024/25</t>
        </is>
      </c>
      <c r="E150" s="82" t="n">
        <v>0</v>
      </c>
      <c r="F150" s="82" t="n">
        <v>187</v>
      </c>
      <c r="G150" s="82" t="n">
        <v>95</v>
      </c>
      <c r="H150" s="82" t="n">
        <v>114</v>
      </c>
      <c r="I150" s="82" t="n">
        <v>396</v>
      </c>
      <c r="J150" s="82" t="n">
        <v>0</v>
      </c>
      <c r="K150" s="83">
        <f>I150/1000</f>
        <v/>
      </c>
      <c r="L150" s="83">
        <f>SUM(E150:G150)/1000</f>
        <v/>
      </c>
      <c r="M150" s="84">
        <f>IF(I150=0,"n.a.",H150/I150)</f>
        <v/>
      </c>
      <c r="N150" s="82">
        <f>IF(J150=0,"n.a.",I150*1000/J150)</f>
        <v/>
      </c>
      <c r="O150" s="82">
        <f>SUM(E150:H150)-I150</f>
        <v/>
      </c>
      <c r="P150" s="82">
        <f>RANK(I150,$I$7:$I$212,0)+COUNTIF($I$7:I150,I150)-1</f>
        <v/>
      </c>
      <c r="Q150" s="10" t="inlineStr">
        <is>
          <t>The London Interdisciplinary School Ltd</t>
        </is>
      </c>
    </row>
    <row r="151" ht="46" customHeight="1">
      <c r="A151" s="10" t="inlineStr">
        <is>
          <t>10003758</t>
        </is>
      </c>
      <c r="B151" s="11" t="inlineStr">
        <is>
          <t>LAMDA Limited</t>
        </is>
      </c>
      <c r="C151" s="10" t="inlineStr">
        <is>
          <t>Other HE provider</t>
        </is>
      </c>
      <c r="D151" s="10" t="inlineStr">
        <is>
          <t>2024/25</t>
        </is>
      </c>
      <c r="E151" s="82" t="n">
        <v>0</v>
      </c>
      <c r="F151" s="82" t="n">
        <v>8</v>
      </c>
      <c r="G151" s="82" t="n">
        <v>0</v>
      </c>
      <c r="H151" s="82" t="n">
        <v>387</v>
      </c>
      <c r="I151" s="82" t="n">
        <v>395</v>
      </c>
      <c r="J151" s="82" t="n">
        <v>2609</v>
      </c>
      <c r="K151" s="83">
        <f>I151/1000</f>
        <v/>
      </c>
      <c r="L151" s="83">
        <f>SUM(E151:G151)/1000</f>
        <v/>
      </c>
      <c r="M151" s="84">
        <f>IF(I151=0,"n.a.",H151/I151)</f>
        <v/>
      </c>
      <c r="N151" s="82">
        <f>IF(J151=0,"n.a.",I151*1000/J151)</f>
        <v/>
      </c>
      <c r="O151" s="82">
        <f>SUM(E151:H151)-I151</f>
        <v/>
      </c>
      <c r="P151" s="82">
        <f>RANK(I151,$I$7:$I$212,0)+COUNTIF($I$7:I151,I151)-1</f>
        <v/>
      </c>
      <c r="Q151" s="10" t="inlineStr">
        <is>
          <t>LAMDA Limited</t>
        </is>
      </c>
    </row>
    <row r="152" ht="46" customHeight="1">
      <c r="A152" s="10" t="inlineStr">
        <is>
          <t>10007843</t>
        </is>
      </c>
      <c r="B152" s="11" t="inlineStr">
        <is>
          <t>St Mary's University, Twickenham</t>
        </is>
      </c>
      <c r="C152" s="10" t="inlineStr">
        <is>
          <t>Other HE provider</t>
        </is>
      </c>
      <c r="D152" s="10" t="inlineStr">
        <is>
          <t>2024/25</t>
        </is>
      </c>
      <c r="E152" s="82" t="n">
        <v>0</v>
      </c>
      <c r="F152" s="82" t="n">
        <v>0</v>
      </c>
      <c r="G152" s="82" t="n">
        <v>0</v>
      </c>
      <c r="H152" s="82" t="n">
        <v>390</v>
      </c>
      <c r="I152" s="82" t="n">
        <v>390</v>
      </c>
      <c r="J152" s="82" t="n">
        <v>5236</v>
      </c>
      <c r="K152" s="83">
        <f>I152/1000</f>
        <v/>
      </c>
      <c r="L152" s="83">
        <f>SUM(E152:G152)/1000</f>
        <v/>
      </c>
      <c r="M152" s="84">
        <f>IF(I152=0,"n.a.",H152/I152)</f>
        <v/>
      </c>
      <c r="N152" s="82">
        <f>IF(J152=0,"n.a.",I152*1000/J152)</f>
        <v/>
      </c>
      <c r="O152" s="82">
        <f>SUM(E152:H152)-I152</f>
        <v/>
      </c>
      <c r="P152" s="82">
        <f>RANK(I152,$I$7:$I$212,0)+COUNTIF($I$7:I152,I152)-1</f>
        <v/>
      </c>
      <c r="Q152" s="10" t="inlineStr">
        <is>
          <t>St Mary's University, Twickenham</t>
        </is>
      </c>
    </row>
    <row r="153" ht="46" customHeight="1">
      <c r="A153" s="10" t="inlineStr">
        <is>
          <t>10036456</t>
        </is>
      </c>
      <c r="B153" s="11" t="inlineStr">
        <is>
          <t>Academy of Live Technology Ltd</t>
        </is>
      </c>
      <c r="C153" s="10" t="inlineStr">
        <is>
          <t>Other HE provider</t>
        </is>
      </c>
      <c r="D153" s="10" t="inlineStr">
        <is>
          <t>2024/25</t>
        </is>
      </c>
      <c r="E153" s="82" t="n">
        <v>306</v>
      </c>
      <c r="F153" s="82" t="n">
        <v>63</v>
      </c>
      <c r="G153" s="82" t="n">
        <v>0</v>
      </c>
      <c r="H153" s="82" t="n">
        <v>0</v>
      </c>
      <c r="I153" s="82" t="n">
        <v>369</v>
      </c>
      <c r="J153" s="82" t="n">
        <v>54</v>
      </c>
      <c r="K153" s="83">
        <f>I153/1000</f>
        <v/>
      </c>
      <c r="L153" s="83">
        <f>SUM(E153:G153)/1000</f>
        <v/>
      </c>
      <c r="M153" s="84">
        <f>IF(I153=0,"n.a.",H153/I153)</f>
        <v/>
      </c>
      <c r="N153" s="82">
        <f>IF(J153=0,"n.a.",I153*1000/J153)</f>
        <v/>
      </c>
      <c r="O153" s="82">
        <f>SUM(E153:H153)-I153</f>
        <v/>
      </c>
      <c r="P153" s="82">
        <f>RANK(I153,$I$7:$I$212,0)+COUNTIF($I$7:I153,I153)-1</f>
        <v/>
      </c>
      <c r="Q153" s="10" t="inlineStr">
        <is>
          <t>Academy of Live Technology Ltd</t>
        </is>
      </c>
    </row>
    <row r="154" ht="46" customHeight="1">
      <c r="A154" s="10" t="inlineStr">
        <is>
          <t>10082828</t>
        </is>
      </c>
      <c r="B154" s="11" t="inlineStr">
        <is>
          <t>College of Legal Practice Limited</t>
        </is>
      </c>
      <c r="C154" s="10" t="inlineStr">
        <is>
          <t>Other HE provider</t>
        </is>
      </c>
      <c r="D154" s="10" t="inlineStr">
        <is>
          <t>2024/25</t>
        </is>
      </c>
      <c r="E154" s="82" t="n">
        <v>67</v>
      </c>
      <c r="F154" s="82" t="n">
        <v>211</v>
      </c>
      <c r="G154" s="82" t="n">
        <v>6</v>
      </c>
      <c r="H154" s="82" t="n">
        <v>3</v>
      </c>
      <c r="I154" s="82" t="n">
        <v>287</v>
      </c>
      <c r="J154" s="82" t="n">
        <v>563</v>
      </c>
      <c r="K154" s="83">
        <f>I154/1000</f>
        <v/>
      </c>
      <c r="L154" s="83">
        <f>SUM(E154:G154)/1000</f>
        <v/>
      </c>
      <c r="M154" s="84">
        <f>IF(I154=0,"n.a.",H154/I154)</f>
        <v/>
      </c>
      <c r="N154" s="82">
        <f>IF(J154=0,"n.a.",I154*1000/J154)</f>
        <v/>
      </c>
      <c r="O154" s="82">
        <f>SUM(E154:H154)-I154</f>
        <v/>
      </c>
      <c r="P154" s="82">
        <f>RANK(I154,$I$7:$I$212,0)+COUNTIF($I$7:I154,I154)-1</f>
        <v/>
      </c>
      <c r="Q154" s="10" t="inlineStr">
        <is>
          <t>College of Legal Practice Limited</t>
        </is>
      </c>
    </row>
    <row r="155" ht="46" customHeight="1">
      <c r="A155" s="10" t="inlineStr">
        <is>
          <t>10005378</t>
        </is>
      </c>
      <c r="B155" s="11" t="inlineStr">
        <is>
          <t>Rambert School</t>
        </is>
      </c>
      <c r="C155" s="10" t="inlineStr">
        <is>
          <t>Other HE provider</t>
        </is>
      </c>
      <c r="D155" s="10" t="inlineStr">
        <is>
          <t>2024/25</t>
        </is>
      </c>
      <c r="E155" s="82" t="n">
        <v>33</v>
      </c>
      <c r="F155" s="82" t="n">
        <v>0</v>
      </c>
      <c r="G155" s="82" t="n">
        <v>0</v>
      </c>
      <c r="H155" s="82" t="n">
        <v>247</v>
      </c>
      <c r="I155" s="82" t="n">
        <v>280</v>
      </c>
      <c r="J155" s="82" t="n">
        <v>0</v>
      </c>
      <c r="K155" s="83">
        <f>I155/1000</f>
        <v/>
      </c>
      <c r="L155" s="83">
        <f>SUM(E155:G155)/1000</f>
        <v/>
      </c>
      <c r="M155" s="84">
        <f>IF(I155=0,"n.a.",H155/I155)</f>
        <v/>
      </c>
      <c r="N155" s="82">
        <f>IF(J155=0,"n.a.",I155*1000/J155)</f>
        <v/>
      </c>
      <c r="O155" s="82">
        <f>SUM(E155:H155)-I155</f>
        <v/>
      </c>
      <c r="P155" s="82">
        <f>RANK(I155,$I$7:$I$212,0)+COUNTIF($I$7:I155,I155)-1</f>
        <v/>
      </c>
      <c r="Q155" s="10" t="inlineStr">
        <is>
          <t>Rambert School</t>
        </is>
      </c>
    </row>
    <row r="156" ht="46" customHeight="1">
      <c r="A156" s="10" t="inlineStr">
        <is>
          <t>10005700</t>
        </is>
      </c>
      <c r="B156" s="11" t="inlineStr">
        <is>
          <t>SRUC</t>
        </is>
      </c>
      <c r="C156" s="10" t="inlineStr">
        <is>
          <t>Other HE provider</t>
        </is>
      </c>
      <c r="D156" s="10" t="inlineStr">
        <is>
          <t>2024/25</t>
        </is>
      </c>
      <c r="E156" s="82" t="n">
        <v>8</v>
      </c>
      <c r="F156" s="82" t="n">
        <v>1</v>
      </c>
      <c r="G156" s="82" t="n">
        <v>0</v>
      </c>
      <c r="H156" s="82" t="n">
        <v>268</v>
      </c>
      <c r="I156" s="82" t="n">
        <v>277</v>
      </c>
      <c r="J156" s="82" t="n">
        <v>0</v>
      </c>
      <c r="K156" s="83">
        <f>I156/1000</f>
        <v/>
      </c>
      <c r="L156" s="83">
        <f>SUM(E156:G156)/1000</f>
        <v/>
      </c>
      <c r="M156" s="84">
        <f>IF(I156=0,"n.a.",H156/I156)</f>
        <v/>
      </c>
      <c r="N156" s="82">
        <f>IF(J156=0,"n.a.",I156*1000/J156)</f>
        <v/>
      </c>
      <c r="O156" s="82">
        <f>SUM(E156:H156)-I156</f>
        <v/>
      </c>
      <c r="P156" s="82">
        <f>RANK(I156,$I$7:$I$212,0)+COUNTIF($I$7:I156,I156)-1</f>
        <v/>
      </c>
      <c r="Q156" s="10" t="inlineStr">
        <is>
          <t>SRUC</t>
        </is>
      </c>
    </row>
    <row r="157" ht="46" customHeight="1">
      <c r="A157" s="10" t="inlineStr">
        <is>
          <t>10000571</t>
        </is>
      </c>
      <c r="B157" s="11" t="inlineStr">
        <is>
          <t>Bath Spa University</t>
        </is>
      </c>
      <c r="C157" s="10" t="inlineStr">
        <is>
          <t>Other HE provider</t>
        </is>
      </c>
      <c r="D157" s="10" t="inlineStr">
        <is>
          <t>2024/25</t>
        </is>
      </c>
      <c r="E157" s="82" t="n">
        <v>182</v>
      </c>
      <c r="F157" s="82" t="n">
        <v>0</v>
      </c>
      <c r="G157" s="82" t="n">
        <v>0</v>
      </c>
      <c r="H157" s="82" t="n">
        <v>87</v>
      </c>
      <c r="I157" s="82" t="n">
        <v>269</v>
      </c>
      <c r="J157" s="82" t="n">
        <v>36651</v>
      </c>
      <c r="K157" s="83">
        <f>I157/1000</f>
        <v/>
      </c>
      <c r="L157" s="83">
        <f>SUM(E157:G157)/1000</f>
        <v/>
      </c>
      <c r="M157" s="84">
        <f>IF(I157=0,"n.a.",H157/I157)</f>
        <v/>
      </c>
      <c r="N157" s="82">
        <f>IF(J157=0,"n.a.",I157*1000/J157)</f>
        <v/>
      </c>
      <c r="O157" s="82">
        <f>SUM(E157:H157)-I157</f>
        <v/>
      </c>
      <c r="P157" s="82">
        <f>RANK(I157,$I$7:$I$212,0)+COUNTIF($I$7:I157,I157)-1</f>
        <v/>
      </c>
      <c r="Q157" s="10" t="inlineStr">
        <is>
          <t>Bath Spa</t>
        </is>
      </c>
    </row>
    <row r="158" ht="46" customHeight="1">
      <c r="A158" s="10" t="inlineStr">
        <is>
          <t>10008017</t>
        </is>
      </c>
      <c r="B158" s="11" t="inlineStr">
        <is>
          <t>Trinity Laban Conservatoire of Music and Dance</t>
        </is>
      </c>
      <c r="C158" s="10" t="inlineStr">
        <is>
          <t>Other HE provider</t>
        </is>
      </c>
      <c r="D158" s="10" t="inlineStr">
        <is>
          <t>2024/25</t>
        </is>
      </c>
      <c r="E158" s="82" t="n">
        <v>0</v>
      </c>
      <c r="F158" s="82" t="n">
        <v>0</v>
      </c>
      <c r="G158" s="82" t="n">
        <v>0</v>
      </c>
      <c r="H158" s="82" t="n">
        <v>251</v>
      </c>
      <c r="I158" s="82" t="n">
        <v>251</v>
      </c>
      <c r="J158" s="82" t="n">
        <v>11880</v>
      </c>
      <c r="K158" s="83">
        <f>I158/1000</f>
        <v/>
      </c>
      <c r="L158" s="83">
        <f>SUM(E158:G158)/1000</f>
        <v/>
      </c>
      <c r="M158" s="84">
        <f>IF(I158=0,"n.a.",H158/I158)</f>
        <v/>
      </c>
      <c r="N158" s="82">
        <f>IF(J158=0,"n.a.",I158*1000/J158)</f>
        <v/>
      </c>
      <c r="O158" s="82">
        <f>SUM(E158:H158)-I158</f>
        <v/>
      </c>
      <c r="P158" s="82">
        <f>RANK(I158,$I$7:$I$212,0)+COUNTIF($I$7:I158,I158)-1</f>
        <v/>
      </c>
      <c r="Q158" s="10" t="inlineStr">
        <is>
          <t>Trinity Laban Conservatoire of Music and Dance</t>
        </is>
      </c>
    </row>
    <row r="159" ht="46" customHeight="1">
      <c r="A159" s="10" t="inlineStr">
        <is>
          <t>10007713</t>
        </is>
      </c>
      <c r="B159" s="11" t="inlineStr">
        <is>
          <t>York St John University</t>
        </is>
      </c>
      <c r="C159" s="10" t="inlineStr">
        <is>
          <t>Other HE provider</t>
        </is>
      </c>
      <c r="D159" s="10" t="inlineStr">
        <is>
          <t>2024/25</t>
        </is>
      </c>
      <c r="E159" s="82" t="n">
        <v>0</v>
      </c>
      <c r="F159" s="82" t="n">
        <v>0</v>
      </c>
      <c r="G159" s="82" t="n">
        <v>159</v>
      </c>
      <c r="H159" s="82" t="n">
        <v>61</v>
      </c>
      <c r="I159" s="82" t="n">
        <v>220</v>
      </c>
      <c r="J159" s="82" t="n">
        <v>1369</v>
      </c>
      <c r="K159" s="83">
        <f>I159/1000</f>
        <v/>
      </c>
      <c r="L159" s="83">
        <f>SUM(E159:G159)/1000</f>
        <v/>
      </c>
      <c r="M159" s="84">
        <f>IF(I159=0,"n.a.",H159/I159)</f>
        <v/>
      </c>
      <c r="N159" s="82">
        <f>IF(J159=0,"n.a.",I159*1000/J159)</f>
        <v/>
      </c>
      <c r="O159" s="82">
        <f>SUM(E159:H159)-I159</f>
        <v/>
      </c>
      <c r="P159" s="82">
        <f>RANK(I159,$I$7:$I$212,0)+COUNTIF($I$7:I159,I159)-1</f>
        <v/>
      </c>
      <c r="Q159" s="10" t="inlineStr">
        <is>
          <t>York St John</t>
        </is>
      </c>
    </row>
    <row r="160" ht="46" customHeight="1">
      <c r="A160" s="10" t="inlineStr">
        <is>
          <t>10004036</t>
        </is>
      </c>
      <c r="B160" s="11" t="inlineStr">
        <is>
          <t>London Film School Limited</t>
        </is>
      </c>
      <c r="C160" s="10" t="inlineStr">
        <is>
          <t>Other HE provider</t>
        </is>
      </c>
      <c r="D160" s="10" t="inlineStr">
        <is>
          <t>2024/25</t>
        </is>
      </c>
      <c r="E160" s="82" t="n">
        <v>0</v>
      </c>
      <c r="F160" s="82" t="n">
        <v>0</v>
      </c>
      <c r="G160" s="82" t="n">
        <v>0</v>
      </c>
      <c r="H160" s="82" t="n">
        <v>217</v>
      </c>
      <c r="I160" s="82" t="n">
        <v>217</v>
      </c>
      <c r="J160" s="82" t="n">
        <v>1057</v>
      </c>
      <c r="K160" s="83">
        <f>I160/1000</f>
        <v/>
      </c>
      <c r="L160" s="83">
        <f>SUM(E160:G160)/1000</f>
        <v/>
      </c>
      <c r="M160" s="84">
        <f>IF(I160=0,"n.a.",H160/I160)</f>
        <v/>
      </c>
      <c r="N160" s="82">
        <f>IF(J160=0,"n.a.",I160*1000/J160)</f>
        <v/>
      </c>
      <c r="O160" s="82">
        <f>SUM(E160:H160)-I160</f>
        <v/>
      </c>
      <c r="P160" s="82">
        <f>RANK(I160,$I$7:$I$212,0)+COUNTIF($I$7:I160,I160)-1</f>
        <v/>
      </c>
      <c r="Q160" s="10" t="inlineStr">
        <is>
          <t>London Film School Limited</t>
        </is>
      </c>
    </row>
    <row r="161" ht="46" customHeight="1">
      <c r="A161" s="10" t="inlineStr">
        <is>
          <t>10002681</t>
        </is>
      </c>
      <c r="B161" s="11" t="inlineStr">
        <is>
          <t>Glasgow School of Art</t>
        </is>
      </c>
      <c r="C161" s="10" t="inlineStr">
        <is>
          <t>Other HE provider</t>
        </is>
      </c>
      <c r="D161" s="10" t="inlineStr">
        <is>
          <t>2024/25</t>
        </is>
      </c>
      <c r="E161" s="82" t="n">
        <v>0</v>
      </c>
      <c r="F161" s="82" t="n">
        <v>0</v>
      </c>
      <c r="G161" s="82" t="n">
        <v>0</v>
      </c>
      <c r="H161" s="82" t="n">
        <v>215</v>
      </c>
      <c r="I161" s="82" t="n">
        <v>215</v>
      </c>
      <c r="J161" s="82" t="n">
        <v>2423</v>
      </c>
      <c r="K161" s="83">
        <f>I161/1000</f>
        <v/>
      </c>
      <c r="L161" s="83">
        <f>SUM(E161:G161)/1000</f>
        <v/>
      </c>
      <c r="M161" s="84">
        <f>IF(I161=0,"n.a.",H161/I161)</f>
        <v/>
      </c>
      <c r="N161" s="82">
        <f>IF(J161=0,"n.a.",I161*1000/J161)</f>
        <v/>
      </c>
      <c r="O161" s="82">
        <f>SUM(E161:H161)-I161</f>
        <v/>
      </c>
      <c r="P161" s="82">
        <f>RANK(I161,$I$7:$I$212,0)+COUNTIF($I$7:I161,I161)-1</f>
        <v/>
      </c>
      <c r="Q161" s="10" t="inlineStr">
        <is>
          <t>Glasgow School of Art</t>
        </is>
      </c>
    </row>
    <row r="162" ht="46" customHeight="1">
      <c r="A162" s="10" t="inlineStr">
        <is>
          <t>10003863</t>
        </is>
      </c>
      <c r="B162" s="11" t="inlineStr">
        <is>
          <t>Leeds Trinity University</t>
        </is>
      </c>
      <c r="C162" s="10" t="inlineStr">
        <is>
          <t>Other HE provider</t>
        </is>
      </c>
      <c r="D162" s="10" t="inlineStr">
        <is>
          <t>2024/25</t>
        </is>
      </c>
      <c r="E162" s="82" t="n">
        <v>2</v>
      </c>
      <c r="F162" s="82" t="n">
        <v>0</v>
      </c>
      <c r="G162" s="82" t="n">
        <v>131</v>
      </c>
      <c r="H162" s="82" t="n">
        <v>61</v>
      </c>
      <c r="I162" s="82" t="n">
        <v>194</v>
      </c>
      <c r="J162" s="82" t="n">
        <v>2492</v>
      </c>
      <c r="K162" s="83">
        <f>I162/1000</f>
        <v/>
      </c>
      <c r="L162" s="83">
        <f>SUM(E162:G162)/1000</f>
        <v/>
      </c>
      <c r="M162" s="84">
        <f>IF(I162=0,"n.a.",H162/I162)</f>
        <v/>
      </c>
      <c r="N162" s="82">
        <f>IF(J162=0,"n.a.",I162*1000/J162)</f>
        <v/>
      </c>
      <c r="O162" s="82">
        <f>SUM(E162:H162)-I162</f>
        <v/>
      </c>
      <c r="P162" s="82">
        <f>RANK(I162,$I$7:$I$212,0)+COUNTIF($I$7:I162,I162)-1</f>
        <v/>
      </c>
      <c r="Q162" s="10" t="inlineStr">
        <is>
          <t>Leeds Trinity</t>
        </is>
      </c>
    </row>
    <row r="163" ht="46" customHeight="1">
      <c r="A163" s="10" t="inlineStr">
        <is>
          <t>10007150</t>
        </is>
      </c>
      <c r="B163" s="11" t="inlineStr">
        <is>
          <t>The University of Kent</t>
        </is>
      </c>
      <c r="C163" s="10" t="inlineStr">
        <is>
          <t>Additional UK sample</t>
        </is>
      </c>
      <c r="D163" s="10" t="inlineStr">
        <is>
          <t>2024/25</t>
        </is>
      </c>
      <c r="E163" s="82" t="n">
        <v>10</v>
      </c>
      <c r="F163" s="82" t="n">
        <v>1</v>
      </c>
      <c r="G163" s="82" t="n">
        <v>34</v>
      </c>
      <c r="H163" s="82" t="n">
        <v>143</v>
      </c>
      <c r="I163" s="82" t="n">
        <v>188</v>
      </c>
      <c r="J163" s="82" t="n">
        <v>2950</v>
      </c>
      <c r="K163" s="83">
        <f>I163/1000</f>
        <v/>
      </c>
      <c r="L163" s="83">
        <f>SUM(E163:G163)/1000</f>
        <v/>
      </c>
      <c r="M163" s="84">
        <f>IF(I163=0,"n.a.",H163/I163)</f>
        <v/>
      </c>
      <c r="N163" s="82">
        <f>IF(J163=0,"n.a.",I163*1000/J163)</f>
        <v/>
      </c>
      <c r="O163" s="82">
        <f>SUM(E163:H163)-I163</f>
        <v/>
      </c>
      <c r="P163" s="82">
        <f>RANK(I163,$I$7:$I$212,0)+COUNTIF($I$7:I163,I163)-1</f>
        <v/>
      </c>
      <c r="Q163" s="10" t="inlineStr">
        <is>
          <t>Kent</t>
        </is>
      </c>
    </row>
    <row r="164" ht="46" customHeight="1">
      <c r="A164" s="10" t="inlineStr">
        <is>
          <t>10067406</t>
        </is>
      </c>
      <c r="B164" s="11" t="inlineStr">
        <is>
          <t>New Model Institute for Technology and Engineering (NMITE)</t>
        </is>
      </c>
      <c r="C164" s="10" t="inlineStr">
        <is>
          <t>Other HE provider</t>
        </is>
      </c>
      <c r="D164" s="10" t="inlineStr">
        <is>
          <t>2024/25</t>
        </is>
      </c>
      <c r="E164" s="82" t="n">
        <v>123</v>
      </c>
      <c r="F164" s="82" t="n">
        <v>1</v>
      </c>
      <c r="G164" s="82" t="n">
        <v>50</v>
      </c>
      <c r="H164" s="82" t="n">
        <v>0</v>
      </c>
      <c r="I164" s="82" t="n">
        <v>174</v>
      </c>
      <c r="J164" s="82" t="n">
        <v>1190</v>
      </c>
      <c r="K164" s="83">
        <f>I164/1000</f>
        <v/>
      </c>
      <c r="L164" s="83">
        <f>SUM(E164:G164)/1000</f>
        <v/>
      </c>
      <c r="M164" s="84">
        <f>IF(I164=0,"n.a.",H164/I164)</f>
        <v/>
      </c>
      <c r="N164" s="82">
        <f>IF(J164=0,"n.a.",I164*1000/J164)</f>
        <v/>
      </c>
      <c r="O164" s="82">
        <f>SUM(E164:H164)-I164</f>
        <v/>
      </c>
      <c r="P164" s="82">
        <f>RANK(I164,$I$7:$I$212,0)+COUNTIF($I$7:I164,I164)-1</f>
        <v/>
      </c>
      <c r="Q164" s="10" t="inlineStr">
        <is>
          <t>New Model Institute for Technology and Engineering (NMITE)</t>
        </is>
      </c>
    </row>
    <row r="165" ht="46" customHeight="1">
      <c r="A165" s="10" t="inlineStr">
        <is>
          <t>10001264</t>
        </is>
      </c>
      <c r="B165" s="11" t="inlineStr">
        <is>
          <t>Central School of Ballet</t>
        </is>
      </c>
      <c r="C165" s="10" t="inlineStr">
        <is>
          <t>Other HE provider</t>
        </is>
      </c>
      <c r="D165" s="10" t="inlineStr">
        <is>
          <t>2024/25</t>
        </is>
      </c>
      <c r="E165" s="82" t="n">
        <v>0</v>
      </c>
      <c r="F165" s="82" t="n">
        <v>0</v>
      </c>
      <c r="G165" s="82" t="n">
        <v>0</v>
      </c>
      <c r="H165" s="82" t="n">
        <v>169</v>
      </c>
      <c r="I165" s="82" t="n">
        <v>169</v>
      </c>
      <c r="J165" s="82" t="n">
        <v>2834</v>
      </c>
      <c r="K165" s="83">
        <f>I165/1000</f>
        <v/>
      </c>
      <c r="L165" s="83">
        <f>SUM(E165:G165)/1000</f>
        <v/>
      </c>
      <c r="M165" s="84">
        <f>IF(I165=0,"n.a.",H165/I165)</f>
        <v/>
      </c>
      <c r="N165" s="82">
        <f>IF(J165=0,"n.a.",I165*1000/J165)</f>
        <v/>
      </c>
      <c r="O165" s="82">
        <f>SUM(E165:H165)-I165</f>
        <v/>
      </c>
      <c r="P165" s="82">
        <f>RANK(I165,$I$7:$I$212,0)+COUNTIF($I$7:I165,I165)-1</f>
        <v/>
      </c>
      <c r="Q165" s="10" t="inlineStr">
        <is>
          <t>Central School of Ballet</t>
        </is>
      </c>
    </row>
    <row r="166" ht="46" customHeight="1">
      <c r="A166" s="10" t="inlineStr">
        <is>
          <t>10003958</t>
        </is>
      </c>
      <c r="B166" s="11" t="inlineStr">
        <is>
          <t>Liverpool School of Tropical Medicine</t>
        </is>
      </c>
      <c r="C166" s="10" t="inlineStr">
        <is>
          <t>Other HE provider</t>
        </is>
      </c>
      <c r="D166" s="10" t="inlineStr">
        <is>
          <t>2024/25</t>
        </is>
      </c>
      <c r="E166" s="82" t="n">
        <v>2</v>
      </c>
      <c r="F166" s="82" t="n">
        <v>0</v>
      </c>
      <c r="G166" s="82" t="n">
        <v>97</v>
      </c>
      <c r="H166" s="82" t="n">
        <v>55</v>
      </c>
      <c r="I166" s="82" t="n">
        <v>154</v>
      </c>
      <c r="J166" s="82" t="n">
        <v>5638</v>
      </c>
      <c r="K166" s="83">
        <f>I166/1000</f>
        <v/>
      </c>
      <c r="L166" s="83">
        <f>SUM(E166:G166)/1000</f>
        <v/>
      </c>
      <c r="M166" s="84">
        <f>IF(I166=0,"n.a.",H166/I166)</f>
        <v/>
      </c>
      <c r="N166" s="82">
        <f>IF(J166=0,"n.a.",I166*1000/J166)</f>
        <v/>
      </c>
      <c r="O166" s="82">
        <f>SUM(E166:H166)-I166</f>
        <v/>
      </c>
      <c r="P166" s="82">
        <f>RANK(I166,$I$7:$I$212,0)+COUNTIF($I$7:I166,I166)-1</f>
        <v/>
      </c>
      <c r="Q166" s="10" t="inlineStr">
        <is>
          <t>Liverpool School of Tropical Medicine</t>
        </is>
      </c>
    </row>
    <row r="167" ht="46" customHeight="1">
      <c r="A167" s="10" t="inlineStr">
        <is>
          <t>10008173</t>
        </is>
      </c>
      <c r="B167" s="11" t="inlineStr">
        <is>
          <t>University of the Built Environment</t>
        </is>
      </c>
      <c r="C167" s="10" t="inlineStr">
        <is>
          <t>Other HE provider</t>
        </is>
      </c>
      <c r="D167" s="10" t="inlineStr">
        <is>
          <t>2024/25</t>
        </is>
      </c>
      <c r="E167" s="82" t="n">
        <v>34</v>
      </c>
      <c r="F167" s="82" t="n">
        <v>57</v>
      </c>
      <c r="G167" s="82" t="n">
        <v>31</v>
      </c>
      <c r="H167" s="82" t="n">
        <v>10</v>
      </c>
      <c r="I167" s="82" t="n">
        <v>132</v>
      </c>
      <c r="J167" s="82" t="n">
        <v>1063</v>
      </c>
      <c r="K167" s="83">
        <f>I167/1000</f>
        <v/>
      </c>
      <c r="L167" s="83">
        <f>SUM(E167:G167)/1000</f>
        <v/>
      </c>
      <c r="M167" s="84">
        <f>IF(I167=0,"n.a.",H167/I167)</f>
        <v/>
      </c>
      <c r="N167" s="82">
        <f>IF(J167=0,"n.a.",I167*1000/J167)</f>
        <v/>
      </c>
      <c r="O167" s="82">
        <f>SUM(E167:H167)-I167</f>
        <v/>
      </c>
      <c r="P167" s="82">
        <f>RANK(I167,$I$7:$I$212,0)+COUNTIF($I$7:I167,I167)-1</f>
        <v/>
      </c>
      <c r="Q167" s="10" t="inlineStr">
        <is>
          <t>the Built Environment</t>
        </is>
      </c>
    </row>
    <row r="168" ht="46" customHeight="1">
      <c r="A168" s="10" t="inlineStr">
        <is>
          <t>10021682</t>
        </is>
      </c>
      <c r="B168" s="11" t="inlineStr">
        <is>
          <t>Kaplan Open Learning (Essex) Limited</t>
        </is>
      </c>
      <c r="C168" s="10" t="inlineStr">
        <is>
          <t>Other HE provider</t>
        </is>
      </c>
      <c r="D168" s="10" t="inlineStr">
        <is>
          <t>2024/25</t>
        </is>
      </c>
      <c r="E168" s="82" t="n">
        <v>0</v>
      </c>
      <c r="F168" s="82" t="n">
        <v>0</v>
      </c>
      <c r="G168" s="82" t="n">
        <v>0</v>
      </c>
      <c r="H168" s="82" t="n">
        <v>127</v>
      </c>
      <c r="I168" s="82" t="n">
        <v>127</v>
      </c>
      <c r="J168" s="82" t="n">
        <v>1281</v>
      </c>
      <c r="K168" s="83">
        <f>I168/1000</f>
        <v/>
      </c>
      <c r="L168" s="83">
        <f>SUM(E168:G168)/1000</f>
        <v/>
      </c>
      <c r="M168" s="84">
        <f>IF(I168=0,"n.a.",H168/I168)</f>
        <v/>
      </c>
      <c r="N168" s="82">
        <f>IF(J168=0,"n.a.",I168*1000/J168)</f>
        <v/>
      </c>
      <c r="O168" s="82">
        <f>SUM(E168:H168)-I168</f>
        <v/>
      </c>
      <c r="P168" s="82">
        <f>RANK(I168,$I$7:$I$212,0)+COUNTIF($I$7:I168,I168)-1</f>
        <v/>
      </c>
      <c r="Q168" s="10" t="inlineStr">
        <is>
          <t>Kaplan Open Learning (Essex) Limited</t>
        </is>
      </c>
    </row>
    <row r="169" ht="46" customHeight="1">
      <c r="A169" s="10" t="inlineStr">
        <is>
          <t>10008010</t>
        </is>
      </c>
      <c r="B169" s="11" t="inlineStr">
        <is>
          <t>Stranmillis University College</t>
        </is>
      </c>
      <c r="C169" s="10" t="inlineStr">
        <is>
          <t>Other HE provider</t>
        </is>
      </c>
      <c r="D169" s="10" t="inlineStr">
        <is>
          <t>2024/25</t>
        </is>
      </c>
      <c r="E169" s="82" t="n">
        <v>0</v>
      </c>
      <c r="F169" s="82" t="n">
        <v>0</v>
      </c>
      <c r="G169" s="82" t="n">
        <v>90</v>
      </c>
      <c r="H169" s="82" t="n">
        <v>34</v>
      </c>
      <c r="I169" s="82" t="n">
        <v>124</v>
      </c>
      <c r="J169" s="82" t="n">
        <v>0</v>
      </c>
      <c r="K169" s="83">
        <f>I169/1000</f>
        <v/>
      </c>
      <c r="L169" s="83">
        <f>SUM(E169:G169)/1000</f>
        <v/>
      </c>
      <c r="M169" s="84">
        <f>IF(I169=0,"n.a.",H169/I169)</f>
        <v/>
      </c>
      <c r="N169" s="82">
        <f>IF(J169=0,"n.a.",I169*1000/J169)</f>
        <v/>
      </c>
      <c r="O169" s="82">
        <f>SUM(E169:H169)-I169</f>
        <v/>
      </c>
      <c r="P169" s="82">
        <f>RANK(I169,$I$7:$I$212,0)+COUNTIF($I$7:I169,I169)-1</f>
        <v/>
      </c>
      <c r="Q169" s="10" t="inlineStr">
        <is>
          <t>Stranmillis University College</t>
        </is>
      </c>
    </row>
    <row r="170" ht="46" customHeight="1">
      <c r="A170" s="10" t="inlineStr">
        <is>
          <t>10003324</t>
        </is>
      </c>
      <c r="B170" s="11" t="inlineStr">
        <is>
          <t>The Institute of Cancer Research</t>
        </is>
      </c>
      <c r="C170" s="10" t="inlineStr">
        <is>
          <t>Other HE provider</t>
        </is>
      </c>
      <c r="D170" s="10" t="inlineStr">
        <is>
          <t>2024/25</t>
        </is>
      </c>
      <c r="E170" s="82" t="n">
        <v>5</v>
      </c>
      <c r="F170" s="82" t="n">
        <v>6</v>
      </c>
      <c r="G170" s="82" t="n">
        <v>64</v>
      </c>
      <c r="H170" s="82" t="n">
        <v>49</v>
      </c>
      <c r="I170" s="82" t="n">
        <v>124</v>
      </c>
      <c r="J170" s="82" t="n">
        <v>1509</v>
      </c>
      <c r="K170" s="83">
        <f>I170/1000</f>
        <v/>
      </c>
      <c r="L170" s="83">
        <f>SUM(E170:G170)/1000</f>
        <v/>
      </c>
      <c r="M170" s="84">
        <f>IF(I170=0,"n.a.",H170/I170)</f>
        <v/>
      </c>
      <c r="N170" s="82">
        <f>IF(J170=0,"n.a.",I170*1000/J170)</f>
        <v/>
      </c>
      <c r="O170" s="82">
        <f>SUM(E170:H170)-I170</f>
        <v/>
      </c>
      <c r="P170" s="82">
        <f>RANK(I170,$I$7:$I$212,0)+COUNTIF($I$7:I170,I170)-1</f>
        <v/>
      </c>
      <c r="Q170" s="10" t="inlineStr">
        <is>
          <t>The Institute of Cancer Research</t>
        </is>
      </c>
    </row>
    <row r="171" ht="46" customHeight="1">
      <c r="A171" s="10" t="inlineStr">
        <is>
          <t>10005545</t>
        </is>
      </c>
      <c r="B171" s="11" t="inlineStr">
        <is>
          <t>Royal Agricultural University</t>
        </is>
      </c>
      <c r="C171" s="10" t="inlineStr">
        <is>
          <t>Other HE provider</t>
        </is>
      </c>
      <c r="D171" s="10" t="inlineStr">
        <is>
          <t>2024/25</t>
        </is>
      </c>
      <c r="E171" s="82" t="n">
        <v>5</v>
      </c>
      <c r="F171" s="82" t="n">
        <v>64</v>
      </c>
      <c r="G171" s="82" t="n">
        <v>22</v>
      </c>
      <c r="H171" s="82" t="n">
        <v>3</v>
      </c>
      <c r="I171" s="82" t="n">
        <v>94</v>
      </c>
      <c r="J171" s="82" t="n">
        <v>445</v>
      </c>
      <c r="K171" s="83">
        <f>I171/1000</f>
        <v/>
      </c>
      <c r="L171" s="83">
        <f>SUM(E171:G171)/1000</f>
        <v/>
      </c>
      <c r="M171" s="84">
        <f>IF(I171=0,"n.a.",H171/I171)</f>
        <v/>
      </c>
      <c r="N171" s="82">
        <f>IF(J171=0,"n.a.",I171*1000/J171)</f>
        <v/>
      </c>
      <c r="O171" s="82">
        <f>SUM(E171:H171)-I171</f>
        <v/>
      </c>
      <c r="P171" s="82">
        <f>RANK(I171,$I$7:$I$212,0)+COUNTIF($I$7:I171,I171)-1</f>
        <v/>
      </c>
      <c r="Q171" s="10" t="inlineStr">
        <is>
          <t>Royal Agricultural</t>
        </is>
      </c>
    </row>
    <row r="172" ht="46" customHeight="1">
      <c r="A172" s="10" t="inlineStr">
        <is>
          <t>10032295</t>
        </is>
      </c>
      <c r="B172" s="11" t="inlineStr">
        <is>
          <t>Emmanuel Theological College</t>
        </is>
      </c>
      <c r="C172" s="10" t="inlineStr">
        <is>
          <t>Other HE provider</t>
        </is>
      </c>
      <c r="D172" s="10" t="inlineStr">
        <is>
          <t>2024/25</t>
        </is>
      </c>
      <c r="E172" s="82" t="n">
        <v>0</v>
      </c>
      <c r="F172" s="82" t="n">
        <v>0</v>
      </c>
      <c r="G172" s="82" t="n">
        <v>84</v>
      </c>
      <c r="H172" s="82" t="n">
        <v>0</v>
      </c>
      <c r="I172" s="82" t="n">
        <v>84</v>
      </c>
      <c r="J172" s="82" t="n">
        <v>232</v>
      </c>
      <c r="K172" s="83">
        <f>I172/1000</f>
        <v/>
      </c>
      <c r="L172" s="83">
        <f>SUM(E172:G172)/1000</f>
        <v/>
      </c>
      <c r="M172" s="84">
        <f>IF(I172=0,"n.a.",H172/I172)</f>
        <v/>
      </c>
      <c r="N172" s="82">
        <f>IF(J172=0,"n.a.",I172*1000/J172)</f>
        <v/>
      </c>
      <c r="O172" s="82">
        <f>SUM(E172:H172)-I172</f>
        <v/>
      </c>
      <c r="P172" s="82">
        <f>RANK(I172,$I$7:$I$212,0)+COUNTIF($I$7:I172,I172)-1</f>
        <v/>
      </c>
      <c r="Q172" s="10" t="inlineStr">
        <is>
          <t>Emmanuel Theological College</t>
        </is>
      </c>
    </row>
    <row r="173" ht="46" customHeight="1">
      <c r="A173" s="10" t="inlineStr">
        <is>
          <t>10062810</t>
        </is>
      </c>
      <c r="B173" s="11" t="inlineStr">
        <is>
          <t>The London School of Architecture</t>
        </is>
      </c>
      <c r="C173" s="10" t="inlineStr">
        <is>
          <t>Other HE provider</t>
        </is>
      </c>
      <c r="D173" s="10" t="inlineStr">
        <is>
          <t>2024/25</t>
        </is>
      </c>
      <c r="E173" s="82" t="n">
        <v>37</v>
      </c>
      <c r="F173" s="82" t="n">
        <v>17</v>
      </c>
      <c r="G173" s="82" t="n">
        <v>3</v>
      </c>
      <c r="H173" s="82" t="n">
        <v>2</v>
      </c>
      <c r="I173" s="82" t="n">
        <v>59</v>
      </c>
      <c r="J173" s="82" t="n">
        <v>188</v>
      </c>
      <c r="K173" s="83">
        <f>I173/1000</f>
        <v/>
      </c>
      <c r="L173" s="83">
        <f>SUM(E173:G173)/1000</f>
        <v/>
      </c>
      <c r="M173" s="84">
        <f>IF(I173=0,"n.a.",H173/I173)</f>
        <v/>
      </c>
      <c r="N173" s="82">
        <f>IF(J173=0,"n.a.",I173*1000/J173)</f>
        <v/>
      </c>
      <c r="O173" s="82">
        <f>SUM(E173:H173)-I173</f>
        <v/>
      </c>
      <c r="P173" s="82">
        <f>RANK(I173,$I$7:$I$212,0)+COUNTIF($I$7:I173,I173)-1</f>
        <v/>
      </c>
      <c r="Q173" s="10" t="inlineStr">
        <is>
          <t>The London School of Architecture</t>
        </is>
      </c>
    </row>
    <row r="174" ht="46" customHeight="1">
      <c r="A174" s="10" t="inlineStr">
        <is>
          <t>10007912</t>
        </is>
      </c>
      <c r="B174" s="11" t="inlineStr">
        <is>
          <t>Cliff College</t>
        </is>
      </c>
      <c r="C174" s="10" t="inlineStr">
        <is>
          <t>Other HE provider</t>
        </is>
      </c>
      <c r="D174" s="10" t="inlineStr">
        <is>
          <t>2024/25</t>
        </is>
      </c>
      <c r="E174" s="82" t="n">
        <v>0</v>
      </c>
      <c r="F174" s="82" t="n">
        <v>0</v>
      </c>
      <c r="G174" s="82" t="n">
        <v>0</v>
      </c>
      <c r="H174" s="82" t="n">
        <v>58</v>
      </c>
      <c r="I174" s="82" t="n">
        <v>58</v>
      </c>
      <c r="J174" s="82" t="n">
        <v>242</v>
      </c>
      <c r="K174" s="83">
        <f>I174/1000</f>
        <v/>
      </c>
      <c r="L174" s="83">
        <f>SUM(E174:G174)/1000</f>
        <v/>
      </c>
      <c r="M174" s="84">
        <f>IF(I174=0,"n.a.",H174/I174)</f>
        <v/>
      </c>
      <c r="N174" s="82">
        <f>IF(J174=0,"n.a.",I174*1000/J174)</f>
        <v/>
      </c>
      <c r="O174" s="82">
        <f>SUM(E174:H174)-I174</f>
        <v/>
      </c>
      <c r="P174" s="82">
        <f>RANK(I174,$I$7:$I$212,0)+COUNTIF($I$7:I174,I174)-1</f>
        <v/>
      </c>
      <c r="Q174" s="10" t="inlineStr">
        <is>
          <t>Cliff College</t>
        </is>
      </c>
    </row>
    <row r="175" ht="46" customHeight="1">
      <c r="A175" s="10" t="inlineStr">
        <is>
          <t>10008640</t>
        </is>
      </c>
      <c r="B175" s="11" t="inlineStr">
        <is>
          <t>Falmouth University</t>
        </is>
      </c>
      <c r="C175" s="10" t="inlineStr">
        <is>
          <t>Other HE provider</t>
        </is>
      </c>
      <c r="D175" s="10" t="inlineStr">
        <is>
          <t>2024/25</t>
        </is>
      </c>
      <c r="E175" s="82" t="n">
        <v>1</v>
      </c>
      <c r="F175" s="82" t="n">
        <v>0</v>
      </c>
      <c r="G175" s="82" t="n">
        <v>0</v>
      </c>
      <c r="H175" s="82" t="n">
        <v>53</v>
      </c>
      <c r="I175" s="82" t="n">
        <v>54</v>
      </c>
      <c r="J175" s="82" t="n">
        <v>1205</v>
      </c>
      <c r="K175" s="83">
        <f>I175/1000</f>
        <v/>
      </c>
      <c r="L175" s="83">
        <f>SUM(E175:G175)/1000</f>
        <v/>
      </c>
      <c r="M175" s="84">
        <f>IF(I175=0,"n.a.",H175/I175)</f>
        <v/>
      </c>
      <c r="N175" s="82">
        <f>IF(J175=0,"n.a.",I175*1000/J175)</f>
        <v/>
      </c>
      <c r="O175" s="82">
        <f>SUM(E175:H175)-I175</f>
        <v/>
      </c>
      <c r="P175" s="82">
        <f>RANK(I175,$I$7:$I$212,0)+COUNTIF($I$7:I175,I175)-1</f>
        <v/>
      </c>
      <c r="Q175" s="10" t="inlineStr">
        <is>
          <t>Falmouth</t>
        </is>
      </c>
    </row>
    <row r="176" ht="46" customHeight="1">
      <c r="A176" s="10" t="inlineStr">
        <is>
          <t>10037544</t>
        </is>
      </c>
      <c r="B176" s="11" t="inlineStr">
        <is>
          <t>BIMM University</t>
        </is>
      </c>
      <c r="C176" s="10" t="inlineStr">
        <is>
          <t>Other HE provider</t>
        </is>
      </c>
      <c r="D176" s="10" t="inlineStr">
        <is>
          <t>2024/25</t>
        </is>
      </c>
      <c r="E176" s="82" t="n">
        <v>0</v>
      </c>
      <c r="F176" s="82" t="n">
        <v>0</v>
      </c>
      <c r="G176" s="82" t="n">
        <v>0</v>
      </c>
      <c r="H176" s="82" t="n">
        <v>52</v>
      </c>
      <c r="I176" s="82" t="n">
        <v>52</v>
      </c>
      <c r="J176" s="82" t="n">
        <v>523</v>
      </c>
      <c r="K176" s="83">
        <f>I176/1000</f>
        <v/>
      </c>
      <c r="L176" s="83">
        <f>SUM(E176:G176)/1000</f>
        <v/>
      </c>
      <c r="M176" s="84">
        <f>IF(I176=0,"n.a.",H176/I176)</f>
        <v/>
      </c>
      <c r="N176" s="82">
        <f>IF(J176=0,"n.a.",I176*1000/J176)</f>
        <v/>
      </c>
      <c r="O176" s="82">
        <f>SUM(E176:H176)-I176</f>
        <v/>
      </c>
      <c r="P176" s="82">
        <f>RANK(I176,$I$7:$I$212,0)+COUNTIF($I$7:I176,I176)-1</f>
        <v/>
      </c>
      <c r="Q176" s="10" t="inlineStr">
        <is>
          <t>BIMM</t>
        </is>
      </c>
    </row>
    <row r="177" ht="46" customHeight="1">
      <c r="A177" s="10" t="inlineStr">
        <is>
          <t>10007835</t>
        </is>
      </c>
      <c r="B177" s="11" t="inlineStr">
        <is>
          <t>Royal Academy of Music</t>
        </is>
      </c>
      <c r="C177" s="10" t="inlineStr">
        <is>
          <t>Other HE provider</t>
        </is>
      </c>
      <c r="D177" s="10" t="inlineStr">
        <is>
          <t>2024/25</t>
        </is>
      </c>
      <c r="E177" s="82" t="n">
        <v>0</v>
      </c>
      <c r="F177" s="82" t="n">
        <v>0</v>
      </c>
      <c r="G177" s="82" t="n">
        <v>0</v>
      </c>
      <c r="H177" s="82" t="n">
        <v>48</v>
      </c>
      <c r="I177" s="82" t="n">
        <v>48</v>
      </c>
      <c r="J177" s="82" t="n">
        <v>115</v>
      </c>
      <c r="K177" s="83">
        <f>I177/1000</f>
        <v/>
      </c>
      <c r="L177" s="83">
        <f>SUM(E177:G177)/1000</f>
        <v/>
      </c>
      <c r="M177" s="84">
        <f>IF(I177=0,"n.a.",H177/I177)</f>
        <v/>
      </c>
      <c r="N177" s="82">
        <f>IF(J177=0,"n.a.",I177*1000/J177)</f>
        <v/>
      </c>
      <c r="O177" s="82">
        <f>SUM(E177:H177)-I177</f>
        <v/>
      </c>
      <c r="P177" s="82">
        <f>RANK(I177,$I$7:$I$212,0)+COUNTIF($I$7:I177,I177)-1</f>
        <v/>
      </c>
      <c r="Q177" s="10" t="inlineStr">
        <is>
          <t>Royal Academy of Music</t>
        </is>
      </c>
    </row>
    <row r="178" ht="46" customHeight="1">
      <c r="A178" s="10" t="inlineStr">
        <is>
          <t>10009612</t>
        </is>
      </c>
      <c r="B178" s="11" t="inlineStr">
        <is>
          <t>Luther King House Educational Trust</t>
        </is>
      </c>
      <c r="C178" s="10" t="inlineStr">
        <is>
          <t>Other HE provider</t>
        </is>
      </c>
      <c r="D178" s="10" t="inlineStr">
        <is>
          <t>2024/25</t>
        </is>
      </c>
      <c r="E178" s="82" t="n">
        <v>0</v>
      </c>
      <c r="F178" s="82" t="n">
        <v>0</v>
      </c>
      <c r="G178" s="82" t="n">
        <v>17</v>
      </c>
      <c r="H178" s="82" t="n">
        <v>18</v>
      </c>
      <c r="I178" s="82" t="n">
        <v>35</v>
      </c>
      <c r="J178" s="82" t="n">
        <v>232</v>
      </c>
      <c r="K178" s="83">
        <f>I178/1000</f>
        <v/>
      </c>
      <c r="L178" s="83">
        <f>SUM(E178:G178)/1000</f>
        <v/>
      </c>
      <c r="M178" s="84">
        <f>IF(I178=0,"n.a.",H178/I178)</f>
        <v/>
      </c>
      <c r="N178" s="82">
        <f>IF(J178=0,"n.a.",I178*1000/J178)</f>
        <v/>
      </c>
      <c r="O178" s="82">
        <f>SUM(E178:H178)-I178</f>
        <v/>
      </c>
      <c r="P178" s="82">
        <f>RANK(I178,$I$7:$I$212,0)+COUNTIF($I$7:I178,I178)-1</f>
        <v/>
      </c>
      <c r="Q178" s="10" t="inlineStr">
        <is>
          <t>Luther King House Educational Trust</t>
        </is>
      </c>
    </row>
    <row r="179" ht="46" customHeight="1">
      <c r="A179" s="10" t="inlineStr">
        <is>
          <t>10007849</t>
        </is>
      </c>
      <c r="B179" s="11" t="inlineStr">
        <is>
          <t>Abertay University</t>
        </is>
      </c>
      <c r="C179" s="10" t="inlineStr">
        <is>
          <t>Other HE provider</t>
        </is>
      </c>
      <c r="D179" s="10" t="inlineStr">
        <is>
          <t>2024/25</t>
        </is>
      </c>
      <c r="E179" s="82" t="n">
        <v>0</v>
      </c>
      <c r="F179" s="82" t="n">
        <v>0</v>
      </c>
      <c r="G179" s="82" t="n">
        <v>0</v>
      </c>
      <c r="H179" s="82" t="n">
        <v>27</v>
      </c>
      <c r="I179" s="82" t="n">
        <v>27</v>
      </c>
      <c r="J179" s="82" t="n">
        <v>0</v>
      </c>
      <c r="K179" s="83">
        <f>I179/1000</f>
        <v/>
      </c>
      <c r="L179" s="83">
        <f>SUM(E179:G179)/1000</f>
        <v/>
      </c>
      <c r="M179" s="84">
        <f>IF(I179=0,"n.a.",H179/I179)</f>
        <v/>
      </c>
      <c r="N179" s="82">
        <f>IF(J179=0,"n.a.",I179*1000/J179)</f>
        <v/>
      </c>
      <c r="O179" s="82">
        <f>SUM(E179:H179)-I179</f>
        <v/>
      </c>
      <c r="P179" s="82">
        <f>RANK(I179,$I$7:$I$212,0)+COUNTIF($I$7:I179,I179)-1</f>
        <v/>
      </c>
      <c r="Q179" s="10" t="inlineStr">
        <is>
          <t>Abertay</t>
        </is>
      </c>
    </row>
    <row r="180" ht="46" customHeight="1">
      <c r="A180" s="10" t="inlineStr">
        <is>
          <t>10004028</t>
        </is>
      </c>
      <c r="B180" s="11" t="inlineStr">
        <is>
          <t>The Place, London Contemporary Dance School (LCDS)</t>
        </is>
      </c>
      <c r="C180" s="10" t="inlineStr">
        <is>
          <t>Other HE provider</t>
        </is>
      </c>
      <c r="D180" s="10" t="inlineStr">
        <is>
          <t>2024/25</t>
        </is>
      </c>
      <c r="E180" s="82" t="n">
        <v>0</v>
      </c>
      <c r="F180" s="82" t="n">
        <v>0</v>
      </c>
      <c r="G180" s="82" t="n">
        <v>0</v>
      </c>
      <c r="H180" s="82" t="n">
        <v>20</v>
      </c>
      <c r="I180" s="82" t="n">
        <v>20</v>
      </c>
      <c r="J180" s="82" t="n">
        <v>472</v>
      </c>
      <c r="K180" s="83">
        <f>I180/1000</f>
        <v/>
      </c>
      <c r="L180" s="83">
        <f>SUM(E180:G180)/1000</f>
        <v/>
      </c>
      <c r="M180" s="84">
        <f>IF(I180=0,"n.a.",H180/I180)</f>
        <v/>
      </c>
      <c r="N180" s="82">
        <f>IF(J180=0,"n.a.",I180*1000/J180)</f>
        <v/>
      </c>
      <c r="O180" s="82">
        <f>SUM(E180:H180)-I180</f>
        <v/>
      </c>
      <c r="P180" s="82">
        <f>RANK(I180,$I$7:$I$212,0)+COUNTIF($I$7:I180,I180)-1</f>
        <v/>
      </c>
      <c r="Q180" s="10" t="inlineStr">
        <is>
          <t>The Place, London Contemporary Dance School (LCDS)</t>
        </is>
      </c>
    </row>
    <row r="181" ht="46" customHeight="1">
      <c r="A181" s="10" t="inlineStr">
        <is>
          <t>10000712</t>
        </is>
      </c>
      <c r="B181" s="11" t="inlineStr">
        <is>
          <t>University College Birmingham</t>
        </is>
      </c>
      <c r="C181" s="10" t="inlineStr">
        <is>
          <t>Other HE provider</t>
        </is>
      </c>
      <c r="D181" s="10" t="inlineStr">
        <is>
          <t>2024/25</t>
        </is>
      </c>
      <c r="E181" s="82" t="n">
        <v>0</v>
      </c>
      <c r="F181" s="82" t="n">
        <v>0</v>
      </c>
      <c r="G181" s="82" t="n">
        <v>0</v>
      </c>
      <c r="H181" s="82" t="n">
        <v>17</v>
      </c>
      <c r="I181" s="82" t="n">
        <v>17</v>
      </c>
      <c r="J181" s="82" t="n">
        <v>219</v>
      </c>
      <c r="K181" s="83">
        <f>I181/1000</f>
        <v/>
      </c>
      <c r="L181" s="83">
        <f>SUM(E181:G181)/1000</f>
        <v/>
      </c>
      <c r="M181" s="84">
        <f>IF(I181=0,"n.a.",H181/I181)</f>
        <v/>
      </c>
      <c r="N181" s="82">
        <f>IF(J181=0,"n.a.",I181*1000/J181)</f>
        <v/>
      </c>
      <c r="O181" s="82">
        <f>SUM(E181:H181)-I181</f>
        <v/>
      </c>
      <c r="P181" s="82">
        <f>RANK(I181,$I$7:$I$212,0)+COUNTIF($I$7:I181,I181)-1</f>
        <v/>
      </c>
      <c r="Q181" s="10" t="inlineStr">
        <is>
          <t>University College Birmingham</t>
        </is>
      </c>
    </row>
    <row r="182" ht="46" customHeight="1">
      <c r="A182" s="10" t="inlineStr">
        <is>
          <t>10032282</t>
        </is>
      </c>
      <c r="B182" s="11" t="inlineStr">
        <is>
          <t>The Queen's Foundation for Ecumenical Theological Education</t>
        </is>
      </c>
      <c r="C182" s="10" t="inlineStr">
        <is>
          <t>Other HE provider</t>
        </is>
      </c>
      <c r="D182" s="10" t="inlineStr">
        <is>
          <t>2024/25</t>
        </is>
      </c>
      <c r="E182" s="82" t="n">
        <v>0</v>
      </c>
      <c r="F182" s="82" t="n">
        <v>0</v>
      </c>
      <c r="G182" s="82" t="n">
        <v>0</v>
      </c>
      <c r="H182" s="82" t="n">
        <v>15</v>
      </c>
      <c r="I182" s="82" t="n">
        <v>15</v>
      </c>
      <c r="J182" s="82" t="n">
        <v>318</v>
      </c>
      <c r="K182" s="83">
        <f>I182/1000</f>
        <v/>
      </c>
      <c r="L182" s="83">
        <f>SUM(E182:G182)/1000</f>
        <v/>
      </c>
      <c r="M182" s="84">
        <f>IF(I182=0,"n.a.",H182/I182)</f>
        <v/>
      </c>
      <c r="N182" s="82">
        <f>IF(J182=0,"n.a.",I182*1000/J182)</f>
        <v/>
      </c>
      <c r="O182" s="82">
        <f>SUM(E182:H182)-I182</f>
        <v/>
      </c>
      <c r="P182" s="82">
        <f>RANK(I182,$I$7:$I$212,0)+COUNTIF($I$7:I182,I182)-1</f>
        <v/>
      </c>
      <c r="Q182" s="10" t="inlineStr">
        <is>
          <t>The Queen's Foundation for Ecumenical Theological Education</t>
        </is>
      </c>
    </row>
    <row r="183" ht="46" customHeight="1">
      <c r="A183" s="10" t="inlineStr">
        <is>
          <t>10066502</t>
        </is>
      </c>
      <c r="B183" s="11" t="inlineStr">
        <is>
          <t>The College of Health Ltd</t>
        </is>
      </c>
      <c r="C183" s="10" t="inlineStr">
        <is>
          <t>Other HE provider</t>
        </is>
      </c>
      <c r="D183" s="10" t="inlineStr">
        <is>
          <t>2024/25</t>
        </is>
      </c>
      <c r="E183" s="82" t="n">
        <v>0</v>
      </c>
      <c r="F183" s="82" t="n">
        <v>0</v>
      </c>
      <c r="G183" s="82" t="n">
        <v>0</v>
      </c>
      <c r="H183" s="82" t="n">
        <v>14</v>
      </c>
      <c r="I183" s="82" t="n">
        <v>14</v>
      </c>
      <c r="J183" s="82" t="n">
        <v>14</v>
      </c>
      <c r="K183" s="83">
        <f>I183/1000</f>
        <v/>
      </c>
      <c r="L183" s="83">
        <f>SUM(E183:G183)/1000</f>
        <v/>
      </c>
      <c r="M183" s="84">
        <f>IF(I183=0,"n.a.",H183/I183)</f>
        <v/>
      </c>
      <c r="N183" s="82">
        <f>IF(J183=0,"n.a.",I183*1000/J183)</f>
        <v/>
      </c>
      <c r="O183" s="82">
        <f>SUM(E183:H183)-I183</f>
        <v/>
      </c>
      <c r="P183" s="82">
        <f>RANK(I183,$I$7:$I$212,0)+COUNTIF($I$7:I183,I183)-1</f>
        <v/>
      </c>
      <c r="Q183" s="10" t="inlineStr">
        <is>
          <t>The College of Health Ltd</t>
        </is>
      </c>
    </row>
    <row r="184" ht="46" customHeight="1">
      <c r="A184" s="10" t="inlineStr">
        <is>
          <t>10067648</t>
        </is>
      </c>
      <c r="B184" s="11" t="inlineStr">
        <is>
          <t>University Academy 92 Limited</t>
        </is>
      </c>
      <c r="C184" s="10" t="inlineStr">
        <is>
          <t>Other HE provider</t>
        </is>
      </c>
      <c r="D184" s="10" t="inlineStr">
        <is>
          <t>2024/25</t>
        </is>
      </c>
      <c r="E184" s="82" t="n">
        <v>7</v>
      </c>
      <c r="F184" s="82" t="n">
        <v>5</v>
      </c>
      <c r="G184" s="82" t="n">
        <v>0</v>
      </c>
      <c r="H184" s="82" t="n">
        <v>0</v>
      </c>
      <c r="I184" s="82" t="n">
        <v>12</v>
      </c>
      <c r="J184" s="82" t="n">
        <v>101</v>
      </c>
      <c r="K184" s="83">
        <f>I184/1000</f>
        <v/>
      </c>
      <c r="L184" s="83">
        <f>SUM(E184:G184)/1000</f>
        <v/>
      </c>
      <c r="M184" s="84">
        <f>IF(I184=0,"n.a.",H184/I184)</f>
        <v/>
      </c>
      <c r="N184" s="82">
        <f>IF(J184=0,"n.a.",I184*1000/J184)</f>
        <v/>
      </c>
      <c r="O184" s="82">
        <f>SUM(E184:H184)-I184</f>
        <v/>
      </c>
      <c r="P184" s="82">
        <f>RANK(I184,$I$7:$I$212,0)+COUNTIF($I$7:I184,I184)-1</f>
        <v/>
      </c>
      <c r="Q184" s="10" t="inlineStr">
        <is>
          <t>University Academy 92 Limited</t>
        </is>
      </c>
    </row>
    <row r="185" ht="46" customHeight="1">
      <c r="A185" s="10" t="inlineStr">
        <is>
          <t>10001386</t>
        </is>
      </c>
      <c r="B185" s="11" t="inlineStr">
        <is>
          <t>Chicken Shed Theatre Company</t>
        </is>
      </c>
      <c r="C185" s="10" t="inlineStr">
        <is>
          <t>Other HE provider</t>
        </is>
      </c>
      <c r="D185" s="10" t="inlineStr">
        <is>
          <t>2024/25</t>
        </is>
      </c>
      <c r="E185" s="82" t="n">
        <v>7</v>
      </c>
      <c r="F185" s="82" t="n">
        <v>0</v>
      </c>
      <c r="G185" s="82" t="n">
        <v>0</v>
      </c>
      <c r="H185" s="82" t="n">
        <v>0</v>
      </c>
      <c r="I185" s="82" t="n">
        <v>7</v>
      </c>
      <c r="J185" s="82" t="n">
        <v>37</v>
      </c>
      <c r="K185" s="83">
        <f>I185/1000</f>
        <v/>
      </c>
      <c r="L185" s="83">
        <f>SUM(E185:G185)/1000</f>
        <v/>
      </c>
      <c r="M185" s="84">
        <f>IF(I185=0,"n.a.",H185/I185)</f>
        <v/>
      </c>
      <c r="N185" s="82">
        <f>IF(J185=0,"n.a.",I185*1000/J185)</f>
        <v/>
      </c>
      <c r="O185" s="82">
        <f>SUM(E185:H185)-I185</f>
        <v/>
      </c>
      <c r="P185" s="82">
        <f>RANK(I185,$I$7:$I$212,0)+COUNTIF($I$7:I185,I185)-1</f>
        <v/>
      </c>
      <c r="Q185" s="10" t="inlineStr">
        <is>
          <t>Chicken Shed Theatre Company</t>
        </is>
      </c>
    </row>
    <row r="186" ht="46" customHeight="1">
      <c r="A186" s="10" t="inlineStr">
        <is>
          <t>10007361</t>
        </is>
      </c>
      <c r="B186" s="11" t="inlineStr">
        <is>
          <t>Waverley Abbey College</t>
        </is>
      </c>
      <c r="C186" s="10" t="inlineStr">
        <is>
          <t>Other HE provider</t>
        </is>
      </c>
      <c r="D186" s="10" t="inlineStr">
        <is>
          <t>2024/25</t>
        </is>
      </c>
      <c r="E186" s="82" t="n">
        <v>0</v>
      </c>
      <c r="F186" s="82" t="n">
        <v>0</v>
      </c>
      <c r="G186" s="82" t="n">
        <v>0</v>
      </c>
      <c r="H186" s="82" t="n">
        <v>7</v>
      </c>
      <c r="I186" s="82" t="n">
        <v>7</v>
      </c>
      <c r="J186" s="82" t="n">
        <v>57</v>
      </c>
      <c r="K186" s="83">
        <f>I186/1000</f>
        <v/>
      </c>
      <c r="L186" s="83">
        <f>SUM(E186:G186)/1000</f>
        <v/>
      </c>
      <c r="M186" s="84">
        <f>IF(I186=0,"n.a.",H186/I186)</f>
        <v/>
      </c>
      <c r="N186" s="82">
        <f>IF(J186=0,"n.a.",I186*1000/J186)</f>
        <v/>
      </c>
      <c r="O186" s="82">
        <f>SUM(E186:H186)-I186</f>
        <v/>
      </c>
      <c r="P186" s="82">
        <f>RANK(I186,$I$7:$I$212,0)+COUNTIF($I$7:I186,I186)-1</f>
        <v/>
      </c>
      <c r="Q186" s="10" t="inlineStr">
        <is>
          <t>Waverley Abbey College</t>
        </is>
      </c>
    </row>
    <row r="187" ht="46" customHeight="1">
      <c r="A187" s="10" t="inlineStr">
        <is>
          <t>10005127</t>
        </is>
      </c>
      <c r="B187" s="11" t="inlineStr">
        <is>
          <t>Arts University Plymouth</t>
        </is>
      </c>
      <c r="C187" s="10" t="inlineStr">
        <is>
          <t>Other HE provider</t>
        </is>
      </c>
      <c r="D187" s="10" t="inlineStr">
        <is>
          <t>2024/25</t>
        </is>
      </c>
      <c r="E187" s="82" t="n">
        <v>4</v>
      </c>
      <c r="F187" s="82" t="n">
        <v>1</v>
      </c>
      <c r="G187" s="82" t="n">
        <v>0</v>
      </c>
      <c r="H187" s="82" t="n">
        <v>0</v>
      </c>
      <c r="I187" s="82" t="n">
        <v>5</v>
      </c>
      <c r="J187" s="82" t="n">
        <v>24</v>
      </c>
      <c r="K187" s="83">
        <f>I187/1000</f>
        <v/>
      </c>
      <c r="L187" s="83">
        <f>SUM(E187:G187)/1000</f>
        <v/>
      </c>
      <c r="M187" s="84">
        <f>IF(I187=0,"n.a.",H187/I187)</f>
        <v/>
      </c>
      <c r="N187" s="82">
        <f>IF(J187=0,"n.a.",I187*1000/J187)</f>
        <v/>
      </c>
      <c r="O187" s="82">
        <f>SUM(E187:H187)-I187</f>
        <v/>
      </c>
      <c r="P187" s="82">
        <f>RANK(I187,$I$7:$I$212,0)+COUNTIF($I$7:I187,I187)-1</f>
        <v/>
      </c>
      <c r="Q187" s="10" t="inlineStr">
        <is>
          <t>Arts University Plymouth</t>
        </is>
      </c>
    </row>
    <row r="188" ht="46" customHeight="1">
      <c r="A188" s="10" t="inlineStr">
        <is>
          <t>10004320</t>
        </is>
      </c>
      <c r="B188" s="11" t="inlineStr">
        <is>
          <t>The Metanoia Institute</t>
        </is>
      </c>
      <c r="C188" s="10" t="inlineStr">
        <is>
          <t>Other HE provider</t>
        </is>
      </c>
      <c r="D188" s="10" t="inlineStr">
        <is>
          <t>2024/25</t>
        </is>
      </c>
      <c r="E188" s="82" t="n">
        <v>0</v>
      </c>
      <c r="F188" s="82" t="n">
        <v>0</v>
      </c>
      <c r="G188" s="82" t="n">
        <v>0</v>
      </c>
      <c r="H188" s="82" t="n">
        <v>5</v>
      </c>
      <c r="I188" s="82" t="n">
        <v>5</v>
      </c>
      <c r="J188" s="82" t="n">
        <v>7</v>
      </c>
      <c r="K188" s="83">
        <f>I188/1000</f>
        <v/>
      </c>
      <c r="L188" s="83">
        <f>SUM(E188:G188)/1000</f>
        <v/>
      </c>
      <c r="M188" s="84">
        <f>IF(I188=0,"n.a.",H188/I188)</f>
        <v/>
      </c>
      <c r="N188" s="82">
        <f>IF(J188=0,"n.a.",I188*1000/J188)</f>
        <v/>
      </c>
      <c r="O188" s="82">
        <f>SUM(E188:H188)-I188</f>
        <v/>
      </c>
      <c r="P188" s="82">
        <f>RANK(I188,$I$7:$I$212,0)+COUNTIF($I$7:I188,I188)-1</f>
        <v/>
      </c>
      <c r="Q188" s="10" t="inlineStr">
        <is>
          <t>The Metanoia Institute</t>
        </is>
      </c>
    </row>
    <row r="189" ht="46" customHeight="1">
      <c r="A189" s="10" t="inlineStr">
        <is>
          <t>10003945</t>
        </is>
      </c>
      <c r="B189" s="11" t="inlineStr">
        <is>
          <t>The Liverpool Institute for Performing Arts</t>
        </is>
      </c>
      <c r="C189" s="10" t="inlineStr">
        <is>
          <t>Other HE provider</t>
        </is>
      </c>
      <c r="D189" s="10" t="inlineStr">
        <is>
          <t>2024/25</t>
        </is>
      </c>
      <c r="E189" s="82" t="n">
        <v>0</v>
      </c>
      <c r="F189" s="82" t="n">
        <v>0</v>
      </c>
      <c r="G189" s="82" t="n">
        <v>4</v>
      </c>
      <c r="H189" s="82" t="n">
        <v>0</v>
      </c>
      <c r="I189" s="82" t="n">
        <v>4</v>
      </c>
      <c r="J189" s="82" t="n">
        <v>0</v>
      </c>
      <c r="K189" s="83">
        <f>I189/1000</f>
        <v/>
      </c>
      <c r="L189" s="83">
        <f>SUM(E189:G189)/1000</f>
        <v/>
      </c>
      <c r="M189" s="84">
        <f>IF(I189=0,"n.a.",H189/I189)</f>
        <v/>
      </c>
      <c r="N189" s="82">
        <f>IF(J189=0,"n.a.",I189*1000/J189)</f>
        <v/>
      </c>
      <c r="O189" s="82">
        <f>SUM(E189:H189)-I189</f>
        <v/>
      </c>
      <c r="P189" s="82">
        <f>RANK(I189,$I$7:$I$212,0)+COUNTIF($I$7:I189,I189)-1</f>
        <v/>
      </c>
      <c r="Q189" s="10" t="inlineStr">
        <is>
          <t>The Liverpool Institute for Performing Arts</t>
        </is>
      </c>
    </row>
    <row r="190" ht="46" customHeight="1">
      <c r="A190" s="10" t="inlineStr">
        <is>
          <t>10067853</t>
        </is>
      </c>
      <c r="B190" s="11" t="inlineStr">
        <is>
          <t>ACM Guildford Limited</t>
        </is>
      </c>
      <c r="C190" s="10" t="inlineStr">
        <is>
          <t>Other HE provider</t>
        </is>
      </c>
      <c r="D190" s="10" t="inlineStr">
        <is>
          <t>2024/25</t>
        </is>
      </c>
      <c r="E190" s="82" t="n">
        <v>0</v>
      </c>
      <c r="F190" s="82" t="n">
        <v>0</v>
      </c>
      <c r="G190" s="82" t="n">
        <v>0</v>
      </c>
      <c r="H190" s="82" t="n">
        <v>2</v>
      </c>
      <c r="I190" s="82" t="n">
        <v>2</v>
      </c>
      <c r="J190" s="82" t="n">
        <v>10</v>
      </c>
      <c r="K190" s="83">
        <f>I190/1000</f>
        <v/>
      </c>
      <c r="L190" s="83">
        <f>SUM(E190:G190)/1000</f>
        <v/>
      </c>
      <c r="M190" s="84">
        <f>IF(I190=0,"n.a.",H190/I190)</f>
        <v/>
      </c>
      <c r="N190" s="82">
        <f>IF(J190=0,"n.a.",I190*1000/J190)</f>
        <v/>
      </c>
      <c r="O190" s="82">
        <f>SUM(E190:H190)-I190</f>
        <v/>
      </c>
      <c r="P190" s="82">
        <f>RANK(I190,$I$7:$I$212,0)+COUNTIF($I$7:I190,I190)-1</f>
        <v/>
      </c>
      <c r="Q190" s="10" t="inlineStr">
        <is>
          <t>ACM Guildford Limited</t>
        </is>
      </c>
    </row>
    <row r="191" ht="46" customHeight="1">
      <c r="A191" s="10" t="inlineStr">
        <is>
          <t>10004538</t>
        </is>
      </c>
      <c r="B191" s="11" t="inlineStr">
        <is>
          <t>Nazarene Theological College</t>
        </is>
      </c>
      <c r="C191" s="10" t="inlineStr">
        <is>
          <t>Other HE provider</t>
        </is>
      </c>
      <c r="D191" s="10" t="inlineStr">
        <is>
          <t>2024/25</t>
        </is>
      </c>
      <c r="E191" s="82" t="n">
        <v>0</v>
      </c>
      <c r="F191" s="82" t="n">
        <v>0</v>
      </c>
      <c r="G191" s="82" t="n">
        <v>1</v>
      </c>
      <c r="H191" s="82" t="n">
        <v>1</v>
      </c>
      <c r="I191" s="82" t="n">
        <v>2</v>
      </c>
      <c r="J191" s="82" t="n">
        <v>15</v>
      </c>
      <c r="K191" s="83">
        <f>I191/1000</f>
        <v/>
      </c>
      <c r="L191" s="83">
        <f>SUM(E191:G191)/1000</f>
        <v/>
      </c>
      <c r="M191" s="84">
        <f>IF(I191=0,"n.a.",H191/I191)</f>
        <v/>
      </c>
      <c r="N191" s="82">
        <f>IF(J191=0,"n.a.",I191*1000/J191)</f>
        <v/>
      </c>
      <c r="O191" s="82">
        <f>SUM(E191:H191)-I191</f>
        <v/>
      </c>
      <c r="P191" s="82">
        <f>RANK(I191,$I$7:$I$212,0)+COUNTIF($I$7:I191,I191)-1</f>
        <v/>
      </c>
      <c r="Q191" s="10" t="inlineStr">
        <is>
          <t>Nazarene Theological College</t>
        </is>
      </c>
    </row>
    <row r="192" ht="46" customHeight="1">
      <c r="A192" s="10" t="inlineStr">
        <is>
          <t>10032036</t>
        </is>
      </c>
      <c r="B192" s="11" t="inlineStr">
        <is>
          <t>Amity University [IN] London</t>
        </is>
      </c>
      <c r="C192" s="10" t="inlineStr">
        <is>
          <t>Other HE provider</t>
        </is>
      </c>
      <c r="D192" s="10" t="inlineStr">
        <is>
          <t>2024/25</t>
        </is>
      </c>
      <c r="E192" s="82" t="n">
        <v>0</v>
      </c>
      <c r="F192" s="82" t="n">
        <v>0</v>
      </c>
      <c r="G192" s="82" t="n">
        <v>0</v>
      </c>
      <c r="H192" s="82" t="n">
        <v>0</v>
      </c>
      <c r="I192" s="82" t="n">
        <v>0</v>
      </c>
      <c r="J192" s="82" t="n">
        <v>0</v>
      </c>
      <c r="K192" s="83">
        <f>I192/1000</f>
        <v/>
      </c>
      <c r="L192" s="83">
        <f>SUM(E192:G192)/1000</f>
        <v/>
      </c>
      <c r="M192" s="84">
        <f>IF(I192=0,"n.a.",H192/I192)</f>
        <v/>
      </c>
      <c r="N192" s="82">
        <f>IF(J192=0,"n.a.",I192*1000/J192)</f>
        <v/>
      </c>
      <c r="O192" s="82">
        <f>SUM(E192:H192)-I192</f>
        <v/>
      </c>
      <c r="P192" s="82">
        <f>RANK(I192,$I$7:$I$212,0)+COUNTIF($I$7:I192,I192)-1</f>
        <v/>
      </c>
      <c r="Q192" s="10" t="inlineStr">
        <is>
          <t>Amity University [IN] London</t>
        </is>
      </c>
    </row>
    <row r="193" ht="46" customHeight="1">
      <c r="A193" s="10" t="inlineStr">
        <is>
          <t>10004061</t>
        </is>
      </c>
      <c r="B193" s="11" t="inlineStr">
        <is>
          <t>Bloomsbury Institute</t>
        </is>
      </c>
      <c r="C193" s="10" t="inlineStr">
        <is>
          <t>Other HE provider</t>
        </is>
      </c>
      <c r="D193" s="10" t="inlineStr">
        <is>
          <t>2024/25</t>
        </is>
      </c>
      <c r="E193" s="82" t="n">
        <v>0</v>
      </c>
      <c r="F193" s="82" t="n">
        <v>0</v>
      </c>
      <c r="G193" s="82" t="n">
        <v>0</v>
      </c>
      <c r="H193" s="82" t="n">
        <v>0</v>
      </c>
      <c r="I193" s="82" t="n">
        <v>0</v>
      </c>
      <c r="J193" s="82" t="n">
        <v>0</v>
      </c>
      <c r="K193" s="83">
        <f>I193/1000</f>
        <v/>
      </c>
      <c r="L193" s="83">
        <f>SUM(E193:G193)/1000</f>
        <v/>
      </c>
      <c r="M193" s="84">
        <f>IF(I193=0,"n.a.",H193/I193)</f>
        <v/>
      </c>
      <c r="N193" s="82">
        <f>IF(J193=0,"n.a.",I193*1000/J193)</f>
        <v/>
      </c>
      <c r="O193" s="82">
        <f>SUM(E193:H193)-I193</f>
        <v/>
      </c>
      <c r="P193" s="82">
        <f>RANK(I193,$I$7:$I$212,0)+COUNTIF($I$7:I193,I193)-1</f>
        <v/>
      </c>
      <c r="Q193" s="10" t="inlineStr">
        <is>
          <t>Bloomsbury Institute</t>
        </is>
      </c>
    </row>
    <row r="194" ht="46" customHeight="1">
      <c r="A194" s="10" t="inlineStr">
        <is>
          <t>10038772</t>
        </is>
      </c>
      <c r="B194" s="11" t="inlineStr">
        <is>
          <t>British Academy of Jewellery Limited</t>
        </is>
      </c>
      <c r="C194" s="10" t="inlineStr">
        <is>
          <t>Other HE provider</t>
        </is>
      </c>
      <c r="D194" s="10" t="inlineStr">
        <is>
          <t>2024/25</t>
        </is>
      </c>
      <c r="E194" s="82" t="n">
        <v>0</v>
      </c>
      <c r="F194" s="82" t="n">
        <v>0</v>
      </c>
      <c r="G194" s="82" t="n">
        <v>0</v>
      </c>
      <c r="H194" s="82" t="n">
        <v>0</v>
      </c>
      <c r="I194" s="82" t="n">
        <v>0</v>
      </c>
      <c r="J194" s="82" t="n">
        <v>0</v>
      </c>
      <c r="K194" s="83">
        <f>I194/1000</f>
        <v/>
      </c>
      <c r="L194" s="83">
        <f>SUM(E194:G194)/1000</f>
        <v/>
      </c>
      <c r="M194" s="84">
        <f>IF(I194=0,"n.a.",H194/I194)</f>
        <v/>
      </c>
      <c r="N194" s="82">
        <f>IF(J194=0,"n.a.",I194*1000/J194)</f>
        <v/>
      </c>
      <c r="O194" s="82">
        <f>SUM(E194:H194)-I194</f>
        <v/>
      </c>
      <c r="P194" s="82">
        <f>RANK(I194,$I$7:$I$212,0)+COUNTIF($I$7:I194,I194)-1</f>
        <v/>
      </c>
      <c r="Q194" s="10" t="inlineStr">
        <is>
          <t>British Academy of Jewellery Limited</t>
        </is>
      </c>
    </row>
    <row r="195" ht="46" customHeight="1">
      <c r="A195" s="10" t="inlineStr">
        <is>
          <t>10024024</t>
        </is>
      </c>
      <c r="B195" s="11" t="inlineStr">
        <is>
          <t>Central Film School</t>
        </is>
      </c>
      <c r="C195" s="10" t="inlineStr">
        <is>
          <t>Other HE provider</t>
        </is>
      </c>
      <c r="D195" s="10" t="inlineStr">
        <is>
          <t>2024/25</t>
        </is>
      </c>
      <c r="E195" s="82" t="n">
        <v>0</v>
      </c>
      <c r="F195" s="82" t="n">
        <v>0</v>
      </c>
      <c r="G195" s="82" t="n">
        <v>0</v>
      </c>
      <c r="H195" s="82" t="n">
        <v>0</v>
      </c>
      <c r="I195" s="82" t="n">
        <v>0</v>
      </c>
      <c r="J195" s="82" t="n">
        <v>0</v>
      </c>
      <c r="K195" s="83">
        <f>I195/1000</f>
        <v/>
      </c>
      <c r="L195" s="83">
        <f>SUM(E195:G195)/1000</f>
        <v/>
      </c>
      <c r="M195" s="84">
        <f>IF(I195=0,"n.a.",H195/I195)</f>
        <v/>
      </c>
      <c r="N195" s="82">
        <f>IF(J195=0,"n.a.",I195*1000/J195)</f>
        <v/>
      </c>
      <c r="O195" s="82">
        <f>SUM(E195:H195)-I195</f>
        <v/>
      </c>
      <c r="P195" s="82">
        <f>RANK(I195,$I$7:$I$212,0)+COUNTIF($I$7:I195,I195)-1</f>
        <v/>
      </c>
      <c r="Q195" s="10" t="inlineStr">
        <is>
          <t>Central Film School</t>
        </is>
      </c>
    </row>
    <row r="196" ht="46" customHeight="1">
      <c r="A196" s="10" t="inlineStr">
        <is>
          <t>10091065</t>
        </is>
      </c>
      <c r="B196" s="11" t="inlineStr">
        <is>
          <t>Collective Acting Studio</t>
        </is>
      </c>
      <c r="C196" s="10" t="inlineStr">
        <is>
          <t>Other HE provider</t>
        </is>
      </c>
      <c r="D196" s="10" t="inlineStr">
        <is>
          <t>2024/25</t>
        </is>
      </c>
      <c r="E196" s="82" t="n">
        <v>0</v>
      </c>
      <c r="F196" s="82" t="n">
        <v>0</v>
      </c>
      <c r="G196" s="82" t="n">
        <v>0</v>
      </c>
      <c r="H196" s="82" t="n">
        <v>0</v>
      </c>
      <c r="I196" s="82" t="n">
        <v>0</v>
      </c>
      <c r="J196" s="82" t="n">
        <v>0</v>
      </c>
      <c r="K196" s="83">
        <f>I196/1000</f>
        <v/>
      </c>
      <c r="L196" s="83">
        <f>SUM(E196:G196)/1000</f>
        <v/>
      </c>
      <c r="M196" s="84">
        <f>IF(I196=0,"n.a.",H196/I196)</f>
        <v/>
      </c>
      <c r="N196" s="82">
        <f>IF(J196=0,"n.a.",I196*1000/J196)</f>
        <v/>
      </c>
      <c r="O196" s="82">
        <f>SUM(E196:H196)-I196</f>
        <v/>
      </c>
      <c r="P196" s="82">
        <f>RANK(I196,$I$7:$I$212,0)+COUNTIF($I$7:I196,I196)-1</f>
        <v/>
      </c>
      <c r="Q196" s="10" t="inlineStr">
        <is>
          <t>Collective Acting Studio</t>
        </is>
      </c>
    </row>
    <row r="197" ht="46" customHeight="1">
      <c r="A197" s="10" t="inlineStr">
        <is>
          <t>10034324</t>
        </is>
      </c>
      <c r="B197" s="11" t="inlineStr">
        <is>
          <t>Court Theatre Training Company Ltd</t>
        </is>
      </c>
      <c r="C197" s="10" t="inlineStr">
        <is>
          <t>Other HE provider</t>
        </is>
      </c>
      <c r="D197" s="10" t="inlineStr">
        <is>
          <t>2024/25</t>
        </is>
      </c>
      <c r="E197" s="82" t="n">
        <v>0</v>
      </c>
      <c r="F197" s="82" t="n">
        <v>0</v>
      </c>
      <c r="G197" s="82" t="n">
        <v>0</v>
      </c>
      <c r="H197" s="82" t="n">
        <v>0</v>
      </c>
      <c r="I197" s="82" t="n">
        <v>0</v>
      </c>
      <c r="J197" s="82" t="n">
        <v>0</v>
      </c>
      <c r="K197" s="83">
        <f>I197/1000</f>
        <v/>
      </c>
      <c r="L197" s="83">
        <f>SUM(E197:G197)/1000</f>
        <v/>
      </c>
      <c r="M197" s="84">
        <f>IF(I197=0,"n.a.",H197/I197)</f>
        <v/>
      </c>
      <c r="N197" s="82">
        <f>IF(J197=0,"n.a.",I197*1000/J197)</f>
        <v/>
      </c>
      <c r="O197" s="82">
        <f>SUM(E197:H197)-I197</f>
        <v/>
      </c>
      <c r="P197" s="82">
        <f>RANK(I197,$I$7:$I$212,0)+COUNTIF($I$7:I197,I197)-1</f>
        <v/>
      </c>
      <c r="Q197" s="10" t="inlineStr">
        <is>
          <t>Court Theatre Training Company Ltd</t>
        </is>
      </c>
    </row>
    <row r="198" ht="46" customHeight="1">
      <c r="A198" s="10" t="inlineStr">
        <is>
          <t>10015688</t>
        </is>
      </c>
      <c r="B198" s="11" t="inlineStr">
        <is>
          <t>David Game College Ltd</t>
        </is>
      </c>
      <c r="C198" s="10" t="inlineStr">
        <is>
          <t>Other HE provider</t>
        </is>
      </c>
      <c r="D198" s="10" t="inlineStr">
        <is>
          <t>2024/25</t>
        </is>
      </c>
      <c r="E198" s="82" t="n">
        <v>0</v>
      </c>
      <c r="F198" s="82" t="n">
        <v>0</v>
      </c>
      <c r="G198" s="82" t="n">
        <v>0</v>
      </c>
      <c r="H198" s="82" t="n">
        <v>0</v>
      </c>
      <c r="I198" s="82" t="n">
        <v>0</v>
      </c>
      <c r="J198" s="82" t="n">
        <v>0</v>
      </c>
      <c r="K198" s="83">
        <f>I198/1000</f>
        <v/>
      </c>
      <c r="L198" s="83">
        <f>SUM(E198:G198)/1000</f>
        <v/>
      </c>
      <c r="M198" s="84">
        <f>IF(I198=0,"n.a.",H198/I198)</f>
        <v/>
      </c>
      <c r="N198" s="82">
        <f>IF(J198=0,"n.a.",I198*1000/J198)</f>
        <v/>
      </c>
      <c r="O198" s="82">
        <f>SUM(E198:H198)-I198</f>
        <v/>
      </c>
      <c r="P198" s="82">
        <f>RANK(I198,$I$7:$I$212,0)+COUNTIF($I$7:I198,I198)-1</f>
        <v/>
      </c>
      <c r="Q198" s="10" t="inlineStr">
        <is>
          <t>David Game College Ltd</t>
        </is>
      </c>
    </row>
    <row r="199" ht="46" customHeight="1">
      <c r="A199" s="10" t="inlineStr">
        <is>
          <t>10089771</t>
        </is>
      </c>
      <c r="B199" s="11" t="inlineStr">
        <is>
          <t>Engineering College of Technology Limited</t>
        </is>
      </c>
      <c r="C199" s="10" t="inlineStr">
        <is>
          <t>Other HE provider</t>
        </is>
      </c>
      <c r="D199" s="10" t="inlineStr">
        <is>
          <t>2024/25</t>
        </is>
      </c>
      <c r="E199" s="82" t="n">
        <v>0</v>
      </c>
      <c r="F199" s="82" t="n">
        <v>0</v>
      </c>
      <c r="G199" s="82" t="n">
        <v>0</v>
      </c>
      <c r="H199" s="82" t="n">
        <v>0</v>
      </c>
      <c r="I199" s="82" t="n">
        <v>0</v>
      </c>
      <c r="J199" s="82" t="n">
        <v>0</v>
      </c>
      <c r="K199" s="83">
        <f>I199/1000</f>
        <v/>
      </c>
      <c r="L199" s="83">
        <f>SUM(E199:G199)/1000</f>
        <v/>
      </c>
      <c r="M199" s="84">
        <f>IF(I199=0,"n.a.",H199/I199)</f>
        <v/>
      </c>
      <c r="N199" s="82">
        <f>IF(J199=0,"n.a.",I199*1000/J199)</f>
        <v/>
      </c>
      <c r="O199" s="82">
        <f>SUM(E199:H199)-I199</f>
        <v/>
      </c>
      <c r="P199" s="82">
        <f>RANK(I199,$I$7:$I$212,0)+COUNTIF($I$7:I199,I199)-1</f>
        <v/>
      </c>
      <c r="Q199" s="10" t="inlineStr">
        <is>
          <t>Engineering College of Technology Limited</t>
        </is>
      </c>
    </row>
    <row r="200" ht="46" customHeight="1">
      <c r="A200" s="10" t="inlineStr">
        <is>
          <t>10022087</t>
        </is>
      </c>
      <c r="B200" s="11" t="inlineStr">
        <is>
          <t>Futureworks</t>
        </is>
      </c>
      <c r="C200" s="10" t="inlineStr">
        <is>
          <t>Other HE provider</t>
        </is>
      </c>
      <c r="D200" s="10" t="inlineStr">
        <is>
          <t>2024/25</t>
        </is>
      </c>
      <c r="E200" s="82" t="n">
        <v>0</v>
      </c>
      <c r="F200" s="82" t="n">
        <v>0</v>
      </c>
      <c r="G200" s="82" t="n">
        <v>0</v>
      </c>
      <c r="H200" s="82" t="n">
        <v>0</v>
      </c>
      <c r="I200" s="82" t="n">
        <v>0</v>
      </c>
      <c r="J200" s="82" t="n">
        <v>0</v>
      </c>
      <c r="K200" s="83">
        <f>I200/1000</f>
        <v/>
      </c>
      <c r="L200" s="83">
        <f>SUM(E200:G200)/1000</f>
        <v/>
      </c>
      <c r="M200" s="84">
        <f>IF(I200=0,"n.a.",H200/I200)</f>
        <v/>
      </c>
      <c r="N200" s="82">
        <f>IF(J200=0,"n.a.",I200*1000/J200)</f>
        <v/>
      </c>
      <c r="O200" s="82">
        <f>SUM(E200:H200)-I200</f>
        <v/>
      </c>
      <c r="P200" s="82">
        <f>RANK(I200,$I$7:$I$212,0)+COUNTIF($I$7:I200,I200)-1</f>
        <v/>
      </c>
      <c r="Q200" s="10" t="inlineStr">
        <is>
          <t>Futureworks</t>
        </is>
      </c>
    </row>
    <row r="201" ht="46" customHeight="1">
      <c r="A201" s="10" t="inlineStr">
        <is>
          <t>10003854</t>
        </is>
      </c>
      <c r="B201" s="11" t="inlineStr">
        <is>
          <t>Leeds Arts University</t>
        </is>
      </c>
      <c r="C201" s="10" t="inlineStr">
        <is>
          <t>Other HE provider</t>
        </is>
      </c>
      <c r="D201" s="10" t="inlineStr">
        <is>
          <t>2024/25</t>
        </is>
      </c>
      <c r="E201" s="82" t="n">
        <v>0</v>
      </c>
      <c r="F201" s="82" t="n">
        <v>0</v>
      </c>
      <c r="G201" s="82" t="n">
        <v>0</v>
      </c>
      <c r="H201" s="82" t="n">
        <v>0</v>
      </c>
      <c r="I201" s="82" t="n">
        <v>0</v>
      </c>
      <c r="J201" s="82" t="n">
        <v>0</v>
      </c>
      <c r="K201" s="83">
        <f>I201/1000</f>
        <v/>
      </c>
      <c r="L201" s="83">
        <f>SUM(E201:G201)/1000</f>
        <v/>
      </c>
      <c r="M201" s="84">
        <f>IF(I201=0,"n.a.",H201/I201)</f>
        <v/>
      </c>
      <c r="N201" s="82">
        <f>IF(J201=0,"n.a.",I201*1000/J201)</f>
        <v/>
      </c>
      <c r="O201" s="82">
        <f>SUM(E201:H201)-I201</f>
        <v/>
      </c>
      <c r="P201" s="82">
        <f>RANK(I201,$I$7:$I$212,0)+COUNTIF($I$7:I201,I201)-1</f>
        <v/>
      </c>
      <c r="Q201" s="10" t="inlineStr">
        <is>
          <t>Leeds Arts</t>
        </is>
      </c>
    </row>
    <row r="202" ht="46" customHeight="1">
      <c r="A202" s="10" t="inlineStr">
        <is>
          <t>10034449</t>
        </is>
      </c>
      <c r="B202" s="11" t="inlineStr">
        <is>
          <t>Leeds Conservatoire</t>
        </is>
      </c>
      <c r="C202" s="10" t="inlineStr">
        <is>
          <t>Other HE provider</t>
        </is>
      </c>
      <c r="D202" s="10" t="inlineStr">
        <is>
          <t>2024/25</t>
        </is>
      </c>
      <c r="E202" s="82" t="n">
        <v>0</v>
      </c>
      <c r="F202" s="82" t="n">
        <v>0</v>
      </c>
      <c r="G202" s="82" t="n">
        <v>0</v>
      </c>
      <c r="H202" s="82" t="n">
        <v>0</v>
      </c>
      <c r="I202" s="82" t="n">
        <v>0</v>
      </c>
      <c r="J202" s="82" t="n">
        <v>0</v>
      </c>
      <c r="K202" s="83">
        <f>I202/1000</f>
        <v/>
      </c>
      <c r="L202" s="83">
        <f>SUM(E202:G202)/1000</f>
        <v/>
      </c>
      <c r="M202" s="84">
        <f>IF(I202=0,"n.a.",H202/I202)</f>
        <v/>
      </c>
      <c r="N202" s="82">
        <f>IF(J202=0,"n.a.",I202*1000/J202)</f>
        <v/>
      </c>
      <c r="O202" s="82">
        <f>SUM(E202:H202)-I202</f>
        <v/>
      </c>
      <c r="P202" s="82">
        <f>RANK(I202,$I$7:$I$212,0)+COUNTIF($I$7:I202,I202)-1</f>
        <v/>
      </c>
      <c r="Q202" s="10" t="inlineStr">
        <is>
          <t>Leeds Conservatoire</t>
        </is>
      </c>
    </row>
    <row r="203" ht="46" customHeight="1">
      <c r="A203" s="10" t="inlineStr">
        <is>
          <t>10007811</t>
        </is>
      </c>
      <c r="B203" s="11" t="inlineStr">
        <is>
          <t>Lincoln Bishop University</t>
        </is>
      </c>
      <c r="C203" s="10" t="inlineStr">
        <is>
          <t>Other HE provider</t>
        </is>
      </c>
      <c r="D203" s="10" t="inlineStr">
        <is>
          <t>2024/25</t>
        </is>
      </c>
      <c r="E203" s="82" t="n">
        <v>0</v>
      </c>
      <c r="F203" s="82" t="n">
        <v>0</v>
      </c>
      <c r="G203" s="82" t="n">
        <v>0</v>
      </c>
      <c r="H203" s="82" t="n">
        <v>0</v>
      </c>
      <c r="I203" s="82" t="n">
        <v>0</v>
      </c>
      <c r="J203" s="82" t="n">
        <v>0</v>
      </c>
      <c r="K203" s="83">
        <f>I203/1000</f>
        <v/>
      </c>
      <c r="L203" s="83">
        <f>SUM(E203:G203)/1000</f>
        <v/>
      </c>
      <c r="M203" s="84">
        <f>IF(I203=0,"n.a.",H203/I203)</f>
        <v/>
      </c>
      <c r="N203" s="82">
        <f>IF(J203=0,"n.a.",I203*1000/J203)</f>
        <v/>
      </c>
      <c r="O203" s="82">
        <f>SUM(E203:H203)-I203</f>
        <v/>
      </c>
      <c r="P203" s="82">
        <f>RANK(I203,$I$7:$I$212,0)+COUNTIF($I$7:I203,I203)-1</f>
        <v/>
      </c>
      <c r="Q203" s="10" t="inlineStr">
        <is>
          <t>Lincoln Bishop</t>
        </is>
      </c>
    </row>
    <row r="204" ht="46" customHeight="1">
      <c r="A204" s="10" t="inlineStr">
        <is>
          <t>10004075</t>
        </is>
      </c>
      <c r="B204" s="11" t="inlineStr">
        <is>
          <t>London School of Theology</t>
        </is>
      </c>
      <c r="C204" s="10" t="inlineStr">
        <is>
          <t>Other HE provider</t>
        </is>
      </c>
      <c r="D204" s="10" t="inlineStr">
        <is>
          <t>2024/25</t>
        </is>
      </c>
      <c r="E204" s="82" t="n">
        <v>0</v>
      </c>
      <c r="F204" s="82" t="n">
        <v>0</v>
      </c>
      <c r="G204" s="82" t="n">
        <v>0</v>
      </c>
      <c r="H204" s="82" t="n">
        <v>0</v>
      </c>
      <c r="I204" s="82" t="n">
        <v>0</v>
      </c>
      <c r="J204" s="82" t="n">
        <v>0</v>
      </c>
      <c r="K204" s="83">
        <f>I204/1000</f>
        <v/>
      </c>
      <c r="L204" s="83">
        <f>SUM(E204:G204)/1000</f>
        <v/>
      </c>
      <c r="M204" s="84">
        <f>IF(I204=0,"n.a.",H204/I204)</f>
        <v/>
      </c>
      <c r="N204" s="82">
        <f>IF(J204=0,"n.a.",I204*1000/J204)</f>
        <v/>
      </c>
      <c r="O204" s="82">
        <f>SUM(E204:H204)-I204</f>
        <v/>
      </c>
      <c r="P204" s="82">
        <f>RANK(I204,$I$7:$I$212,0)+COUNTIF($I$7:I204,I204)-1</f>
        <v/>
      </c>
      <c r="Q204" s="10" t="inlineStr">
        <is>
          <t>London School of Theology</t>
        </is>
      </c>
    </row>
    <row r="205" ht="46" customHeight="1">
      <c r="A205" s="10" t="inlineStr">
        <is>
          <t>10023777</t>
        </is>
      </c>
      <c r="B205" s="11" t="inlineStr">
        <is>
          <t>Mont Rose College of Management and Sciences Limited</t>
        </is>
      </c>
      <c r="C205" s="10" t="inlineStr">
        <is>
          <t>Other HE provider</t>
        </is>
      </c>
      <c r="D205" s="10" t="inlineStr">
        <is>
          <t>2024/25</t>
        </is>
      </c>
      <c r="E205" s="82" t="n">
        <v>0</v>
      </c>
      <c r="F205" s="82" t="n">
        <v>0</v>
      </c>
      <c r="G205" s="82" t="n">
        <v>0</v>
      </c>
      <c r="H205" s="82" t="n">
        <v>0</v>
      </c>
      <c r="I205" s="82" t="n">
        <v>0</v>
      </c>
      <c r="J205" s="82" t="n">
        <v>0</v>
      </c>
      <c r="K205" s="83">
        <f>I205/1000</f>
        <v/>
      </c>
      <c r="L205" s="83">
        <f>SUM(E205:G205)/1000</f>
        <v/>
      </c>
      <c r="M205" s="84">
        <f>IF(I205=0,"n.a.",H205/I205)</f>
        <v/>
      </c>
      <c r="N205" s="82">
        <f>IF(J205=0,"n.a.",I205*1000/J205)</f>
        <v/>
      </c>
      <c r="O205" s="82">
        <f>SUM(E205:H205)-I205</f>
        <v/>
      </c>
      <c r="P205" s="82">
        <f>RANK(I205,$I$7:$I$212,0)+COUNTIF($I$7:I205,I205)-1</f>
        <v/>
      </c>
      <c r="Q205" s="10" t="inlineStr">
        <is>
          <t>Mont Rose College of Management and Sciences Limited</t>
        </is>
      </c>
    </row>
    <row r="206" ht="46" customHeight="1">
      <c r="A206" s="10" t="inlineStr">
        <is>
          <t>10048199</t>
        </is>
      </c>
      <c r="B206" s="11" t="inlineStr">
        <is>
          <t>Northeastern University London</t>
        </is>
      </c>
      <c r="C206" s="10" t="inlineStr">
        <is>
          <t>Other HE provider</t>
        </is>
      </c>
      <c r="D206" s="10" t="inlineStr">
        <is>
          <t>2024/25</t>
        </is>
      </c>
      <c r="E206" s="82" t="n">
        <v>0</v>
      </c>
      <c r="F206" s="82" t="n">
        <v>0</v>
      </c>
      <c r="G206" s="82" t="n">
        <v>0</v>
      </c>
      <c r="H206" s="82" t="n">
        <v>0</v>
      </c>
      <c r="I206" s="82" t="n">
        <v>0</v>
      </c>
      <c r="J206" s="82" t="n">
        <v>0</v>
      </c>
      <c r="K206" s="83">
        <f>I206/1000</f>
        <v/>
      </c>
      <c r="L206" s="83">
        <f>SUM(E206:G206)/1000</f>
        <v/>
      </c>
      <c r="M206" s="84">
        <f>IF(I206=0,"n.a.",H206/I206)</f>
        <v/>
      </c>
      <c r="N206" s="82">
        <f>IF(J206=0,"n.a.",I206*1000/J206)</f>
        <v/>
      </c>
      <c r="O206" s="82">
        <f>SUM(E206:H206)-I206</f>
        <v/>
      </c>
      <c r="P206" s="82">
        <f>RANK(I206,$I$7:$I$212,0)+COUNTIF($I$7:I206,I206)-1</f>
        <v/>
      </c>
      <c r="Q206" s="10" t="inlineStr">
        <is>
          <t>Northeastern University London</t>
        </is>
      </c>
    </row>
    <row r="207" ht="46" customHeight="1">
      <c r="A207" s="10" t="inlineStr">
        <is>
          <t>10005389</t>
        </is>
      </c>
      <c r="B207" s="11" t="inlineStr">
        <is>
          <t>Ravensbourne University London</t>
        </is>
      </c>
      <c r="C207" s="10" t="inlineStr">
        <is>
          <t>Other HE provider</t>
        </is>
      </c>
      <c r="D207" s="10" t="inlineStr">
        <is>
          <t>2024/25</t>
        </is>
      </c>
      <c r="E207" s="82" t="n">
        <v>0</v>
      </c>
      <c r="F207" s="82" t="n">
        <v>0</v>
      </c>
      <c r="G207" s="82" t="n">
        <v>0</v>
      </c>
      <c r="H207" s="82" t="n">
        <v>0</v>
      </c>
      <c r="I207" s="82" t="n">
        <v>0</v>
      </c>
      <c r="J207" s="82" t="n">
        <v>0</v>
      </c>
      <c r="K207" s="83">
        <f>I207/1000</f>
        <v/>
      </c>
      <c r="L207" s="83">
        <f>SUM(E207:G207)/1000</f>
        <v/>
      </c>
      <c r="M207" s="84">
        <f>IF(I207=0,"n.a.",H207/I207)</f>
        <v/>
      </c>
      <c r="N207" s="82">
        <f>IF(J207=0,"n.a.",I207*1000/J207)</f>
        <v/>
      </c>
      <c r="O207" s="82">
        <f>SUM(E207:H207)-I207</f>
        <v/>
      </c>
      <c r="P207" s="82">
        <f>RANK(I207,$I$7:$I$212,0)+COUNTIF($I$7:I207,I207)-1</f>
        <v/>
      </c>
      <c r="Q207" s="10" t="inlineStr">
        <is>
          <t>Ravensbourne University London</t>
        </is>
      </c>
    </row>
    <row r="208" ht="46" customHeight="1">
      <c r="A208" s="10" t="inlineStr">
        <is>
          <t>10005523</t>
        </is>
      </c>
      <c r="B208" s="11" t="inlineStr">
        <is>
          <t>Rose Bruford College of Theatre and Performance</t>
        </is>
      </c>
      <c r="C208" s="10" t="inlineStr">
        <is>
          <t>Other HE provider</t>
        </is>
      </c>
      <c r="D208" s="10" t="inlineStr">
        <is>
          <t>2024/25</t>
        </is>
      </c>
      <c r="E208" s="82" t="n">
        <v>0</v>
      </c>
      <c r="F208" s="82" t="n">
        <v>0</v>
      </c>
      <c r="G208" s="82" t="n">
        <v>0</v>
      </c>
      <c r="H208" s="82" t="n">
        <v>0</v>
      </c>
      <c r="I208" s="82" t="n">
        <v>0</v>
      </c>
      <c r="J208" s="82" t="n">
        <v>0</v>
      </c>
      <c r="K208" s="83">
        <f>I208/1000</f>
        <v/>
      </c>
      <c r="L208" s="83">
        <f>SUM(E208:G208)/1000</f>
        <v/>
      </c>
      <c r="M208" s="84">
        <f>IF(I208=0,"n.a.",H208/I208)</f>
        <v/>
      </c>
      <c r="N208" s="82">
        <f>IF(J208=0,"n.a.",I208*1000/J208)</f>
        <v/>
      </c>
      <c r="O208" s="82">
        <f>SUM(E208:H208)-I208</f>
        <v/>
      </c>
      <c r="P208" s="82">
        <f>RANK(I208,$I$7:$I$212,0)+COUNTIF($I$7:I208,I208)-1</f>
        <v/>
      </c>
      <c r="Q208" s="10" t="inlineStr">
        <is>
          <t>Rose Bruford College of Theatre and Performance</t>
        </is>
      </c>
    </row>
    <row r="209" ht="46" customHeight="1">
      <c r="A209" s="10" t="inlineStr">
        <is>
          <t>10008026</t>
        </is>
      </c>
      <c r="B209" s="11" t="inlineStr">
        <is>
          <t>St Mary's University College</t>
        </is>
      </c>
      <c r="C209" s="10" t="inlineStr">
        <is>
          <t>Other HE provider</t>
        </is>
      </c>
      <c r="D209" s="10" t="inlineStr">
        <is>
          <t>2024/25</t>
        </is>
      </c>
      <c r="E209" s="82" t="n">
        <v>0</v>
      </c>
      <c r="F209" s="82" t="n">
        <v>0</v>
      </c>
      <c r="G209" s="82" t="n">
        <v>0</v>
      </c>
      <c r="H209" s="82" t="n">
        <v>0</v>
      </c>
      <c r="I209" s="82" t="n">
        <v>0</v>
      </c>
      <c r="J209" s="82" t="n">
        <v>0</v>
      </c>
      <c r="K209" s="83">
        <f>I209/1000</f>
        <v/>
      </c>
      <c r="L209" s="83">
        <f>SUM(E209:G209)/1000</f>
        <v/>
      </c>
      <c r="M209" s="84">
        <f>IF(I209=0,"n.a.",H209/I209)</f>
        <v/>
      </c>
      <c r="N209" s="82">
        <f>IF(J209=0,"n.a.",I209*1000/J209)</f>
        <v/>
      </c>
      <c r="O209" s="82">
        <f>SUM(E209:H209)-I209</f>
        <v/>
      </c>
      <c r="P209" s="82">
        <f>RANK(I209,$I$7:$I$212,0)+COUNTIF($I$7:I209,I209)-1</f>
        <v/>
      </c>
      <c r="Q209" s="10" t="inlineStr">
        <is>
          <t>St Mary's University College</t>
        </is>
      </c>
    </row>
    <row r="210" ht="46" customHeight="1">
      <c r="A210" s="10" t="inlineStr">
        <is>
          <t>10030776</t>
        </is>
      </c>
      <c r="B210" s="11" t="inlineStr">
        <is>
          <t>St Mellitus College</t>
        </is>
      </c>
      <c r="C210" s="10" t="inlineStr">
        <is>
          <t>Other HE provider</t>
        </is>
      </c>
      <c r="D210" s="10" t="inlineStr">
        <is>
          <t>2024/25</t>
        </is>
      </c>
      <c r="E210" s="82" t="n">
        <v>0</v>
      </c>
      <c r="F210" s="82" t="n">
        <v>0</v>
      </c>
      <c r="G210" s="82" t="n">
        <v>0</v>
      </c>
      <c r="H210" s="82" t="n">
        <v>0</v>
      </c>
      <c r="I210" s="82" t="n">
        <v>0</v>
      </c>
      <c r="J210" s="82" t="n">
        <v>0</v>
      </c>
      <c r="K210" s="83">
        <f>I210/1000</f>
        <v/>
      </c>
      <c r="L210" s="83">
        <f>SUM(E210:G210)/1000</f>
        <v/>
      </c>
      <c r="M210" s="84">
        <f>IF(I210=0,"n.a.",H210/I210)</f>
        <v/>
      </c>
      <c r="N210" s="82">
        <f>IF(J210=0,"n.a.",I210*1000/J210)</f>
        <v/>
      </c>
      <c r="O210" s="82">
        <f>SUM(E210:H210)-I210</f>
        <v/>
      </c>
      <c r="P210" s="82">
        <f>RANK(I210,$I$7:$I$212,0)+COUNTIF($I$7:I210,I210)-1</f>
        <v/>
      </c>
      <c r="Q210" s="10" t="inlineStr">
        <is>
          <t>St Mellitus College</t>
        </is>
      </c>
    </row>
    <row r="211" ht="46" customHeight="1">
      <c r="A211" s="10" t="inlineStr">
        <is>
          <t>10082743</t>
        </is>
      </c>
      <c r="B211" s="11" t="inlineStr">
        <is>
          <t>ThinkSpace Education Limited</t>
        </is>
      </c>
      <c r="C211" s="10" t="inlineStr">
        <is>
          <t>Other HE provider</t>
        </is>
      </c>
      <c r="D211" s="10" t="inlineStr">
        <is>
          <t>2024/25</t>
        </is>
      </c>
      <c r="E211" s="82" t="n">
        <v>0</v>
      </c>
      <c r="F211" s="82" t="n">
        <v>0</v>
      </c>
      <c r="G211" s="82" t="n">
        <v>0</v>
      </c>
      <c r="H211" s="82" t="n">
        <v>0</v>
      </c>
      <c r="I211" s="82" t="n">
        <v>0</v>
      </c>
      <c r="J211" s="82" t="n">
        <v>0</v>
      </c>
      <c r="K211" s="83">
        <f>I211/1000</f>
        <v/>
      </c>
      <c r="L211" s="83">
        <f>SUM(E211:G211)/1000</f>
        <v/>
      </c>
      <c r="M211" s="84">
        <f>IF(I211=0,"n.a.",H211/I211)</f>
        <v/>
      </c>
      <c r="N211" s="82">
        <f>IF(J211=0,"n.a.",I211*1000/J211)</f>
        <v/>
      </c>
      <c r="O211" s="82">
        <f>SUM(E211:H211)-I211</f>
        <v/>
      </c>
      <c r="P211" s="82">
        <f>RANK(I211,$I$7:$I$212,0)+COUNTIF($I$7:I211,I211)-1</f>
        <v/>
      </c>
      <c r="Q211" s="10" t="inlineStr">
        <is>
          <t>ThinkSpace Education Limited</t>
        </is>
      </c>
    </row>
    <row r="212" ht="46" customHeight="1">
      <c r="A212" s="10" t="inlineStr">
        <is>
          <t>10089591</t>
        </is>
      </c>
      <c r="B212" s="11" t="inlineStr">
        <is>
          <t>Walbrook Institute London Limited</t>
        </is>
      </c>
      <c r="C212" s="10" t="inlineStr">
        <is>
          <t>Other HE provider</t>
        </is>
      </c>
      <c r="D212" s="10" t="inlineStr">
        <is>
          <t>2024/25</t>
        </is>
      </c>
      <c r="E212" s="82" t="n">
        <v>0</v>
      </c>
      <c r="F212" s="82" t="n">
        <v>0</v>
      </c>
      <c r="G212" s="82" t="n">
        <v>0</v>
      </c>
      <c r="H212" s="82" t="n">
        <v>0</v>
      </c>
      <c r="I212" s="82" t="n">
        <v>0</v>
      </c>
      <c r="J212" s="82" t="n">
        <v>0</v>
      </c>
      <c r="K212" s="83">
        <f>I212/1000</f>
        <v/>
      </c>
      <c r="L212" s="83">
        <f>SUM(E212:G212)/1000</f>
        <v/>
      </c>
      <c r="M212" s="84">
        <f>IF(I212=0,"n.a.",H212/I212)</f>
        <v/>
      </c>
      <c r="N212" s="82">
        <f>IF(J212=0,"n.a.",I212*1000/J212)</f>
        <v/>
      </c>
      <c r="O212" s="82">
        <f>SUM(E212:H212)-I212</f>
        <v/>
      </c>
      <c r="P212" s="82">
        <f>RANK(I212,$I$7:$I$212,0)+COUNTIF($I$7:I212,I212)-1</f>
        <v/>
      </c>
      <c r="Q212" s="10" t="inlineStr">
        <is>
          <t>Walbrook Institute London Limited</t>
        </is>
      </c>
    </row>
    <row r="213">
      <c r="E213" s="85" t="n"/>
      <c r="F213" s="85" t="n"/>
      <c r="G213" s="85" t="n"/>
      <c r="H213" s="85" t="n"/>
      <c r="I213" s="85" t="n"/>
      <c r="J213" s="85" t="n"/>
      <c r="K213" s="86" t="n"/>
      <c r="L213" s="86" t="n"/>
      <c r="M213" s="23" t="n"/>
      <c r="N213" s="23" t="n"/>
      <c r="O213" s="23" t="n"/>
      <c r="P213" s="23" t="n"/>
    </row>
    <row r="214" ht="32" customHeight="1">
      <c r="B214" s="24" t="inlineStr">
        <is>
          <t>Published HESA total</t>
        </is>
      </c>
      <c r="C214" s="24" t="inlineStr">
        <is>
          <t>Control (excluded)</t>
        </is>
      </c>
      <c r="D214" s="24" t="inlineStr">
        <is>
          <t>2024/25</t>
        </is>
      </c>
      <c r="E214" s="87" t="n">
        <v>30066</v>
      </c>
      <c r="F214" s="87" t="n">
        <v>146741</v>
      </c>
      <c r="G214" s="87" t="n">
        <v>293718</v>
      </c>
      <c r="H214" s="87" t="n">
        <v>353653</v>
      </c>
      <c r="I214" s="87" t="n">
        <v>824178</v>
      </c>
      <c r="J214" s="87" t="n">
        <v>4510435</v>
      </c>
      <c r="K214" s="88">
        <f>I214/1000</f>
        <v/>
      </c>
      <c r="L214" s="88">
        <f>SUM(E214:G214)/1000</f>
        <v/>
      </c>
      <c r="M214" s="27" t="n"/>
      <c r="N214" s="27" t="n"/>
      <c r="O214" s="27" t="n"/>
      <c r="P214" s="27" t="n"/>
      <c r="Q214" s="24" t="n"/>
    </row>
    <row r="215" ht="32" customHeight="1">
      <c r="B215" s="24" t="inlineStr">
        <is>
          <t>Calculated provider sum</t>
        </is>
      </c>
      <c r="C215" s="24" t="inlineStr">
        <is>
          <t>All 206 rows</t>
        </is>
      </c>
      <c r="D215" s="24" t="inlineStr">
        <is>
          <t>2024/25</t>
        </is>
      </c>
      <c r="E215" s="87">
        <f>SUM(E7:E212)</f>
        <v/>
      </c>
      <c r="F215" s="87">
        <f>SUM(F7:F212)</f>
        <v/>
      </c>
      <c r="G215" s="87">
        <f>SUM(G7:G212)</f>
        <v/>
      </c>
      <c r="H215" s="87">
        <f>SUM(H7:H212)</f>
        <v/>
      </c>
      <c r="I215" s="87">
        <f>SUM(I7:I212)</f>
        <v/>
      </c>
      <c r="J215" s="87">
        <f>SUM(J7:J212)</f>
        <v/>
      </c>
      <c r="K215" s="88">
        <f>I215/1000</f>
        <v/>
      </c>
      <c r="L215" s="88">
        <f>SUM(E215:G215)/1000</f>
        <v/>
      </c>
      <c r="M215" s="27" t="n"/>
      <c r="N215" s="27" t="n"/>
      <c r="O215" s="27" t="n"/>
      <c r="P215" s="27" t="n"/>
      <c r="Q215" s="24" t="n"/>
    </row>
    <row r="216" ht="32" customHeight="1">
      <c r="B216" s="24" t="inlineStr">
        <is>
          <t>Difference to published total</t>
        </is>
      </c>
      <c r="C216" s="24" t="inlineStr">
        <is>
          <t>Should equal zero</t>
        </is>
      </c>
      <c r="D216" s="24" t="inlineStr">
        <is>
          <t>2024/25</t>
        </is>
      </c>
      <c r="E216" s="87">
        <f>E215-E214</f>
        <v/>
      </c>
      <c r="F216" s="87">
        <f>F215-F214</f>
        <v/>
      </c>
      <c r="G216" s="87">
        <f>G215-G214</f>
        <v/>
      </c>
      <c r="H216" s="87">
        <f>H215-H214</f>
        <v/>
      </c>
      <c r="I216" s="87">
        <f>I215-I214</f>
        <v/>
      </c>
      <c r="J216" s="87">
        <f>J215-J214</f>
        <v/>
      </c>
      <c r="K216" s="88" t="n"/>
      <c r="L216" s="88" t="n"/>
      <c r="M216" s="27" t="n"/>
      <c r="N216" s="27" t="n"/>
      <c r="O216" s="27" t="n"/>
      <c r="P216" s="27" t="n"/>
      <c r="Q216" s="24" t="n"/>
    </row>
  </sheetData>
  <mergeCells count="3">
    <mergeCell ref="A3:F3"/>
    <mergeCell ref="A2:F2"/>
    <mergeCell ref="A4:F4"/>
  </mergeCells>
  <conditionalFormatting sqref="O7:O212">
    <cfRule type="cellIs" priority="1" operator="notEqual" dxfId="1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203B60"/>
    <outlinePr summaryBelow="1" summaryRight="1"/>
    <pageSetUpPr/>
  </sheetPr>
  <dimension ref="A1:N95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4" customWidth="1" min="1" max="1"/>
    <col width="31" customWidth="1" min="2" max="2"/>
    <col width="28" customWidth="1" min="3" max="3"/>
    <col width="48" customWidth="1" min="4" max="4"/>
    <col width="16" customWidth="1" min="5" max="5"/>
    <col width="19" customWidth="1" min="6" max="6"/>
    <col width="18" customWidth="1" min="7" max="7"/>
    <col width="19" customWidth="1" min="8" max="8"/>
    <col width="18" customWidth="1" min="9" max="9"/>
    <col width="17" customWidth="1" min="10" max="10"/>
    <col width="40" customWidth="1" min="11" max="11"/>
    <col width="85" customWidth="1" min="12" max="12"/>
    <col width="88" customWidth="1" min="13" max="13"/>
    <col width="18" customWidth="1" min="14" max="14"/>
  </cols>
  <sheetData>
    <row r="1"/>
    <row r="2" ht="28" customHeight="1">
      <c r="A2" s="4" t="inlineStr">
        <is>
          <t>Lifelong learning: revenue, growth and other evidence</t>
        </is>
      </c>
      <c r="G2" s="2" t="n"/>
      <c r="H2" s="2" t="n"/>
      <c r="I2" s="2" t="n"/>
      <c r="J2" s="2" t="n"/>
      <c r="K2" s="2" t="n"/>
      <c r="L2" s="2" t="n"/>
      <c r="M2" s="2" t="n"/>
      <c r="N2" s="2" t="n"/>
    </row>
    <row r="3" ht="36" customHeight="1">
      <c r="A3" s="6" t="inlineStr">
        <is>
          <t>Column C contains five evidence types. HESA gives comparable 2024/25 income for all 54 researched UK institutions; original accounts and Australian evidence retained.</t>
        </is>
      </c>
      <c r="G3" s="2" t="n"/>
      <c r="H3" s="2" t="n"/>
      <c r="I3" s="2" t="n"/>
      <c r="J3" s="2" t="n"/>
      <c r="K3" s="2" t="n"/>
      <c r="L3" s="2" t="n"/>
      <c r="M3" s="2" t="n"/>
      <c r="N3" s="2" t="n"/>
    </row>
    <row r="4" ht="36" customHeight="1">
      <c r="A4" s="6" t="inlineStr">
        <is>
          <t>Growth is calculated only within matching categories and periods. Do not sum different definitions, reporting entities, periods or currencies. HESA figures link by UKPRN; no HESA growth is implied.</t>
        </is>
      </c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40" customHeight="1">
      <c r="A6" s="9" t="inlineStr">
        <is>
          <t>Country</t>
        </is>
      </c>
      <c r="B6" s="9" t="inlineStr">
        <is>
          <t>University</t>
        </is>
      </c>
      <c r="C6" s="9" t="inlineStr">
        <is>
          <t>Evidence type</t>
        </is>
      </c>
      <c r="D6" s="9" t="inlineStr">
        <is>
          <t>Reported metric</t>
        </is>
      </c>
      <c r="E6" s="9" t="inlineStr">
        <is>
          <t>Unit</t>
        </is>
      </c>
      <c r="F6" s="9" t="inlineStr">
        <is>
          <t>Prior period</t>
        </is>
      </c>
      <c r="G6" s="9" t="inlineStr">
        <is>
          <t>Prior value</t>
        </is>
      </c>
      <c r="H6" s="9" t="inlineStr">
        <is>
          <t>Current period</t>
        </is>
      </c>
      <c r="I6" s="9" t="inlineStr">
        <is>
          <t>Current value</t>
        </is>
      </c>
      <c r="J6" s="9" t="inlineStr">
        <is>
          <t>Growth</t>
        </is>
      </c>
      <c r="K6" s="9" t="inlineStr">
        <is>
          <t>Reporting coverage</t>
        </is>
      </c>
      <c r="L6" s="9" t="inlineStr">
        <is>
          <t>Interpretation / limitation</t>
        </is>
      </c>
      <c r="M6" s="9" t="inlineStr">
        <is>
          <t>Primary source</t>
        </is>
      </c>
      <c r="N6" s="9" t="inlineStr">
        <is>
          <t>HESA UKPRN</t>
        </is>
      </c>
    </row>
    <row r="7" ht="110" customHeight="1">
      <c r="A7" s="10" t="inlineStr">
        <is>
          <t>UK</t>
        </is>
      </c>
      <c r="B7" s="11" t="inlineStr">
        <is>
          <t>Birmingham</t>
        </is>
      </c>
      <c r="C7" s="10" t="inlineStr">
        <is>
          <t>Reported course revenue</t>
        </is>
      </c>
      <c r="D7" s="10" t="inlineStr">
        <is>
          <t>Other courses</t>
        </is>
      </c>
      <c r="E7" s="10" t="inlineStr">
        <is>
          <t>GBP m</t>
        </is>
      </c>
      <c r="F7" s="10" t="inlineStr">
        <is>
          <t>2023/24</t>
        </is>
      </c>
      <c r="G7" s="83" t="n">
        <v>1.92</v>
      </c>
      <c r="H7" s="83" t="inlineStr">
        <is>
          <t>2024/25</t>
        </is>
      </c>
      <c r="I7" s="83" t="n">
        <v>6.199</v>
      </c>
      <c r="J7" s="84">
        <f>IF(G7=0,"n.a.",I7/G7-1)</f>
        <v/>
      </c>
      <c r="K7" s="10" t="inlineStr">
        <is>
          <t>Broader fee category</t>
        </is>
      </c>
      <c r="L7" s="10" t="inlineStr">
        <is>
          <t>Large increase in a broader course-fee category. Standalone lifelong-learning income is not separated.</t>
        </is>
      </c>
      <c r="M7" s="10" t="inlineStr">
        <is>
          <t>https://www.birmingham.ac.uk/documents/finance/uob-annual-report-and-accounts-2024-25.pdf</t>
        </is>
      </c>
      <c r="N7" s="10" t="inlineStr">
        <is>
          <t>10006840</t>
        </is>
      </c>
    </row>
    <row r="8" ht="110" customHeight="1">
      <c r="A8" s="10" t="inlineStr">
        <is>
          <t>UK</t>
        </is>
      </c>
      <c r="B8" s="11" t="inlineStr">
        <is>
          <t>Bristol</t>
        </is>
      </c>
      <c r="C8" s="10" t="inlineStr">
        <is>
          <t>Reported course revenue</t>
        </is>
      </c>
      <c r="D8" s="10" t="inlineStr">
        <is>
          <t>Short course fees</t>
        </is>
      </c>
      <c r="E8" s="10" t="inlineStr">
        <is>
          <t>GBP m</t>
        </is>
      </c>
      <c r="F8" s="10" t="inlineStr">
        <is>
          <t>2023/24</t>
        </is>
      </c>
      <c r="G8" s="83" t="n">
        <v>6.5</v>
      </c>
      <c r="H8" s="83" t="inlineStr">
        <is>
          <t>2024/25</t>
        </is>
      </c>
      <c r="I8" s="83" t="n">
        <v>6.2</v>
      </c>
      <c r="J8" s="84">
        <f>IF(G8=0,"n.a.",I8/G8-1)</f>
        <v/>
      </c>
      <c r="K8" s="10" t="inlineStr">
        <is>
          <t>Consolidated</t>
        </is>
      </c>
      <c r="L8" s="10" t="inlineStr">
        <is>
          <t>Note 1. Excludes separately reported research training support. Not necessarily the whole lifelong-learning portfolio.</t>
        </is>
      </c>
      <c r="M8" s="10" t="inlineStr">
        <is>
          <t>https://www.bristol.ac.uk/media-library/sites/finance/documents/UoB_ARFS2025_WEB.pdf</t>
        </is>
      </c>
      <c r="N8" s="10" t="inlineStr">
        <is>
          <t>10007786</t>
        </is>
      </c>
    </row>
    <row r="9" ht="110" customHeight="1">
      <c r="A9" s="10" t="inlineStr">
        <is>
          <t>UK</t>
        </is>
      </c>
      <c r="B9" s="11" t="inlineStr">
        <is>
          <t>Cambridge</t>
        </is>
      </c>
      <c r="C9" s="10" t="inlineStr">
        <is>
          <t>Reported course revenue</t>
        </is>
      </c>
      <c r="D9" s="10" t="inlineStr">
        <is>
          <t>ICE academic fee income</t>
        </is>
      </c>
      <c r="E9" s="10" t="inlineStr">
        <is>
          <t>GBP m</t>
        </is>
      </c>
      <c r="F9" s="10" t="inlineStr">
        <is>
          <t>2022/23</t>
        </is>
      </c>
      <c r="G9" s="83" t="n">
        <v>7.721</v>
      </c>
      <c r="H9" s="83" t="inlineStr">
        <is>
          <t>2023/24</t>
        </is>
      </c>
      <c r="I9" s="83" t="n">
        <v>8.946</v>
      </c>
      <c r="J9" s="84">
        <f>IF(G9=0,"n.a.",I9/G9-1)</f>
        <v/>
      </c>
      <c r="K9" s="10" t="inlineStr">
        <is>
          <t>Institute for Continuing Education</t>
        </is>
      </c>
      <c r="L9" s="10" t="inlineStr">
        <is>
          <t>Institute only. Includes award and non-award study. 2023/24 evidence, not the latest university-wide total.</t>
        </is>
      </c>
      <c r="M9" s="10" t="inlineStr">
        <is>
          <t>https://www.pace.cam.ac.uk/sites/default/files/2026-07/ICE%20Annual%20Report%20202324.pdf</t>
        </is>
      </c>
      <c r="N9" s="10" t="inlineStr">
        <is>
          <t>10007788</t>
        </is>
      </c>
    </row>
    <row r="10" ht="110" customHeight="1">
      <c r="A10" s="10" t="inlineStr">
        <is>
          <t>UK</t>
        </is>
      </c>
      <c r="B10" s="11" t="inlineStr">
        <is>
          <t>Cardiff</t>
        </is>
      </c>
      <c r="C10" s="10" t="inlineStr">
        <is>
          <t>Reported course revenue</t>
        </is>
      </c>
      <c r="D10" s="10" t="inlineStr">
        <is>
          <t>External CPD income</t>
        </is>
      </c>
      <c r="E10" s="10" t="inlineStr">
        <is>
          <t>GBP m</t>
        </is>
      </c>
      <c r="F10" s="10" t="inlineStr">
        <is>
          <t>2021/22</t>
        </is>
      </c>
      <c r="G10" s="83" t="n">
        <v>7.209159</v>
      </c>
      <c r="H10" s="83" t="inlineStr">
        <is>
          <t>2022/23</t>
        </is>
      </c>
      <c r="I10" s="83" t="n">
        <v>7.903582</v>
      </c>
      <c r="J10" s="84">
        <f>IF(G10=0,"n.a.",I10/G10-1)</f>
        <v/>
      </c>
      <c r="K10" s="10" t="inlineStr">
        <is>
          <t>University HE-BCI CPD return</t>
        </is>
      </c>
      <c r="L10" s="10" t="inlineStr">
        <is>
          <t>CPD Unit Review 2023. Report rounds growth to 10%. Actual values imply 9.6%. Older evidence. Learner hours fell 5%.</t>
        </is>
      </c>
      <c r="M10" s="10" t="inlineStr">
        <is>
          <t>https://www.cardiff.ac.uk/__data/assets/pdf_file/0007/2806738/Annual-Review-English-2023.pdf</t>
        </is>
      </c>
      <c r="N10" s="10" t="inlineStr">
        <is>
          <t>10007814</t>
        </is>
      </c>
    </row>
    <row r="11" ht="110" customHeight="1">
      <c r="A11" s="10" t="inlineStr">
        <is>
          <t>UK</t>
        </is>
      </c>
      <c r="B11" s="11" t="inlineStr">
        <is>
          <t>Durham</t>
        </is>
      </c>
      <c r="C11" s="10" t="inlineStr">
        <is>
          <t>No numeric evidence</t>
        </is>
      </c>
      <c r="D11" s="10" t="inlineStr">
        <is>
          <t>Additional accounts category unverified</t>
        </is>
      </c>
      <c r="E11" s="10" t="inlineStr">
        <is>
          <t>GBP m</t>
        </is>
      </c>
      <c r="F11" s="10" t="inlineStr">
        <is>
          <t>n.a.</t>
        </is>
      </c>
      <c r="G11" s="83" t="inlineStr">
        <is>
          <t>n.a.</t>
        </is>
      </c>
      <c r="H11" s="83" t="inlineStr">
        <is>
          <t>n.a.</t>
        </is>
      </c>
      <c r="I11" s="83" t="inlineStr">
        <is>
          <t>n.a.</t>
        </is>
      </c>
      <c r="J11" s="84" t="inlineStr">
        <is>
          <t>n.a.</t>
        </is>
      </c>
      <c r="K11" s="10" t="inlineStr">
        <is>
          <t>Evidence gap</t>
        </is>
      </c>
      <c r="L11" s="10" t="inlineStr">
        <is>
          <t>Supplementary accounts evidence; comparable CPD/CE income is in the HESA row. Professional short courses and executive education exist. No separate revenue or growth figure confirmed in this scan.</t>
        </is>
      </c>
      <c r="M11" s="10" t="inlineStr">
        <is>
          <t>https://dur.ac.uk/departments/academic/psychology/short-courses/</t>
        </is>
      </c>
      <c r="N11" s="10" t="inlineStr">
        <is>
          <t>10007143</t>
        </is>
      </c>
    </row>
    <row r="12" ht="110" customHeight="1">
      <c r="A12" s="10" t="inlineStr">
        <is>
          <t>UK</t>
        </is>
      </c>
      <c r="B12" s="11" t="inlineStr">
        <is>
          <t>Edinburgh</t>
        </is>
      </c>
      <c r="C12" s="10" t="inlineStr">
        <is>
          <t>Reported course revenue</t>
        </is>
      </c>
      <c r="D12" s="10" t="inlineStr">
        <is>
          <t>Short course and other fees / support grants</t>
        </is>
      </c>
      <c r="E12" s="10" t="inlineStr">
        <is>
          <t>GBP m</t>
        </is>
      </c>
      <c r="F12" s="10" t="inlineStr">
        <is>
          <t>2023/24</t>
        </is>
      </c>
      <c r="G12" s="83" t="n">
        <v>6.3</v>
      </c>
      <c r="H12" s="83" t="inlineStr">
        <is>
          <t>2024/25</t>
        </is>
      </c>
      <c r="I12" s="83" t="n">
        <v>7</v>
      </c>
      <c r="J12" s="84">
        <f>IF(G12=0,"n.a.",I12/G12-1)</f>
        <v/>
      </c>
      <c r="K12" s="10" t="inlineStr">
        <is>
          <t>Consolidated and institution</t>
        </is>
      </c>
      <c r="L12" s="10" t="inlineStr">
        <is>
          <t>Non-credit-bearing category combines short courses with other fees and support grants. Broader than a pure CPD total.</t>
        </is>
      </c>
      <c r="M12" s="10" t="inlineStr">
        <is>
          <t>https://uoe-finance.ed.ac.uk/sites/default/files/2026-01/Annual%20Report%20and%20Accounts%20for%202024/25.pdf</t>
        </is>
      </c>
      <c r="N12" s="10" t="inlineStr">
        <is>
          <t>10007790</t>
        </is>
      </c>
    </row>
    <row r="13" ht="110" customHeight="1">
      <c r="A13" s="10" t="inlineStr">
        <is>
          <t>UK</t>
        </is>
      </c>
      <c r="B13" s="11" t="inlineStr">
        <is>
          <t>Exeter</t>
        </is>
      </c>
      <c r="C13" s="10" t="inlineStr">
        <is>
          <t>No numeric evidence</t>
        </is>
      </c>
      <c r="D13" s="10" t="inlineStr">
        <is>
          <t>Additional accounts category unverified</t>
        </is>
      </c>
      <c r="E13" s="10" t="inlineStr">
        <is>
          <t>GBP m</t>
        </is>
      </c>
      <c r="F13" s="10" t="inlineStr">
        <is>
          <t>n.a.</t>
        </is>
      </c>
      <c r="G13" s="83" t="inlineStr">
        <is>
          <t>n.a.</t>
        </is>
      </c>
      <c r="H13" s="83" t="inlineStr">
        <is>
          <t>n.a.</t>
        </is>
      </c>
      <c r="I13" s="83" t="inlineStr">
        <is>
          <t>n.a.</t>
        </is>
      </c>
      <c r="J13" s="84" t="inlineStr">
        <is>
          <t>n.a.</t>
        </is>
      </c>
      <c r="K13" s="10" t="inlineStr">
        <is>
          <t>Evidence gap</t>
        </is>
      </c>
      <c r="L13" s="10" t="inlineStr">
        <is>
          <t>Supplementary accounts evidence; comparable CPD/CE income is in the HESA row. Financial statements identified. A separate lifelong-learning revenue or growth figure was not confirmed.</t>
        </is>
      </c>
      <c r="M13" s="10" t="inlineStr">
        <is>
          <t>https://www.exeter.ac.uk/departments/finance/aboutus/financialstatements/</t>
        </is>
      </c>
      <c r="N13" s="10" t="inlineStr">
        <is>
          <t>10007792</t>
        </is>
      </c>
    </row>
    <row r="14" ht="110" customHeight="1">
      <c r="A14" s="10" t="inlineStr">
        <is>
          <t>UK</t>
        </is>
      </c>
      <c r="B14" s="11" t="inlineStr">
        <is>
          <t>Glasgow</t>
        </is>
      </c>
      <c r="C14" s="10" t="inlineStr">
        <is>
          <t>Reported course revenue</t>
        </is>
      </c>
      <c r="D14" s="10" t="inlineStr">
        <is>
          <t>Short courses</t>
        </is>
      </c>
      <c r="E14" s="10" t="inlineStr">
        <is>
          <t>GBP m</t>
        </is>
      </c>
      <c r="F14" s="10" t="inlineStr">
        <is>
          <t>2023/24</t>
        </is>
      </c>
      <c r="G14" s="83" t="n">
        <v>5.6</v>
      </c>
      <c r="H14" s="83" t="inlineStr">
        <is>
          <t>2024/25</t>
        </is>
      </c>
      <c r="I14" s="83" t="n">
        <v>6.3</v>
      </c>
      <c r="J14" s="84">
        <f>IF(G14=0,"n.a.",I14/G14-1)</f>
        <v/>
      </c>
      <c r="K14" s="10" t="inlineStr">
        <is>
          <t>University financial statements</t>
        </is>
      </c>
      <c r="L14" s="10" t="inlineStr">
        <is>
          <t>Note 1. Revenue category, not profit or a student-participation measure.</t>
        </is>
      </c>
      <c r="M14" s="10" t="inlineStr">
        <is>
          <t>https://www.gla.ac.uk/media/Media_1230503_smxx.pdf</t>
        </is>
      </c>
      <c r="N14" s="10" t="inlineStr">
        <is>
          <t>10007794</t>
        </is>
      </c>
    </row>
    <row r="15" ht="110" customHeight="1">
      <c r="A15" s="10" t="inlineStr">
        <is>
          <t>UK</t>
        </is>
      </c>
      <c r="B15" s="11" t="inlineStr">
        <is>
          <t>Imperial College London</t>
        </is>
      </c>
      <c r="C15" s="10" t="inlineStr">
        <is>
          <t>Reported course revenue</t>
        </is>
      </c>
      <c r="D15" s="10" t="inlineStr">
        <is>
          <t>Short course fees</t>
        </is>
      </c>
      <c r="E15" s="10" t="inlineStr">
        <is>
          <t>GBP m</t>
        </is>
      </c>
      <c r="F15" s="10" t="inlineStr">
        <is>
          <t>2023/24</t>
        </is>
      </c>
      <c r="G15" s="83" t="n">
        <v>17.3</v>
      </c>
      <c r="H15" s="83" t="inlineStr">
        <is>
          <t>2024/25</t>
        </is>
      </c>
      <c r="I15" s="83" t="n">
        <v>20.9</v>
      </c>
      <c r="J15" s="84">
        <f>IF(G15=0,"n.a.",I15/G15-1)</f>
        <v/>
      </c>
      <c r="K15" s="10" t="inlineStr">
        <is>
          <t>Consolidated</t>
        </is>
      </c>
      <c r="L15" s="10" t="inlineStr">
        <is>
          <t>Note 1. University-only figure is £21.2m in 2025. Uses consolidated values consistently.</t>
        </is>
      </c>
      <c r="M15" s="10" t="inlineStr">
        <is>
          <t>https://www.imperial.ac.uk/media/imperial-college/administration-and-support-services/finance/public/Annual_Report_2024-25_web.pdf</t>
        </is>
      </c>
      <c r="N15" s="10" t="inlineStr">
        <is>
          <t>10003270</t>
        </is>
      </c>
    </row>
    <row r="16" ht="110" customHeight="1">
      <c r="A16" s="10" t="inlineStr">
        <is>
          <t>UK</t>
        </is>
      </c>
      <c r="B16" s="11" t="inlineStr">
        <is>
          <t>King’s College London</t>
        </is>
      </c>
      <c r="C16" s="10" t="inlineStr">
        <is>
          <t>Reported course revenue</t>
        </is>
      </c>
      <c r="D16" s="10" t="inlineStr">
        <is>
          <t>Special and short course fees</t>
        </is>
      </c>
      <c r="E16" s="10" t="inlineStr">
        <is>
          <t>GBP m</t>
        </is>
      </c>
      <c r="F16" s="10" t="inlineStr">
        <is>
          <t>2023/24</t>
        </is>
      </c>
      <c r="G16" s="83" t="n">
        <v>42.444</v>
      </c>
      <c r="H16" s="83" t="inlineStr">
        <is>
          <t>2024/25</t>
        </is>
      </c>
      <c r="I16" s="83" t="n">
        <v>49.153</v>
      </c>
      <c r="J16" s="84">
        <f>IF(G16=0,"n.a.",I16/G16-1)</f>
        <v/>
      </c>
      <c r="K16" s="10" t="inlineStr">
        <is>
          <t>Consolidated and university</t>
        </is>
      </c>
      <c r="L16" s="10" t="inlineStr">
        <is>
          <t>Note 1. Special and short courses are combined. Not a standalone lifelong-learning division total.</t>
        </is>
      </c>
      <c r="M16" s="10" t="inlineStr">
        <is>
          <t>https://www.kcl.ac.uk/assets/pdf24/financial-statements-2024-25.pdf</t>
        </is>
      </c>
      <c r="N16" s="10" t="inlineStr">
        <is>
          <t>10003645</t>
        </is>
      </c>
    </row>
    <row r="17" ht="110" customHeight="1">
      <c r="A17" s="10" t="inlineStr">
        <is>
          <t>UK</t>
        </is>
      </c>
      <c r="B17" s="11" t="inlineStr">
        <is>
          <t>Leeds</t>
        </is>
      </c>
      <c r="C17" s="10" t="inlineStr">
        <is>
          <t>Reported course revenue</t>
        </is>
      </c>
      <c r="D17" s="10" t="inlineStr">
        <is>
          <t>Short course fees</t>
        </is>
      </c>
      <c r="E17" s="10" t="inlineStr">
        <is>
          <t>GBP m</t>
        </is>
      </c>
      <c r="F17" s="10" t="inlineStr">
        <is>
          <t>2023/24</t>
        </is>
      </c>
      <c r="G17" s="83" t="n">
        <v>19.054</v>
      </c>
      <c r="H17" s="83" t="inlineStr">
        <is>
          <t>2024/25</t>
        </is>
      </c>
      <c r="I17" s="83" t="n">
        <v>20.669</v>
      </c>
      <c r="J17" s="84">
        <f>IF(G17=0,"n.a.",I17/G17-1)</f>
        <v/>
      </c>
      <c r="K17" s="10" t="inlineStr">
        <is>
          <t>Consolidated</t>
        </is>
      </c>
      <c r="L17" s="10" t="inlineStr">
        <is>
          <t>Note 1. Uses group values. Research training support and other fees are excluded.</t>
        </is>
      </c>
      <c r="M17" s="10" t="inlineStr">
        <is>
          <t>https://www.leeds.ac.uk/download/downloads/id/3533/annual-report-and-accounts-2024-25.pdf</t>
        </is>
      </c>
      <c r="N17" s="10" t="inlineStr">
        <is>
          <t>10007795</t>
        </is>
      </c>
    </row>
    <row r="18" ht="110" customHeight="1">
      <c r="A18" s="10" t="inlineStr">
        <is>
          <t>UK</t>
        </is>
      </c>
      <c r="B18" s="11" t="inlineStr">
        <is>
          <t>Liverpool</t>
        </is>
      </c>
      <c r="C18" s="10" t="inlineStr">
        <is>
          <t>Reported course revenue</t>
        </is>
      </c>
      <c r="D18" s="10" t="inlineStr">
        <is>
          <t>Special courses</t>
        </is>
      </c>
      <c r="E18" s="10" t="inlineStr">
        <is>
          <t>GBP m</t>
        </is>
      </c>
      <c r="F18" s="10" t="inlineStr">
        <is>
          <t>2023/24</t>
        </is>
      </c>
      <c r="G18" s="83" t="n">
        <v>12.2</v>
      </c>
      <c r="H18" s="83" t="inlineStr">
        <is>
          <t>2024/25</t>
        </is>
      </c>
      <c r="I18" s="83" t="n">
        <v>12.1</v>
      </c>
      <c r="J18" s="84">
        <f>IF(G18=0,"n.a.",I18/G18-1)</f>
        <v/>
      </c>
      <c r="K18" s="10" t="inlineStr">
        <is>
          <t>Consolidated</t>
        </is>
      </c>
      <c r="L18" s="10" t="inlineStr">
        <is>
          <t>Note 2. Broader special-course category. Not verified as a pure CPD or continuing-education total.</t>
        </is>
      </c>
      <c r="M18" s="10" t="inlineStr">
        <is>
          <t>https://www.liverpool.ac.uk/media/livacuk/finance/financial-statements-2024-2025.pdf</t>
        </is>
      </c>
      <c r="N18" s="10" t="inlineStr">
        <is>
          <t>10006842</t>
        </is>
      </c>
    </row>
    <row r="19" ht="110" customHeight="1">
      <c r="A19" s="10" t="inlineStr">
        <is>
          <t>UK</t>
        </is>
      </c>
      <c r="B19" s="11" t="inlineStr">
        <is>
          <t>London School of Economics</t>
        </is>
      </c>
      <c r="C19" s="10" t="inlineStr">
        <is>
          <t>Reported course revenue</t>
        </is>
      </c>
      <c r="D19" s="10" t="inlineStr">
        <is>
          <t>Non-qualifying-course fees</t>
        </is>
      </c>
      <c r="E19" s="10" t="inlineStr">
        <is>
          <t>GBP m</t>
        </is>
      </c>
      <c r="F19" s="10" t="inlineStr">
        <is>
          <t>2023/24</t>
        </is>
      </c>
      <c r="G19" s="83" t="n">
        <v>40.865</v>
      </c>
      <c r="H19" s="83" t="inlineStr">
        <is>
          <t>2024/25</t>
        </is>
      </c>
      <c r="I19" s="83" t="n">
        <v>42.373</v>
      </c>
      <c r="J19" s="84">
        <f>IF(G19=0,"n.a.",I19/G19-1)</f>
        <v/>
      </c>
      <c r="K19" s="10" t="inlineStr">
        <is>
          <t>Group</t>
        </is>
      </c>
      <c r="L19" s="10" t="inlineStr">
        <is>
          <t>Accounts category is a proxy, not an isolated Lifelong Learning Division total. Summer School and other non-qualifying provision may be included.</t>
        </is>
      </c>
      <c r="M19" s="10" t="inlineStr">
        <is>
          <t>https://info.lse.ac.uk/staff/divisions/Finance-Division/assets/annual-accounts/PDF/LSE-Financial-Statements-FY-24-25-FINAL-Signatures-Redacted.pdf</t>
        </is>
      </c>
      <c r="N19" s="10" t="inlineStr">
        <is>
          <t>10004063</t>
        </is>
      </c>
    </row>
    <row r="20" ht="110" customHeight="1">
      <c r="A20" s="10" t="inlineStr">
        <is>
          <t>UK</t>
        </is>
      </c>
      <c r="B20" s="11" t="inlineStr">
        <is>
          <t>London School of Economics</t>
        </is>
      </c>
      <c r="C20" s="10" t="inlineStr">
        <is>
          <t>Participation</t>
        </is>
      </c>
      <c r="D20" s="10" t="inlineStr">
        <is>
          <t>Online student numbers</t>
        </is>
      </c>
      <c r="E20" s="10" t="inlineStr">
        <is>
          <t>Enrolments</t>
        </is>
      </c>
      <c r="F20" s="10" t="inlineStr">
        <is>
          <t>2023/24</t>
        </is>
      </c>
      <c r="G20" s="82" t="n">
        <v>10213</v>
      </c>
      <c r="H20" s="82" t="inlineStr">
        <is>
          <t>2024/25</t>
        </is>
      </c>
      <c r="I20" s="82" t="n">
        <v>9230</v>
      </c>
      <c r="J20" s="84">
        <f>IF(G20=0,"n.a.",I20/G20-1)</f>
        <v/>
      </c>
      <c r="K20" s="10" t="inlineStr">
        <is>
          <t>Participation, not revenue</t>
        </is>
      </c>
      <c r="L20" s="10" t="inlineStr">
        <is>
          <t>Uses the 2024/25 report’s own 2023/24 comparative for a consistent series. This online student-number category is separate from revenue.</t>
        </is>
      </c>
      <c r="M20" s="10" t="inlineStr">
        <is>
          <t>https://info.lse.ac.uk/staff/divisions/Finance-Division/assets/annual-accounts/PDF/LSE-Financial-Statements-FY-24-25-FINAL-Signatures-Redacted.pdf</t>
        </is>
      </c>
      <c r="N20" s="10" t="inlineStr">
        <is>
          <t>10004063</t>
        </is>
      </c>
    </row>
    <row r="21" ht="110" customHeight="1">
      <c r="A21" s="10" t="inlineStr">
        <is>
          <t>UK</t>
        </is>
      </c>
      <c r="B21" s="11" t="inlineStr">
        <is>
          <t>Manchester</t>
        </is>
      </c>
      <c r="C21" s="10" t="inlineStr">
        <is>
          <t>Reported course revenue</t>
        </is>
      </c>
      <c r="D21" s="10" t="inlineStr">
        <is>
          <t>Short course fees</t>
        </is>
      </c>
      <c r="E21" s="10" t="inlineStr">
        <is>
          <t>GBP m</t>
        </is>
      </c>
      <c r="F21" s="10" t="inlineStr">
        <is>
          <t>2023/24</t>
        </is>
      </c>
      <c r="G21" s="83" t="n">
        <v>27.334</v>
      </c>
      <c r="H21" s="83" t="inlineStr">
        <is>
          <t>2024/25</t>
        </is>
      </c>
      <c r="I21" s="83" t="n">
        <v>28.053</v>
      </c>
      <c r="J21" s="84">
        <f>IF(G21=0,"n.a.",I21/G21-1)</f>
        <v/>
      </c>
      <c r="K21" s="10" t="inlineStr">
        <is>
          <t>Consolidated</t>
        </is>
      </c>
      <c r="L21" s="10" t="inlineStr">
        <is>
          <t>Note 1. Exact audited values rather than rounded infographic values.</t>
        </is>
      </c>
      <c r="M21" s="10" t="inlineStr">
        <is>
          <t>https://documents.manchester.ac.uk/display.aspx?DocID=78079</t>
        </is>
      </c>
      <c r="N21" s="10" t="inlineStr">
        <is>
          <t>10007798</t>
        </is>
      </c>
    </row>
    <row r="22" ht="110" customHeight="1">
      <c r="A22" s="10" t="inlineStr">
        <is>
          <t>UK</t>
        </is>
      </c>
      <c r="B22" s="11" t="inlineStr">
        <is>
          <t>Newcastle</t>
        </is>
      </c>
      <c r="C22" s="10" t="inlineStr">
        <is>
          <t>Reported course revenue</t>
        </is>
      </c>
      <c r="D22" s="10" t="inlineStr">
        <is>
          <t>Short courses</t>
        </is>
      </c>
      <c r="E22" s="10" t="inlineStr">
        <is>
          <t>GBP m</t>
        </is>
      </c>
      <c r="F22" s="10" t="inlineStr">
        <is>
          <t>2023/24</t>
        </is>
      </c>
      <c r="G22" s="83" t="n">
        <v>3.9</v>
      </c>
      <c r="H22" s="83" t="inlineStr">
        <is>
          <t>2024/25</t>
        </is>
      </c>
      <c r="I22" s="83" t="n">
        <v>4</v>
      </c>
      <c r="J22" s="84">
        <f>IF(G22=0,"n.a.",I22/G22-1)</f>
        <v/>
      </c>
      <c r="K22" s="10" t="inlineStr">
        <is>
          <t>Consolidated</t>
        </is>
      </c>
      <c r="L22" s="10" t="inlineStr">
        <is>
          <t>University-only 2024 value is £3.8m. Uses consistent group values for growth.</t>
        </is>
      </c>
      <c r="M22" s="10" t="inlineStr">
        <is>
          <t>https://www.ncl.ac.uk/mediav8/freedom-of-information/files/IAR-2425.pdf</t>
        </is>
      </c>
      <c r="N22" s="10" t="inlineStr">
        <is>
          <t>10007799</t>
        </is>
      </c>
    </row>
    <row r="23" ht="110" customHeight="1">
      <c r="A23" s="10" t="inlineStr">
        <is>
          <t>UK</t>
        </is>
      </c>
      <c r="B23" s="11" t="inlineStr">
        <is>
          <t>Nottingham</t>
        </is>
      </c>
      <c r="C23" s="10" t="inlineStr">
        <is>
          <t>Reported course revenue</t>
        </is>
      </c>
      <c r="D23" s="10" t="inlineStr">
        <is>
          <t>Non-qualifying-course fees</t>
        </is>
      </c>
      <c r="E23" s="10" t="inlineStr">
        <is>
          <t>GBP m</t>
        </is>
      </c>
      <c r="F23" s="10" t="inlineStr">
        <is>
          <t>2023/24</t>
        </is>
      </c>
      <c r="G23" s="83" t="n">
        <v>5.7</v>
      </c>
      <c r="H23" s="83" t="inlineStr">
        <is>
          <t>2024/25</t>
        </is>
      </c>
      <c r="I23" s="83" t="n">
        <v>5.2</v>
      </c>
      <c r="J23" s="84">
        <f>IF(G23=0,"n.a.",I23/G23-1)</f>
        <v/>
      </c>
      <c r="K23" s="10" t="inlineStr">
        <is>
          <t>Broader fee category</t>
        </is>
      </c>
      <c r="L23" s="10" t="inlineStr">
        <is>
          <t>Note 4. Proxy only. Larger non-credit-bearing courses and other-fees line is £23.4m and is not substituted for lifelong-learning income.</t>
        </is>
      </c>
      <c r="M23" s="10" t="inlineStr">
        <is>
          <t>https://www.nottingham.ac.uk/fabs/finance/documents/financialstatements/2025-university-of-nottingham-report-accounts-signed.pdf</t>
        </is>
      </c>
      <c r="N23" s="10" t="inlineStr">
        <is>
          <t>10007154</t>
        </is>
      </c>
    </row>
    <row r="24" ht="110" customHeight="1">
      <c r="A24" s="10" t="inlineStr">
        <is>
          <t>UK</t>
        </is>
      </c>
      <c r="B24" s="11" t="inlineStr">
        <is>
          <t>Oxford</t>
        </is>
      </c>
      <c r="C24" s="10" t="inlineStr">
        <is>
          <t>Qualitative growth</t>
        </is>
      </c>
      <c r="D24" s="10" t="inlineStr">
        <is>
          <t>Executive-education growth noted</t>
        </is>
      </c>
      <c r="E24" s="10" t="inlineStr">
        <is>
          <t>GBP m</t>
        </is>
      </c>
      <c r="F24" s="10" t="inlineStr">
        <is>
          <t>2023/24</t>
        </is>
      </c>
      <c r="G24" s="83" t="inlineStr">
        <is>
          <t>n.a.</t>
        </is>
      </c>
      <c r="H24" s="83" t="inlineStr">
        <is>
          <t>2024/25</t>
        </is>
      </c>
      <c r="I24" s="83" t="inlineStr">
        <is>
          <t>n.a.</t>
        </is>
      </c>
      <c r="J24" s="84" t="inlineStr">
        <is>
          <t>n.a.</t>
        </is>
      </c>
      <c r="K24" s="10" t="inlineStr">
        <is>
          <t>Qualitative growth evidence</t>
        </is>
      </c>
      <c r="L24" s="10" t="inlineStr">
        <is>
          <t>2024/25 financial review identifies executive-education growth as one tuition-income driver. No isolated revenue or percentage verified.</t>
        </is>
      </c>
      <c r="M24" s="10" t="inlineStr">
        <is>
          <t>https://www.ox.ac.uk/sites/files/oxford/Oxford_University_Annual_Report_Accounts_2024-25.pdf</t>
        </is>
      </c>
      <c r="N24" s="10" t="inlineStr">
        <is>
          <t>10007774</t>
        </is>
      </c>
    </row>
    <row r="25" ht="110" customHeight="1">
      <c r="A25" s="10" t="inlineStr">
        <is>
          <t>UK</t>
        </is>
      </c>
      <c r="B25" s="11" t="inlineStr">
        <is>
          <t>Queen Mary University of London</t>
        </is>
      </c>
      <c r="C25" s="10" t="inlineStr">
        <is>
          <t>No numeric evidence</t>
        </is>
      </c>
      <c r="D25" s="10" t="inlineStr">
        <is>
          <t>Additional accounts category unverified</t>
        </is>
      </c>
      <c r="E25" s="10" t="inlineStr">
        <is>
          <t>GBP m</t>
        </is>
      </c>
      <c r="F25" s="10" t="inlineStr">
        <is>
          <t>n.a.</t>
        </is>
      </c>
      <c r="G25" s="83" t="inlineStr">
        <is>
          <t>n.a.</t>
        </is>
      </c>
      <c r="H25" s="83" t="inlineStr">
        <is>
          <t>2025</t>
        </is>
      </c>
      <c r="I25" s="83" t="inlineStr">
        <is>
          <t>n.a.</t>
        </is>
      </c>
      <c r="J25" s="84" t="inlineStr">
        <is>
          <t>n.a.</t>
        </is>
      </c>
      <c r="K25" s="10" t="inlineStr">
        <is>
          <t>Evidence gap</t>
        </is>
      </c>
      <c r="L25" s="10" t="inlineStr">
        <is>
          <t>Supplementary accounts evidence; comparable CPD/CE income is in the HESA row. Healthcare Leadership Foundations online short course launched in January 2025. Launch is evidence of portfolio expansion, not revenue growth.</t>
        </is>
      </c>
      <c r="M25" s="10" t="inlineStr">
        <is>
          <t>https://www.qmul.ac.uk/digital-education-studio/our-work/the-care-agenda/</t>
        </is>
      </c>
      <c r="N25" s="10" t="inlineStr">
        <is>
          <t>10007775</t>
        </is>
      </c>
    </row>
    <row r="26" ht="110" customHeight="1">
      <c r="A26" s="10" t="inlineStr">
        <is>
          <t>UK</t>
        </is>
      </c>
      <c r="B26" s="11" t="inlineStr">
        <is>
          <t>Queen’s University Belfast</t>
        </is>
      </c>
      <c r="C26" s="10" t="inlineStr">
        <is>
          <t>No numeric evidence</t>
        </is>
      </c>
      <c r="D26" s="10" t="inlineStr">
        <is>
          <t>Additional accounts category unverified</t>
        </is>
      </c>
      <c r="E26" s="10" t="inlineStr">
        <is>
          <t>GBP m</t>
        </is>
      </c>
      <c r="F26" s="10" t="inlineStr">
        <is>
          <t>n.a.</t>
        </is>
      </c>
      <c r="G26" s="83" t="inlineStr">
        <is>
          <t>n.a.</t>
        </is>
      </c>
      <c r="H26" s="83" t="inlineStr">
        <is>
          <t>n.a.</t>
        </is>
      </c>
      <c r="I26" s="83" t="inlineStr">
        <is>
          <t>n.a.</t>
        </is>
      </c>
      <c r="J26" s="84" t="inlineStr">
        <is>
          <t>n.a.</t>
        </is>
      </c>
      <c r="K26" s="10" t="inlineStr">
        <is>
          <t>Evidence gap</t>
        </is>
      </c>
      <c r="L26" s="10" t="inlineStr">
        <is>
          <t>Supplementary accounts evidence; comparable CPD/CE income is in the HESA row. Short-course / microcredential provision exists. A standalone revenue or growth figure was not confirmed.</t>
        </is>
      </c>
      <c r="M26" s="10" t="inlineStr">
        <is>
          <t>https://www.qub.ac.uk/directorates/FinanceDirectorate/visitors/financial-statements/</t>
        </is>
      </c>
      <c r="N26" s="10" t="inlineStr">
        <is>
          <t>10005343</t>
        </is>
      </c>
    </row>
    <row r="27" ht="110" customHeight="1">
      <c r="A27" s="10" t="inlineStr">
        <is>
          <t>UK</t>
        </is>
      </c>
      <c r="B27" s="11" t="inlineStr">
        <is>
          <t>Sheffield</t>
        </is>
      </c>
      <c r="C27" s="10" t="inlineStr">
        <is>
          <t>No numeric evidence</t>
        </is>
      </c>
      <c r="D27" s="10" t="inlineStr">
        <is>
          <t>Additional accounts category unverified</t>
        </is>
      </c>
      <c r="E27" s="10" t="inlineStr">
        <is>
          <t>GBP m</t>
        </is>
      </c>
      <c r="F27" s="10" t="inlineStr">
        <is>
          <t>2023/24</t>
        </is>
      </c>
      <c r="G27" s="83" t="inlineStr">
        <is>
          <t>n.a.</t>
        </is>
      </c>
      <c r="H27" s="83" t="inlineStr">
        <is>
          <t>2024/25</t>
        </is>
      </c>
      <c r="I27" s="83" t="inlineStr">
        <is>
          <t>n.a.</t>
        </is>
      </c>
      <c r="J27" s="84" t="inlineStr">
        <is>
          <t>n.a.</t>
        </is>
      </c>
      <c r="K27" s="10" t="inlineStr">
        <is>
          <t>Evidence gap</t>
        </is>
      </c>
      <c r="L27" s="10" t="inlineStr">
        <is>
          <t>Supplementary accounts evidence; comparable CPD/CE income is in the HESA row. 2024/25 accounts disclose £29.6m non-qualifying-course fees, but research training and other contracts are bundled. Not used as lifelong-learning income.</t>
        </is>
      </c>
      <c r="M27" s="10" t="inlineStr">
        <is>
          <t>https://sheffield.ac.uk/media/112641/download?attachment=</t>
        </is>
      </c>
      <c r="N27" s="10" t="inlineStr">
        <is>
          <t>10007157</t>
        </is>
      </c>
    </row>
    <row r="28" ht="110" customHeight="1">
      <c r="A28" s="10" t="inlineStr">
        <is>
          <t>UK</t>
        </is>
      </c>
      <c r="B28" s="11" t="inlineStr">
        <is>
          <t>Southampton</t>
        </is>
      </c>
      <c r="C28" s="10" t="inlineStr">
        <is>
          <t>Reported course revenue</t>
        </is>
      </c>
      <c r="D28" s="10" t="inlineStr">
        <is>
          <t>Special and short course fees</t>
        </is>
      </c>
      <c r="E28" s="10" t="inlineStr">
        <is>
          <t>GBP m</t>
        </is>
      </c>
      <c r="F28" s="10" t="inlineStr">
        <is>
          <t>2023/24</t>
        </is>
      </c>
      <c r="G28" s="83" t="n">
        <v>9.315</v>
      </c>
      <c r="H28" s="83" t="inlineStr">
        <is>
          <t>2024/25</t>
        </is>
      </c>
      <c r="I28" s="83" t="n">
        <v>9.432</v>
      </c>
      <c r="J28" s="84">
        <f>IF(G28=0,"n.a.",I28/G28-1)</f>
        <v/>
      </c>
      <c r="K28" s="10" t="inlineStr">
        <is>
          <t>Consolidated</t>
        </is>
      </c>
      <c r="L28" s="10" t="inlineStr">
        <is>
          <t>Note 2. Combined special and short-course fee category.</t>
        </is>
      </c>
      <c r="M28" s="10" t="inlineStr">
        <is>
          <t>https://www.southampton.ac.uk/~assets/doc/finance/financial-statements-2024-25.pdf</t>
        </is>
      </c>
      <c r="N28" s="10" t="inlineStr">
        <is>
          <t>10007158</t>
        </is>
      </c>
    </row>
    <row r="29" ht="110" customHeight="1">
      <c r="A29" s="10" t="inlineStr">
        <is>
          <t>UK</t>
        </is>
      </c>
      <c r="B29" s="11" t="inlineStr">
        <is>
          <t>UCL</t>
        </is>
      </c>
      <c r="C29" s="10" t="inlineStr">
        <is>
          <t>Reported course revenue</t>
        </is>
      </c>
      <c r="D29" s="10" t="inlineStr">
        <is>
          <t>Short course fees</t>
        </is>
      </c>
      <c r="E29" s="10" t="inlineStr">
        <is>
          <t>GBP m</t>
        </is>
      </c>
      <c r="F29" s="10" t="inlineStr">
        <is>
          <t>2023/24</t>
        </is>
      </c>
      <c r="G29" s="83" t="n">
        <v>26.7</v>
      </c>
      <c r="H29" s="83" t="inlineStr">
        <is>
          <t>2024/25</t>
        </is>
      </c>
      <c r="I29" s="83" t="n">
        <v>30.3</v>
      </c>
      <c r="J29" s="84">
        <f>IF(G29=0,"n.a.",I29/G29-1)</f>
        <v/>
      </c>
      <c r="K29" s="10" t="inlineStr">
        <is>
          <t>Group</t>
        </is>
      </c>
      <c r="L29" s="10" t="inlineStr">
        <is>
          <t>Note 1. Research training support and other fees are separately reported and excluded here.</t>
        </is>
      </c>
      <c r="M29" s="10" t="inlineStr">
        <is>
          <t>https://www.ucl.ac.uk/about/sites/about/files/2026-02/UCL-Annual-Report-And-Accounts-2025-18feb26.pdf</t>
        </is>
      </c>
      <c r="N29" s="10" t="inlineStr">
        <is>
          <t>10007784</t>
        </is>
      </c>
    </row>
    <row r="30" ht="110" customHeight="1">
      <c r="A30" s="10" t="inlineStr">
        <is>
          <t>UK</t>
        </is>
      </c>
      <c r="B30" s="11" t="inlineStr">
        <is>
          <t>Warwick</t>
        </is>
      </c>
      <c r="C30" s="10" t="inlineStr">
        <is>
          <t>Reported course revenue</t>
        </is>
      </c>
      <c r="D30" s="10" t="inlineStr">
        <is>
          <t>Non-accredited short course fees</t>
        </is>
      </c>
      <c r="E30" s="10" t="inlineStr">
        <is>
          <t>GBP m</t>
        </is>
      </c>
      <c r="F30" s="10" t="inlineStr">
        <is>
          <t>2023/24</t>
        </is>
      </c>
      <c r="G30" s="83" t="n">
        <v>4.5</v>
      </c>
      <c r="H30" s="83" t="inlineStr">
        <is>
          <t>2024/25</t>
        </is>
      </c>
      <c r="I30" s="83" t="n">
        <v>5.7</v>
      </c>
      <c r="J30" s="84">
        <f>IF(G30=0,"n.a.",I30/G30-1)</f>
        <v/>
      </c>
      <c r="K30" s="10" t="inlineStr">
        <is>
          <t>University financial statements</t>
        </is>
      </c>
      <c r="L30" s="10" t="inlineStr">
        <is>
          <t>Note 2. Narrower category excludes accredited provision.</t>
        </is>
      </c>
      <c r="M30" s="10" t="inlineStr">
        <is>
          <t>https://warwick.ac.uk/services/finance/resources/accounts/annual-report-24_25_v24singlepages.pdf</t>
        </is>
      </c>
      <c r="N30" s="10" t="inlineStr">
        <is>
          <t>10007163</t>
        </is>
      </c>
    </row>
    <row r="31" ht="110" customHeight="1">
      <c r="A31" s="10" t="inlineStr">
        <is>
          <t>UK</t>
        </is>
      </c>
      <c r="B31" s="11" t="inlineStr">
        <is>
          <t>York</t>
        </is>
      </c>
      <c r="C31" s="10" t="inlineStr">
        <is>
          <t>Reported course revenue</t>
        </is>
      </c>
      <c r="D31" s="10" t="inlineStr">
        <is>
          <t>Short courses and other fees</t>
        </is>
      </c>
      <c r="E31" s="10" t="inlineStr">
        <is>
          <t>GBP m</t>
        </is>
      </c>
      <c r="F31" s="10" t="inlineStr">
        <is>
          <t>2023/24</t>
        </is>
      </c>
      <c r="G31" s="83" t="n">
        <v>4.076</v>
      </c>
      <c r="H31" s="83" t="inlineStr">
        <is>
          <t>2024/25</t>
        </is>
      </c>
      <c r="I31" s="83" t="n">
        <v>3.974</v>
      </c>
      <c r="J31" s="84">
        <f>IF(G31=0,"n.a.",I31/G31-1)</f>
        <v/>
      </c>
      <c r="K31" s="10" t="inlineStr">
        <is>
          <t>Consolidated</t>
        </is>
      </c>
      <c r="L31" s="10" t="inlineStr">
        <is>
          <t>Note 1. Includes other fees, so not a pure continuing-education total.</t>
        </is>
      </c>
      <c r="M31" s="10" t="inlineStr">
        <is>
          <t>https://www.york.ac.uk/media/staffhome/marketing/corporatepublications/2025-Annual-Report-and-Financial-Statements.pdf</t>
        </is>
      </c>
      <c r="N31" s="10" t="inlineStr">
        <is>
          <t>10007167</t>
        </is>
      </c>
    </row>
    <row r="32" ht="110" customHeight="1">
      <c r="A32" s="10" t="inlineStr">
        <is>
          <t>Australia</t>
        </is>
      </c>
      <c r="B32" s="11" t="inlineStr">
        <is>
          <t>UNSW Sydney</t>
        </is>
      </c>
      <c r="C32" s="10" t="inlineStr">
        <is>
          <t>Reported course revenue</t>
        </is>
      </c>
      <c r="D32" s="10" t="inlineStr">
        <is>
          <t>Continuing education</t>
        </is>
      </c>
      <c r="E32" s="10" t="inlineStr">
        <is>
          <t>AUD m</t>
        </is>
      </c>
      <c r="F32" s="10" t="inlineStr">
        <is>
          <t>2024</t>
        </is>
      </c>
      <c r="G32" s="83" t="n">
        <v>39.196</v>
      </c>
      <c r="H32" s="83" t="inlineStr">
        <is>
          <t>2025</t>
        </is>
      </c>
      <c r="I32" s="83" t="n">
        <v>40.182</v>
      </c>
      <c r="J32" s="84">
        <f>IF(G32=0,"n.a.",I32/G32-1)</f>
        <v/>
      </c>
      <c r="K32" s="10" t="inlineStr">
        <is>
          <t>Consolidated</t>
        </is>
      </c>
      <c r="L32" s="10" t="inlineStr">
        <is>
          <t>Note 2.4. Uses group values rather than parent-only values.</t>
        </is>
      </c>
      <c r="M32" s="10" t="inlineStr">
        <is>
          <t>https://www.unsw.edu.au/content/dam/pdfs/news/annual-reports/2026-05-unsw-annual-report-2025.pdf</t>
        </is>
      </c>
      <c r="N32" s="10" t="str"/>
    </row>
    <row r="33" ht="110" customHeight="1">
      <c r="A33" s="10" t="inlineStr">
        <is>
          <t>Australia</t>
        </is>
      </c>
      <c r="B33" s="11" t="inlineStr">
        <is>
          <t>Melbourne</t>
        </is>
      </c>
      <c r="C33" s="10" t="inlineStr">
        <is>
          <t>Reported course revenue</t>
        </is>
      </c>
      <c r="D33" s="10" t="inlineStr">
        <is>
          <t>MBS corporate programmes</t>
        </is>
      </c>
      <c r="E33" s="10" t="inlineStr">
        <is>
          <t>AUD m</t>
        </is>
      </c>
      <c r="F33" s="10" t="inlineStr">
        <is>
          <t>2024</t>
        </is>
      </c>
      <c r="G33" s="83" t="n">
        <v>21.735</v>
      </c>
      <c r="H33" s="83" t="inlineStr">
        <is>
          <t>2025</t>
        </is>
      </c>
      <c r="I33" s="83" t="n">
        <v>26.98</v>
      </c>
      <c r="J33" s="84">
        <f>IF(G33=0,"n.a.",I33/G33-1)</f>
        <v/>
      </c>
      <c r="K33" s="10" t="inlineStr">
        <is>
          <t>Melbourne Business School consolidated</t>
        </is>
      </c>
      <c r="L33" s="10" t="inlineStr">
        <is>
          <t>Business-school entity only, not total University of Melbourne lifelong learning. Corporate programmes are the reported category.</t>
        </is>
      </c>
      <c r="M33" s="10" t="inlineStr">
        <is>
          <t>https://mbs.edu/-/media/PDF/Annual-Financial-Reports/MBS-Consolidated-Statutory-Accounts-2025.aspx</t>
        </is>
      </c>
      <c r="N33" s="10" t="str"/>
    </row>
    <row r="34" ht="110" customHeight="1">
      <c r="A34" s="10" t="inlineStr">
        <is>
          <t>Australia</t>
        </is>
      </c>
      <c r="B34" s="11" t="inlineStr">
        <is>
          <t>Sydney</t>
        </is>
      </c>
      <c r="C34" s="10" t="inlineStr">
        <is>
          <t>Reported course revenue</t>
        </is>
      </c>
      <c r="D34" s="10" t="inlineStr">
        <is>
          <t>Continuing education</t>
        </is>
      </c>
      <c r="E34" s="10" t="inlineStr">
        <is>
          <t>AUD m</t>
        </is>
      </c>
      <c r="F34" s="10" t="inlineStr">
        <is>
          <t>2024</t>
        </is>
      </c>
      <c r="G34" s="83" t="n">
        <v>14.726</v>
      </c>
      <c r="H34" s="83" t="inlineStr">
        <is>
          <t>2025</t>
        </is>
      </c>
      <c r="I34" s="83" t="n">
        <v>15.891</v>
      </c>
      <c r="J34" s="84">
        <f>IF(G34=0,"n.a.",I34/G34-1)</f>
        <v/>
      </c>
      <c r="K34" s="10" t="inlineStr">
        <is>
          <t>Consolidated</t>
        </is>
      </c>
      <c r="L34" s="10" t="inlineStr">
        <is>
          <t>Note 5. Wider accounts category, not just the Centre for Continuing Education component.</t>
        </is>
      </c>
      <c r="M34" s="10" t="inlineStr">
        <is>
          <t>https://www.sydney.edu.au/content/dam/corporate/documents/about-us/values-and-visions/annual-report/annual-report-2025.pdf</t>
        </is>
      </c>
      <c r="N34" s="10" t="str"/>
    </row>
    <row r="35" ht="110" customHeight="1">
      <c r="A35" s="10" t="inlineStr">
        <is>
          <t>Australia</t>
        </is>
      </c>
      <c r="B35" s="11" t="inlineStr">
        <is>
          <t>Australian National University</t>
        </is>
      </c>
      <c r="C35" s="10" t="inlineStr">
        <is>
          <t>No numeric evidence</t>
        </is>
      </c>
      <c r="D35" s="10" t="inlineStr">
        <is>
          <t>Standalone revenue not verified</t>
        </is>
      </c>
      <c r="E35" s="10" t="inlineStr">
        <is>
          <t>AUD m</t>
        </is>
      </c>
      <c r="F35" s="10" t="inlineStr">
        <is>
          <t>n.a.</t>
        </is>
      </c>
      <c r="G35" s="83" t="inlineStr">
        <is>
          <t>n.a.</t>
        </is>
      </c>
      <c r="H35" s="83" t="inlineStr">
        <is>
          <t>n.a.</t>
        </is>
      </c>
      <c r="I35" s="83" t="inlineStr">
        <is>
          <t>n.a.</t>
        </is>
      </c>
      <c r="J35" s="84" t="inlineStr">
        <is>
          <t>n.a.</t>
        </is>
      </c>
      <c r="K35" s="10" t="inlineStr">
        <is>
          <t>Evidence gap</t>
        </is>
      </c>
      <c r="L35" s="10" t="inlineStr">
        <is>
          <t>Executive short courses are offered. The continuing-education line could not be reliably extracted from the current accounts.</t>
        </is>
      </c>
      <c r="M35" s="10" t="inlineStr">
        <is>
          <t>https://cce.anu.edu.au/executive-short-courses/</t>
        </is>
      </c>
      <c r="N35" s="10" t="str"/>
    </row>
    <row r="36" ht="110" customHeight="1">
      <c r="A36" s="10" t="inlineStr">
        <is>
          <t>Australia</t>
        </is>
      </c>
      <c r="B36" s="11" t="inlineStr">
        <is>
          <t>Monash</t>
        </is>
      </c>
      <c r="C36" s="10" t="inlineStr">
        <is>
          <t>No numeric evidence</t>
        </is>
      </c>
      <c r="D36" s="10" t="inlineStr">
        <is>
          <t>Standalone revenue not verified</t>
        </is>
      </c>
      <c r="E36" s="10" t="inlineStr">
        <is>
          <t>AUD m</t>
        </is>
      </c>
      <c r="F36" s="10" t="inlineStr">
        <is>
          <t>n.a.</t>
        </is>
      </c>
      <c r="G36" s="83" t="inlineStr">
        <is>
          <t>n.a.</t>
        </is>
      </c>
      <c r="H36" s="83" t="inlineStr">
        <is>
          <t>n.a.</t>
        </is>
      </c>
      <c r="I36" s="83" t="inlineStr">
        <is>
          <t>n.a.</t>
        </is>
      </c>
      <c r="J36" s="84" t="inlineStr">
        <is>
          <t>n.a.</t>
        </is>
      </c>
      <c r="K36" s="10" t="inlineStr">
        <is>
          <t>Evidence gap</t>
        </is>
      </c>
      <c r="L36" s="10" t="inlineStr">
        <is>
          <t>Professional-development short courses exist. A separate revenue or growth figure was not confirmed.</t>
        </is>
      </c>
      <c r="M36" s="10" t="inlineStr">
        <is>
          <t>https://shop.monash.edu/professional-development-events/short-courses.html</t>
        </is>
      </c>
      <c r="N36" s="10" t="str"/>
    </row>
    <row r="37" ht="110" customHeight="1">
      <c r="A37" s="10" t="inlineStr">
        <is>
          <t>Australia</t>
        </is>
      </c>
      <c r="B37" s="11" t="inlineStr">
        <is>
          <t>Queensland</t>
        </is>
      </c>
      <c r="C37" s="10" t="inlineStr">
        <is>
          <t>Reported course revenue</t>
        </is>
      </c>
      <c r="D37" s="10" t="inlineStr">
        <is>
          <t>Continuing education</t>
        </is>
      </c>
      <c r="E37" s="10" t="inlineStr">
        <is>
          <t>AUD m</t>
        </is>
      </c>
      <c r="F37" s="10" t="inlineStr">
        <is>
          <t>2024</t>
        </is>
      </c>
      <c r="G37" s="83" t="n">
        <v>11.688</v>
      </c>
      <c r="H37" s="83" t="inlineStr">
        <is>
          <t>2025</t>
        </is>
      </c>
      <c r="I37" s="83" t="n">
        <v>12.711</v>
      </c>
      <c r="J37" s="84">
        <f>IF(G37=0,"n.a.",I37/G37-1)</f>
        <v/>
      </c>
      <c r="K37" s="10" t="inlineStr">
        <is>
          <t>Consolidated</t>
        </is>
      </c>
      <c r="L37" s="10" t="inlineStr">
        <is>
          <t>Parent-only income fell from A$13.833m to A$13.066m. Group and parent growth differ. Uses group values consistently.</t>
        </is>
      </c>
      <c r="M37" s="10" t="inlineStr">
        <is>
          <t>https://about.uq.edu.au/sites/default/files/2026-03/2025-uq-annual-report.PDF</t>
        </is>
      </c>
      <c r="N37" s="10" t="str"/>
    </row>
    <row r="38" ht="110" customHeight="1">
      <c r="A38" s="10" t="inlineStr">
        <is>
          <t>Australia</t>
        </is>
      </c>
      <c r="B38" s="11" t="inlineStr">
        <is>
          <t>Western Australia</t>
        </is>
      </c>
      <c r="C38" s="10" t="inlineStr">
        <is>
          <t>Reported course revenue</t>
        </is>
      </c>
      <c r="D38" s="10" t="inlineStr">
        <is>
          <t>Continuing education and short courses</t>
        </is>
      </c>
      <c r="E38" s="10" t="inlineStr">
        <is>
          <t>AUD m</t>
        </is>
      </c>
      <c r="F38" s="10" t="inlineStr">
        <is>
          <t>2024</t>
        </is>
      </c>
      <c r="G38" s="83" t="n">
        <v>13.813</v>
      </c>
      <c r="H38" s="83" t="inlineStr">
        <is>
          <t>2025</t>
        </is>
      </c>
      <c r="I38" s="83" t="n">
        <v>12.148</v>
      </c>
      <c r="J38" s="84">
        <f>IF(G38=0,"n.a.",I38/G38-1)</f>
        <v/>
      </c>
      <c r="K38" s="10" t="inlineStr">
        <is>
          <t>Consolidated</t>
        </is>
      </c>
      <c r="L38" s="10" t="inlineStr">
        <is>
          <t>2025 accounts. Revenue decreased; this does not by itself establish learner-volume decline.</t>
        </is>
      </c>
      <c r="M38" s="10" t="inlineStr">
        <is>
          <t>https://www.assethub.uwa.edu.au/api/public/content/66d06dcabdf84864b8e3bab2ab5e7a61?v=04406c3e</t>
        </is>
      </c>
      <c r="N38" s="10" t="str"/>
    </row>
    <row r="39" ht="110" customHeight="1">
      <c r="A39" s="10" t="inlineStr">
        <is>
          <t>Australia</t>
        </is>
      </c>
      <c r="B39" s="11" t="inlineStr">
        <is>
          <t>Adelaide University</t>
        </is>
      </c>
      <c r="C39" s="10" t="inlineStr">
        <is>
          <t>No numeric evidence</t>
        </is>
      </c>
      <c r="D39" s="10" t="inlineStr">
        <is>
          <t>No comparable teaching-year trend</t>
        </is>
      </c>
      <c r="E39" s="10" t="inlineStr">
        <is>
          <t>AUD m</t>
        </is>
      </c>
      <c r="F39" s="10" t="inlineStr">
        <is>
          <t>n.a.</t>
        </is>
      </c>
      <c r="G39" s="83" t="inlineStr">
        <is>
          <t>n.a.</t>
        </is>
      </c>
      <c r="H39" s="83" t="inlineStr">
        <is>
          <t>2026</t>
        </is>
      </c>
      <c r="I39" s="83" t="inlineStr">
        <is>
          <t>n.a.</t>
        </is>
      </c>
      <c r="J39" s="84" t="inlineStr">
        <is>
          <t>n.a.</t>
        </is>
      </c>
      <c r="K39" s="10" t="inlineStr">
        <is>
          <t>New merged institution</t>
        </is>
      </c>
      <c r="L39" s="10" t="inlineStr">
        <is>
          <t>New university began teaching in 2026. Predecessor revenues are not spliced into a growth series for the merged institution.</t>
        </is>
      </c>
      <c r="M39" s="10" t="inlineStr">
        <is>
          <t>https://adelaide.edu.au/about/news/2025/adelaide-university-releases-first-annual-report/</t>
        </is>
      </c>
      <c r="N39" s="10" t="str"/>
    </row>
    <row r="40" ht="110" customHeight="1">
      <c r="A40" s="10" t="inlineStr">
        <is>
          <t>Australia</t>
        </is>
      </c>
      <c r="B40" s="11" t="inlineStr">
        <is>
          <t>University of Technology Sydney</t>
        </is>
      </c>
      <c r="C40" s="10" t="inlineStr">
        <is>
          <t>Reported course revenue</t>
        </is>
      </c>
      <c r="D40" s="10" t="inlineStr">
        <is>
          <t>Continuing education</t>
        </is>
      </c>
      <c r="E40" s="10" t="inlineStr">
        <is>
          <t>AUD m</t>
        </is>
      </c>
      <c r="F40" s="10" t="inlineStr">
        <is>
          <t>2024</t>
        </is>
      </c>
      <c r="G40" s="83" t="n">
        <v>11.73</v>
      </c>
      <c r="H40" s="83" t="inlineStr">
        <is>
          <t>2025</t>
        </is>
      </c>
      <c r="I40" s="83" t="n">
        <v>10.179</v>
      </c>
      <c r="J40" s="84">
        <f>IF(G40=0,"n.a.",I40/G40-1)</f>
        <v/>
      </c>
      <c r="K40" s="10" t="inlineStr">
        <is>
          <t>Consolidated</t>
        </is>
      </c>
      <c r="L40" s="10" t="inlineStr">
        <is>
          <t>2025 Volume 2, note 2.3. Revenue decreased.</t>
        </is>
      </c>
      <c r="M40" s="10" t="inlineStr">
        <is>
          <t>https://www.uts.edu.au/sites/default/files/2026-05/UTS%20Annual%20Report%202025%20volume%20two.pdf</t>
        </is>
      </c>
      <c r="N40" s="10" t="str"/>
    </row>
    <row r="41" ht="110" customHeight="1">
      <c r="A41" s="10" t="inlineStr">
        <is>
          <t>Australia</t>
        </is>
      </c>
      <c r="B41" s="11" t="inlineStr">
        <is>
          <t>RMIT</t>
        </is>
      </c>
      <c r="C41" s="10" t="inlineStr">
        <is>
          <t>Reported course revenue</t>
        </is>
      </c>
      <c r="D41" s="10" t="inlineStr">
        <is>
          <t>Continuing education</t>
        </is>
      </c>
      <c r="E41" s="10" t="inlineStr">
        <is>
          <t>AUD m</t>
        </is>
      </c>
      <c r="F41" s="10" t="inlineStr">
        <is>
          <t>2023</t>
        </is>
      </c>
      <c r="G41" s="83" t="n">
        <v>6.676</v>
      </c>
      <c r="H41" s="83" t="inlineStr">
        <is>
          <t>2024</t>
        </is>
      </c>
      <c r="I41" s="83" t="n">
        <v>5.991</v>
      </c>
      <c r="J41" s="84">
        <f>IF(G41=0,"n.a.",I41/G41-1)</f>
        <v/>
      </c>
      <c r="K41" s="10" t="inlineStr">
        <is>
          <t>Consolidated</t>
        </is>
      </c>
      <c r="L41" s="10" t="inlineStr">
        <is>
          <t>2024 accounts, note 6. Older verified evidence; a 2025 category value was not confirmed. Does not measure the entire RMIT Online business.</t>
        </is>
      </c>
      <c r="M41" s="10" t="inlineStr">
        <is>
          <t>https://www.rmit.edu.au/content/dam/rmit/documents/about/annual-reports/rmit-university-annual-report-2024.pdf</t>
        </is>
      </c>
      <c r="N41" s="10" t="str"/>
    </row>
    <row r="42" ht="110" customHeight="1">
      <c r="A42" s="10" t="inlineStr">
        <is>
          <t>UK</t>
        </is>
      </c>
      <c r="B42" s="11" t="inlineStr">
        <is>
          <t>Birmingham</t>
        </is>
      </c>
      <c r="C42" s="10" t="inlineStr">
        <is>
          <t>HESA CPD/CE revenue</t>
        </is>
      </c>
      <c r="D42" s="10" t="inlineStr">
        <is>
          <t>CPD/CE courses for business and the community</t>
        </is>
      </c>
      <c r="E42" s="10" t="inlineStr">
        <is>
          <t>GBP m</t>
        </is>
      </c>
      <c r="F42" s="10" t="inlineStr">
        <is>
          <t>Not supplied</t>
        </is>
      </c>
      <c r="G42" s="83" t="inlineStr">
        <is>
          <t>n.a.</t>
        </is>
      </c>
      <c r="H42" s="83" t="inlineStr">
        <is>
          <t>2024/25</t>
        </is>
      </c>
      <c r="I42" s="83">
        <f>INDEX('UK providers'!$K$7:$K$212,MATCH(N42,'UK providers'!$A$7:$A$212,0))</f>
        <v/>
      </c>
      <c r="J42" s="84" t="inlineStr">
        <is>
          <t>n.a.</t>
        </is>
      </c>
      <c r="K42" s="10" t="inlineStr">
        <is>
          <t>HESA provider return</t>
        </is>
      </c>
      <c r="L42" s="10" t="inlineStr">
        <is>
          <t>Comparable CPD/CE definition. One year supplied: no growth calculation. Do not add to overlapping annual-report categories.</t>
        </is>
      </c>
      <c r="M42" s="10" t="inlineStr">
        <is>
          <t>HESA HE-BCI Table 2b; user-supplied dt032-table-2b.csv. https://www.hesa.ac.uk/data-and-analysis/business-community</t>
        </is>
      </c>
      <c r="N42" s="10" t="inlineStr">
        <is>
          <t>10006840</t>
        </is>
      </c>
    </row>
    <row r="43" ht="110" customHeight="1">
      <c r="A43" s="10" t="inlineStr">
        <is>
          <t>UK</t>
        </is>
      </c>
      <c r="B43" s="11" t="inlineStr">
        <is>
          <t>Bristol</t>
        </is>
      </c>
      <c r="C43" s="10" t="inlineStr">
        <is>
          <t>HESA CPD/CE revenue</t>
        </is>
      </c>
      <c r="D43" s="10" t="inlineStr">
        <is>
          <t>CPD/CE courses for business and the community</t>
        </is>
      </c>
      <c r="E43" s="10" t="inlineStr">
        <is>
          <t>GBP m</t>
        </is>
      </c>
      <c r="F43" s="10" t="inlineStr">
        <is>
          <t>Not supplied</t>
        </is>
      </c>
      <c r="G43" s="83" t="inlineStr">
        <is>
          <t>n.a.</t>
        </is>
      </c>
      <c r="H43" s="83" t="inlineStr">
        <is>
          <t>2024/25</t>
        </is>
      </c>
      <c r="I43" s="83">
        <f>INDEX('UK providers'!$K$7:$K$212,MATCH(N43,'UK providers'!$A$7:$A$212,0))</f>
        <v/>
      </c>
      <c r="J43" s="84" t="inlineStr">
        <is>
          <t>n.a.</t>
        </is>
      </c>
      <c r="K43" s="10" t="inlineStr">
        <is>
          <t>HESA provider return</t>
        </is>
      </c>
      <c r="L43" s="10" t="inlineStr">
        <is>
          <t>Comparable CPD/CE definition. One year supplied: no growth calculation. Do not add to overlapping annual-report categories.</t>
        </is>
      </c>
      <c r="M43" s="10" t="inlineStr">
        <is>
          <t>HESA HE-BCI Table 2b; user-supplied dt032-table-2b.csv. https://www.hesa.ac.uk/data-and-analysis/business-community</t>
        </is>
      </c>
      <c r="N43" s="10" t="inlineStr">
        <is>
          <t>10007786</t>
        </is>
      </c>
    </row>
    <row r="44" ht="110" customHeight="1">
      <c r="A44" s="10" t="inlineStr">
        <is>
          <t>UK</t>
        </is>
      </c>
      <c r="B44" s="11" t="inlineStr">
        <is>
          <t>Cambridge</t>
        </is>
      </c>
      <c r="C44" s="10" t="inlineStr">
        <is>
          <t>HESA CPD/CE revenue</t>
        </is>
      </c>
      <c r="D44" s="10" t="inlineStr">
        <is>
          <t>CPD/CE courses for business and the community</t>
        </is>
      </c>
      <c r="E44" s="10" t="inlineStr">
        <is>
          <t>GBP m</t>
        </is>
      </c>
      <c r="F44" s="10" t="inlineStr">
        <is>
          <t>Not supplied</t>
        </is>
      </c>
      <c r="G44" s="83" t="inlineStr">
        <is>
          <t>n.a.</t>
        </is>
      </c>
      <c r="H44" s="83" t="inlineStr">
        <is>
          <t>2024/25</t>
        </is>
      </c>
      <c r="I44" s="83">
        <f>INDEX('UK providers'!$K$7:$K$212,MATCH(N44,'UK providers'!$A$7:$A$212,0))</f>
        <v/>
      </c>
      <c r="J44" s="84" t="inlineStr">
        <is>
          <t>n.a.</t>
        </is>
      </c>
      <c r="K44" s="10" t="inlineStr">
        <is>
          <t>HESA provider return</t>
        </is>
      </c>
      <c r="L44" s="10" t="inlineStr">
        <is>
          <t>Comparable CPD/CE definition. One year supplied: no growth calculation. Do not add to overlapping annual-report categories.</t>
        </is>
      </c>
      <c r="M44" s="10" t="inlineStr">
        <is>
          <t>HESA HE-BCI Table 2b; user-supplied dt032-table-2b.csv. https://www.hesa.ac.uk/data-and-analysis/business-community</t>
        </is>
      </c>
      <c r="N44" s="10" t="inlineStr">
        <is>
          <t>10007788</t>
        </is>
      </c>
    </row>
    <row r="45" ht="110" customHeight="1">
      <c r="A45" s="10" t="inlineStr">
        <is>
          <t>UK</t>
        </is>
      </c>
      <c r="B45" s="11" t="inlineStr">
        <is>
          <t>Cardiff</t>
        </is>
      </c>
      <c r="C45" s="10" t="inlineStr">
        <is>
          <t>HESA CPD/CE revenue</t>
        </is>
      </c>
      <c r="D45" s="10" t="inlineStr">
        <is>
          <t>CPD/CE courses for business and the community</t>
        </is>
      </c>
      <c r="E45" s="10" t="inlineStr">
        <is>
          <t>GBP m</t>
        </is>
      </c>
      <c r="F45" s="10" t="inlineStr">
        <is>
          <t>Not supplied</t>
        </is>
      </c>
      <c r="G45" s="83" t="inlineStr">
        <is>
          <t>n.a.</t>
        </is>
      </c>
      <c r="H45" s="83" t="inlineStr">
        <is>
          <t>2024/25</t>
        </is>
      </c>
      <c r="I45" s="83">
        <f>INDEX('UK providers'!$K$7:$K$212,MATCH(N45,'UK providers'!$A$7:$A$212,0))</f>
        <v/>
      </c>
      <c r="J45" s="84" t="inlineStr">
        <is>
          <t>n.a.</t>
        </is>
      </c>
      <c r="K45" s="10" t="inlineStr">
        <is>
          <t>HESA provider return</t>
        </is>
      </c>
      <c r="L45" s="10" t="inlineStr">
        <is>
          <t>Comparable CPD/CE definition. One year supplied: no growth calculation. Do not add to overlapping annual-report categories.</t>
        </is>
      </c>
      <c r="M45" s="10" t="inlineStr">
        <is>
          <t>HESA HE-BCI Table 2b; user-supplied dt032-table-2b.csv. https://www.hesa.ac.uk/data-and-analysis/business-community</t>
        </is>
      </c>
      <c r="N45" s="10" t="inlineStr">
        <is>
          <t>10007814</t>
        </is>
      </c>
    </row>
    <row r="46" ht="110" customHeight="1">
      <c r="A46" s="10" t="inlineStr">
        <is>
          <t>UK</t>
        </is>
      </c>
      <c r="B46" s="11" t="inlineStr">
        <is>
          <t>Durham</t>
        </is>
      </c>
      <c r="C46" s="10" t="inlineStr">
        <is>
          <t>HESA CPD/CE revenue</t>
        </is>
      </c>
      <c r="D46" s="10" t="inlineStr">
        <is>
          <t>CPD/CE courses for business and the community</t>
        </is>
      </c>
      <c r="E46" s="10" t="inlineStr">
        <is>
          <t>GBP m</t>
        </is>
      </c>
      <c r="F46" s="10" t="inlineStr">
        <is>
          <t>Not supplied</t>
        </is>
      </c>
      <c r="G46" s="83" t="inlineStr">
        <is>
          <t>n.a.</t>
        </is>
      </c>
      <c r="H46" s="83" t="inlineStr">
        <is>
          <t>2024/25</t>
        </is>
      </c>
      <c r="I46" s="83">
        <f>INDEX('UK providers'!$K$7:$K$212,MATCH(N46,'UK providers'!$A$7:$A$212,0))</f>
        <v/>
      </c>
      <c r="J46" s="84" t="inlineStr">
        <is>
          <t>n.a.</t>
        </is>
      </c>
      <c r="K46" s="10" t="inlineStr">
        <is>
          <t>HESA provider return</t>
        </is>
      </c>
      <c r="L46" s="10" t="inlineStr">
        <is>
          <t>Comparable CPD/CE definition. One year supplied: no growth calculation. Do not add to overlapping annual-report categories.</t>
        </is>
      </c>
      <c r="M46" s="10" t="inlineStr">
        <is>
          <t>HESA HE-BCI Table 2b; user-supplied dt032-table-2b.csv. https://www.hesa.ac.uk/data-and-analysis/business-community</t>
        </is>
      </c>
      <c r="N46" s="10" t="inlineStr">
        <is>
          <t>10007143</t>
        </is>
      </c>
    </row>
    <row r="47" ht="110" customHeight="1">
      <c r="A47" s="10" t="inlineStr">
        <is>
          <t>UK</t>
        </is>
      </c>
      <c r="B47" s="11" t="inlineStr">
        <is>
          <t>Edinburgh</t>
        </is>
      </c>
      <c r="C47" s="10" t="inlineStr">
        <is>
          <t>HESA CPD/CE revenue</t>
        </is>
      </c>
      <c r="D47" s="10" t="inlineStr">
        <is>
          <t>CPD/CE courses for business and the community</t>
        </is>
      </c>
      <c r="E47" s="10" t="inlineStr">
        <is>
          <t>GBP m</t>
        </is>
      </c>
      <c r="F47" s="10" t="inlineStr">
        <is>
          <t>Not supplied</t>
        </is>
      </c>
      <c r="G47" s="83" t="inlineStr">
        <is>
          <t>n.a.</t>
        </is>
      </c>
      <c r="H47" s="83" t="inlineStr">
        <is>
          <t>2024/25</t>
        </is>
      </c>
      <c r="I47" s="83">
        <f>INDEX('UK providers'!$K$7:$K$212,MATCH(N47,'UK providers'!$A$7:$A$212,0))</f>
        <v/>
      </c>
      <c r="J47" s="84" t="inlineStr">
        <is>
          <t>n.a.</t>
        </is>
      </c>
      <c r="K47" s="10" t="inlineStr">
        <is>
          <t>HESA provider return</t>
        </is>
      </c>
      <c r="L47" s="10" t="inlineStr">
        <is>
          <t>Comparable CPD/CE definition. One year supplied: no growth calculation. Do not add to overlapping annual-report categories.</t>
        </is>
      </c>
      <c r="M47" s="10" t="inlineStr">
        <is>
          <t>HESA HE-BCI Table 2b; user-supplied dt032-table-2b.csv. https://www.hesa.ac.uk/data-and-analysis/business-community</t>
        </is>
      </c>
      <c r="N47" s="10" t="inlineStr">
        <is>
          <t>10007790</t>
        </is>
      </c>
    </row>
    <row r="48" ht="110" customHeight="1">
      <c r="A48" s="10" t="inlineStr">
        <is>
          <t>UK</t>
        </is>
      </c>
      <c r="B48" s="11" t="inlineStr">
        <is>
          <t>Exeter</t>
        </is>
      </c>
      <c r="C48" s="10" t="inlineStr">
        <is>
          <t>HESA CPD/CE revenue</t>
        </is>
      </c>
      <c r="D48" s="10" t="inlineStr">
        <is>
          <t>CPD/CE courses for business and the community</t>
        </is>
      </c>
      <c r="E48" s="10" t="inlineStr">
        <is>
          <t>GBP m</t>
        </is>
      </c>
      <c r="F48" s="10" t="inlineStr">
        <is>
          <t>Not supplied</t>
        </is>
      </c>
      <c r="G48" s="83" t="inlineStr">
        <is>
          <t>n.a.</t>
        </is>
      </c>
      <c r="H48" s="83" t="inlineStr">
        <is>
          <t>2024/25</t>
        </is>
      </c>
      <c r="I48" s="83">
        <f>INDEX('UK providers'!$K$7:$K$212,MATCH(N48,'UK providers'!$A$7:$A$212,0))</f>
        <v/>
      </c>
      <c r="J48" s="84" t="inlineStr">
        <is>
          <t>n.a.</t>
        </is>
      </c>
      <c r="K48" s="10" t="inlineStr">
        <is>
          <t>HESA provider return</t>
        </is>
      </c>
      <c r="L48" s="10" t="inlineStr">
        <is>
          <t>Comparable CPD/CE definition. One year supplied: no growth calculation. Do not add to overlapping annual-report categories.</t>
        </is>
      </c>
      <c r="M48" s="10" t="inlineStr">
        <is>
          <t>HESA HE-BCI Table 2b; user-supplied dt032-table-2b.csv. https://www.hesa.ac.uk/data-and-analysis/business-community</t>
        </is>
      </c>
      <c r="N48" s="10" t="inlineStr">
        <is>
          <t>10007792</t>
        </is>
      </c>
    </row>
    <row r="49" ht="110" customHeight="1">
      <c r="A49" s="10" t="inlineStr">
        <is>
          <t>UK</t>
        </is>
      </c>
      <c r="B49" s="11" t="inlineStr">
        <is>
          <t>Glasgow</t>
        </is>
      </c>
      <c r="C49" s="10" t="inlineStr">
        <is>
          <t>HESA CPD/CE revenue</t>
        </is>
      </c>
      <c r="D49" s="10" t="inlineStr">
        <is>
          <t>CPD/CE courses for business and the community</t>
        </is>
      </c>
      <c r="E49" s="10" t="inlineStr">
        <is>
          <t>GBP m</t>
        </is>
      </c>
      <c r="F49" s="10" t="inlineStr">
        <is>
          <t>Not supplied</t>
        </is>
      </c>
      <c r="G49" s="83" t="inlineStr">
        <is>
          <t>n.a.</t>
        </is>
      </c>
      <c r="H49" s="83" t="inlineStr">
        <is>
          <t>2024/25</t>
        </is>
      </c>
      <c r="I49" s="83">
        <f>INDEX('UK providers'!$K$7:$K$212,MATCH(N49,'UK providers'!$A$7:$A$212,0))</f>
        <v/>
      </c>
      <c r="J49" s="84" t="inlineStr">
        <is>
          <t>n.a.</t>
        </is>
      </c>
      <c r="K49" s="10" t="inlineStr">
        <is>
          <t>HESA provider return</t>
        </is>
      </c>
      <c r="L49" s="10" t="inlineStr">
        <is>
          <t>Comparable CPD/CE definition. One year supplied: no growth calculation. Do not add to overlapping annual-report categories.</t>
        </is>
      </c>
      <c r="M49" s="10" t="inlineStr">
        <is>
          <t>HESA HE-BCI Table 2b; user-supplied dt032-table-2b.csv. https://www.hesa.ac.uk/data-and-analysis/business-community</t>
        </is>
      </c>
      <c r="N49" s="10" t="inlineStr">
        <is>
          <t>10007794</t>
        </is>
      </c>
    </row>
    <row r="50" ht="110" customHeight="1">
      <c r="A50" s="10" t="inlineStr">
        <is>
          <t>UK</t>
        </is>
      </c>
      <c r="B50" s="11" t="inlineStr">
        <is>
          <t>Imperial College London</t>
        </is>
      </c>
      <c r="C50" s="10" t="inlineStr">
        <is>
          <t>HESA CPD/CE revenue</t>
        </is>
      </c>
      <c r="D50" s="10" t="inlineStr">
        <is>
          <t>CPD/CE courses for business and the community</t>
        </is>
      </c>
      <c r="E50" s="10" t="inlineStr">
        <is>
          <t>GBP m</t>
        </is>
      </c>
      <c r="F50" s="10" t="inlineStr">
        <is>
          <t>Not supplied</t>
        </is>
      </c>
      <c r="G50" s="83" t="inlineStr">
        <is>
          <t>n.a.</t>
        </is>
      </c>
      <c r="H50" s="83" t="inlineStr">
        <is>
          <t>2024/25</t>
        </is>
      </c>
      <c r="I50" s="83">
        <f>INDEX('UK providers'!$K$7:$K$212,MATCH(N50,'UK providers'!$A$7:$A$212,0))</f>
        <v/>
      </c>
      <c r="J50" s="84" t="inlineStr">
        <is>
          <t>n.a.</t>
        </is>
      </c>
      <c r="K50" s="10" t="inlineStr">
        <is>
          <t>HESA provider return</t>
        </is>
      </c>
      <c r="L50" s="10" t="inlineStr">
        <is>
          <t>Comparable CPD/CE definition. One year supplied: no growth calculation. Do not add to overlapping annual-report categories.</t>
        </is>
      </c>
      <c r="M50" s="10" t="inlineStr">
        <is>
          <t>HESA HE-BCI Table 2b; user-supplied dt032-table-2b.csv. https://www.hesa.ac.uk/data-and-analysis/business-community</t>
        </is>
      </c>
      <c r="N50" s="10" t="inlineStr">
        <is>
          <t>10003270</t>
        </is>
      </c>
    </row>
    <row r="51" ht="110" customHeight="1">
      <c r="A51" s="10" t="inlineStr">
        <is>
          <t>UK</t>
        </is>
      </c>
      <c r="B51" s="11" t="inlineStr">
        <is>
          <t>King’s College London</t>
        </is>
      </c>
      <c r="C51" s="10" t="inlineStr">
        <is>
          <t>HESA CPD/CE revenue</t>
        </is>
      </c>
      <c r="D51" s="10" t="inlineStr">
        <is>
          <t>CPD/CE courses for business and the community</t>
        </is>
      </c>
      <c r="E51" s="10" t="inlineStr">
        <is>
          <t>GBP m</t>
        </is>
      </c>
      <c r="F51" s="10" t="inlineStr">
        <is>
          <t>Not supplied</t>
        </is>
      </c>
      <c r="G51" s="83" t="inlineStr">
        <is>
          <t>n.a.</t>
        </is>
      </c>
      <c r="H51" s="83" t="inlineStr">
        <is>
          <t>2024/25</t>
        </is>
      </c>
      <c r="I51" s="83">
        <f>INDEX('UK providers'!$K$7:$K$212,MATCH(N51,'UK providers'!$A$7:$A$212,0))</f>
        <v/>
      </c>
      <c r="J51" s="84" t="inlineStr">
        <is>
          <t>n.a.</t>
        </is>
      </c>
      <c r="K51" s="10" t="inlineStr">
        <is>
          <t>HESA provider return</t>
        </is>
      </c>
      <c r="L51" s="10" t="inlineStr">
        <is>
          <t>Comparable CPD/CE definition. One year supplied: no growth calculation. Do not add to overlapping annual-report categories.</t>
        </is>
      </c>
      <c r="M51" s="10" t="inlineStr">
        <is>
          <t>HESA HE-BCI Table 2b; user-supplied dt032-table-2b.csv. https://www.hesa.ac.uk/data-and-analysis/business-community</t>
        </is>
      </c>
      <c r="N51" s="10" t="inlineStr">
        <is>
          <t>10003645</t>
        </is>
      </c>
    </row>
    <row r="52" ht="110" customHeight="1">
      <c r="A52" s="10" t="inlineStr">
        <is>
          <t>UK</t>
        </is>
      </c>
      <c r="B52" s="11" t="inlineStr">
        <is>
          <t>Leeds</t>
        </is>
      </c>
      <c r="C52" s="10" t="inlineStr">
        <is>
          <t>HESA CPD/CE revenue</t>
        </is>
      </c>
      <c r="D52" s="10" t="inlineStr">
        <is>
          <t>CPD/CE courses for business and the community</t>
        </is>
      </c>
      <c r="E52" s="10" t="inlineStr">
        <is>
          <t>GBP m</t>
        </is>
      </c>
      <c r="F52" s="10" t="inlineStr">
        <is>
          <t>Not supplied</t>
        </is>
      </c>
      <c r="G52" s="83" t="inlineStr">
        <is>
          <t>n.a.</t>
        </is>
      </c>
      <c r="H52" s="83" t="inlineStr">
        <is>
          <t>2024/25</t>
        </is>
      </c>
      <c r="I52" s="83">
        <f>INDEX('UK providers'!$K$7:$K$212,MATCH(N52,'UK providers'!$A$7:$A$212,0))</f>
        <v/>
      </c>
      <c r="J52" s="84" t="inlineStr">
        <is>
          <t>n.a.</t>
        </is>
      </c>
      <c r="K52" s="10" t="inlineStr">
        <is>
          <t>HESA provider return</t>
        </is>
      </c>
      <c r="L52" s="10" t="inlineStr">
        <is>
          <t>Comparable CPD/CE definition. One year supplied: no growth calculation. Do not add to overlapping annual-report categories.</t>
        </is>
      </c>
      <c r="M52" s="10" t="inlineStr">
        <is>
          <t>HESA HE-BCI Table 2b; user-supplied dt032-table-2b.csv. https://www.hesa.ac.uk/data-and-analysis/business-community</t>
        </is>
      </c>
      <c r="N52" s="10" t="inlineStr">
        <is>
          <t>10007795</t>
        </is>
      </c>
    </row>
    <row r="53" ht="110" customHeight="1">
      <c r="A53" s="10" t="inlineStr">
        <is>
          <t>UK</t>
        </is>
      </c>
      <c r="B53" s="11" t="inlineStr">
        <is>
          <t>Liverpool</t>
        </is>
      </c>
      <c r="C53" s="10" t="inlineStr">
        <is>
          <t>HESA CPD/CE revenue</t>
        </is>
      </c>
      <c r="D53" s="10" t="inlineStr">
        <is>
          <t>CPD/CE courses for business and the community</t>
        </is>
      </c>
      <c r="E53" s="10" t="inlineStr">
        <is>
          <t>GBP m</t>
        </is>
      </c>
      <c r="F53" s="10" t="inlineStr">
        <is>
          <t>Not supplied</t>
        </is>
      </c>
      <c r="G53" s="83" t="inlineStr">
        <is>
          <t>n.a.</t>
        </is>
      </c>
      <c r="H53" s="83" t="inlineStr">
        <is>
          <t>2024/25</t>
        </is>
      </c>
      <c r="I53" s="83">
        <f>INDEX('UK providers'!$K$7:$K$212,MATCH(N53,'UK providers'!$A$7:$A$212,0))</f>
        <v/>
      </c>
      <c r="J53" s="84" t="inlineStr">
        <is>
          <t>n.a.</t>
        </is>
      </c>
      <c r="K53" s="10" t="inlineStr">
        <is>
          <t>HESA provider return</t>
        </is>
      </c>
      <c r="L53" s="10" t="inlineStr">
        <is>
          <t>Comparable CPD/CE definition. One year supplied: no growth calculation. Do not add to overlapping annual-report categories.</t>
        </is>
      </c>
      <c r="M53" s="10" t="inlineStr">
        <is>
          <t>HESA HE-BCI Table 2b; user-supplied dt032-table-2b.csv. https://www.hesa.ac.uk/data-and-analysis/business-community</t>
        </is>
      </c>
      <c r="N53" s="10" t="inlineStr">
        <is>
          <t>10006842</t>
        </is>
      </c>
    </row>
    <row r="54" ht="110" customHeight="1">
      <c r="A54" s="10" t="inlineStr">
        <is>
          <t>UK</t>
        </is>
      </c>
      <c r="B54" s="11" t="inlineStr">
        <is>
          <t>London School of Economics</t>
        </is>
      </c>
      <c r="C54" s="10" t="inlineStr">
        <is>
          <t>HESA CPD/CE revenue</t>
        </is>
      </c>
      <c r="D54" s="10" t="inlineStr">
        <is>
          <t>CPD/CE courses for business and the community</t>
        </is>
      </c>
      <c r="E54" s="10" t="inlineStr">
        <is>
          <t>GBP m</t>
        </is>
      </c>
      <c r="F54" s="10" t="inlineStr">
        <is>
          <t>Not supplied</t>
        </is>
      </c>
      <c r="G54" s="83" t="inlineStr">
        <is>
          <t>n.a.</t>
        </is>
      </c>
      <c r="H54" s="83" t="inlineStr">
        <is>
          <t>2024/25</t>
        </is>
      </c>
      <c r="I54" s="83">
        <f>INDEX('UK providers'!$K$7:$K$212,MATCH(N54,'UK providers'!$A$7:$A$212,0))</f>
        <v/>
      </c>
      <c r="J54" s="84" t="inlineStr">
        <is>
          <t>n.a.</t>
        </is>
      </c>
      <c r="K54" s="10" t="inlineStr">
        <is>
          <t>HESA provider return</t>
        </is>
      </c>
      <c r="L54" s="10" t="inlineStr">
        <is>
          <t>Comparable CPD/CE definition. One year supplied: no growth calculation. Do not add to overlapping annual-report categories.</t>
        </is>
      </c>
      <c r="M54" s="10" t="inlineStr">
        <is>
          <t>HESA HE-BCI Table 2b; user-supplied dt032-table-2b.csv. https://www.hesa.ac.uk/data-and-analysis/business-community</t>
        </is>
      </c>
      <c r="N54" s="10" t="inlineStr">
        <is>
          <t>10004063</t>
        </is>
      </c>
    </row>
    <row r="55" ht="110" customHeight="1">
      <c r="A55" s="10" t="inlineStr">
        <is>
          <t>UK</t>
        </is>
      </c>
      <c r="B55" s="11" t="inlineStr">
        <is>
          <t>Manchester</t>
        </is>
      </c>
      <c r="C55" s="10" t="inlineStr">
        <is>
          <t>HESA CPD/CE revenue</t>
        </is>
      </c>
      <c r="D55" s="10" t="inlineStr">
        <is>
          <t>CPD/CE courses for business and the community</t>
        </is>
      </c>
      <c r="E55" s="10" t="inlineStr">
        <is>
          <t>GBP m</t>
        </is>
      </c>
      <c r="F55" s="10" t="inlineStr">
        <is>
          <t>Not supplied</t>
        </is>
      </c>
      <c r="G55" s="83" t="inlineStr">
        <is>
          <t>n.a.</t>
        </is>
      </c>
      <c r="H55" s="83" t="inlineStr">
        <is>
          <t>2024/25</t>
        </is>
      </c>
      <c r="I55" s="83">
        <f>INDEX('UK providers'!$K$7:$K$212,MATCH(N55,'UK providers'!$A$7:$A$212,0))</f>
        <v/>
      </c>
      <c r="J55" s="84" t="inlineStr">
        <is>
          <t>n.a.</t>
        </is>
      </c>
      <c r="K55" s="10" t="inlineStr">
        <is>
          <t>HESA provider return</t>
        </is>
      </c>
      <c r="L55" s="10" t="inlineStr">
        <is>
          <t>Comparable CPD/CE definition. One year supplied: no growth calculation. Do not add to overlapping annual-report categories.</t>
        </is>
      </c>
      <c r="M55" s="10" t="inlineStr">
        <is>
          <t>HESA HE-BCI Table 2b; user-supplied dt032-table-2b.csv. https://www.hesa.ac.uk/data-and-analysis/business-community</t>
        </is>
      </c>
      <c r="N55" s="10" t="inlineStr">
        <is>
          <t>10007798</t>
        </is>
      </c>
    </row>
    <row r="56" ht="110" customHeight="1">
      <c r="A56" s="10" t="inlineStr">
        <is>
          <t>UK</t>
        </is>
      </c>
      <c r="B56" s="11" t="inlineStr">
        <is>
          <t>Newcastle</t>
        </is>
      </c>
      <c r="C56" s="10" t="inlineStr">
        <is>
          <t>HESA CPD/CE revenue</t>
        </is>
      </c>
      <c r="D56" s="10" t="inlineStr">
        <is>
          <t>CPD/CE courses for business and the community</t>
        </is>
      </c>
      <c r="E56" s="10" t="inlineStr">
        <is>
          <t>GBP m</t>
        </is>
      </c>
      <c r="F56" s="10" t="inlineStr">
        <is>
          <t>Not supplied</t>
        </is>
      </c>
      <c r="G56" s="83" t="inlineStr">
        <is>
          <t>n.a.</t>
        </is>
      </c>
      <c r="H56" s="83" t="inlineStr">
        <is>
          <t>2024/25</t>
        </is>
      </c>
      <c r="I56" s="83">
        <f>INDEX('UK providers'!$K$7:$K$212,MATCH(N56,'UK providers'!$A$7:$A$212,0))</f>
        <v/>
      </c>
      <c r="J56" s="84" t="inlineStr">
        <is>
          <t>n.a.</t>
        </is>
      </c>
      <c r="K56" s="10" t="inlineStr">
        <is>
          <t>HESA provider return</t>
        </is>
      </c>
      <c r="L56" s="10" t="inlineStr">
        <is>
          <t>Comparable CPD/CE definition. One year supplied: no growth calculation. Do not add to overlapping annual-report categories.</t>
        </is>
      </c>
      <c r="M56" s="10" t="inlineStr">
        <is>
          <t>HESA HE-BCI Table 2b; user-supplied dt032-table-2b.csv. https://www.hesa.ac.uk/data-and-analysis/business-community</t>
        </is>
      </c>
      <c r="N56" s="10" t="inlineStr">
        <is>
          <t>10007799</t>
        </is>
      </c>
    </row>
    <row r="57" ht="110" customHeight="1">
      <c r="A57" s="10" t="inlineStr">
        <is>
          <t>UK</t>
        </is>
      </c>
      <c r="B57" s="11" t="inlineStr">
        <is>
          <t>Nottingham</t>
        </is>
      </c>
      <c r="C57" s="10" t="inlineStr">
        <is>
          <t>HESA CPD/CE revenue</t>
        </is>
      </c>
      <c r="D57" s="10" t="inlineStr">
        <is>
          <t>CPD/CE courses for business and the community</t>
        </is>
      </c>
      <c r="E57" s="10" t="inlineStr">
        <is>
          <t>GBP m</t>
        </is>
      </c>
      <c r="F57" s="10" t="inlineStr">
        <is>
          <t>Not supplied</t>
        </is>
      </c>
      <c r="G57" s="83" t="inlineStr">
        <is>
          <t>n.a.</t>
        </is>
      </c>
      <c r="H57" s="83" t="inlineStr">
        <is>
          <t>2024/25</t>
        </is>
      </c>
      <c r="I57" s="83">
        <f>INDEX('UK providers'!$K$7:$K$212,MATCH(N57,'UK providers'!$A$7:$A$212,0))</f>
        <v/>
      </c>
      <c r="J57" s="84" t="inlineStr">
        <is>
          <t>n.a.</t>
        </is>
      </c>
      <c r="K57" s="10" t="inlineStr">
        <is>
          <t>HESA provider return</t>
        </is>
      </c>
      <c r="L57" s="10" t="inlineStr">
        <is>
          <t>Comparable CPD/CE definition. One year supplied: no growth calculation. Do not add to overlapping annual-report categories.</t>
        </is>
      </c>
      <c r="M57" s="10" t="inlineStr">
        <is>
          <t>HESA HE-BCI Table 2b; user-supplied dt032-table-2b.csv. https://www.hesa.ac.uk/data-and-analysis/business-community</t>
        </is>
      </c>
      <c r="N57" s="10" t="inlineStr">
        <is>
          <t>10007154</t>
        </is>
      </c>
    </row>
    <row r="58" ht="110" customHeight="1">
      <c r="A58" s="10" t="inlineStr">
        <is>
          <t>UK</t>
        </is>
      </c>
      <c r="B58" s="11" t="inlineStr">
        <is>
          <t>Oxford</t>
        </is>
      </c>
      <c r="C58" s="10" t="inlineStr">
        <is>
          <t>HESA CPD/CE revenue</t>
        </is>
      </c>
      <c r="D58" s="10" t="inlineStr">
        <is>
          <t>CPD/CE courses for business and the community</t>
        </is>
      </c>
      <c r="E58" s="10" t="inlineStr">
        <is>
          <t>GBP m</t>
        </is>
      </c>
      <c r="F58" s="10" t="inlineStr">
        <is>
          <t>Not supplied</t>
        </is>
      </c>
      <c r="G58" s="83" t="inlineStr">
        <is>
          <t>n.a.</t>
        </is>
      </c>
      <c r="H58" s="83" t="inlineStr">
        <is>
          <t>2024/25</t>
        </is>
      </c>
      <c r="I58" s="83">
        <f>INDEX('UK providers'!$K$7:$K$212,MATCH(N58,'UK providers'!$A$7:$A$212,0))</f>
        <v/>
      </c>
      <c r="J58" s="84" t="inlineStr">
        <is>
          <t>n.a.</t>
        </is>
      </c>
      <c r="K58" s="10" t="inlineStr">
        <is>
          <t>HESA provider return</t>
        </is>
      </c>
      <c r="L58" s="10" t="inlineStr">
        <is>
          <t>Comparable CPD/CE definition. One year supplied: no growth calculation. Do not add to overlapping annual-report categories.</t>
        </is>
      </c>
      <c r="M58" s="10" t="inlineStr">
        <is>
          <t>HESA HE-BCI Table 2b; user-supplied dt032-table-2b.csv. https://www.hesa.ac.uk/data-and-analysis/business-community</t>
        </is>
      </c>
      <c r="N58" s="10" t="inlineStr">
        <is>
          <t>10007774</t>
        </is>
      </c>
    </row>
    <row r="59" ht="110" customHeight="1">
      <c r="A59" s="10" t="inlineStr">
        <is>
          <t>UK</t>
        </is>
      </c>
      <c r="B59" s="11" t="inlineStr">
        <is>
          <t>Queen Mary University of London</t>
        </is>
      </c>
      <c r="C59" s="10" t="inlineStr">
        <is>
          <t>HESA CPD/CE revenue</t>
        </is>
      </c>
      <c r="D59" s="10" t="inlineStr">
        <is>
          <t>CPD/CE courses for business and the community</t>
        </is>
      </c>
      <c r="E59" s="10" t="inlineStr">
        <is>
          <t>GBP m</t>
        </is>
      </c>
      <c r="F59" s="10" t="inlineStr">
        <is>
          <t>Not supplied</t>
        </is>
      </c>
      <c r="G59" s="83" t="inlineStr">
        <is>
          <t>n.a.</t>
        </is>
      </c>
      <c r="H59" s="83" t="inlineStr">
        <is>
          <t>2024/25</t>
        </is>
      </c>
      <c r="I59" s="83">
        <f>INDEX('UK providers'!$K$7:$K$212,MATCH(N59,'UK providers'!$A$7:$A$212,0))</f>
        <v/>
      </c>
      <c r="J59" s="84" t="inlineStr">
        <is>
          <t>n.a.</t>
        </is>
      </c>
      <c r="K59" s="10" t="inlineStr">
        <is>
          <t>HESA provider return</t>
        </is>
      </c>
      <c r="L59" s="10" t="inlineStr">
        <is>
          <t>Comparable CPD/CE definition. One year supplied: no growth calculation. Do not add to overlapping annual-report categories.</t>
        </is>
      </c>
      <c r="M59" s="10" t="inlineStr">
        <is>
          <t>HESA HE-BCI Table 2b; user-supplied dt032-table-2b.csv. https://www.hesa.ac.uk/data-and-analysis/business-community</t>
        </is>
      </c>
      <c r="N59" s="10" t="inlineStr">
        <is>
          <t>10007775</t>
        </is>
      </c>
    </row>
    <row r="60" ht="110" customHeight="1">
      <c r="A60" s="10" t="inlineStr">
        <is>
          <t>UK</t>
        </is>
      </c>
      <c r="B60" s="11" t="inlineStr">
        <is>
          <t>Queen’s University Belfast</t>
        </is>
      </c>
      <c r="C60" s="10" t="inlineStr">
        <is>
          <t>HESA CPD/CE revenue</t>
        </is>
      </c>
      <c r="D60" s="10" t="inlineStr">
        <is>
          <t>CPD/CE courses for business and the community</t>
        </is>
      </c>
      <c r="E60" s="10" t="inlineStr">
        <is>
          <t>GBP m</t>
        </is>
      </c>
      <c r="F60" s="10" t="inlineStr">
        <is>
          <t>Not supplied</t>
        </is>
      </c>
      <c r="G60" s="83" t="inlineStr">
        <is>
          <t>n.a.</t>
        </is>
      </c>
      <c r="H60" s="83" t="inlineStr">
        <is>
          <t>2024/25</t>
        </is>
      </c>
      <c r="I60" s="83">
        <f>INDEX('UK providers'!$K$7:$K$212,MATCH(N60,'UK providers'!$A$7:$A$212,0))</f>
        <v/>
      </c>
      <c r="J60" s="84" t="inlineStr">
        <is>
          <t>n.a.</t>
        </is>
      </c>
      <c r="K60" s="10" t="inlineStr">
        <is>
          <t>HESA provider return</t>
        </is>
      </c>
      <c r="L60" s="10" t="inlineStr">
        <is>
          <t>Comparable CPD/CE definition. One year supplied: no growth calculation. Do not add to overlapping annual-report categories.</t>
        </is>
      </c>
      <c r="M60" s="10" t="inlineStr">
        <is>
          <t>HESA HE-BCI Table 2b; user-supplied dt032-table-2b.csv. https://www.hesa.ac.uk/data-and-analysis/business-community</t>
        </is>
      </c>
      <c r="N60" s="10" t="inlineStr">
        <is>
          <t>10005343</t>
        </is>
      </c>
    </row>
    <row r="61" ht="110" customHeight="1">
      <c r="A61" s="10" t="inlineStr">
        <is>
          <t>UK</t>
        </is>
      </c>
      <c r="B61" s="11" t="inlineStr">
        <is>
          <t>Sheffield</t>
        </is>
      </c>
      <c r="C61" s="10" t="inlineStr">
        <is>
          <t>HESA CPD/CE revenue</t>
        </is>
      </c>
      <c r="D61" s="10" t="inlineStr">
        <is>
          <t>CPD/CE courses for business and the community</t>
        </is>
      </c>
      <c r="E61" s="10" t="inlineStr">
        <is>
          <t>GBP m</t>
        </is>
      </c>
      <c r="F61" s="10" t="inlineStr">
        <is>
          <t>Not supplied</t>
        </is>
      </c>
      <c r="G61" s="83" t="inlineStr">
        <is>
          <t>n.a.</t>
        </is>
      </c>
      <c r="H61" s="83" t="inlineStr">
        <is>
          <t>2024/25</t>
        </is>
      </c>
      <c r="I61" s="83">
        <f>INDEX('UK providers'!$K$7:$K$212,MATCH(N61,'UK providers'!$A$7:$A$212,0))</f>
        <v/>
      </c>
      <c r="J61" s="84" t="inlineStr">
        <is>
          <t>n.a.</t>
        </is>
      </c>
      <c r="K61" s="10" t="inlineStr">
        <is>
          <t>HESA provider return</t>
        </is>
      </c>
      <c r="L61" s="10" t="inlineStr">
        <is>
          <t>Comparable CPD/CE definition. One year supplied: no growth calculation. Do not add to overlapping annual-report categories.</t>
        </is>
      </c>
      <c r="M61" s="10" t="inlineStr">
        <is>
          <t>HESA HE-BCI Table 2b; user-supplied dt032-table-2b.csv. https://www.hesa.ac.uk/data-and-analysis/business-community</t>
        </is>
      </c>
      <c r="N61" s="10" t="inlineStr">
        <is>
          <t>10007157</t>
        </is>
      </c>
    </row>
    <row r="62" ht="110" customHeight="1">
      <c r="A62" s="10" t="inlineStr">
        <is>
          <t>UK</t>
        </is>
      </c>
      <c r="B62" s="11" t="inlineStr">
        <is>
          <t>Southampton</t>
        </is>
      </c>
      <c r="C62" s="10" t="inlineStr">
        <is>
          <t>HESA CPD/CE revenue</t>
        </is>
      </c>
      <c r="D62" s="10" t="inlineStr">
        <is>
          <t>CPD/CE courses for business and the community</t>
        </is>
      </c>
      <c r="E62" s="10" t="inlineStr">
        <is>
          <t>GBP m</t>
        </is>
      </c>
      <c r="F62" s="10" t="inlineStr">
        <is>
          <t>Not supplied</t>
        </is>
      </c>
      <c r="G62" s="83" t="inlineStr">
        <is>
          <t>n.a.</t>
        </is>
      </c>
      <c r="H62" s="83" t="inlineStr">
        <is>
          <t>2024/25</t>
        </is>
      </c>
      <c r="I62" s="83">
        <f>INDEX('UK providers'!$K$7:$K$212,MATCH(N62,'UK providers'!$A$7:$A$212,0))</f>
        <v/>
      </c>
      <c r="J62" s="84" t="inlineStr">
        <is>
          <t>n.a.</t>
        </is>
      </c>
      <c r="K62" s="10" t="inlineStr">
        <is>
          <t>HESA provider return</t>
        </is>
      </c>
      <c r="L62" s="10" t="inlineStr">
        <is>
          <t>Comparable CPD/CE definition. One year supplied: no growth calculation. Do not add to overlapping annual-report categories.</t>
        </is>
      </c>
      <c r="M62" s="10" t="inlineStr">
        <is>
          <t>HESA HE-BCI Table 2b; user-supplied dt032-table-2b.csv. https://www.hesa.ac.uk/data-and-analysis/business-community</t>
        </is>
      </c>
      <c r="N62" s="10" t="inlineStr">
        <is>
          <t>10007158</t>
        </is>
      </c>
    </row>
    <row r="63" ht="110" customHeight="1">
      <c r="A63" s="10" t="inlineStr">
        <is>
          <t>UK</t>
        </is>
      </c>
      <c r="B63" s="11" t="inlineStr">
        <is>
          <t>UCL</t>
        </is>
      </c>
      <c r="C63" s="10" t="inlineStr">
        <is>
          <t>HESA CPD/CE revenue</t>
        </is>
      </c>
      <c r="D63" s="10" t="inlineStr">
        <is>
          <t>CPD/CE courses for business and the community</t>
        </is>
      </c>
      <c r="E63" s="10" t="inlineStr">
        <is>
          <t>GBP m</t>
        </is>
      </c>
      <c r="F63" s="10" t="inlineStr">
        <is>
          <t>Not supplied</t>
        </is>
      </c>
      <c r="G63" s="83" t="inlineStr">
        <is>
          <t>n.a.</t>
        </is>
      </c>
      <c r="H63" s="83" t="inlineStr">
        <is>
          <t>2024/25</t>
        </is>
      </c>
      <c r="I63" s="83">
        <f>INDEX('UK providers'!$K$7:$K$212,MATCH(N63,'UK providers'!$A$7:$A$212,0))</f>
        <v/>
      </c>
      <c r="J63" s="84" t="inlineStr">
        <is>
          <t>n.a.</t>
        </is>
      </c>
      <c r="K63" s="10" t="inlineStr">
        <is>
          <t>HESA provider return</t>
        </is>
      </c>
      <c r="L63" s="10" t="inlineStr">
        <is>
          <t>Comparable CPD/CE definition. One year supplied: no growth calculation. Do not add to overlapping annual-report categories.</t>
        </is>
      </c>
      <c r="M63" s="10" t="inlineStr">
        <is>
          <t>HESA HE-BCI Table 2b; user-supplied dt032-table-2b.csv. https://www.hesa.ac.uk/data-and-analysis/business-community</t>
        </is>
      </c>
      <c r="N63" s="10" t="inlineStr">
        <is>
          <t>10007784</t>
        </is>
      </c>
    </row>
    <row r="64" ht="110" customHeight="1">
      <c r="A64" s="10" t="inlineStr">
        <is>
          <t>UK</t>
        </is>
      </c>
      <c r="B64" s="11" t="inlineStr">
        <is>
          <t>Warwick</t>
        </is>
      </c>
      <c r="C64" s="10" t="inlineStr">
        <is>
          <t>HESA CPD/CE revenue</t>
        </is>
      </c>
      <c r="D64" s="10" t="inlineStr">
        <is>
          <t>CPD/CE courses for business and the community</t>
        </is>
      </c>
      <c r="E64" s="10" t="inlineStr">
        <is>
          <t>GBP m</t>
        </is>
      </c>
      <c r="F64" s="10" t="inlineStr">
        <is>
          <t>Not supplied</t>
        </is>
      </c>
      <c r="G64" s="83" t="inlineStr">
        <is>
          <t>n.a.</t>
        </is>
      </c>
      <c r="H64" s="83" t="inlineStr">
        <is>
          <t>2024/25</t>
        </is>
      </c>
      <c r="I64" s="83">
        <f>INDEX('UK providers'!$K$7:$K$212,MATCH(N64,'UK providers'!$A$7:$A$212,0))</f>
        <v/>
      </c>
      <c r="J64" s="84" t="inlineStr">
        <is>
          <t>n.a.</t>
        </is>
      </c>
      <c r="K64" s="10" t="inlineStr">
        <is>
          <t>HESA provider return</t>
        </is>
      </c>
      <c r="L64" s="10" t="inlineStr">
        <is>
          <t>Comparable CPD/CE definition. One year supplied: no growth calculation. Do not add to overlapping annual-report categories.</t>
        </is>
      </c>
      <c r="M64" s="10" t="inlineStr">
        <is>
          <t>HESA HE-BCI Table 2b; user-supplied dt032-table-2b.csv. https://www.hesa.ac.uk/data-and-analysis/business-community</t>
        </is>
      </c>
      <c r="N64" s="10" t="inlineStr">
        <is>
          <t>10007163</t>
        </is>
      </c>
    </row>
    <row r="65" ht="110" customHeight="1">
      <c r="A65" s="10" t="inlineStr">
        <is>
          <t>UK</t>
        </is>
      </c>
      <c r="B65" s="11" t="inlineStr">
        <is>
          <t>York</t>
        </is>
      </c>
      <c r="C65" s="10" t="inlineStr">
        <is>
          <t>HESA CPD/CE revenue</t>
        </is>
      </c>
      <c r="D65" s="10" t="inlineStr">
        <is>
          <t>CPD/CE courses for business and the community</t>
        </is>
      </c>
      <c r="E65" s="10" t="inlineStr">
        <is>
          <t>GBP m</t>
        </is>
      </c>
      <c r="F65" s="10" t="inlineStr">
        <is>
          <t>Not supplied</t>
        </is>
      </c>
      <c r="G65" s="83" t="inlineStr">
        <is>
          <t>n.a.</t>
        </is>
      </c>
      <c r="H65" s="83" t="inlineStr">
        <is>
          <t>2024/25</t>
        </is>
      </c>
      <c r="I65" s="83">
        <f>INDEX('UK providers'!$K$7:$K$212,MATCH(N65,'UK providers'!$A$7:$A$212,0))</f>
        <v/>
      </c>
      <c r="J65" s="84" t="inlineStr">
        <is>
          <t>n.a.</t>
        </is>
      </c>
      <c r="K65" s="10" t="inlineStr">
        <is>
          <t>HESA provider return</t>
        </is>
      </c>
      <c r="L65" s="10" t="inlineStr">
        <is>
          <t>Comparable CPD/CE definition. One year supplied: no growth calculation. Do not add to overlapping annual-report categories.</t>
        </is>
      </c>
      <c r="M65" s="10" t="inlineStr">
        <is>
          <t>HESA HE-BCI Table 2b; user-supplied dt032-table-2b.csv. https://www.hesa.ac.uk/data-and-analysis/business-community</t>
        </is>
      </c>
      <c r="N65" s="10" t="inlineStr">
        <is>
          <t>10007167</t>
        </is>
      </c>
    </row>
    <row r="66" ht="110" customHeight="1">
      <c r="A66" s="10" t="inlineStr">
        <is>
          <t>UK</t>
        </is>
      </c>
      <c r="B66" s="11" t="inlineStr">
        <is>
          <t>Bath</t>
        </is>
      </c>
      <c r="C66" s="10" t="inlineStr">
        <is>
          <t>HESA CPD/CE revenue</t>
        </is>
      </c>
      <c r="D66" s="10" t="inlineStr">
        <is>
          <t>CPD/CE courses for business and the community</t>
        </is>
      </c>
      <c r="E66" s="10" t="inlineStr">
        <is>
          <t>GBP m</t>
        </is>
      </c>
      <c r="F66" s="10" t="inlineStr">
        <is>
          <t>Not supplied</t>
        </is>
      </c>
      <c r="G66" s="83" t="inlineStr">
        <is>
          <t>n.a.</t>
        </is>
      </c>
      <c r="H66" s="83" t="inlineStr">
        <is>
          <t>2024/25</t>
        </is>
      </c>
      <c r="I66" s="83">
        <f>INDEX('UK providers'!$K$7:$K$212,MATCH(N66,'UK providers'!$A$7:$A$212,0))</f>
        <v/>
      </c>
      <c r="J66" s="84" t="inlineStr">
        <is>
          <t>n.a.</t>
        </is>
      </c>
      <c r="K66" s="10" t="inlineStr">
        <is>
          <t>HESA provider return</t>
        </is>
      </c>
      <c r="L66" s="10" t="inlineStr">
        <is>
          <t>Comparable CPD/CE definition. One year supplied: no growth calculation. Do not add to overlapping annual-report categories.</t>
        </is>
      </c>
      <c r="M66" s="10" t="inlineStr">
        <is>
          <t>HESA HE-BCI Table 2b; user-supplied dt032-table-2b.csv. https://www.hesa.ac.uk/data-and-analysis/business-community</t>
        </is>
      </c>
      <c r="N66" s="10" t="inlineStr">
        <is>
          <t>10007850</t>
        </is>
      </c>
    </row>
    <row r="67" ht="110" customHeight="1">
      <c r="A67" s="10" t="inlineStr">
        <is>
          <t>UK</t>
        </is>
      </c>
      <c r="B67" s="11" t="inlineStr">
        <is>
          <t>St Andrews</t>
        </is>
      </c>
      <c r="C67" s="10" t="inlineStr">
        <is>
          <t>HESA CPD/CE revenue</t>
        </is>
      </c>
      <c r="D67" s="10" t="inlineStr">
        <is>
          <t>CPD/CE courses for business and the community</t>
        </is>
      </c>
      <c r="E67" s="10" t="inlineStr">
        <is>
          <t>GBP m</t>
        </is>
      </c>
      <c r="F67" s="10" t="inlineStr">
        <is>
          <t>Not supplied</t>
        </is>
      </c>
      <c r="G67" s="83" t="inlineStr">
        <is>
          <t>n.a.</t>
        </is>
      </c>
      <c r="H67" s="83" t="inlineStr">
        <is>
          <t>2024/25</t>
        </is>
      </c>
      <c r="I67" s="83">
        <f>INDEX('UK providers'!$K$7:$K$212,MATCH(N67,'UK providers'!$A$7:$A$212,0))</f>
        <v/>
      </c>
      <c r="J67" s="84" t="inlineStr">
        <is>
          <t>n.a.</t>
        </is>
      </c>
      <c r="K67" s="10" t="inlineStr">
        <is>
          <t>HESA provider return</t>
        </is>
      </c>
      <c r="L67" s="10" t="inlineStr">
        <is>
          <t>Comparable CPD/CE definition. One year supplied: no growth calculation. Do not add to overlapping annual-report categories.</t>
        </is>
      </c>
      <c r="M67" s="10" t="inlineStr">
        <is>
          <t>HESA HE-BCI Table 2b; user-supplied dt032-table-2b.csv. https://www.hesa.ac.uk/data-and-analysis/business-community</t>
        </is>
      </c>
      <c r="N67" s="10" t="inlineStr">
        <is>
          <t>10007803</t>
        </is>
      </c>
    </row>
    <row r="68" ht="110" customHeight="1">
      <c r="A68" s="10" t="inlineStr">
        <is>
          <t>UK</t>
        </is>
      </c>
      <c r="B68" s="11" t="inlineStr">
        <is>
          <t>Lancaster</t>
        </is>
      </c>
      <c r="C68" s="10" t="inlineStr">
        <is>
          <t>HESA CPD/CE revenue</t>
        </is>
      </c>
      <c r="D68" s="10" t="inlineStr">
        <is>
          <t>CPD/CE courses for business and the community</t>
        </is>
      </c>
      <c r="E68" s="10" t="inlineStr">
        <is>
          <t>GBP m</t>
        </is>
      </c>
      <c r="F68" s="10" t="inlineStr">
        <is>
          <t>Not supplied</t>
        </is>
      </c>
      <c r="G68" s="83" t="inlineStr">
        <is>
          <t>n.a.</t>
        </is>
      </c>
      <c r="H68" s="83" t="inlineStr">
        <is>
          <t>2024/25</t>
        </is>
      </c>
      <c r="I68" s="83">
        <f>INDEX('UK providers'!$K$7:$K$212,MATCH(N68,'UK providers'!$A$7:$A$212,0))</f>
        <v/>
      </c>
      <c r="J68" s="84" t="inlineStr">
        <is>
          <t>n.a.</t>
        </is>
      </c>
      <c r="K68" s="10" t="inlineStr">
        <is>
          <t>HESA provider return</t>
        </is>
      </c>
      <c r="L68" s="10" t="inlineStr">
        <is>
          <t>Comparable CPD/CE definition. One year supplied: no growth calculation. Do not add to overlapping annual-report categories.</t>
        </is>
      </c>
      <c r="M68" s="10" t="inlineStr">
        <is>
          <t>HESA HE-BCI Table 2b; user-supplied dt032-table-2b.csv. https://www.hesa.ac.uk/data-and-analysis/business-community</t>
        </is>
      </c>
      <c r="N68" s="10" t="inlineStr">
        <is>
          <t>10007768</t>
        </is>
      </c>
    </row>
    <row r="69" ht="110" customHeight="1">
      <c r="A69" s="10" t="inlineStr">
        <is>
          <t>UK</t>
        </is>
      </c>
      <c r="B69" s="11" t="inlineStr">
        <is>
          <t>Loughborough</t>
        </is>
      </c>
      <c r="C69" s="10" t="inlineStr">
        <is>
          <t>HESA CPD/CE revenue</t>
        </is>
      </c>
      <c r="D69" s="10" t="inlineStr">
        <is>
          <t>CPD/CE courses for business and the community</t>
        </is>
      </c>
      <c r="E69" s="10" t="inlineStr">
        <is>
          <t>GBP m</t>
        </is>
      </c>
      <c r="F69" s="10" t="inlineStr">
        <is>
          <t>Not supplied</t>
        </is>
      </c>
      <c r="G69" s="83" t="inlineStr">
        <is>
          <t>n.a.</t>
        </is>
      </c>
      <c r="H69" s="83" t="inlineStr">
        <is>
          <t>2024/25</t>
        </is>
      </c>
      <c r="I69" s="83">
        <f>INDEX('UK providers'!$K$7:$K$212,MATCH(N69,'UK providers'!$A$7:$A$212,0))</f>
        <v/>
      </c>
      <c r="J69" s="84" t="inlineStr">
        <is>
          <t>n.a.</t>
        </is>
      </c>
      <c r="K69" s="10" t="inlineStr">
        <is>
          <t>HESA provider return</t>
        </is>
      </c>
      <c r="L69" s="10" t="inlineStr">
        <is>
          <t>Comparable CPD/CE definition. One year supplied: no growth calculation. Do not add to overlapping annual-report categories.</t>
        </is>
      </c>
      <c r="M69" s="10" t="inlineStr">
        <is>
          <t>HESA HE-BCI Table 2b; user-supplied dt032-table-2b.csv. https://www.hesa.ac.uk/data-and-analysis/business-community</t>
        </is>
      </c>
      <c r="N69" s="10" t="inlineStr">
        <is>
          <t>10004113</t>
        </is>
      </c>
    </row>
    <row r="70" ht="110" customHeight="1">
      <c r="A70" s="10" t="inlineStr">
        <is>
          <t>UK</t>
        </is>
      </c>
      <c r="B70" s="11" t="inlineStr">
        <is>
          <t>Aberdeen</t>
        </is>
      </c>
      <c r="C70" s="10" t="inlineStr">
        <is>
          <t>HESA CPD/CE revenue</t>
        </is>
      </c>
      <c r="D70" s="10" t="inlineStr">
        <is>
          <t>CPD/CE courses for business and the community</t>
        </is>
      </c>
      <c r="E70" s="10" t="inlineStr">
        <is>
          <t>GBP m</t>
        </is>
      </c>
      <c r="F70" s="10" t="inlineStr">
        <is>
          <t>Not supplied</t>
        </is>
      </c>
      <c r="G70" s="83" t="inlineStr">
        <is>
          <t>n.a.</t>
        </is>
      </c>
      <c r="H70" s="83" t="inlineStr">
        <is>
          <t>2024/25</t>
        </is>
      </c>
      <c r="I70" s="83">
        <f>INDEX('UK providers'!$K$7:$K$212,MATCH(N70,'UK providers'!$A$7:$A$212,0))</f>
        <v/>
      </c>
      <c r="J70" s="84" t="inlineStr">
        <is>
          <t>n.a.</t>
        </is>
      </c>
      <c r="K70" s="10" t="inlineStr">
        <is>
          <t>HESA provider return</t>
        </is>
      </c>
      <c r="L70" s="10" t="inlineStr">
        <is>
          <t>Comparable CPD/CE definition. One year supplied: no growth calculation. Do not add to overlapping annual-report categories.</t>
        </is>
      </c>
      <c r="M70" s="10" t="inlineStr">
        <is>
          <t>HESA HE-BCI Table 2b; user-supplied dt032-table-2b.csv. https://www.hesa.ac.uk/data-and-analysis/business-community</t>
        </is>
      </c>
      <c r="N70" s="10" t="inlineStr">
        <is>
          <t>10007783</t>
        </is>
      </c>
    </row>
    <row r="71" ht="110" customHeight="1">
      <c r="A71" s="10" t="inlineStr">
        <is>
          <t>UK</t>
        </is>
      </c>
      <c r="B71" s="11" t="inlineStr">
        <is>
          <t>Reading</t>
        </is>
      </c>
      <c r="C71" s="10" t="inlineStr">
        <is>
          <t>HESA CPD/CE revenue</t>
        </is>
      </c>
      <c r="D71" s="10" t="inlineStr">
        <is>
          <t>CPD/CE courses for business and the community</t>
        </is>
      </c>
      <c r="E71" s="10" t="inlineStr">
        <is>
          <t>GBP m</t>
        </is>
      </c>
      <c r="F71" s="10" t="inlineStr">
        <is>
          <t>Not supplied</t>
        </is>
      </c>
      <c r="G71" s="83" t="inlineStr">
        <is>
          <t>n.a.</t>
        </is>
      </c>
      <c r="H71" s="83" t="inlineStr">
        <is>
          <t>2024/25</t>
        </is>
      </c>
      <c r="I71" s="83">
        <f>INDEX('UK providers'!$K$7:$K$212,MATCH(N71,'UK providers'!$A$7:$A$212,0))</f>
        <v/>
      </c>
      <c r="J71" s="84" t="inlineStr">
        <is>
          <t>n.a.</t>
        </is>
      </c>
      <c r="K71" s="10" t="inlineStr">
        <is>
          <t>HESA provider return</t>
        </is>
      </c>
      <c r="L71" s="10" t="inlineStr">
        <is>
          <t>Comparable CPD/CE definition. One year supplied: no growth calculation. Do not add to overlapping annual-report categories.</t>
        </is>
      </c>
      <c r="M71" s="10" t="inlineStr">
        <is>
          <t>HESA HE-BCI Table 2b; user-supplied dt032-table-2b.csv. https://www.hesa.ac.uk/data-and-analysis/business-community</t>
        </is>
      </c>
      <c r="N71" s="10" t="inlineStr">
        <is>
          <t>10007802</t>
        </is>
      </c>
    </row>
    <row r="72" ht="110" customHeight="1">
      <c r="A72" s="10" t="inlineStr">
        <is>
          <t>UK</t>
        </is>
      </c>
      <c r="B72" s="11" t="inlineStr">
        <is>
          <t>Surrey</t>
        </is>
      </c>
      <c r="C72" s="10" t="inlineStr">
        <is>
          <t>HESA CPD/CE revenue</t>
        </is>
      </c>
      <c r="D72" s="10" t="inlineStr">
        <is>
          <t>CPD/CE courses for business and the community</t>
        </is>
      </c>
      <c r="E72" s="10" t="inlineStr">
        <is>
          <t>GBP m</t>
        </is>
      </c>
      <c r="F72" s="10" t="inlineStr">
        <is>
          <t>Not supplied</t>
        </is>
      </c>
      <c r="G72" s="83" t="inlineStr">
        <is>
          <t>n.a.</t>
        </is>
      </c>
      <c r="H72" s="83" t="inlineStr">
        <is>
          <t>2024/25</t>
        </is>
      </c>
      <c r="I72" s="83">
        <f>INDEX('UK providers'!$K$7:$K$212,MATCH(N72,'UK providers'!$A$7:$A$212,0))</f>
        <v/>
      </c>
      <c r="J72" s="84" t="inlineStr">
        <is>
          <t>n.a.</t>
        </is>
      </c>
      <c r="K72" s="10" t="inlineStr">
        <is>
          <t>HESA provider return</t>
        </is>
      </c>
      <c r="L72" s="10" t="inlineStr">
        <is>
          <t>Comparable CPD/CE definition. One year supplied: no growth calculation. Do not add to overlapping annual-report categories.</t>
        </is>
      </c>
      <c r="M72" s="10" t="inlineStr">
        <is>
          <t>HESA HE-BCI Table 2b; user-supplied dt032-table-2b.csv. https://www.hesa.ac.uk/data-and-analysis/business-community</t>
        </is>
      </c>
      <c r="N72" s="10" t="inlineStr">
        <is>
          <t>10007160</t>
        </is>
      </c>
    </row>
    <row r="73" ht="110" customHeight="1">
      <c r="A73" s="10" t="inlineStr">
        <is>
          <t>UK</t>
        </is>
      </c>
      <c r="B73" s="11" t="inlineStr">
        <is>
          <t>Sussex</t>
        </is>
      </c>
      <c r="C73" s="10" t="inlineStr">
        <is>
          <t>HESA CPD/CE revenue</t>
        </is>
      </c>
      <c r="D73" s="10" t="inlineStr">
        <is>
          <t>CPD/CE courses for business and the community</t>
        </is>
      </c>
      <c r="E73" s="10" t="inlineStr">
        <is>
          <t>GBP m</t>
        </is>
      </c>
      <c r="F73" s="10" t="inlineStr">
        <is>
          <t>Not supplied</t>
        </is>
      </c>
      <c r="G73" s="83" t="inlineStr">
        <is>
          <t>n.a.</t>
        </is>
      </c>
      <c r="H73" s="83" t="inlineStr">
        <is>
          <t>2024/25</t>
        </is>
      </c>
      <c r="I73" s="83">
        <f>INDEX('UK providers'!$K$7:$K$212,MATCH(N73,'UK providers'!$A$7:$A$212,0))</f>
        <v/>
      </c>
      <c r="J73" s="84" t="inlineStr">
        <is>
          <t>n.a.</t>
        </is>
      </c>
      <c r="K73" s="10" t="inlineStr">
        <is>
          <t>HESA provider return</t>
        </is>
      </c>
      <c r="L73" s="10" t="inlineStr">
        <is>
          <t>Comparable CPD/CE definition. One year supplied: no growth calculation. Do not add to overlapping annual-report categories.</t>
        </is>
      </c>
      <c r="M73" s="10" t="inlineStr">
        <is>
          <t>HESA HE-BCI Table 2b; user-supplied dt032-table-2b.csv. https://www.hesa.ac.uk/data-and-analysis/business-community</t>
        </is>
      </c>
      <c r="N73" s="10" t="inlineStr">
        <is>
          <t>10007806</t>
        </is>
      </c>
    </row>
    <row r="74" ht="110" customHeight="1">
      <c r="A74" s="10" t="inlineStr">
        <is>
          <t>UK</t>
        </is>
      </c>
      <c r="B74" s="11" t="inlineStr">
        <is>
          <t>Leicester</t>
        </is>
      </c>
      <c r="C74" s="10" t="inlineStr">
        <is>
          <t>HESA CPD/CE revenue</t>
        </is>
      </c>
      <c r="D74" s="10" t="inlineStr">
        <is>
          <t>CPD/CE courses for business and the community</t>
        </is>
      </c>
      <c r="E74" s="10" t="inlineStr">
        <is>
          <t>GBP m</t>
        </is>
      </c>
      <c r="F74" s="10" t="inlineStr">
        <is>
          <t>Not supplied</t>
        </is>
      </c>
      <c r="G74" s="83" t="inlineStr">
        <is>
          <t>n.a.</t>
        </is>
      </c>
      <c r="H74" s="83" t="inlineStr">
        <is>
          <t>2024/25</t>
        </is>
      </c>
      <c r="I74" s="83">
        <f>INDEX('UK providers'!$K$7:$K$212,MATCH(N74,'UK providers'!$A$7:$A$212,0))</f>
        <v/>
      </c>
      <c r="J74" s="84" t="inlineStr">
        <is>
          <t>n.a.</t>
        </is>
      </c>
      <c r="K74" s="10" t="inlineStr">
        <is>
          <t>HESA provider return</t>
        </is>
      </c>
      <c r="L74" s="10" t="inlineStr">
        <is>
          <t>Comparable CPD/CE definition. One year supplied: no growth calculation. Do not add to overlapping annual-report categories.</t>
        </is>
      </c>
      <c r="M74" s="10" t="inlineStr">
        <is>
          <t>HESA HE-BCI Table 2b; user-supplied dt032-table-2b.csv. https://www.hesa.ac.uk/data-and-analysis/business-community</t>
        </is>
      </c>
      <c r="N74" s="10" t="inlineStr">
        <is>
          <t>10007796</t>
        </is>
      </c>
    </row>
    <row r="75" ht="110" customHeight="1">
      <c r="A75" s="10" t="inlineStr">
        <is>
          <t>UK</t>
        </is>
      </c>
      <c r="B75" s="11" t="inlineStr">
        <is>
          <t>Strathclyde</t>
        </is>
      </c>
      <c r="C75" s="10" t="inlineStr">
        <is>
          <t>HESA CPD/CE revenue</t>
        </is>
      </c>
      <c r="D75" s="10" t="inlineStr">
        <is>
          <t>CPD/CE courses for business and the community</t>
        </is>
      </c>
      <c r="E75" s="10" t="inlineStr">
        <is>
          <t>GBP m</t>
        </is>
      </c>
      <c r="F75" s="10" t="inlineStr">
        <is>
          <t>Not supplied</t>
        </is>
      </c>
      <c r="G75" s="83" t="inlineStr">
        <is>
          <t>n.a.</t>
        </is>
      </c>
      <c r="H75" s="83" t="inlineStr">
        <is>
          <t>2024/25</t>
        </is>
      </c>
      <c r="I75" s="83">
        <f>INDEX('UK providers'!$K$7:$K$212,MATCH(N75,'UK providers'!$A$7:$A$212,0))</f>
        <v/>
      </c>
      <c r="J75" s="84" t="inlineStr">
        <is>
          <t>n.a.</t>
        </is>
      </c>
      <c r="K75" s="10" t="inlineStr">
        <is>
          <t>HESA provider return</t>
        </is>
      </c>
      <c r="L75" s="10" t="inlineStr">
        <is>
          <t>Comparable CPD/CE definition. One year supplied: no growth calculation. Do not add to overlapping annual-report categories.</t>
        </is>
      </c>
      <c r="M75" s="10" t="inlineStr">
        <is>
          <t>HESA HE-BCI Table 2b; user-supplied dt032-table-2b.csv. https://www.hesa.ac.uk/data-and-analysis/business-community</t>
        </is>
      </c>
      <c r="N75" s="10" t="inlineStr">
        <is>
          <t>10007805</t>
        </is>
      </c>
    </row>
    <row r="76" ht="110" customHeight="1">
      <c r="A76" s="10" t="inlineStr">
        <is>
          <t>UK</t>
        </is>
      </c>
      <c r="B76" s="11" t="inlineStr">
        <is>
          <t>Heriot-Watt</t>
        </is>
      </c>
      <c r="C76" s="10" t="inlineStr">
        <is>
          <t>HESA CPD/CE revenue</t>
        </is>
      </c>
      <c r="D76" s="10" t="inlineStr">
        <is>
          <t>CPD/CE courses for business and the community</t>
        </is>
      </c>
      <c r="E76" s="10" t="inlineStr">
        <is>
          <t>GBP m</t>
        </is>
      </c>
      <c r="F76" s="10" t="inlineStr">
        <is>
          <t>Not supplied</t>
        </is>
      </c>
      <c r="G76" s="83" t="inlineStr">
        <is>
          <t>n.a.</t>
        </is>
      </c>
      <c r="H76" s="83" t="inlineStr">
        <is>
          <t>2024/25</t>
        </is>
      </c>
      <c r="I76" s="83">
        <f>INDEX('UK providers'!$K$7:$K$212,MATCH(N76,'UK providers'!$A$7:$A$212,0))</f>
        <v/>
      </c>
      <c r="J76" s="84" t="inlineStr">
        <is>
          <t>n.a.</t>
        </is>
      </c>
      <c r="K76" s="10" t="inlineStr">
        <is>
          <t>HESA provider return</t>
        </is>
      </c>
      <c r="L76" s="10" t="inlineStr">
        <is>
          <t>Comparable CPD/CE definition. One year supplied: no growth calculation. Do not add to overlapping annual-report categories.</t>
        </is>
      </c>
      <c r="M76" s="10" t="inlineStr">
        <is>
          <t>HESA HE-BCI Table 2b; user-supplied dt032-table-2b.csv. https://www.hesa.ac.uk/data-and-analysis/business-community</t>
        </is>
      </c>
      <c r="N76" s="10" t="inlineStr">
        <is>
          <t>10007764</t>
        </is>
      </c>
    </row>
    <row r="77" ht="110" customHeight="1">
      <c r="A77" s="10" t="inlineStr">
        <is>
          <t>UK</t>
        </is>
      </c>
      <c r="B77" s="11" t="inlineStr">
        <is>
          <t>East Anglia</t>
        </is>
      </c>
      <c r="C77" s="10" t="inlineStr">
        <is>
          <t>HESA CPD/CE revenue</t>
        </is>
      </c>
      <c r="D77" s="10" t="inlineStr">
        <is>
          <t>CPD/CE courses for business and the community</t>
        </is>
      </c>
      <c r="E77" s="10" t="inlineStr">
        <is>
          <t>GBP m</t>
        </is>
      </c>
      <c r="F77" s="10" t="inlineStr">
        <is>
          <t>Not supplied</t>
        </is>
      </c>
      <c r="G77" s="83" t="inlineStr">
        <is>
          <t>n.a.</t>
        </is>
      </c>
      <c r="H77" s="83" t="inlineStr">
        <is>
          <t>2024/25</t>
        </is>
      </c>
      <c r="I77" s="83">
        <f>INDEX('UK providers'!$K$7:$K$212,MATCH(N77,'UK providers'!$A$7:$A$212,0))</f>
        <v/>
      </c>
      <c r="J77" s="84" t="inlineStr">
        <is>
          <t>n.a.</t>
        </is>
      </c>
      <c r="K77" s="10" t="inlineStr">
        <is>
          <t>HESA provider return</t>
        </is>
      </c>
      <c r="L77" s="10" t="inlineStr">
        <is>
          <t>Comparable CPD/CE definition. One year supplied: no growth calculation. Do not add to overlapping annual-report categories.</t>
        </is>
      </c>
      <c r="M77" s="10" t="inlineStr">
        <is>
          <t>HESA HE-BCI Table 2b; user-supplied dt032-table-2b.csv. https://www.hesa.ac.uk/data-and-analysis/business-community</t>
        </is>
      </c>
      <c r="N77" s="10" t="inlineStr">
        <is>
          <t>10007789</t>
        </is>
      </c>
    </row>
    <row r="78" ht="110" customHeight="1">
      <c r="A78" s="10" t="inlineStr">
        <is>
          <t>UK</t>
        </is>
      </c>
      <c r="B78" s="11" t="inlineStr">
        <is>
          <t>Dundee</t>
        </is>
      </c>
      <c r="C78" s="10" t="inlineStr">
        <is>
          <t>HESA CPD/CE revenue</t>
        </is>
      </c>
      <c r="D78" s="10" t="inlineStr">
        <is>
          <t>CPD/CE courses for business and the community</t>
        </is>
      </c>
      <c r="E78" s="10" t="inlineStr">
        <is>
          <t>GBP m</t>
        </is>
      </c>
      <c r="F78" s="10" t="inlineStr">
        <is>
          <t>Not supplied</t>
        </is>
      </c>
      <c r="G78" s="83" t="inlineStr">
        <is>
          <t>n.a.</t>
        </is>
      </c>
      <c r="H78" s="83" t="inlineStr">
        <is>
          <t>2024/25</t>
        </is>
      </c>
      <c r="I78" s="83">
        <f>INDEX('UK providers'!$K$7:$K$212,MATCH(N78,'UK providers'!$A$7:$A$212,0))</f>
        <v/>
      </c>
      <c r="J78" s="84" t="inlineStr">
        <is>
          <t>n.a.</t>
        </is>
      </c>
      <c r="K78" s="10" t="inlineStr">
        <is>
          <t>HESA provider return</t>
        </is>
      </c>
      <c r="L78" s="10" t="inlineStr">
        <is>
          <t>Comparable CPD/CE definition. One year supplied: no growth calculation. Do not add to overlapping annual-report categories.</t>
        </is>
      </c>
      <c r="M78" s="10" t="inlineStr">
        <is>
          <t>HESA HE-BCI Table 2b; user-supplied dt032-table-2b.csv. https://www.hesa.ac.uk/data-and-analysis/business-community</t>
        </is>
      </c>
      <c r="N78" s="10" t="inlineStr">
        <is>
          <t>10007852</t>
        </is>
      </c>
    </row>
    <row r="79" ht="110" customHeight="1">
      <c r="A79" s="10" t="inlineStr">
        <is>
          <t>UK</t>
        </is>
      </c>
      <c r="B79" s="11" t="inlineStr">
        <is>
          <t>Swansea</t>
        </is>
      </c>
      <c r="C79" s="10" t="inlineStr">
        <is>
          <t>HESA CPD/CE revenue</t>
        </is>
      </c>
      <c r="D79" s="10" t="inlineStr">
        <is>
          <t>CPD/CE courses for business and the community</t>
        </is>
      </c>
      <c r="E79" s="10" t="inlineStr">
        <is>
          <t>GBP m</t>
        </is>
      </c>
      <c r="F79" s="10" t="inlineStr">
        <is>
          <t>Not supplied</t>
        </is>
      </c>
      <c r="G79" s="83" t="inlineStr">
        <is>
          <t>n.a.</t>
        </is>
      </c>
      <c r="H79" s="83" t="inlineStr">
        <is>
          <t>2024/25</t>
        </is>
      </c>
      <c r="I79" s="83">
        <f>INDEX('UK providers'!$K$7:$K$212,MATCH(N79,'UK providers'!$A$7:$A$212,0))</f>
        <v/>
      </c>
      <c r="J79" s="84" t="inlineStr">
        <is>
          <t>n.a.</t>
        </is>
      </c>
      <c r="K79" s="10" t="inlineStr">
        <is>
          <t>HESA provider return</t>
        </is>
      </c>
      <c r="L79" s="10" t="inlineStr">
        <is>
          <t>Comparable CPD/CE definition. One year supplied: no growth calculation. Do not add to overlapping annual-report categories.</t>
        </is>
      </c>
      <c r="M79" s="10" t="inlineStr">
        <is>
          <t>HESA HE-BCI Table 2b; user-supplied dt032-table-2b.csv. https://www.hesa.ac.uk/data-and-analysis/business-community</t>
        </is>
      </c>
      <c r="N79" s="10" t="inlineStr">
        <is>
          <t>10007855</t>
        </is>
      </c>
    </row>
    <row r="80" ht="110" customHeight="1">
      <c r="A80" s="10" t="inlineStr">
        <is>
          <t>UK</t>
        </is>
      </c>
      <c r="B80" s="11" t="inlineStr">
        <is>
          <t>Essex</t>
        </is>
      </c>
      <c r="C80" s="10" t="inlineStr">
        <is>
          <t>HESA CPD/CE revenue</t>
        </is>
      </c>
      <c r="D80" s="10" t="inlineStr">
        <is>
          <t>CPD/CE courses for business and the community</t>
        </is>
      </c>
      <c r="E80" s="10" t="inlineStr">
        <is>
          <t>GBP m</t>
        </is>
      </c>
      <c r="F80" s="10" t="inlineStr">
        <is>
          <t>Not supplied</t>
        </is>
      </c>
      <c r="G80" s="83" t="inlineStr">
        <is>
          <t>n.a.</t>
        </is>
      </c>
      <c r="H80" s="83" t="inlineStr">
        <is>
          <t>2024/25</t>
        </is>
      </c>
      <c r="I80" s="83">
        <f>INDEX('UK providers'!$K$7:$K$212,MATCH(N80,'UK providers'!$A$7:$A$212,0))</f>
        <v/>
      </c>
      <c r="J80" s="84" t="inlineStr">
        <is>
          <t>n.a.</t>
        </is>
      </c>
      <c r="K80" s="10" t="inlineStr">
        <is>
          <t>HESA provider return</t>
        </is>
      </c>
      <c r="L80" s="10" t="inlineStr">
        <is>
          <t>Comparable CPD/CE definition. One year supplied: no growth calculation. Do not add to overlapping annual-report categories.</t>
        </is>
      </c>
      <c r="M80" s="10" t="inlineStr">
        <is>
          <t>HESA HE-BCI Table 2b; user-supplied dt032-table-2b.csv. https://www.hesa.ac.uk/data-and-analysis/business-community</t>
        </is>
      </c>
      <c r="N80" s="10" t="inlineStr">
        <is>
          <t>10007791</t>
        </is>
      </c>
    </row>
    <row r="81" ht="110" customHeight="1">
      <c r="A81" s="10" t="inlineStr">
        <is>
          <t>UK</t>
        </is>
      </c>
      <c r="B81" s="11" t="inlineStr">
        <is>
          <t>Kent</t>
        </is>
      </c>
      <c r="C81" s="10" t="inlineStr">
        <is>
          <t>HESA CPD/CE revenue</t>
        </is>
      </c>
      <c r="D81" s="10" t="inlineStr">
        <is>
          <t>CPD/CE courses for business and the community</t>
        </is>
      </c>
      <c r="E81" s="10" t="inlineStr">
        <is>
          <t>GBP m</t>
        </is>
      </c>
      <c r="F81" s="10" t="inlineStr">
        <is>
          <t>Not supplied</t>
        </is>
      </c>
      <c r="G81" s="83" t="inlineStr">
        <is>
          <t>n.a.</t>
        </is>
      </c>
      <c r="H81" s="83" t="inlineStr">
        <is>
          <t>2024/25</t>
        </is>
      </c>
      <c r="I81" s="83">
        <f>INDEX('UK providers'!$K$7:$K$212,MATCH(N81,'UK providers'!$A$7:$A$212,0))</f>
        <v/>
      </c>
      <c r="J81" s="84" t="inlineStr">
        <is>
          <t>n.a.</t>
        </is>
      </c>
      <c r="K81" s="10" t="inlineStr">
        <is>
          <t>HESA provider return</t>
        </is>
      </c>
      <c r="L81" s="10" t="inlineStr">
        <is>
          <t>Comparable CPD/CE definition. One year supplied: no growth calculation. Do not add to overlapping annual-report categories.</t>
        </is>
      </c>
      <c r="M81" s="10" t="inlineStr">
        <is>
          <t>HESA HE-BCI Table 2b; user-supplied dt032-table-2b.csv. https://www.hesa.ac.uk/data-and-analysis/business-community</t>
        </is>
      </c>
      <c r="N81" s="10" t="inlineStr">
        <is>
          <t>10007150</t>
        </is>
      </c>
    </row>
    <row r="82" ht="110" customHeight="1">
      <c r="A82" s="10" t="inlineStr">
        <is>
          <t>UK</t>
        </is>
      </c>
      <c r="B82" s="11" t="inlineStr">
        <is>
          <t>Brunel</t>
        </is>
      </c>
      <c r="C82" s="10" t="inlineStr">
        <is>
          <t>HESA CPD/CE revenue</t>
        </is>
      </c>
      <c r="D82" s="10" t="inlineStr">
        <is>
          <t>CPD/CE courses for business and the community</t>
        </is>
      </c>
      <c r="E82" s="10" t="inlineStr">
        <is>
          <t>GBP m</t>
        </is>
      </c>
      <c r="F82" s="10" t="inlineStr">
        <is>
          <t>Not supplied</t>
        </is>
      </c>
      <c r="G82" s="83" t="inlineStr">
        <is>
          <t>n.a.</t>
        </is>
      </c>
      <c r="H82" s="83" t="inlineStr">
        <is>
          <t>2024/25</t>
        </is>
      </c>
      <c r="I82" s="83">
        <f>INDEX('UK providers'!$K$7:$K$212,MATCH(N82,'UK providers'!$A$7:$A$212,0))</f>
        <v/>
      </c>
      <c r="J82" s="84" t="inlineStr">
        <is>
          <t>n.a.</t>
        </is>
      </c>
      <c r="K82" s="10" t="inlineStr">
        <is>
          <t>HESA provider return</t>
        </is>
      </c>
      <c r="L82" s="10" t="inlineStr">
        <is>
          <t>Comparable CPD/CE definition. One year supplied: no growth calculation. Do not add to overlapping annual-report categories.</t>
        </is>
      </c>
      <c r="M82" s="10" t="inlineStr">
        <is>
          <t>HESA HE-BCI Table 2b; user-supplied dt032-table-2b.csv. https://www.hesa.ac.uk/data-and-analysis/business-community</t>
        </is>
      </c>
      <c r="N82" s="10" t="inlineStr">
        <is>
          <t>10000961</t>
        </is>
      </c>
    </row>
    <row r="83" ht="110" customHeight="1">
      <c r="A83" s="10" t="inlineStr">
        <is>
          <t>UK</t>
        </is>
      </c>
      <c r="B83" s="11" t="inlineStr">
        <is>
          <t>Aston</t>
        </is>
      </c>
      <c r="C83" s="10" t="inlineStr">
        <is>
          <t>HESA CPD/CE revenue</t>
        </is>
      </c>
      <c r="D83" s="10" t="inlineStr">
        <is>
          <t>CPD/CE courses for business and the community</t>
        </is>
      </c>
      <c r="E83" s="10" t="inlineStr">
        <is>
          <t>GBP m</t>
        </is>
      </c>
      <c r="F83" s="10" t="inlineStr">
        <is>
          <t>Not supplied</t>
        </is>
      </c>
      <c r="G83" s="83" t="inlineStr">
        <is>
          <t>n.a.</t>
        </is>
      </c>
      <c r="H83" s="83" t="inlineStr">
        <is>
          <t>2024/25</t>
        </is>
      </c>
      <c r="I83" s="83">
        <f>INDEX('UK providers'!$K$7:$K$212,MATCH(N83,'UK providers'!$A$7:$A$212,0))</f>
        <v/>
      </c>
      <c r="J83" s="84" t="inlineStr">
        <is>
          <t>n.a.</t>
        </is>
      </c>
      <c r="K83" s="10" t="inlineStr">
        <is>
          <t>HESA provider return</t>
        </is>
      </c>
      <c r="L83" s="10" t="inlineStr">
        <is>
          <t>Comparable CPD/CE definition. One year supplied: no growth calculation. Do not add to overlapping annual-report categories.</t>
        </is>
      </c>
      <c r="M83" s="10" t="inlineStr">
        <is>
          <t>HESA HE-BCI Table 2b; user-supplied dt032-table-2b.csv. https://www.hesa.ac.uk/data-and-analysis/business-community</t>
        </is>
      </c>
      <c r="N83" s="10" t="inlineStr">
        <is>
          <t>10007759</t>
        </is>
      </c>
    </row>
    <row r="84" ht="110" customHeight="1">
      <c r="A84" s="10" t="inlineStr">
        <is>
          <t>UK</t>
        </is>
      </c>
      <c r="B84" s="11" t="inlineStr">
        <is>
          <t>Stirling</t>
        </is>
      </c>
      <c r="C84" s="10" t="inlineStr">
        <is>
          <t>HESA CPD/CE revenue</t>
        </is>
      </c>
      <c r="D84" s="10" t="inlineStr">
        <is>
          <t>CPD/CE courses for business and the community</t>
        </is>
      </c>
      <c r="E84" s="10" t="inlineStr">
        <is>
          <t>GBP m</t>
        </is>
      </c>
      <c r="F84" s="10" t="inlineStr">
        <is>
          <t>Not supplied</t>
        </is>
      </c>
      <c r="G84" s="83" t="inlineStr">
        <is>
          <t>n.a.</t>
        </is>
      </c>
      <c r="H84" s="83" t="inlineStr">
        <is>
          <t>2024/25</t>
        </is>
      </c>
      <c r="I84" s="83">
        <f>INDEX('UK providers'!$K$7:$K$212,MATCH(N84,'UK providers'!$A$7:$A$212,0))</f>
        <v/>
      </c>
      <c r="J84" s="84" t="inlineStr">
        <is>
          <t>n.a.</t>
        </is>
      </c>
      <c r="K84" s="10" t="inlineStr">
        <is>
          <t>HESA provider return</t>
        </is>
      </c>
      <c r="L84" s="10" t="inlineStr">
        <is>
          <t>Comparable CPD/CE definition. One year supplied: no growth calculation. Do not add to overlapping annual-report categories.</t>
        </is>
      </c>
      <c r="M84" s="10" t="inlineStr">
        <is>
          <t>HESA HE-BCI Table 2b; user-supplied dt032-table-2b.csv. https://www.hesa.ac.uk/data-and-analysis/business-community</t>
        </is>
      </c>
      <c r="N84" s="10" t="inlineStr">
        <is>
          <t>10007804</t>
        </is>
      </c>
    </row>
    <row r="85" ht="110" customHeight="1">
      <c r="A85" s="10" t="inlineStr">
        <is>
          <t>UK</t>
        </is>
      </c>
      <c r="B85" s="11" t="inlineStr">
        <is>
          <t>SOAS</t>
        </is>
      </c>
      <c r="C85" s="10" t="inlineStr">
        <is>
          <t>HESA CPD/CE revenue</t>
        </is>
      </c>
      <c r="D85" s="10" t="inlineStr">
        <is>
          <t>CPD/CE courses for business and the community</t>
        </is>
      </c>
      <c r="E85" s="10" t="inlineStr">
        <is>
          <t>GBP m</t>
        </is>
      </c>
      <c r="F85" s="10" t="inlineStr">
        <is>
          <t>Not supplied</t>
        </is>
      </c>
      <c r="G85" s="83" t="inlineStr">
        <is>
          <t>n.a.</t>
        </is>
      </c>
      <c r="H85" s="83" t="inlineStr">
        <is>
          <t>2024/25</t>
        </is>
      </c>
      <c r="I85" s="83">
        <f>INDEX('UK providers'!$K$7:$K$212,MATCH(N85,'UK providers'!$A$7:$A$212,0))</f>
        <v/>
      </c>
      <c r="J85" s="84" t="inlineStr">
        <is>
          <t>n.a.</t>
        </is>
      </c>
      <c r="K85" s="10" t="inlineStr">
        <is>
          <t>HESA provider return</t>
        </is>
      </c>
      <c r="L85" s="10" t="inlineStr">
        <is>
          <t>Comparable CPD/CE definition. One year supplied: no growth calculation. Do not add to overlapping annual-report categories.</t>
        </is>
      </c>
      <c r="M85" s="10" t="inlineStr">
        <is>
          <t>HESA HE-BCI Table 2b; user-supplied dt032-table-2b.csv. https://www.hesa.ac.uk/data-and-analysis/business-community</t>
        </is>
      </c>
      <c r="N85" s="10" t="inlineStr">
        <is>
          <t>10007780</t>
        </is>
      </c>
    </row>
    <row r="86" ht="110" customHeight="1">
      <c r="A86" s="10" t="inlineStr">
        <is>
          <t>UK</t>
        </is>
      </c>
      <c r="B86" s="11" t="inlineStr">
        <is>
          <t>Birkbeck</t>
        </is>
      </c>
      <c r="C86" s="10" t="inlineStr">
        <is>
          <t>HESA CPD/CE revenue</t>
        </is>
      </c>
      <c r="D86" s="10" t="inlineStr">
        <is>
          <t>CPD/CE courses for business and the community</t>
        </is>
      </c>
      <c r="E86" s="10" t="inlineStr">
        <is>
          <t>GBP m</t>
        </is>
      </c>
      <c r="F86" s="10" t="inlineStr">
        <is>
          <t>Not supplied</t>
        </is>
      </c>
      <c r="G86" s="83" t="inlineStr">
        <is>
          <t>n.a.</t>
        </is>
      </c>
      <c r="H86" s="83" t="inlineStr">
        <is>
          <t>2024/25</t>
        </is>
      </c>
      <c r="I86" s="83">
        <f>INDEX('UK providers'!$K$7:$K$212,MATCH(N86,'UK providers'!$A$7:$A$212,0))</f>
        <v/>
      </c>
      <c r="J86" s="84" t="inlineStr">
        <is>
          <t>n.a.</t>
        </is>
      </c>
      <c r="K86" s="10" t="inlineStr">
        <is>
          <t>HESA provider return</t>
        </is>
      </c>
      <c r="L86" s="10" t="inlineStr">
        <is>
          <t>Comparable CPD/CE definition. One year supplied: no growth calculation. Do not add to overlapping annual-report categories.</t>
        </is>
      </c>
      <c r="M86" s="10" t="inlineStr">
        <is>
          <t>HESA HE-BCI Table 2b; user-supplied dt032-table-2b.csv. https://www.hesa.ac.uk/data-and-analysis/business-community</t>
        </is>
      </c>
      <c r="N86" s="10" t="inlineStr">
        <is>
          <t>10007760</t>
        </is>
      </c>
    </row>
    <row r="87" ht="110" customHeight="1">
      <c r="A87" s="10" t="inlineStr">
        <is>
          <t>UK</t>
        </is>
      </c>
      <c r="B87" s="11" t="inlineStr">
        <is>
          <t>Royal Holloway</t>
        </is>
      </c>
      <c r="C87" s="10" t="inlineStr">
        <is>
          <t>HESA CPD/CE revenue</t>
        </is>
      </c>
      <c r="D87" s="10" t="inlineStr">
        <is>
          <t>CPD/CE courses for business and the community</t>
        </is>
      </c>
      <c r="E87" s="10" t="inlineStr">
        <is>
          <t>GBP m</t>
        </is>
      </c>
      <c r="F87" s="10" t="inlineStr">
        <is>
          <t>Not supplied</t>
        </is>
      </c>
      <c r="G87" s="83" t="inlineStr">
        <is>
          <t>n.a.</t>
        </is>
      </c>
      <c r="H87" s="83" t="inlineStr">
        <is>
          <t>2024/25</t>
        </is>
      </c>
      <c r="I87" s="83">
        <f>INDEX('UK providers'!$K$7:$K$212,MATCH(N87,'UK providers'!$A$7:$A$212,0))</f>
        <v/>
      </c>
      <c r="J87" s="84" t="inlineStr">
        <is>
          <t>n.a.</t>
        </is>
      </c>
      <c r="K87" s="10" t="inlineStr">
        <is>
          <t>HESA provider return</t>
        </is>
      </c>
      <c r="L87" s="10" t="inlineStr">
        <is>
          <t>Comparable CPD/CE definition. One year supplied: no growth calculation. Do not add to overlapping annual-report categories.</t>
        </is>
      </c>
      <c r="M87" s="10" t="inlineStr">
        <is>
          <t>HESA HE-BCI Table 2b; user-supplied dt032-table-2b.csv. https://www.hesa.ac.uk/data-and-analysis/business-community</t>
        </is>
      </c>
      <c r="N87" s="10" t="inlineStr">
        <is>
          <t>10005553</t>
        </is>
      </c>
    </row>
    <row r="88" ht="110" customHeight="1">
      <c r="A88" s="10" t="inlineStr">
        <is>
          <t>UK</t>
        </is>
      </c>
      <c r="B88" s="11" t="inlineStr">
        <is>
          <t>City St George’s</t>
        </is>
      </c>
      <c r="C88" s="10" t="inlineStr">
        <is>
          <t>HESA CPD/CE revenue</t>
        </is>
      </c>
      <c r="D88" s="10" t="inlineStr">
        <is>
          <t>CPD/CE courses for business and the community</t>
        </is>
      </c>
      <c r="E88" s="10" t="inlineStr">
        <is>
          <t>GBP m</t>
        </is>
      </c>
      <c r="F88" s="10" t="inlineStr">
        <is>
          <t>Not supplied</t>
        </is>
      </c>
      <c r="G88" s="83" t="inlineStr">
        <is>
          <t>n.a.</t>
        </is>
      </c>
      <c r="H88" s="83" t="inlineStr">
        <is>
          <t>2024/25</t>
        </is>
      </c>
      <c r="I88" s="83">
        <f>INDEX('UK providers'!$K$7:$K$212,MATCH(N88,'UK providers'!$A$7:$A$212,0))</f>
        <v/>
      </c>
      <c r="J88" s="84" t="inlineStr">
        <is>
          <t>n.a.</t>
        </is>
      </c>
      <c r="K88" s="10" t="inlineStr">
        <is>
          <t>HESA provider return</t>
        </is>
      </c>
      <c r="L88" s="10" t="inlineStr">
        <is>
          <t>Comparable CPD/CE definition. One year supplied: no growth calculation. Do not add to overlapping annual-report categories.</t>
        </is>
      </c>
      <c r="M88" s="10" t="inlineStr">
        <is>
          <t>HESA HE-BCI Table 2b; user-supplied dt032-table-2b.csv. https://www.hesa.ac.uk/data-and-analysis/business-community</t>
        </is>
      </c>
      <c r="N88" s="10" t="inlineStr">
        <is>
          <t>10001478</t>
        </is>
      </c>
    </row>
    <row r="89" ht="110" customHeight="1">
      <c r="A89" s="10" t="inlineStr">
        <is>
          <t>UK</t>
        </is>
      </c>
      <c r="B89" s="11" t="inlineStr">
        <is>
          <t>Oxford Brookes</t>
        </is>
      </c>
      <c r="C89" s="10" t="inlineStr">
        <is>
          <t>HESA CPD/CE revenue</t>
        </is>
      </c>
      <c r="D89" s="10" t="inlineStr">
        <is>
          <t>CPD/CE courses for business and the community</t>
        </is>
      </c>
      <c r="E89" s="10" t="inlineStr">
        <is>
          <t>GBP m</t>
        </is>
      </c>
      <c r="F89" s="10" t="inlineStr">
        <is>
          <t>Not supplied</t>
        </is>
      </c>
      <c r="G89" s="83" t="inlineStr">
        <is>
          <t>n.a.</t>
        </is>
      </c>
      <c r="H89" s="83" t="inlineStr">
        <is>
          <t>2024/25</t>
        </is>
      </c>
      <c r="I89" s="83">
        <f>INDEX('UK providers'!$K$7:$K$212,MATCH(N89,'UK providers'!$A$7:$A$212,0))</f>
        <v/>
      </c>
      <c r="J89" s="84" t="inlineStr">
        <is>
          <t>n.a.</t>
        </is>
      </c>
      <c r="K89" s="10" t="inlineStr">
        <is>
          <t>HESA provider return</t>
        </is>
      </c>
      <c r="L89" s="10" t="inlineStr">
        <is>
          <t>Comparable CPD/CE definition. One year supplied: no growth calculation. Do not add to overlapping annual-report categories.</t>
        </is>
      </c>
      <c r="M89" s="10" t="inlineStr">
        <is>
          <t>HESA HE-BCI Table 2b; user-supplied dt032-table-2b.csv. https://www.hesa.ac.uk/data-and-analysis/business-community</t>
        </is>
      </c>
      <c r="N89" s="10" t="inlineStr">
        <is>
          <t>10004930</t>
        </is>
      </c>
    </row>
    <row r="90" ht="110" customHeight="1">
      <c r="A90" s="10" t="inlineStr">
        <is>
          <t>UK</t>
        </is>
      </c>
      <c r="B90" s="11" t="inlineStr">
        <is>
          <t>Northumbria</t>
        </is>
      </c>
      <c r="C90" s="10" t="inlineStr">
        <is>
          <t>HESA CPD/CE revenue</t>
        </is>
      </c>
      <c r="D90" s="10" t="inlineStr">
        <is>
          <t>CPD/CE courses for business and the community</t>
        </is>
      </c>
      <c r="E90" s="10" t="inlineStr">
        <is>
          <t>GBP m</t>
        </is>
      </c>
      <c r="F90" s="10" t="inlineStr">
        <is>
          <t>Not supplied</t>
        </is>
      </c>
      <c r="G90" s="83" t="inlineStr">
        <is>
          <t>n.a.</t>
        </is>
      </c>
      <c r="H90" s="83" t="inlineStr">
        <is>
          <t>2024/25</t>
        </is>
      </c>
      <c r="I90" s="83">
        <f>INDEX('UK providers'!$K$7:$K$212,MATCH(N90,'UK providers'!$A$7:$A$212,0))</f>
        <v/>
      </c>
      <c r="J90" s="84" t="inlineStr">
        <is>
          <t>n.a.</t>
        </is>
      </c>
      <c r="K90" s="10" t="inlineStr">
        <is>
          <t>HESA provider return</t>
        </is>
      </c>
      <c r="L90" s="10" t="inlineStr">
        <is>
          <t>Comparable CPD/CE definition. One year supplied: no growth calculation. Do not add to overlapping annual-report categories.</t>
        </is>
      </c>
      <c r="M90" s="10" t="inlineStr">
        <is>
          <t>HESA HE-BCI Table 2b; user-supplied dt032-table-2b.csv. https://www.hesa.ac.uk/data-and-analysis/business-community</t>
        </is>
      </c>
      <c r="N90" s="10" t="inlineStr">
        <is>
          <t>10001282</t>
        </is>
      </c>
    </row>
    <row r="91" ht="110" customHeight="1">
      <c r="A91" s="10" t="inlineStr">
        <is>
          <t>UK</t>
        </is>
      </c>
      <c r="B91" s="11" t="inlineStr">
        <is>
          <t>Portsmouth</t>
        </is>
      </c>
      <c r="C91" s="10" t="inlineStr">
        <is>
          <t>HESA CPD/CE revenue</t>
        </is>
      </c>
      <c r="D91" s="10" t="inlineStr">
        <is>
          <t>CPD/CE courses for business and the community</t>
        </is>
      </c>
      <c r="E91" s="10" t="inlineStr">
        <is>
          <t>GBP m</t>
        </is>
      </c>
      <c r="F91" s="10" t="inlineStr">
        <is>
          <t>Not supplied</t>
        </is>
      </c>
      <c r="G91" s="83" t="inlineStr">
        <is>
          <t>n.a.</t>
        </is>
      </c>
      <c r="H91" s="83" t="inlineStr">
        <is>
          <t>2024/25</t>
        </is>
      </c>
      <c r="I91" s="83">
        <f>INDEX('UK providers'!$K$7:$K$212,MATCH(N91,'UK providers'!$A$7:$A$212,0))</f>
        <v/>
      </c>
      <c r="J91" s="84" t="inlineStr">
        <is>
          <t>n.a.</t>
        </is>
      </c>
      <c r="K91" s="10" t="inlineStr">
        <is>
          <t>HESA provider return</t>
        </is>
      </c>
      <c r="L91" s="10" t="inlineStr">
        <is>
          <t>Comparable CPD/CE definition. One year supplied: no growth calculation. Do not add to overlapping annual-report categories.</t>
        </is>
      </c>
      <c r="M91" s="10" t="inlineStr">
        <is>
          <t>HESA HE-BCI Table 2b; user-supplied dt032-table-2b.csv. https://www.hesa.ac.uk/data-and-analysis/business-community</t>
        </is>
      </c>
      <c r="N91" s="10" t="inlineStr">
        <is>
          <t>10007155</t>
        </is>
      </c>
    </row>
    <row r="92" ht="110" customHeight="1">
      <c r="A92" s="10" t="inlineStr">
        <is>
          <t>UK</t>
        </is>
      </c>
      <c r="B92" s="11" t="inlineStr">
        <is>
          <t>Coventry</t>
        </is>
      </c>
      <c r="C92" s="10" t="inlineStr">
        <is>
          <t>HESA CPD/CE revenue</t>
        </is>
      </c>
      <c r="D92" s="10" t="inlineStr">
        <is>
          <t>CPD/CE courses for business and the community</t>
        </is>
      </c>
      <c r="E92" s="10" t="inlineStr">
        <is>
          <t>GBP m</t>
        </is>
      </c>
      <c r="F92" s="10" t="inlineStr">
        <is>
          <t>Not supplied</t>
        </is>
      </c>
      <c r="G92" s="83" t="inlineStr">
        <is>
          <t>n.a.</t>
        </is>
      </c>
      <c r="H92" s="83" t="inlineStr">
        <is>
          <t>2024/25</t>
        </is>
      </c>
      <c r="I92" s="83">
        <f>INDEX('UK providers'!$K$7:$K$212,MATCH(N92,'UK providers'!$A$7:$A$212,0))</f>
        <v/>
      </c>
      <c r="J92" s="84" t="inlineStr">
        <is>
          <t>n.a.</t>
        </is>
      </c>
      <c r="K92" s="10" t="inlineStr">
        <is>
          <t>HESA provider return</t>
        </is>
      </c>
      <c r="L92" s="10" t="inlineStr">
        <is>
          <t>Comparable CPD/CE definition. One year supplied: no growth calculation. Do not add to overlapping annual-report categories.</t>
        </is>
      </c>
      <c r="M92" s="10" t="inlineStr">
        <is>
          <t>HESA HE-BCI Table 2b; user-supplied dt032-table-2b.csv. https://www.hesa.ac.uk/data-and-analysis/business-community</t>
        </is>
      </c>
      <c r="N92" s="10" t="inlineStr">
        <is>
          <t>10001726</t>
        </is>
      </c>
    </row>
    <row r="93" ht="110" customHeight="1">
      <c r="A93" s="10" t="inlineStr">
        <is>
          <t>UK</t>
        </is>
      </c>
      <c r="B93" s="11" t="inlineStr">
        <is>
          <t>Nottingham Trent</t>
        </is>
      </c>
      <c r="C93" s="10" t="inlineStr">
        <is>
          <t>HESA CPD/CE revenue</t>
        </is>
      </c>
      <c r="D93" s="10" t="inlineStr">
        <is>
          <t>CPD/CE courses for business and the community</t>
        </is>
      </c>
      <c r="E93" s="10" t="inlineStr">
        <is>
          <t>GBP m</t>
        </is>
      </c>
      <c r="F93" s="10" t="inlineStr">
        <is>
          <t>Not supplied</t>
        </is>
      </c>
      <c r="G93" s="83" t="inlineStr">
        <is>
          <t>n.a.</t>
        </is>
      </c>
      <c r="H93" s="83" t="inlineStr">
        <is>
          <t>2024/25</t>
        </is>
      </c>
      <c r="I93" s="83">
        <f>INDEX('UK providers'!$K$7:$K$212,MATCH(N93,'UK providers'!$A$7:$A$212,0))</f>
        <v/>
      </c>
      <c r="J93" s="84" t="inlineStr">
        <is>
          <t>n.a.</t>
        </is>
      </c>
      <c r="K93" s="10" t="inlineStr">
        <is>
          <t>HESA provider return</t>
        </is>
      </c>
      <c r="L93" s="10" t="inlineStr">
        <is>
          <t>Comparable CPD/CE definition. One year supplied: no growth calculation. Do not add to overlapping annual-report categories.</t>
        </is>
      </c>
      <c r="M93" s="10" t="inlineStr">
        <is>
          <t>HESA HE-BCI Table 2b; user-supplied dt032-table-2b.csv. https://www.hesa.ac.uk/data-and-analysis/business-community</t>
        </is>
      </c>
      <c r="N93" s="10" t="inlineStr">
        <is>
          <t>10004797</t>
        </is>
      </c>
    </row>
    <row r="94" ht="110" customHeight="1">
      <c r="A94" s="10" t="inlineStr">
        <is>
          <t>UK</t>
        </is>
      </c>
      <c r="B94" s="11" t="inlineStr">
        <is>
          <t>Manchester Metropolitan</t>
        </is>
      </c>
      <c r="C94" s="10" t="inlineStr">
        <is>
          <t>HESA CPD/CE revenue</t>
        </is>
      </c>
      <c r="D94" s="10" t="inlineStr">
        <is>
          <t>CPD/CE courses for business and the community</t>
        </is>
      </c>
      <c r="E94" s="10" t="inlineStr">
        <is>
          <t>GBP m</t>
        </is>
      </c>
      <c r="F94" s="10" t="inlineStr">
        <is>
          <t>Not supplied</t>
        </is>
      </c>
      <c r="G94" s="83" t="inlineStr">
        <is>
          <t>n.a.</t>
        </is>
      </c>
      <c r="H94" s="83" t="inlineStr">
        <is>
          <t>2024/25</t>
        </is>
      </c>
      <c r="I94" s="83">
        <f>INDEX('UK providers'!$K$7:$K$212,MATCH(N94,'UK providers'!$A$7:$A$212,0))</f>
        <v/>
      </c>
      <c r="J94" s="84" t="inlineStr">
        <is>
          <t>n.a.</t>
        </is>
      </c>
      <c r="K94" s="10" t="inlineStr">
        <is>
          <t>HESA provider return</t>
        </is>
      </c>
      <c r="L94" s="10" t="inlineStr">
        <is>
          <t>Comparable CPD/CE definition. One year supplied: no growth calculation. Do not add to overlapping annual-report categories.</t>
        </is>
      </c>
      <c r="M94" s="10" t="inlineStr">
        <is>
          <t>HESA HE-BCI Table 2b; user-supplied dt032-table-2b.csv. https://www.hesa.ac.uk/data-and-analysis/business-community</t>
        </is>
      </c>
      <c r="N94" s="10" t="inlineStr">
        <is>
          <t>10004180</t>
        </is>
      </c>
    </row>
    <row r="95" ht="110" customHeight="1">
      <c r="A95" s="10" t="inlineStr">
        <is>
          <t>UK</t>
        </is>
      </c>
      <c r="B95" s="11" t="inlineStr">
        <is>
          <t>Plymouth</t>
        </is>
      </c>
      <c r="C95" s="10" t="inlineStr">
        <is>
          <t>HESA CPD/CE revenue</t>
        </is>
      </c>
      <c r="D95" s="10" t="inlineStr">
        <is>
          <t>CPD/CE courses for business and the community</t>
        </is>
      </c>
      <c r="E95" s="10" t="inlineStr">
        <is>
          <t>GBP m</t>
        </is>
      </c>
      <c r="F95" s="10" t="inlineStr">
        <is>
          <t>Not supplied</t>
        </is>
      </c>
      <c r="G95" s="83" t="inlineStr">
        <is>
          <t>n.a.</t>
        </is>
      </c>
      <c r="H95" s="83" t="inlineStr">
        <is>
          <t>2024/25</t>
        </is>
      </c>
      <c r="I95" s="83">
        <f>INDEX('UK providers'!$K$7:$K$212,MATCH(N95,'UK providers'!$A$7:$A$212,0))</f>
        <v/>
      </c>
      <c r="J95" s="84" t="inlineStr">
        <is>
          <t>n.a.</t>
        </is>
      </c>
      <c r="K95" s="10" t="inlineStr">
        <is>
          <t>HESA provider return</t>
        </is>
      </c>
      <c r="L95" s="10" t="inlineStr">
        <is>
          <t>Comparable CPD/CE definition. One year supplied: no growth calculation. Do not add to overlapping annual-report categories.</t>
        </is>
      </c>
      <c r="M95" s="10" t="inlineStr">
        <is>
          <t>HESA HE-BCI Table 2b; user-supplied dt032-table-2b.csv. https://www.hesa.ac.uk/data-and-analysis/business-community</t>
        </is>
      </c>
      <c r="N95" s="10" t="inlineStr">
        <is>
          <t>10007801</t>
        </is>
      </c>
    </row>
  </sheetData>
  <mergeCells count="3">
    <mergeCell ref="A3:F3"/>
    <mergeCell ref="A2:F2"/>
    <mergeCell ref="A4:F4"/>
  </mergeCells>
  <conditionalFormatting sqref="J7:J95">
    <cfRule type="cellIs" priority="1" operator="lessThan" dxfId="3">
      <formula>0</formula>
    </cfRule>
  </conditionalFormatting>
  <dataValidations count="1">
    <dataValidation sqref="C7:C95" showDropDown="0" showInputMessage="0" showErrorMessage="0" allowBlank="0" type="list">
      <formula1>"HESA CPD/CE revenue,Reported course revenue,Participation,Qualitative growth,No numeric evidence"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2026-10-12T10:39:58Z</dcterms:created>
  <dcterms:modified xmlns:dcterms="http://purl.org/dc/terms/" xmlns:xsi="http://www.w3.org/2001/XMLSchema-instance" xsi:type="dcterms:W3CDTF">2026-10-12T10:39:58Z</dcterms:modified>
</cp:coreProperties>
</file>