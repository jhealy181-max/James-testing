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479" headerRowCount="1">
  <autoFilter ref="A6:AS479"/>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437" headerRowCount="1">
  <autoFilter ref="A6:K437"/>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978" headerRowCount="1">
  <autoFilter ref="A6:L978"/>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258" headerRowCount="1">
  <autoFilter ref="A6:G258"/>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register'!$AJ$7:$AJ$479,"Yes")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register'!$AJ$7:$AJ$479,"Yes")</f>
        <v/>
      </c>
      <c r="C11" s="72">
        <f>COUNTA('EL scheme register'!$D$7:$D$479)</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register'!$C$7:$C$479,A17,'EL scheme register'!$AJ$7:$AJ$479,"Yes")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register'!$AP$7:$AP$479,H17,'EL scheme register'!$AJ$7:$AJ$479,"Yes")</f>
        <v/>
      </c>
      <c r="M17">
        <f>COUNTIFS('EL scheme register'!$AP$7:$AP$479,H17,'EL scheme register'!$AJ$7:$AJ$479,"Yes",'EL scheme register'!$C$7:$C$479,"University-wide")</f>
        <v/>
      </c>
    </row>
    <row r="18">
      <c r="A18" s="24" t="inlineStr">
        <is>
          <t>Cross-faculty</t>
        </is>
      </c>
      <c r="B18" s="32">
        <f>COUNTIFS('EL scheme register'!$C$7:$C$479,A18,'EL scheme register'!$AJ$7:$AJ$479,"Yes")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register'!$AP$7:$AP$479,H18,'EL scheme register'!$AJ$7:$AJ$479,"Yes")</f>
        <v/>
      </c>
      <c r="M18">
        <f>COUNTIFS('EL scheme register'!$AP$7:$AP$479,H18,'EL scheme register'!$AJ$7:$AJ$479,"Yes",'EL scheme register'!$C$7:$C$479,"University-wide")</f>
        <v/>
      </c>
    </row>
    <row r="19">
      <c r="A19" s="24" t="inlineStr">
        <is>
          <t>Faculty/school</t>
        </is>
      </c>
      <c r="B19" s="32">
        <f>COUNTIFS('EL scheme register'!$C$7:$C$479,A19,'EL scheme register'!$AJ$7:$AJ$479,"Yes")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register'!$AP$7:$AP$479,H19,'EL scheme register'!$AJ$7:$AJ$479,"Yes")</f>
        <v/>
      </c>
      <c r="M19">
        <f>COUNTIFS('EL scheme register'!$AP$7:$AP$479,H19,'EL scheme register'!$AJ$7:$AJ$479,"Yes",'EL scheme register'!$C$7:$C$479,"University-wide")</f>
        <v/>
      </c>
    </row>
    <row r="20">
      <c r="A20" s="24" t="inlineStr">
        <is>
          <t>Programme/course</t>
        </is>
      </c>
      <c r="B20" s="32">
        <f>COUNTIFS('EL scheme register'!$C$7:$C$479,A20,'EL scheme register'!$AJ$7:$AJ$479,"Yes")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register'!$AP$7:$AP$479,H20,'EL scheme register'!$AJ$7:$AJ$479,"Yes")</f>
        <v/>
      </c>
      <c r="M20">
        <f>COUNTIFS('EL scheme register'!$AP$7:$AP$479,H20,'EL scheme register'!$AJ$7:$AJ$479,"Yes",'EL scheme register'!$C$7:$C$479,"University-wide")</f>
        <v/>
      </c>
    </row>
    <row r="21">
      <c r="A21" s="24" t="inlineStr">
        <is>
          <t>Unclear</t>
        </is>
      </c>
      <c r="B21" s="32">
        <f>COUNTIFS('EL scheme register'!$C$7:$C$479,A21,'EL scheme register'!$AJ$7:$AJ$479,"Yes")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register'!$AP$7:$AP$479,H21,'EL scheme register'!$AJ$7:$AJ$479,"Yes")</f>
        <v/>
      </c>
      <c r="M21">
        <f>COUNTIFS('EL scheme register'!$AP$7:$AP$479,H21,'EL scheme register'!$AJ$7:$AJ$479,"Yes",'EL scheme register'!$C$7:$C$479,"University-wide")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register'!$C$7:$C$479,"University-wide",'EL scheme register'!$Q$7:$Q$479,A26,'EL scheme register'!$AJ$7:$AJ$479,"Yes")</f>
        <v/>
      </c>
      <c r="C26" s="32">
        <f>SUMPRODUCT(('EL institution summary'!$A$7:$A$130&lt;&gt;"")/COUNTIF('EL institution summary'!$A$7:$A$130,'EL institution summary'!$A$7:$A$130&amp;"")*(COUNTIFS('EL scheme register'!$A$7:$A$479,'EL institution summary'!$A$7:$A$130,'EL scheme register'!$C$7:$C$479,"University-wide",'EL scheme register'!$Q$7:$Q$479,A26,'EL scheme register'!$AJ$7:$AJ$479,"Yes")&gt;0))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register'!$C$7:$C$479,"University-wide",'EL scheme register'!$Q$7:$Q$479,A27,'EL scheme register'!$AJ$7:$AJ$479,"Yes")</f>
        <v/>
      </c>
      <c r="C27" s="32">
        <f>SUMPRODUCT(('EL institution summary'!$A$7:$A$130&lt;&gt;"")/COUNTIF('EL institution summary'!$A$7:$A$130,'EL institution summary'!$A$7:$A$130&amp;"")*(COUNTIFS('EL scheme register'!$A$7:$A$479,'EL institution summary'!$A$7:$A$130,'EL scheme register'!$C$7:$C$479,"University-wide",'EL scheme register'!$Q$7:$Q$479,A27,'EL scheme register'!$AJ$7:$AJ$479,"Yes")&gt;0))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register'!$AO$7:$AO$479,H27,'EL scheme register'!$AJ$7:$AJ$479,"Yes")</f>
        <v/>
      </c>
    </row>
    <row r="28">
      <c r="A28" s="24" t="inlineStr">
        <is>
          <t>Optional/elective</t>
        </is>
      </c>
      <c r="B28" s="32">
        <f>COUNTIFS('EL scheme register'!$C$7:$C$479,"University-wide",'EL scheme register'!$Q$7:$Q$479,A28,'EL scheme register'!$AJ$7:$AJ$479,"Yes")</f>
        <v/>
      </c>
      <c r="C28" s="32">
        <f>SUMPRODUCT(('EL institution summary'!$A$7:$A$130&lt;&gt;"")/COUNTIF('EL institution summary'!$A$7:$A$130,'EL institution summary'!$A$7:$A$130&amp;"")*(COUNTIFS('EL scheme register'!$A$7:$A$479,'EL institution summary'!$A$7:$A$130,'EL scheme register'!$C$7:$C$479,"University-wide",'EL scheme register'!$Q$7:$Q$479,A28,'EL scheme register'!$AJ$7:$AJ$479,"Yes")&gt;0))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register'!$AO$7:$AO$479,H28,'EL scheme register'!$AJ$7:$AJ$479,"Yes")</f>
        <v/>
      </c>
    </row>
    <row r="29">
      <c r="A29" s="24" t="inlineStr">
        <is>
          <t>Selective/competitive</t>
        </is>
      </c>
      <c r="B29" s="32">
        <f>COUNTIFS('EL scheme register'!$C$7:$C$479,"University-wide",'EL scheme register'!$Q$7:$Q$479,A29,'EL scheme register'!$AJ$7:$AJ$479,"Yes")</f>
        <v/>
      </c>
      <c r="C29" s="32">
        <f>SUMPRODUCT(('EL institution summary'!$A$7:$A$130&lt;&gt;"")/COUNTIF('EL institution summary'!$A$7:$A$130,'EL institution summary'!$A$7:$A$130&amp;"")*(COUNTIFS('EL scheme register'!$A$7:$A$479,'EL institution summary'!$A$7:$A$130,'EL scheme register'!$C$7:$C$479,"University-wide",'EL scheme register'!$Q$7:$Q$479,A29,'EL scheme register'!$AJ$7:$AJ$479,"Yes")&gt;0))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register'!$AO$7:$AO$479,H29,'EL scheme register'!$AJ$7:$AJ$479,"Yes")</f>
        <v/>
      </c>
    </row>
    <row r="30">
      <c r="A30" s="24" t="inlineStr">
        <is>
          <t>Unclear</t>
        </is>
      </c>
      <c r="B30" s="32">
        <f>COUNTIFS('EL scheme register'!$C$7:$C$479,"University-wide",'EL scheme register'!$Q$7:$Q$479,A30,'EL scheme register'!$AJ$7:$AJ$479,"Yes")</f>
        <v/>
      </c>
      <c r="C30" s="32">
        <f>SUMPRODUCT(('EL institution summary'!$A$7:$A$130&lt;&gt;"")/COUNTIF('EL institution summary'!$A$7:$A$130,'EL institution summary'!$A$7:$A$130&amp;"")*(COUNTIFS('EL scheme register'!$A$7:$A$479,'EL institution summary'!$A$7:$A$130,'EL scheme register'!$C$7:$C$479,"University-wide",'EL scheme register'!$Q$7:$Q$479,A30,'EL scheme register'!$AJ$7:$AJ$479,"Yes")&gt;0))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register'!$AO$7:$AO$479,H30,'EL scheme register'!$AJ$7:$AJ$479,"Yes")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register'!$AO$7:$AO$479,H31,'EL scheme register'!$AJ$7:$AJ$479,"Yes")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register'!$AO$7:$AO$479,H32,'EL scheme register'!$AJ$7:$AJ$479,"Yes")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register'!$AO$7:$AO$479,H33,'EL scheme register'!$AJ$7:$AJ$479,"Yes")</f>
        <v/>
      </c>
    </row>
    <row r="34">
      <c r="A34" s="24" t="inlineStr">
        <is>
          <t>Business/commercial</t>
        </is>
      </c>
      <c r="B34" s="32">
        <f>COUNTIFS('EL scheme register'!$AB$7:$AB$479,A34,'EL scheme register'!$AJ$7:$AJ$479,"Yes")</f>
        <v/>
      </c>
      <c r="C34" s="32">
        <f>SUMPRODUCT(('EL institution summary'!$A$7:$A$130&lt;&gt;"")/COUNTIF('EL institution summary'!$A$7:$A$130,'EL institution summary'!$A$7:$A$130&amp;"")*(COUNTIFS('EL scheme register'!$A$7:$A$479,'EL institution summary'!$A$7:$A$130,'EL scheme register'!$AB$7:$AB$479,A34,'EL scheme register'!$AJ$7:$AJ$479,"Yes")&gt;0))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register'!$AO$7:$AO$479,H34,'EL scheme register'!$AJ$7:$AJ$479,"Yes")</f>
        <v/>
      </c>
    </row>
    <row r="35">
      <c r="A35" s="24" t="inlineStr">
        <is>
          <t>Public sector</t>
        </is>
      </c>
      <c r="B35" s="32">
        <f>COUNTIFS('EL scheme register'!$AB$7:$AB$479,A35,'EL scheme register'!$AJ$7:$AJ$479,"Yes")</f>
        <v/>
      </c>
      <c r="C35" s="32">
        <f>SUMPRODUCT(('EL institution summary'!$A$7:$A$130&lt;&gt;"")/COUNTIF('EL institution summary'!$A$7:$A$130,'EL institution summary'!$A$7:$A$130&amp;"")*(COUNTIFS('EL scheme register'!$A$7:$A$479,'EL institution summary'!$A$7:$A$130,'EL scheme register'!$AB$7:$AB$479,A35,'EL scheme register'!$AJ$7:$AJ$479,"Yes")&gt;0))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register'!$AO$7:$AO$479,H35,'EL scheme register'!$AJ$7:$AJ$479,"Yes")</f>
        <v/>
      </c>
    </row>
    <row r="36">
      <c r="A36" s="24" t="inlineStr">
        <is>
          <t>Charity/community</t>
        </is>
      </c>
      <c r="B36" s="32">
        <f>COUNTIFS('EL scheme register'!$AB$7:$AB$479,A36,'EL scheme register'!$AJ$7:$AJ$479,"Yes")</f>
        <v/>
      </c>
      <c r="C36" s="32">
        <f>SUMPRODUCT(('EL institution summary'!$A$7:$A$130&lt;&gt;"")/COUNTIF('EL institution summary'!$A$7:$A$130,'EL institution summary'!$A$7:$A$130&amp;"")*(COUNTIFS('EL scheme register'!$A$7:$A$479,'EL institution summary'!$A$7:$A$130,'EL scheme register'!$AB$7:$AB$479,A36,'EL scheme register'!$AJ$7:$AJ$479,"Yes")&gt;0))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register'!$AO$7:$AO$479,H36,'EL scheme register'!$AJ$7:$AJ$479,"Yes")</f>
        <v/>
      </c>
    </row>
    <row r="37">
      <c r="A37" s="24" t="inlineStr">
        <is>
          <t>Mixed</t>
        </is>
      </c>
      <c r="B37" s="32">
        <f>COUNTIFS('EL scheme register'!$AB$7:$AB$479,A37,'EL scheme register'!$AJ$7:$AJ$479,"Yes")</f>
        <v/>
      </c>
      <c r="C37" s="32">
        <f>SUMPRODUCT(('EL institution summary'!$A$7:$A$130&lt;&gt;"")/COUNTIF('EL institution summary'!$A$7:$A$130,'EL institution summary'!$A$7:$A$130&amp;"")*(COUNTIFS('EL scheme register'!$A$7:$A$479,'EL institution summary'!$A$7:$A$130,'EL scheme register'!$AB$7:$AB$479,A37,'EL scheme register'!$AJ$7:$AJ$479,"Yes")&gt;0))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register'!$AO$7:$AO$479,H37,'EL scheme register'!$AJ$7:$AJ$479,"Yes")</f>
        <v/>
      </c>
    </row>
    <row r="38">
      <c r="A38" s="24" t="inlineStr">
        <is>
          <t>Other</t>
        </is>
      </c>
      <c r="B38" s="32">
        <f>COUNTIFS('EL scheme register'!$AB$7:$AB$479,A38,'EL scheme register'!$AJ$7:$AJ$479,"Yes")</f>
        <v/>
      </c>
      <c r="C38" s="32">
        <f>SUMPRODUCT(('EL institution summary'!$A$7:$A$130&lt;&gt;"")/COUNTIF('EL institution summary'!$A$7:$A$130,'EL institution summary'!$A$7:$A$130&amp;"")*(COUNTIFS('EL scheme register'!$A$7:$A$479,'EL institution summary'!$A$7:$A$130,'EL scheme register'!$AB$7:$AB$479,A38,'EL scheme register'!$AJ$7:$AJ$479,"Yes")&gt;0))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register'!$AO$7:$AO$479,H38,'EL scheme register'!$AJ$7:$AJ$479,"Yes")</f>
        <v/>
      </c>
    </row>
    <row r="39">
      <c r="A39" s="24" t="inlineStr">
        <is>
          <t>Unclear</t>
        </is>
      </c>
      <c r="B39" s="32">
        <f>COUNTIFS('EL scheme register'!$AB$7:$AB$479,A39,'EL scheme register'!$AJ$7:$AJ$479,"Yes")</f>
        <v/>
      </c>
      <c r="C39" s="32">
        <f>SUMPRODUCT(('EL institution summary'!$A$7:$A$130&lt;&gt;"")/COUNTIF('EL institution summary'!$A$7:$A$130,'EL institution summary'!$A$7:$A$130&amp;"")*(COUNTIFS('EL scheme register'!$A$7:$A$479,'EL institution summary'!$A$7:$A$130,'EL scheme register'!$AB$7:$AB$479,A39,'EL scheme register'!$AJ$7:$AJ$479,"Yes")&gt;0))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register'!$AO$7:$AO$479,H39,'EL scheme register'!$AJ$7:$AJ$479,"Yes")</f>
        <v/>
      </c>
    </row>
    <row r="40">
      <c r="A40" s="24" t="inlineStr">
        <is>
          <t>None</t>
        </is>
      </c>
      <c r="B40" s="32">
        <f>COUNTIFS('EL scheme register'!$AB$7:$AB$479,A40,'EL scheme register'!$AJ$7:$AJ$479,"Yes")</f>
        <v/>
      </c>
      <c r="C40" s="32">
        <f>SUMPRODUCT(('EL institution summary'!$A$7:$A$130&lt;&gt;"")/COUNTIF('EL institution summary'!$A$7:$A$130,'EL institution summary'!$A$7:$A$130&amp;"")*(COUNTIFS('EL scheme register'!$A$7:$A$479,'EL institution summary'!$A$7:$A$130,'EL scheme register'!$AB$7:$AB$479,A40,'EL scheme register'!$AJ$7:$AJ$479,"Yes")&gt;0))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register'!$AF$7:$AF$479,"Meets all three",'EL scheme register'!$AG$7:$AG$479,"Current delivery confirmed",'EL scheme register'!$AI$7:$AI$479,"Yes")</f>
        <v/>
      </c>
    </row>
    <row r="45">
      <c r="A45" s="24" t="inlineStr">
        <is>
          <t>Meets all three; current status unclear</t>
        </is>
      </c>
      <c r="B45" s="32">
        <f>COUNTIFS('EL scheme register'!$AF$7:$AF$479,"Meets all three",'EL scheme register'!$AG$7:$AG$479,"Current status unclear",'EL scheme register'!$AI$7:$AI$479,"Yes")</f>
        <v/>
      </c>
    </row>
    <row r="46">
      <c r="A46" s="24" t="inlineStr">
        <is>
          <t>Meets all three; historical / paused only</t>
        </is>
      </c>
      <c r="B46" s="32">
        <f>COUNTIFS('EL scheme register'!$AF$7:$AF$479,"Meets all three",'EL scheme register'!$AG$7:$AG$479,"Historical delivery only",'EL scheme register'!$AI$7:$AI$479,"Yes")+COUNTIFS('EL scheme register'!$AF$7:$AF$479,"Meets all three",'EL scheme register'!$AG$7:$AG$479,"Paused/discontinued",'EL scheme register'!$AI$7:$AI$479,"Yes")</f>
        <v/>
      </c>
    </row>
    <row r="47">
      <c r="A47" s="24" t="inlineStr">
        <is>
          <t>Meets all three; announced / forthcoming</t>
        </is>
      </c>
      <c r="B47" s="32">
        <f>COUNTIFS('EL scheme register'!$AF$7:$AF$479,"Meets all three",'EL scheme register'!$AG$7:$AG$479,"Announced/forthcoming",'EL scheme register'!$AI$7:$AI$479,"Yes")</f>
        <v/>
      </c>
    </row>
    <row r="48">
      <c r="A48" s="24" t="inlineStr">
        <is>
          <t>Potentially relevant; evidence incomplete</t>
        </is>
      </c>
      <c r="B48" s="32">
        <f>COUNTIFS('EL scheme register'!$AF$7:$AF$479,"Potentially relevant; evidence incomplete",'EL scheme register'!$AI$7:$AI$479,"Yes")</f>
        <v/>
      </c>
    </row>
    <row r="49">
      <c r="A49" s="24" t="inlineStr">
        <is>
          <t>Outside strict definition (kept in register as near-miss)</t>
        </is>
      </c>
      <c r="B49" s="32">
        <f>COUNTIFS('EL scheme register'!$AF$7:$AF$479,"Outside strict definition",'EL scheme register'!$AI$7:$AI$479,"Yes")</f>
        <v/>
      </c>
    </row>
    <row r="50">
      <c r="A50" s="24" t="inlineStr">
        <is>
          <t xml:space="preserve">  memo: current qualifying schemes lasting &lt;1 week</t>
        </is>
      </c>
      <c r="B50" s="32">
        <f>COUNTIFS('EL scheme register'!$AQ$7:$AQ$479,"&lt;1 week",'EL scheme register'!$AJ$7:$AJ$479,"Yes")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register'!$A$7:$A$479,$A7,'EL scheme register'!$C$7:$C$479,"University-wide",'EL scheme register'!$AJ$7:$AJ$479,"Yes")</f>
        <v/>
      </c>
      <c r="J7" s="77">
        <f>COUNTIFS('EL scheme register'!$A$7:$A$479,$A7,'EL scheme register'!$C$7:$C$479,"Cross-faculty",'EL scheme register'!$AJ$7:$AJ$479,"Yes")</f>
        <v/>
      </c>
      <c r="K7" s="77">
        <f>COUNTIFS('EL scheme register'!$A$7:$A$479,$A7,'EL scheme register'!$C$7:$C$479,"Faculty/school",'EL scheme register'!$AJ$7:$AJ$479,"Yes")</f>
        <v/>
      </c>
      <c r="L7" s="77">
        <f>COUNTIFS('EL scheme register'!$A$7:$A$479,$A7,'EL scheme register'!$C$7:$C$479,"Programme/course",'EL scheme register'!$AJ$7:$AJ$479,"Yes")</f>
        <v/>
      </c>
      <c r="M7" s="77">
        <f>COUNTIFS('EL scheme register'!$A$7:$A$479,$A7,'EL scheme register'!$C$7:$C$479,"Unclear",'EL scheme register'!$AJ$7:$AJ$479,"Yes")</f>
        <v/>
      </c>
      <c r="N7" s="77">
        <f>SUM(I7:M7)</f>
        <v/>
      </c>
      <c r="O7" s="77">
        <f>COUNTIFS('EL scheme register'!$A$7:$A$479,$A7,'EL scheme register'!$AF$7:$AF$479,"Potentially relevant; evidence incomplete",'EL scheme register'!$AI$7:$AI$479,"Yes")</f>
        <v/>
      </c>
      <c r="P7" s="77">
        <f>COUNTIFS('EL scheme register'!$A$7:$A$479,$A7,'EL scheme register'!$AF$7:$AF$479,"Outside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register'!$A$7:$A$479,$A8,'EL scheme register'!$C$7:$C$479,"University-wide",'EL scheme register'!$AJ$7:$AJ$479,"Yes")</f>
        <v/>
      </c>
      <c r="J8" s="77">
        <f>COUNTIFS('EL scheme register'!$A$7:$A$479,$A8,'EL scheme register'!$C$7:$C$479,"Cross-faculty",'EL scheme register'!$AJ$7:$AJ$479,"Yes")</f>
        <v/>
      </c>
      <c r="K8" s="77">
        <f>COUNTIFS('EL scheme register'!$A$7:$A$479,$A8,'EL scheme register'!$C$7:$C$479,"Faculty/school",'EL scheme register'!$AJ$7:$AJ$479,"Yes")</f>
        <v/>
      </c>
      <c r="L8" s="77">
        <f>COUNTIFS('EL scheme register'!$A$7:$A$479,$A8,'EL scheme register'!$C$7:$C$479,"Programme/course",'EL scheme register'!$AJ$7:$AJ$479,"Yes")</f>
        <v/>
      </c>
      <c r="M8" s="77">
        <f>COUNTIFS('EL scheme register'!$A$7:$A$479,$A8,'EL scheme register'!$C$7:$C$479,"Unclear",'EL scheme register'!$AJ$7:$AJ$479,"Yes")</f>
        <v/>
      </c>
      <c r="N8" s="77">
        <f>SUM(I8:M8)</f>
        <v/>
      </c>
      <c r="O8" s="77">
        <f>COUNTIFS('EL scheme register'!$A$7:$A$479,$A8,'EL scheme register'!$AF$7:$AF$479,"Potentially relevant; evidence incomplete",'EL scheme register'!$AI$7:$AI$479,"Yes")</f>
        <v/>
      </c>
      <c r="P8" s="77">
        <f>COUNTIFS('EL scheme register'!$A$7:$A$479,$A8,'EL scheme register'!$AF$7:$AF$479,"Outside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register'!$A$7:$A$479,$A9,'EL scheme register'!$C$7:$C$479,"University-wide",'EL scheme register'!$AJ$7:$AJ$479,"Yes")</f>
        <v/>
      </c>
      <c r="J9" s="77">
        <f>COUNTIFS('EL scheme register'!$A$7:$A$479,$A9,'EL scheme register'!$C$7:$C$479,"Cross-faculty",'EL scheme register'!$AJ$7:$AJ$479,"Yes")</f>
        <v/>
      </c>
      <c r="K9" s="77">
        <f>COUNTIFS('EL scheme register'!$A$7:$A$479,$A9,'EL scheme register'!$C$7:$C$479,"Faculty/school",'EL scheme register'!$AJ$7:$AJ$479,"Yes")</f>
        <v/>
      </c>
      <c r="L9" s="77">
        <f>COUNTIFS('EL scheme register'!$A$7:$A$479,$A9,'EL scheme register'!$C$7:$C$479,"Programme/course",'EL scheme register'!$AJ$7:$AJ$479,"Yes")</f>
        <v/>
      </c>
      <c r="M9" s="77">
        <f>COUNTIFS('EL scheme register'!$A$7:$A$479,$A9,'EL scheme register'!$C$7:$C$479,"Unclear",'EL scheme register'!$AJ$7:$AJ$479,"Yes")</f>
        <v/>
      </c>
      <c r="N9" s="77">
        <f>SUM(I9:M9)</f>
        <v/>
      </c>
      <c r="O9" s="77">
        <f>COUNTIFS('EL scheme register'!$A$7:$A$479,$A9,'EL scheme register'!$AF$7:$AF$479,"Potentially relevant; evidence incomplete",'EL scheme register'!$AI$7:$AI$479,"Yes")</f>
        <v/>
      </c>
      <c r="P9" s="77">
        <f>COUNTIFS('EL scheme register'!$A$7:$A$479,$A9,'EL scheme register'!$AF$7:$AF$479,"Outside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register'!$A$7:$A$479,$A10,'EL scheme register'!$C$7:$C$479,"University-wide",'EL scheme register'!$AJ$7:$AJ$479,"Yes")</f>
        <v/>
      </c>
      <c r="J10" s="77">
        <f>COUNTIFS('EL scheme register'!$A$7:$A$479,$A10,'EL scheme register'!$C$7:$C$479,"Cross-faculty",'EL scheme register'!$AJ$7:$AJ$479,"Yes")</f>
        <v/>
      </c>
      <c r="K10" s="77">
        <f>COUNTIFS('EL scheme register'!$A$7:$A$479,$A10,'EL scheme register'!$C$7:$C$479,"Faculty/school",'EL scheme register'!$AJ$7:$AJ$479,"Yes")</f>
        <v/>
      </c>
      <c r="L10" s="77">
        <f>COUNTIFS('EL scheme register'!$A$7:$A$479,$A10,'EL scheme register'!$C$7:$C$479,"Programme/course",'EL scheme register'!$AJ$7:$AJ$479,"Yes")</f>
        <v/>
      </c>
      <c r="M10" s="77">
        <f>COUNTIFS('EL scheme register'!$A$7:$A$479,$A10,'EL scheme register'!$C$7:$C$479,"Unclear",'EL scheme register'!$AJ$7:$AJ$479,"Yes")</f>
        <v/>
      </c>
      <c r="N10" s="77">
        <f>SUM(I10:M10)</f>
        <v/>
      </c>
      <c r="O10" s="77">
        <f>COUNTIFS('EL scheme register'!$A$7:$A$479,$A10,'EL scheme register'!$AF$7:$AF$479,"Potentially relevant; evidence incomplete",'EL scheme register'!$AI$7:$AI$479,"Yes")</f>
        <v/>
      </c>
      <c r="P10" s="77">
        <f>COUNTIFS('EL scheme register'!$A$7:$A$479,$A10,'EL scheme register'!$AF$7:$AF$479,"Outside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register'!$A$7:$A$479,$A11,'EL scheme register'!$C$7:$C$479,"University-wide",'EL scheme register'!$AJ$7:$AJ$479,"Yes")</f>
        <v/>
      </c>
      <c r="J11" s="77">
        <f>COUNTIFS('EL scheme register'!$A$7:$A$479,$A11,'EL scheme register'!$C$7:$C$479,"Cross-faculty",'EL scheme register'!$AJ$7:$AJ$479,"Yes")</f>
        <v/>
      </c>
      <c r="K11" s="77">
        <f>COUNTIFS('EL scheme register'!$A$7:$A$479,$A11,'EL scheme register'!$C$7:$C$479,"Faculty/school",'EL scheme register'!$AJ$7:$AJ$479,"Yes")</f>
        <v/>
      </c>
      <c r="L11" s="77">
        <f>COUNTIFS('EL scheme register'!$A$7:$A$479,$A11,'EL scheme register'!$C$7:$C$479,"Programme/course",'EL scheme register'!$AJ$7:$AJ$479,"Yes")</f>
        <v/>
      </c>
      <c r="M11" s="77">
        <f>COUNTIFS('EL scheme register'!$A$7:$A$479,$A11,'EL scheme register'!$C$7:$C$479,"Unclear",'EL scheme register'!$AJ$7:$AJ$479,"Yes")</f>
        <v/>
      </c>
      <c r="N11" s="77">
        <f>SUM(I11:M11)</f>
        <v/>
      </c>
      <c r="O11" s="77">
        <f>COUNTIFS('EL scheme register'!$A$7:$A$479,$A11,'EL scheme register'!$AF$7:$AF$479,"Potentially relevant; evidence incomplete",'EL scheme register'!$AI$7:$AI$479,"Yes")</f>
        <v/>
      </c>
      <c r="P11" s="77">
        <f>COUNTIFS('EL scheme register'!$A$7:$A$479,$A11,'EL scheme register'!$AF$7:$AF$479,"Outside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register'!$A$7:$A$479,$A12,'EL scheme register'!$C$7:$C$479,"University-wide",'EL scheme register'!$AJ$7:$AJ$479,"Yes")</f>
        <v/>
      </c>
      <c r="J12" s="77">
        <f>COUNTIFS('EL scheme register'!$A$7:$A$479,$A12,'EL scheme register'!$C$7:$C$479,"Cross-faculty",'EL scheme register'!$AJ$7:$AJ$479,"Yes")</f>
        <v/>
      </c>
      <c r="K12" s="77">
        <f>COUNTIFS('EL scheme register'!$A$7:$A$479,$A12,'EL scheme register'!$C$7:$C$479,"Faculty/school",'EL scheme register'!$AJ$7:$AJ$479,"Yes")</f>
        <v/>
      </c>
      <c r="L12" s="77">
        <f>COUNTIFS('EL scheme register'!$A$7:$A$479,$A12,'EL scheme register'!$C$7:$C$479,"Programme/course",'EL scheme register'!$AJ$7:$AJ$479,"Yes")</f>
        <v/>
      </c>
      <c r="M12" s="77">
        <f>COUNTIFS('EL scheme register'!$A$7:$A$479,$A12,'EL scheme register'!$C$7:$C$479,"Unclear",'EL scheme register'!$AJ$7:$AJ$479,"Yes")</f>
        <v/>
      </c>
      <c r="N12" s="77">
        <f>SUM(I12:M12)</f>
        <v/>
      </c>
      <c r="O12" s="77">
        <f>COUNTIFS('EL scheme register'!$A$7:$A$479,$A12,'EL scheme register'!$AF$7:$AF$479,"Potentially relevant; evidence incomplete",'EL scheme register'!$AI$7:$AI$479,"Yes")</f>
        <v/>
      </c>
      <c r="P12" s="77">
        <f>COUNTIFS('EL scheme register'!$A$7:$A$479,$A12,'EL scheme register'!$AF$7:$AF$479,"Outside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register'!$A$7:$A$479,$A13,'EL scheme register'!$C$7:$C$479,"University-wide",'EL scheme register'!$AJ$7:$AJ$479,"Yes")</f>
        <v/>
      </c>
      <c r="J13" s="77">
        <f>COUNTIFS('EL scheme register'!$A$7:$A$479,$A13,'EL scheme register'!$C$7:$C$479,"Cross-faculty",'EL scheme register'!$AJ$7:$AJ$479,"Yes")</f>
        <v/>
      </c>
      <c r="K13" s="77">
        <f>COUNTIFS('EL scheme register'!$A$7:$A$479,$A13,'EL scheme register'!$C$7:$C$479,"Faculty/school",'EL scheme register'!$AJ$7:$AJ$479,"Yes")</f>
        <v/>
      </c>
      <c r="L13" s="77">
        <f>COUNTIFS('EL scheme register'!$A$7:$A$479,$A13,'EL scheme register'!$C$7:$C$479,"Programme/course",'EL scheme register'!$AJ$7:$AJ$479,"Yes")</f>
        <v/>
      </c>
      <c r="M13" s="77">
        <f>COUNTIFS('EL scheme register'!$A$7:$A$479,$A13,'EL scheme register'!$C$7:$C$479,"Unclear",'EL scheme register'!$AJ$7:$AJ$479,"Yes")</f>
        <v/>
      </c>
      <c r="N13" s="77">
        <f>SUM(I13:M13)</f>
        <v/>
      </c>
      <c r="O13" s="77">
        <f>COUNTIFS('EL scheme register'!$A$7:$A$479,$A13,'EL scheme register'!$AF$7:$AF$479,"Potentially relevant; evidence incomplete",'EL scheme register'!$AI$7:$AI$479,"Yes")</f>
        <v/>
      </c>
      <c r="P13" s="77">
        <f>COUNTIFS('EL scheme register'!$A$7:$A$479,$A13,'EL scheme register'!$AF$7:$AF$479,"Outside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register'!$A$7:$A$479,$A14,'EL scheme register'!$C$7:$C$479,"University-wide",'EL scheme register'!$AJ$7:$AJ$479,"Yes")</f>
        <v/>
      </c>
      <c r="J14" s="77">
        <f>COUNTIFS('EL scheme register'!$A$7:$A$479,$A14,'EL scheme register'!$C$7:$C$479,"Cross-faculty",'EL scheme register'!$AJ$7:$AJ$479,"Yes")</f>
        <v/>
      </c>
      <c r="K14" s="77">
        <f>COUNTIFS('EL scheme register'!$A$7:$A$479,$A14,'EL scheme register'!$C$7:$C$479,"Faculty/school",'EL scheme register'!$AJ$7:$AJ$479,"Yes")</f>
        <v/>
      </c>
      <c r="L14" s="77">
        <f>COUNTIFS('EL scheme register'!$A$7:$A$479,$A14,'EL scheme register'!$C$7:$C$479,"Programme/course",'EL scheme register'!$AJ$7:$AJ$479,"Yes")</f>
        <v/>
      </c>
      <c r="M14" s="77">
        <f>COUNTIFS('EL scheme register'!$A$7:$A$479,$A14,'EL scheme register'!$C$7:$C$479,"Unclear",'EL scheme register'!$AJ$7:$AJ$479,"Yes")</f>
        <v/>
      </c>
      <c r="N14" s="77">
        <f>SUM(I14:M14)</f>
        <v/>
      </c>
      <c r="O14" s="77">
        <f>COUNTIFS('EL scheme register'!$A$7:$A$479,$A14,'EL scheme register'!$AF$7:$AF$479,"Potentially relevant; evidence incomplete",'EL scheme register'!$AI$7:$AI$479,"Yes")</f>
        <v/>
      </c>
      <c r="P14" s="77">
        <f>COUNTIFS('EL scheme register'!$A$7:$A$479,$A14,'EL scheme register'!$AF$7:$AF$479,"Outside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register'!$A$7:$A$479,$A15,'EL scheme register'!$C$7:$C$479,"University-wide",'EL scheme register'!$AJ$7:$AJ$479,"Yes")</f>
        <v/>
      </c>
      <c r="J15" s="77">
        <f>COUNTIFS('EL scheme register'!$A$7:$A$479,$A15,'EL scheme register'!$C$7:$C$479,"Cross-faculty",'EL scheme register'!$AJ$7:$AJ$479,"Yes")</f>
        <v/>
      </c>
      <c r="K15" s="77">
        <f>COUNTIFS('EL scheme register'!$A$7:$A$479,$A15,'EL scheme register'!$C$7:$C$479,"Faculty/school",'EL scheme register'!$AJ$7:$AJ$479,"Yes")</f>
        <v/>
      </c>
      <c r="L15" s="77">
        <f>COUNTIFS('EL scheme register'!$A$7:$A$479,$A15,'EL scheme register'!$C$7:$C$479,"Programme/course",'EL scheme register'!$AJ$7:$AJ$479,"Yes")</f>
        <v/>
      </c>
      <c r="M15" s="77">
        <f>COUNTIFS('EL scheme register'!$A$7:$A$479,$A15,'EL scheme register'!$C$7:$C$479,"Unclear",'EL scheme register'!$AJ$7:$AJ$479,"Yes")</f>
        <v/>
      </c>
      <c r="N15" s="77">
        <f>SUM(I15:M15)</f>
        <v/>
      </c>
      <c r="O15" s="77">
        <f>COUNTIFS('EL scheme register'!$A$7:$A$479,$A15,'EL scheme register'!$AF$7:$AF$479,"Potentially relevant; evidence incomplete",'EL scheme register'!$AI$7:$AI$479,"Yes")</f>
        <v/>
      </c>
      <c r="P15" s="77">
        <f>COUNTIFS('EL scheme register'!$A$7:$A$479,$A15,'EL scheme register'!$AF$7:$AF$479,"Outside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register'!$A$7:$A$479,$A16,'EL scheme register'!$C$7:$C$479,"University-wide",'EL scheme register'!$AJ$7:$AJ$479,"Yes")</f>
        <v/>
      </c>
      <c r="J16" s="77">
        <f>COUNTIFS('EL scheme register'!$A$7:$A$479,$A16,'EL scheme register'!$C$7:$C$479,"Cross-faculty",'EL scheme register'!$AJ$7:$AJ$479,"Yes")</f>
        <v/>
      </c>
      <c r="K16" s="77">
        <f>COUNTIFS('EL scheme register'!$A$7:$A$479,$A16,'EL scheme register'!$C$7:$C$479,"Faculty/school",'EL scheme register'!$AJ$7:$AJ$479,"Yes")</f>
        <v/>
      </c>
      <c r="L16" s="77">
        <f>COUNTIFS('EL scheme register'!$A$7:$A$479,$A16,'EL scheme register'!$C$7:$C$479,"Programme/course",'EL scheme register'!$AJ$7:$AJ$479,"Yes")</f>
        <v/>
      </c>
      <c r="M16" s="77">
        <f>COUNTIFS('EL scheme register'!$A$7:$A$479,$A16,'EL scheme register'!$C$7:$C$479,"Unclear",'EL scheme register'!$AJ$7:$AJ$479,"Yes")</f>
        <v/>
      </c>
      <c r="N16" s="77">
        <f>SUM(I16:M16)</f>
        <v/>
      </c>
      <c r="O16" s="77">
        <f>COUNTIFS('EL scheme register'!$A$7:$A$479,$A16,'EL scheme register'!$AF$7:$AF$479,"Potentially relevant; evidence incomplete",'EL scheme register'!$AI$7:$AI$479,"Yes")</f>
        <v/>
      </c>
      <c r="P16" s="77">
        <f>COUNTIFS('EL scheme register'!$A$7:$A$479,$A16,'EL scheme register'!$AF$7:$AF$479,"Outside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register'!$A$7:$A$479,$A17,'EL scheme register'!$C$7:$C$479,"University-wide",'EL scheme register'!$AJ$7:$AJ$479,"Yes")</f>
        <v/>
      </c>
      <c r="J17" s="77">
        <f>COUNTIFS('EL scheme register'!$A$7:$A$479,$A17,'EL scheme register'!$C$7:$C$479,"Cross-faculty",'EL scheme register'!$AJ$7:$AJ$479,"Yes")</f>
        <v/>
      </c>
      <c r="K17" s="77">
        <f>COUNTIFS('EL scheme register'!$A$7:$A$479,$A17,'EL scheme register'!$C$7:$C$479,"Faculty/school",'EL scheme register'!$AJ$7:$AJ$479,"Yes")</f>
        <v/>
      </c>
      <c r="L17" s="77">
        <f>COUNTIFS('EL scheme register'!$A$7:$A$479,$A17,'EL scheme register'!$C$7:$C$479,"Programme/course",'EL scheme register'!$AJ$7:$AJ$479,"Yes")</f>
        <v/>
      </c>
      <c r="M17" s="77">
        <f>COUNTIFS('EL scheme register'!$A$7:$A$479,$A17,'EL scheme register'!$C$7:$C$479,"Unclear",'EL scheme register'!$AJ$7:$AJ$479,"Yes")</f>
        <v/>
      </c>
      <c r="N17" s="77">
        <f>SUM(I17:M17)</f>
        <v/>
      </c>
      <c r="O17" s="77">
        <f>COUNTIFS('EL scheme register'!$A$7:$A$479,$A17,'EL scheme register'!$AF$7:$AF$479,"Potentially relevant; evidence incomplete",'EL scheme register'!$AI$7:$AI$479,"Yes")</f>
        <v/>
      </c>
      <c r="P17" s="77">
        <f>COUNTIFS('EL scheme register'!$A$7:$A$479,$A17,'EL scheme register'!$AF$7:$AF$479,"Outside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register'!$A$7:$A$479,$A18,'EL scheme register'!$C$7:$C$479,"University-wide",'EL scheme register'!$AJ$7:$AJ$479,"Yes")</f>
        <v/>
      </c>
      <c r="J18" s="77">
        <f>COUNTIFS('EL scheme register'!$A$7:$A$479,$A18,'EL scheme register'!$C$7:$C$479,"Cross-faculty",'EL scheme register'!$AJ$7:$AJ$479,"Yes")</f>
        <v/>
      </c>
      <c r="K18" s="77">
        <f>COUNTIFS('EL scheme register'!$A$7:$A$479,$A18,'EL scheme register'!$C$7:$C$479,"Faculty/school",'EL scheme register'!$AJ$7:$AJ$479,"Yes")</f>
        <v/>
      </c>
      <c r="L18" s="77">
        <f>COUNTIFS('EL scheme register'!$A$7:$A$479,$A18,'EL scheme register'!$C$7:$C$479,"Programme/course",'EL scheme register'!$AJ$7:$AJ$479,"Yes")</f>
        <v/>
      </c>
      <c r="M18" s="77">
        <f>COUNTIFS('EL scheme register'!$A$7:$A$479,$A18,'EL scheme register'!$C$7:$C$479,"Unclear",'EL scheme register'!$AJ$7:$AJ$479,"Yes")</f>
        <v/>
      </c>
      <c r="N18" s="77">
        <f>SUM(I18:M18)</f>
        <v/>
      </c>
      <c r="O18" s="77">
        <f>COUNTIFS('EL scheme register'!$A$7:$A$479,$A18,'EL scheme register'!$AF$7:$AF$479,"Potentially relevant; evidence incomplete",'EL scheme register'!$AI$7:$AI$479,"Yes")</f>
        <v/>
      </c>
      <c r="P18" s="77">
        <f>COUNTIFS('EL scheme register'!$A$7:$A$479,$A18,'EL scheme register'!$AF$7:$AF$479,"Outside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register'!$A$7:$A$479,$A19,'EL scheme register'!$C$7:$C$479,"University-wide",'EL scheme register'!$AJ$7:$AJ$479,"Yes")</f>
        <v/>
      </c>
      <c r="J19" s="77">
        <f>COUNTIFS('EL scheme register'!$A$7:$A$479,$A19,'EL scheme register'!$C$7:$C$479,"Cross-faculty",'EL scheme register'!$AJ$7:$AJ$479,"Yes")</f>
        <v/>
      </c>
      <c r="K19" s="77">
        <f>COUNTIFS('EL scheme register'!$A$7:$A$479,$A19,'EL scheme register'!$C$7:$C$479,"Faculty/school",'EL scheme register'!$AJ$7:$AJ$479,"Yes")</f>
        <v/>
      </c>
      <c r="L19" s="77">
        <f>COUNTIFS('EL scheme register'!$A$7:$A$479,$A19,'EL scheme register'!$C$7:$C$479,"Programme/course",'EL scheme register'!$AJ$7:$AJ$479,"Yes")</f>
        <v/>
      </c>
      <c r="M19" s="77">
        <f>COUNTIFS('EL scheme register'!$A$7:$A$479,$A19,'EL scheme register'!$C$7:$C$479,"Unclear",'EL scheme register'!$AJ$7:$AJ$479,"Yes")</f>
        <v/>
      </c>
      <c r="N19" s="77">
        <f>SUM(I19:M19)</f>
        <v/>
      </c>
      <c r="O19" s="77">
        <f>COUNTIFS('EL scheme register'!$A$7:$A$479,$A19,'EL scheme register'!$AF$7:$AF$479,"Potentially relevant; evidence incomplete",'EL scheme register'!$AI$7:$AI$479,"Yes")</f>
        <v/>
      </c>
      <c r="P19" s="77">
        <f>COUNTIFS('EL scheme register'!$A$7:$A$479,$A19,'EL scheme register'!$AF$7:$AF$479,"Outside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register'!$A$7:$A$479,$A20,'EL scheme register'!$C$7:$C$479,"University-wide",'EL scheme register'!$AJ$7:$AJ$479,"Yes")</f>
        <v/>
      </c>
      <c r="J20" s="77">
        <f>COUNTIFS('EL scheme register'!$A$7:$A$479,$A20,'EL scheme register'!$C$7:$C$479,"Cross-faculty",'EL scheme register'!$AJ$7:$AJ$479,"Yes")</f>
        <v/>
      </c>
      <c r="K20" s="77">
        <f>COUNTIFS('EL scheme register'!$A$7:$A$479,$A20,'EL scheme register'!$C$7:$C$479,"Faculty/school",'EL scheme register'!$AJ$7:$AJ$479,"Yes")</f>
        <v/>
      </c>
      <c r="L20" s="77">
        <f>COUNTIFS('EL scheme register'!$A$7:$A$479,$A20,'EL scheme register'!$C$7:$C$479,"Programme/course",'EL scheme register'!$AJ$7:$AJ$479,"Yes")</f>
        <v/>
      </c>
      <c r="M20" s="77">
        <f>COUNTIFS('EL scheme register'!$A$7:$A$479,$A20,'EL scheme register'!$C$7:$C$479,"Unclear",'EL scheme register'!$AJ$7:$AJ$479,"Yes")</f>
        <v/>
      </c>
      <c r="N20" s="77">
        <f>SUM(I20:M20)</f>
        <v/>
      </c>
      <c r="O20" s="77">
        <f>COUNTIFS('EL scheme register'!$A$7:$A$479,$A20,'EL scheme register'!$AF$7:$AF$479,"Potentially relevant; evidence incomplete",'EL scheme register'!$AI$7:$AI$479,"Yes")</f>
        <v/>
      </c>
      <c r="P20" s="77">
        <f>COUNTIFS('EL scheme register'!$A$7:$A$479,$A20,'EL scheme register'!$AF$7:$AF$479,"Outside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register'!$A$7:$A$479,$A21,'EL scheme register'!$C$7:$C$479,"University-wide",'EL scheme register'!$AJ$7:$AJ$479,"Yes")</f>
        <v/>
      </c>
      <c r="J21" s="77">
        <f>COUNTIFS('EL scheme register'!$A$7:$A$479,$A21,'EL scheme register'!$C$7:$C$479,"Cross-faculty",'EL scheme register'!$AJ$7:$AJ$479,"Yes")</f>
        <v/>
      </c>
      <c r="K21" s="77">
        <f>COUNTIFS('EL scheme register'!$A$7:$A$479,$A21,'EL scheme register'!$C$7:$C$479,"Faculty/school",'EL scheme register'!$AJ$7:$AJ$479,"Yes")</f>
        <v/>
      </c>
      <c r="L21" s="77">
        <f>COUNTIFS('EL scheme register'!$A$7:$A$479,$A21,'EL scheme register'!$C$7:$C$479,"Programme/course",'EL scheme register'!$AJ$7:$AJ$479,"Yes")</f>
        <v/>
      </c>
      <c r="M21" s="77">
        <f>COUNTIFS('EL scheme register'!$A$7:$A$479,$A21,'EL scheme register'!$C$7:$C$479,"Unclear",'EL scheme register'!$AJ$7:$AJ$479,"Yes")</f>
        <v/>
      </c>
      <c r="N21" s="77">
        <f>SUM(I21:M21)</f>
        <v/>
      </c>
      <c r="O21" s="77">
        <f>COUNTIFS('EL scheme register'!$A$7:$A$479,$A21,'EL scheme register'!$AF$7:$AF$479,"Potentially relevant; evidence incomplete",'EL scheme register'!$AI$7:$AI$479,"Yes")</f>
        <v/>
      </c>
      <c r="P21" s="77">
        <f>COUNTIFS('EL scheme register'!$A$7:$A$479,$A21,'EL scheme register'!$AF$7:$AF$479,"Outside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register'!$A$7:$A$479,$A22,'EL scheme register'!$C$7:$C$479,"University-wide",'EL scheme register'!$AJ$7:$AJ$479,"Yes")</f>
        <v/>
      </c>
      <c r="J22" s="77">
        <f>COUNTIFS('EL scheme register'!$A$7:$A$479,$A22,'EL scheme register'!$C$7:$C$479,"Cross-faculty",'EL scheme register'!$AJ$7:$AJ$479,"Yes")</f>
        <v/>
      </c>
      <c r="K22" s="77">
        <f>COUNTIFS('EL scheme register'!$A$7:$A$479,$A22,'EL scheme register'!$C$7:$C$479,"Faculty/school",'EL scheme register'!$AJ$7:$AJ$479,"Yes")</f>
        <v/>
      </c>
      <c r="L22" s="77">
        <f>COUNTIFS('EL scheme register'!$A$7:$A$479,$A22,'EL scheme register'!$C$7:$C$479,"Programme/course",'EL scheme register'!$AJ$7:$AJ$479,"Yes")</f>
        <v/>
      </c>
      <c r="M22" s="77">
        <f>COUNTIFS('EL scheme register'!$A$7:$A$479,$A22,'EL scheme register'!$C$7:$C$479,"Unclear",'EL scheme register'!$AJ$7:$AJ$479,"Yes")</f>
        <v/>
      </c>
      <c r="N22" s="77">
        <f>SUM(I22:M22)</f>
        <v/>
      </c>
      <c r="O22" s="77">
        <f>COUNTIFS('EL scheme register'!$A$7:$A$479,$A22,'EL scheme register'!$AF$7:$AF$479,"Potentially relevant; evidence incomplete",'EL scheme register'!$AI$7:$AI$479,"Yes")</f>
        <v/>
      </c>
      <c r="P22" s="77">
        <f>COUNTIFS('EL scheme register'!$A$7:$A$479,$A22,'EL scheme register'!$AF$7:$AF$479,"Outside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register'!$A$7:$A$479,$A23,'EL scheme register'!$C$7:$C$479,"University-wide",'EL scheme register'!$AJ$7:$AJ$479,"Yes")</f>
        <v/>
      </c>
      <c r="J23" s="77">
        <f>COUNTIFS('EL scheme register'!$A$7:$A$479,$A23,'EL scheme register'!$C$7:$C$479,"Cross-faculty",'EL scheme register'!$AJ$7:$AJ$479,"Yes")</f>
        <v/>
      </c>
      <c r="K23" s="77">
        <f>COUNTIFS('EL scheme register'!$A$7:$A$479,$A23,'EL scheme register'!$C$7:$C$479,"Faculty/school",'EL scheme register'!$AJ$7:$AJ$479,"Yes")</f>
        <v/>
      </c>
      <c r="L23" s="77">
        <f>COUNTIFS('EL scheme register'!$A$7:$A$479,$A23,'EL scheme register'!$C$7:$C$479,"Programme/course",'EL scheme register'!$AJ$7:$AJ$479,"Yes")</f>
        <v/>
      </c>
      <c r="M23" s="77">
        <f>COUNTIFS('EL scheme register'!$A$7:$A$479,$A23,'EL scheme register'!$C$7:$C$479,"Unclear",'EL scheme register'!$AJ$7:$AJ$479,"Yes")</f>
        <v/>
      </c>
      <c r="N23" s="77">
        <f>SUM(I23:M23)</f>
        <v/>
      </c>
      <c r="O23" s="77">
        <f>COUNTIFS('EL scheme register'!$A$7:$A$479,$A23,'EL scheme register'!$AF$7:$AF$479,"Potentially relevant; evidence incomplete",'EL scheme register'!$AI$7:$AI$479,"Yes")</f>
        <v/>
      </c>
      <c r="P23" s="77">
        <f>COUNTIFS('EL scheme register'!$A$7:$A$479,$A23,'EL scheme register'!$AF$7:$AF$479,"Outside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register'!$A$7:$A$479,$A24,'EL scheme register'!$C$7:$C$479,"University-wide",'EL scheme register'!$AJ$7:$AJ$479,"Yes")</f>
        <v/>
      </c>
      <c r="J24" s="77">
        <f>COUNTIFS('EL scheme register'!$A$7:$A$479,$A24,'EL scheme register'!$C$7:$C$479,"Cross-faculty",'EL scheme register'!$AJ$7:$AJ$479,"Yes")</f>
        <v/>
      </c>
      <c r="K24" s="77">
        <f>COUNTIFS('EL scheme register'!$A$7:$A$479,$A24,'EL scheme register'!$C$7:$C$479,"Faculty/school",'EL scheme register'!$AJ$7:$AJ$479,"Yes")</f>
        <v/>
      </c>
      <c r="L24" s="77">
        <f>COUNTIFS('EL scheme register'!$A$7:$A$479,$A24,'EL scheme register'!$C$7:$C$479,"Programme/course",'EL scheme register'!$AJ$7:$AJ$479,"Yes")</f>
        <v/>
      </c>
      <c r="M24" s="77">
        <f>COUNTIFS('EL scheme register'!$A$7:$A$479,$A24,'EL scheme register'!$C$7:$C$479,"Unclear",'EL scheme register'!$AJ$7:$AJ$479,"Yes")</f>
        <v/>
      </c>
      <c r="N24" s="77">
        <f>SUM(I24:M24)</f>
        <v/>
      </c>
      <c r="O24" s="77">
        <f>COUNTIFS('EL scheme register'!$A$7:$A$479,$A24,'EL scheme register'!$AF$7:$AF$479,"Potentially relevant; evidence incomplete",'EL scheme register'!$AI$7:$AI$479,"Yes")</f>
        <v/>
      </c>
      <c r="P24" s="77">
        <f>COUNTIFS('EL scheme register'!$A$7:$A$479,$A24,'EL scheme register'!$AF$7:$AF$479,"Outside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register'!$A$7:$A$479,$A25,'EL scheme register'!$C$7:$C$479,"University-wide",'EL scheme register'!$AJ$7:$AJ$479,"Yes")</f>
        <v/>
      </c>
      <c r="J25" s="77">
        <f>COUNTIFS('EL scheme register'!$A$7:$A$479,$A25,'EL scheme register'!$C$7:$C$479,"Cross-faculty",'EL scheme register'!$AJ$7:$AJ$479,"Yes")</f>
        <v/>
      </c>
      <c r="K25" s="77">
        <f>COUNTIFS('EL scheme register'!$A$7:$A$479,$A25,'EL scheme register'!$C$7:$C$479,"Faculty/school",'EL scheme register'!$AJ$7:$AJ$479,"Yes")</f>
        <v/>
      </c>
      <c r="L25" s="77">
        <f>COUNTIFS('EL scheme register'!$A$7:$A$479,$A25,'EL scheme register'!$C$7:$C$479,"Programme/course",'EL scheme register'!$AJ$7:$AJ$479,"Yes")</f>
        <v/>
      </c>
      <c r="M25" s="77">
        <f>COUNTIFS('EL scheme register'!$A$7:$A$479,$A25,'EL scheme register'!$C$7:$C$479,"Unclear",'EL scheme register'!$AJ$7:$AJ$479,"Yes")</f>
        <v/>
      </c>
      <c r="N25" s="77">
        <f>SUM(I25:M25)</f>
        <v/>
      </c>
      <c r="O25" s="77">
        <f>COUNTIFS('EL scheme register'!$A$7:$A$479,$A25,'EL scheme register'!$AF$7:$AF$479,"Potentially relevant; evidence incomplete",'EL scheme register'!$AI$7:$AI$479,"Yes")</f>
        <v/>
      </c>
      <c r="P25" s="77">
        <f>COUNTIFS('EL scheme register'!$A$7:$A$479,$A25,'EL scheme register'!$AF$7:$AF$479,"Outside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Partial</t>
        </is>
      </c>
      <c r="I26" s="77">
        <f>COUNTIFS('EL scheme register'!$A$7:$A$479,$A26,'EL scheme register'!$C$7:$C$479,"University-wide",'EL scheme register'!$AJ$7:$AJ$479,"Yes")</f>
        <v/>
      </c>
      <c r="J26" s="77">
        <f>COUNTIFS('EL scheme register'!$A$7:$A$479,$A26,'EL scheme register'!$C$7:$C$479,"Cross-faculty",'EL scheme register'!$AJ$7:$AJ$479,"Yes")</f>
        <v/>
      </c>
      <c r="K26" s="77">
        <f>COUNTIFS('EL scheme register'!$A$7:$A$479,$A26,'EL scheme register'!$C$7:$C$479,"Faculty/school",'EL scheme register'!$AJ$7:$AJ$479,"Yes")</f>
        <v/>
      </c>
      <c r="L26" s="77">
        <f>COUNTIFS('EL scheme register'!$A$7:$A$479,$A26,'EL scheme register'!$C$7:$C$479,"Programme/course",'EL scheme register'!$AJ$7:$AJ$479,"Yes")</f>
        <v/>
      </c>
      <c r="M26" s="77">
        <f>COUNTIFS('EL scheme register'!$A$7:$A$479,$A26,'EL scheme register'!$C$7:$C$479,"Unclear",'EL scheme register'!$AJ$7:$AJ$479,"Yes")</f>
        <v/>
      </c>
      <c r="N26" s="77">
        <f>SUM(I26:M26)</f>
        <v/>
      </c>
      <c r="O26" s="77">
        <f>COUNTIFS('EL scheme register'!$A$7:$A$479,$A26,'EL scheme register'!$AF$7:$AF$479,"Potentially relevant; evidence incomplete",'EL scheme register'!$AI$7:$AI$479,"Yes")</f>
        <v/>
      </c>
      <c r="P26" s="77">
        <f>COUNTIFS('EL scheme register'!$A$7:$A$479,$A26,'EL scheme register'!$AF$7:$AF$479,"Outside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Health faculties not searched;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 | PARTIAL REVIEW — remaining: Medicine/dentistry/health sciences ('other') not searched; extended verification of departmental MEng group design projects (Mechanical, Aerospace, EEE, Materials, Chemical, Civil) and of Genesys client externality not done; chemistry, maths/statistics and individual AHSS departments (Geography, Urban Studies, Politics, Journalism) not individually searched. Session WebSearch limit reached after 22 searches.</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register'!$A$7:$A$479,$A27,'EL scheme register'!$C$7:$C$479,"University-wide",'EL scheme register'!$AJ$7:$AJ$479,"Yes")</f>
        <v/>
      </c>
      <c r="J27" s="77">
        <f>COUNTIFS('EL scheme register'!$A$7:$A$479,$A27,'EL scheme register'!$C$7:$C$479,"Cross-faculty",'EL scheme register'!$AJ$7:$AJ$479,"Yes")</f>
        <v/>
      </c>
      <c r="K27" s="77">
        <f>COUNTIFS('EL scheme register'!$A$7:$A$479,$A27,'EL scheme register'!$C$7:$C$479,"Faculty/school",'EL scheme register'!$AJ$7:$AJ$479,"Yes")</f>
        <v/>
      </c>
      <c r="L27" s="77">
        <f>COUNTIFS('EL scheme register'!$A$7:$A$479,$A27,'EL scheme register'!$C$7:$C$479,"Programme/course",'EL scheme register'!$AJ$7:$AJ$479,"Yes")</f>
        <v/>
      </c>
      <c r="M27" s="77">
        <f>COUNTIFS('EL scheme register'!$A$7:$A$479,$A27,'EL scheme register'!$C$7:$C$479,"Unclear",'EL scheme register'!$AJ$7:$AJ$479,"Yes")</f>
        <v/>
      </c>
      <c r="N27" s="77">
        <f>SUM(I27:M27)</f>
        <v/>
      </c>
      <c r="O27" s="77">
        <f>COUNTIFS('EL scheme register'!$A$7:$A$479,$A27,'EL scheme register'!$AF$7:$AF$479,"Potentially relevant; evidence incomplete",'EL scheme register'!$AI$7:$AI$479,"Yes")</f>
        <v/>
      </c>
      <c r="P27" s="77">
        <f>COUNTIFS('EL scheme register'!$A$7:$A$479,$A27,'EL scheme register'!$AF$7:$AF$479,"Outside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register'!$A$7:$A$479,$A28,'EL scheme register'!$C$7:$C$479,"University-wide",'EL scheme register'!$AJ$7:$AJ$479,"Yes")</f>
        <v/>
      </c>
      <c r="J28" s="77">
        <f>COUNTIFS('EL scheme register'!$A$7:$A$479,$A28,'EL scheme register'!$C$7:$C$479,"Cross-faculty",'EL scheme register'!$AJ$7:$AJ$479,"Yes")</f>
        <v/>
      </c>
      <c r="K28" s="77">
        <f>COUNTIFS('EL scheme register'!$A$7:$A$479,$A28,'EL scheme register'!$C$7:$C$479,"Faculty/school",'EL scheme register'!$AJ$7:$AJ$479,"Yes")</f>
        <v/>
      </c>
      <c r="L28" s="77">
        <f>COUNTIFS('EL scheme register'!$A$7:$A$479,$A28,'EL scheme register'!$C$7:$C$479,"Programme/course",'EL scheme register'!$AJ$7:$AJ$479,"Yes")</f>
        <v/>
      </c>
      <c r="M28" s="77">
        <f>COUNTIFS('EL scheme register'!$A$7:$A$479,$A28,'EL scheme register'!$C$7:$C$479,"Unclear",'EL scheme register'!$AJ$7:$AJ$479,"Yes")</f>
        <v/>
      </c>
      <c r="N28" s="77">
        <f>SUM(I28:M28)</f>
        <v/>
      </c>
      <c r="O28" s="77">
        <f>COUNTIFS('EL scheme register'!$A$7:$A$479,$A28,'EL scheme register'!$AF$7:$AF$479,"Potentially relevant; evidence incomplete",'EL scheme register'!$AI$7:$AI$479,"Yes")</f>
        <v/>
      </c>
      <c r="P28" s="77">
        <f>COUNTIFS('EL scheme register'!$A$7:$A$479,$A28,'EL scheme register'!$AF$7:$AF$479,"Outside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Partial</t>
        </is>
      </c>
      <c r="I29" s="77">
        <f>COUNTIFS('EL scheme register'!$A$7:$A$479,$A29,'EL scheme register'!$C$7:$C$479,"University-wide",'EL scheme register'!$AJ$7:$AJ$479,"Yes")</f>
        <v/>
      </c>
      <c r="J29" s="77">
        <f>COUNTIFS('EL scheme register'!$A$7:$A$479,$A29,'EL scheme register'!$C$7:$C$479,"Cross-faculty",'EL scheme register'!$AJ$7:$AJ$479,"Yes")</f>
        <v/>
      </c>
      <c r="K29" s="77">
        <f>COUNTIFS('EL scheme register'!$A$7:$A$479,$A29,'EL scheme register'!$C$7:$C$479,"Faculty/school",'EL scheme register'!$AJ$7:$AJ$479,"Yes")</f>
        <v/>
      </c>
      <c r="L29" s="77">
        <f>COUNTIFS('EL scheme register'!$A$7:$A$479,$A29,'EL scheme register'!$C$7:$C$479,"Programme/course",'EL scheme register'!$AJ$7:$AJ$479,"Yes")</f>
        <v/>
      </c>
      <c r="M29" s="77">
        <f>COUNTIFS('EL scheme register'!$A$7:$A$479,$A29,'EL scheme register'!$C$7:$C$479,"Unclear",'EL scheme register'!$AJ$7:$AJ$479,"Yes")</f>
        <v/>
      </c>
      <c r="N29" s="77">
        <f>SUM(I29:M29)</f>
        <v/>
      </c>
      <c r="O29" s="77">
        <f>COUNTIFS('EL scheme register'!$A$7:$A$479,$A29,'EL scheme register'!$AF$7:$AF$479,"Potentially relevant; evidence incomplete",'EL scheme register'!$AI$7:$AI$479,"Yes")</f>
        <v/>
      </c>
      <c r="P29" s="77">
        <f>COUNTIFS('EL scheme register'!$A$7:$A$479,$A29,'EL scheme register'!$AF$7:$AF$479,"Outside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(partial review)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t>
        </is>
      </c>
      <c r="X29" s="77" t="inlineStr">
        <is>
          <t>Partial review: science, other (law/medicine), most AHSS and further central routes not searched; IATL legacy framework not tested at module level; current-year (2025/26-2026/27) catalogue evidence missing for ES410, ES3H7, CS407, LP916, GD903 and WMG programmes; WMG ITSO Industry Impact Projects evidence is paraphrase only; WBS undergraduate team consulting provision unclear (IB3G2 historical); further departmental instances likely. | PARTIAL REVIEW — remaining: Search budget for the session (shared 200-search cap) was exhausted after 13 searches. Not done: science (not searched), other/law/medicine/health (not searched), most of arts/humanities/social sciences (only one broad search), IATL module-level check for legacy row, central extracurricular routes beyond TeamWork (e.g. Warwick Volunteers/charity consultancy, student consultancy societies, Warwick Enterprise), extended verification of WMG Industry Impact Projects, GD903 and LP916 current versions, ES410 2025/26 catalogue.</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register'!$A$7:$A$479,$A30,'EL scheme register'!$C$7:$C$479,"University-wide",'EL scheme register'!$AJ$7:$AJ$479,"Yes")</f>
        <v/>
      </c>
      <c r="J30" s="77">
        <f>COUNTIFS('EL scheme register'!$A$7:$A$479,$A30,'EL scheme register'!$C$7:$C$479,"Cross-faculty",'EL scheme register'!$AJ$7:$AJ$479,"Yes")</f>
        <v/>
      </c>
      <c r="K30" s="77">
        <f>COUNTIFS('EL scheme register'!$A$7:$A$479,$A30,'EL scheme register'!$C$7:$C$479,"Faculty/school",'EL scheme register'!$AJ$7:$AJ$479,"Yes")</f>
        <v/>
      </c>
      <c r="L30" s="77">
        <f>COUNTIFS('EL scheme register'!$A$7:$A$479,$A30,'EL scheme register'!$C$7:$C$479,"Programme/course",'EL scheme register'!$AJ$7:$AJ$479,"Yes")</f>
        <v/>
      </c>
      <c r="M30" s="77">
        <f>COUNTIFS('EL scheme register'!$A$7:$A$479,$A30,'EL scheme register'!$C$7:$C$479,"Unclear",'EL scheme register'!$AJ$7:$AJ$479,"Yes")</f>
        <v/>
      </c>
      <c r="N30" s="77">
        <f>SUM(I30:M30)</f>
        <v/>
      </c>
      <c r="O30" s="77">
        <f>COUNTIFS('EL scheme register'!$A$7:$A$479,$A30,'EL scheme register'!$AF$7:$AF$479,"Potentially relevant; evidence incomplete",'EL scheme register'!$AI$7:$AI$479,"Yes")</f>
        <v/>
      </c>
      <c r="P30" s="77">
        <f>COUNTIFS('EL scheme register'!$A$7:$A$479,$A30,'EL scheme register'!$AF$7:$AF$479,"Outside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register'!$A$7:$A$479,$A31,'EL scheme register'!$C$7:$C$479,"University-wide",'EL scheme register'!$AJ$7:$AJ$479,"Yes")</f>
        <v/>
      </c>
      <c r="J31" s="77">
        <f>COUNTIFS('EL scheme register'!$A$7:$A$479,$A31,'EL scheme register'!$C$7:$C$479,"Cross-faculty",'EL scheme register'!$AJ$7:$AJ$479,"Yes")</f>
        <v/>
      </c>
      <c r="K31" s="77">
        <f>COUNTIFS('EL scheme register'!$A$7:$A$479,$A31,'EL scheme register'!$C$7:$C$479,"Faculty/school",'EL scheme register'!$AJ$7:$AJ$479,"Yes")</f>
        <v/>
      </c>
      <c r="L31" s="77">
        <f>COUNTIFS('EL scheme register'!$A$7:$A$479,$A31,'EL scheme register'!$C$7:$C$479,"Programme/course",'EL scheme register'!$AJ$7:$AJ$479,"Yes")</f>
        <v/>
      </c>
      <c r="M31" s="77">
        <f>COUNTIFS('EL scheme register'!$A$7:$A$479,$A31,'EL scheme register'!$C$7:$C$479,"Unclear",'EL scheme register'!$AJ$7:$AJ$479,"Yes")</f>
        <v/>
      </c>
      <c r="N31" s="77">
        <f>SUM(I31:M31)</f>
        <v/>
      </c>
      <c r="O31" s="77">
        <f>COUNTIFS('EL scheme register'!$A$7:$A$479,$A31,'EL scheme register'!$AF$7:$AF$479,"Potentially relevant; evidence incomplete",'EL scheme register'!$AI$7:$AI$479,"Yes")</f>
        <v/>
      </c>
      <c r="P31" s="77">
        <f>COUNTIFS('EL scheme register'!$A$7:$A$479,$A31,'EL scheme register'!$AF$7:$AF$479,"Outside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register'!$A$7:$A$479,$A32,'EL scheme register'!$C$7:$C$479,"University-wide",'EL scheme register'!$AJ$7:$AJ$479,"Yes")</f>
        <v/>
      </c>
      <c r="J32" s="77">
        <f>COUNTIFS('EL scheme register'!$A$7:$A$479,$A32,'EL scheme register'!$C$7:$C$479,"Cross-faculty",'EL scheme register'!$AJ$7:$AJ$479,"Yes")</f>
        <v/>
      </c>
      <c r="K32" s="77">
        <f>COUNTIFS('EL scheme register'!$A$7:$A$479,$A32,'EL scheme register'!$C$7:$C$479,"Faculty/school",'EL scheme register'!$AJ$7:$AJ$479,"Yes")</f>
        <v/>
      </c>
      <c r="L32" s="77">
        <f>COUNTIFS('EL scheme register'!$A$7:$A$479,$A32,'EL scheme register'!$C$7:$C$479,"Programme/course",'EL scheme register'!$AJ$7:$AJ$479,"Yes")</f>
        <v/>
      </c>
      <c r="M32" s="77">
        <f>COUNTIFS('EL scheme register'!$A$7:$A$479,$A32,'EL scheme register'!$C$7:$C$479,"Unclear",'EL scheme register'!$AJ$7:$AJ$479,"Yes")</f>
        <v/>
      </c>
      <c r="N32" s="77">
        <f>SUM(I32:M32)</f>
        <v/>
      </c>
      <c r="O32" s="77">
        <f>COUNTIFS('EL scheme register'!$A$7:$A$479,$A32,'EL scheme register'!$AF$7:$AF$479,"Potentially relevant; evidence incomplete",'EL scheme register'!$AI$7:$AI$479,"Yes")</f>
        <v/>
      </c>
      <c r="P32" s="77">
        <f>COUNTIFS('EL scheme register'!$A$7:$A$479,$A32,'EL scheme register'!$AF$7:$AF$479,"Outside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Partial</t>
        </is>
      </c>
      <c r="I33" s="77">
        <f>COUNTIFS('EL scheme register'!$A$7:$A$479,$A33,'EL scheme register'!$C$7:$C$479,"University-wide",'EL scheme register'!$AJ$7:$AJ$479,"Yes")</f>
        <v/>
      </c>
      <c r="J33" s="77">
        <f>COUNTIFS('EL scheme register'!$A$7:$A$479,$A33,'EL scheme register'!$C$7:$C$479,"Cross-faculty",'EL scheme register'!$AJ$7:$AJ$479,"Yes")</f>
        <v/>
      </c>
      <c r="K33" s="77">
        <f>COUNTIFS('EL scheme register'!$A$7:$A$479,$A33,'EL scheme register'!$C$7:$C$479,"Faculty/school",'EL scheme register'!$AJ$7:$AJ$479,"Yes")</f>
        <v/>
      </c>
      <c r="L33" s="77">
        <f>COUNTIFS('EL scheme register'!$A$7:$A$479,$A33,'EL scheme register'!$C$7:$C$479,"Programme/course",'EL scheme register'!$AJ$7:$AJ$479,"Yes")</f>
        <v/>
      </c>
      <c r="M33" s="77">
        <f>COUNTIFS('EL scheme register'!$A$7:$A$479,$A33,'EL scheme register'!$C$7:$C$479,"Unclear",'EL scheme register'!$AJ$7:$AJ$479,"Yes")</f>
        <v/>
      </c>
      <c r="N33" s="77">
        <f>SUM(I33:M33)</f>
        <v/>
      </c>
      <c r="O33" s="77">
        <f>COUNTIFS('EL scheme register'!$A$7:$A$479,$A33,'EL scheme register'!$AF$7:$AF$479,"Potentially relevant; evidence incomplete",'EL scheme register'!$AI$7:$AI$479,"Yes")</f>
        <v/>
      </c>
      <c r="P33" s="77">
        <f>COUNTIFS('EL scheme register'!$A$7:$A$479,$A33,'EL scheme register'!$AF$7:$AF$479,"Outside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Computer Science Project (COMP3888 (advanced alternative COMP3988)) [Programme/course]</t>
        </is>
      </c>
      <c r="U33" s="77" t="inlineStr">
        <is>
          <t>Business/management: 4; Central provision: 2; Engineering/computing: 2; Science: 2; Arts/humanities/social sciences: 2; Other (law, health, design, architecture…): 1</t>
        </is>
      </c>
      <c r="V33" s="77" t="inlineStr">
        <is>
          <t>Several distributed routes</t>
        </is>
      </c>
      <c r="W33" s="77" t="inlineStr">
        <is>
          <t>University of Sydney has an institution-level framework for live, partner-briefed group projects, plus several faculty routes. This review is partial: the search budget ran out before law, health, architecture and most discipline capstones were covered.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corporate, SME, not-for-profit or government sponsor, which scopes the deliverables and receives a written report. MMGT6101 puts groups of 4-5 with a host organisation f</t>
        </is>
      </c>
      <c r="X33" s="77" t="inlineStr">
        <is>
          <t>PARTIAL: shared web-search budget exhausted after 14 successful searches. Not searched: law (Industry and community engagement units page surfaced but untested), health/medicine/pharmacy (beyond ICPU shell units), architecture/design studios with industry partners, engineering discipline capstones/thesis industry routes, INDP3000 Interdisciplinary Project, Science XXXX3888/3988 discipline project units (single majors), Sydney Policy Reform Project, Business School Industry Placement/Experience in Industry routes, MBA current capstone, Business Analytics capstone. Further departmental instances likely. | PARTIAL REVIEW — remaining: 'other' area (law, health/medicine/pharmacy, architecture/design) not searched; engineering discipline capstones, science XXXX3888 units, INDP3000, Sydney Policy Reform Project, MBA and Business Analytics capstones untested; group format of SIEN6600 and BIS capstone and current status of MMGT6101/JFC unresolved. Cause: shared WebSearch budget exhausted.</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register'!$A$7:$A$479,$A34,'EL scheme register'!$C$7:$C$479,"University-wide",'EL scheme register'!$AJ$7:$AJ$479,"Yes")</f>
        <v/>
      </c>
      <c r="J34" s="77">
        <f>COUNTIFS('EL scheme register'!$A$7:$A$479,$A34,'EL scheme register'!$C$7:$C$479,"Cross-faculty",'EL scheme register'!$AJ$7:$AJ$479,"Yes")</f>
        <v/>
      </c>
      <c r="K34" s="77">
        <f>COUNTIFS('EL scheme register'!$A$7:$A$479,$A34,'EL scheme register'!$C$7:$C$479,"Faculty/school",'EL scheme register'!$AJ$7:$AJ$479,"Yes")</f>
        <v/>
      </c>
      <c r="L34" s="77">
        <f>COUNTIFS('EL scheme register'!$A$7:$A$479,$A34,'EL scheme register'!$C$7:$C$479,"Programme/course",'EL scheme register'!$AJ$7:$AJ$479,"Yes")</f>
        <v/>
      </c>
      <c r="M34" s="77">
        <f>COUNTIFS('EL scheme register'!$A$7:$A$479,$A34,'EL scheme register'!$C$7:$C$479,"Unclear",'EL scheme register'!$AJ$7:$AJ$479,"Yes")</f>
        <v/>
      </c>
      <c r="N34" s="77">
        <f>SUM(I34:M34)</f>
        <v/>
      </c>
      <c r="O34" s="77">
        <f>COUNTIFS('EL scheme register'!$A$7:$A$479,$A34,'EL scheme register'!$AF$7:$AF$479,"Potentially relevant; evidence incomplete",'EL scheme register'!$AI$7:$AI$479,"Yes")</f>
        <v/>
      </c>
      <c r="P34" s="77">
        <f>COUNTIFS('EL scheme register'!$A$7:$A$479,$A34,'EL scheme register'!$AF$7:$AF$479,"Outside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register'!$A$7:$A$479,$A35,'EL scheme register'!$C$7:$C$479,"University-wide",'EL scheme register'!$AJ$7:$AJ$479,"Yes")</f>
        <v/>
      </c>
      <c r="J35" s="77">
        <f>COUNTIFS('EL scheme register'!$A$7:$A$479,$A35,'EL scheme register'!$C$7:$C$479,"Cross-faculty",'EL scheme register'!$AJ$7:$AJ$479,"Yes")</f>
        <v/>
      </c>
      <c r="K35" s="77">
        <f>COUNTIFS('EL scheme register'!$A$7:$A$479,$A35,'EL scheme register'!$C$7:$C$479,"Faculty/school",'EL scheme register'!$AJ$7:$AJ$479,"Yes")</f>
        <v/>
      </c>
      <c r="L35" s="77">
        <f>COUNTIFS('EL scheme register'!$A$7:$A$479,$A35,'EL scheme register'!$C$7:$C$479,"Programme/course",'EL scheme register'!$AJ$7:$AJ$479,"Yes")</f>
        <v/>
      </c>
      <c r="M35" s="77">
        <f>COUNTIFS('EL scheme register'!$A$7:$A$479,$A35,'EL scheme register'!$C$7:$C$479,"Unclear",'EL scheme register'!$AJ$7:$AJ$479,"Yes")</f>
        <v/>
      </c>
      <c r="N35" s="77">
        <f>SUM(I35:M35)</f>
        <v/>
      </c>
      <c r="O35" s="77">
        <f>COUNTIFS('EL scheme register'!$A$7:$A$479,$A35,'EL scheme register'!$AF$7:$AF$479,"Potentially relevant; evidence incomplete",'EL scheme register'!$AI$7:$AI$479,"Yes")</f>
        <v/>
      </c>
      <c r="P35" s="77">
        <f>COUNTIFS('EL scheme register'!$A$7:$A$479,$A35,'EL scheme register'!$AF$7:$AF$479,"Outside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Partial</t>
        </is>
      </c>
      <c r="I36" s="77">
        <f>COUNTIFS('EL scheme register'!$A$7:$A$479,$A36,'EL scheme register'!$C$7:$C$479,"University-wide",'EL scheme register'!$AJ$7:$AJ$479,"Yes")</f>
        <v/>
      </c>
      <c r="J36" s="77">
        <f>COUNTIFS('EL scheme register'!$A$7:$A$479,$A36,'EL scheme register'!$C$7:$C$479,"Cross-faculty",'EL scheme register'!$AJ$7:$AJ$479,"Yes")</f>
        <v/>
      </c>
      <c r="K36" s="77">
        <f>COUNTIFS('EL scheme register'!$A$7:$A$479,$A36,'EL scheme register'!$C$7:$C$479,"Faculty/school",'EL scheme register'!$AJ$7:$AJ$479,"Yes")</f>
        <v/>
      </c>
      <c r="L36" s="77">
        <f>COUNTIFS('EL scheme register'!$A$7:$A$479,$A36,'EL scheme register'!$C$7:$C$479,"Programme/course",'EL scheme register'!$AJ$7:$AJ$479,"Yes")</f>
        <v/>
      </c>
      <c r="M36" s="77">
        <f>COUNTIFS('EL scheme register'!$A$7:$A$479,$A36,'EL scheme register'!$C$7:$C$479,"Unclear",'EL scheme register'!$AJ$7:$AJ$479,"Yes")</f>
        <v/>
      </c>
      <c r="N36" s="77">
        <f>SUM(I36:M36)</f>
        <v/>
      </c>
      <c r="O36" s="77">
        <f>COUNTIFS('EL scheme register'!$A$7:$A$479,$A36,'EL scheme register'!$AF$7:$AF$479,"Potentially relevant; evidence incomplete",'EL scheme register'!$AI$7:$AI$479,"Yes")</f>
        <v/>
      </c>
      <c r="P36" s="77">
        <f>COUNTIFS('EL scheme register'!$A$7:$A$479,$A36,'EL scheme register'!$AF$7:$AF$479,"Outside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t>
        </is>
      </c>
      <c r="U36" s="77" t="inlineStr">
        <is>
          <t>Business/management: 3; Central provision: 1</t>
        </is>
      </c>
      <c r="V36" s="77" t="inlineStr">
        <is>
          <t>Several distributed routes</t>
        </is>
      </c>
      <c r="W36" s="77" t="inlineStr">
        <is>
          <t>University of Queensland (partial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theme-</t>
        </is>
      </c>
      <c r="X36" s="77" t="inlineStr">
        <is>
          <t>Science, HASS and other faculties not searched; engineering discipline design courses not searched; Ventures Industry Challenge judging/brief role of external partners unclear; PBEL3000 2026-27 offering not confirmed; MGTS7818 status (likely replaced by Impact Academy) unconfirmed; no UQ participation numbers for Practera or BEL projects. | PARTIAL REVIEW — remaining: Science, arts/humanities/social sciences and other (law, health, architecture) areas not searched; engineering discipline capstones (civil, chemical, mechanical, mining, architecture studios) not searched; other UQ Ventures challenges not tested. Shared WebSearch budget for the session ran out after 12 searches for UQ.</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register'!$A$7:$A$479,$A37,'EL scheme register'!$C$7:$C$479,"University-wide",'EL scheme register'!$AJ$7:$AJ$479,"Yes")</f>
        <v/>
      </c>
      <c r="J37" s="77">
        <f>COUNTIFS('EL scheme register'!$A$7:$A$479,$A37,'EL scheme register'!$C$7:$C$479,"Cross-faculty",'EL scheme register'!$AJ$7:$AJ$479,"Yes")</f>
        <v/>
      </c>
      <c r="K37" s="77">
        <f>COUNTIFS('EL scheme register'!$A$7:$A$479,$A37,'EL scheme register'!$C$7:$C$479,"Faculty/school",'EL scheme register'!$AJ$7:$AJ$479,"Yes")</f>
        <v/>
      </c>
      <c r="L37" s="77">
        <f>COUNTIFS('EL scheme register'!$A$7:$A$479,$A37,'EL scheme register'!$C$7:$C$479,"Programme/course",'EL scheme register'!$AJ$7:$AJ$479,"Yes")</f>
        <v/>
      </c>
      <c r="M37" s="77">
        <f>COUNTIFS('EL scheme register'!$A$7:$A$479,$A37,'EL scheme register'!$C$7:$C$479,"Unclear",'EL scheme register'!$AJ$7:$AJ$479,"Yes")</f>
        <v/>
      </c>
      <c r="N37" s="77">
        <f>SUM(I37:M37)</f>
        <v/>
      </c>
      <c r="O37" s="77">
        <f>COUNTIFS('EL scheme register'!$A$7:$A$479,$A37,'EL scheme register'!$AF$7:$AF$479,"Potentially relevant; evidence incomplete",'EL scheme register'!$AI$7:$AI$479,"Yes")</f>
        <v/>
      </c>
      <c r="P37" s="77">
        <f>COUNTIFS('EL scheme register'!$A$7:$A$479,$A37,'EL scheme register'!$AF$7:$AF$479,"Outside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register'!$A$7:$A$479,$A38,'EL scheme register'!$C$7:$C$479,"University-wide",'EL scheme register'!$AJ$7:$AJ$479,"Yes")</f>
        <v/>
      </c>
      <c r="J38" s="77">
        <f>COUNTIFS('EL scheme register'!$A$7:$A$479,$A38,'EL scheme register'!$C$7:$C$479,"Cross-faculty",'EL scheme register'!$AJ$7:$AJ$479,"Yes")</f>
        <v/>
      </c>
      <c r="K38" s="77">
        <f>COUNTIFS('EL scheme register'!$A$7:$A$479,$A38,'EL scheme register'!$C$7:$C$479,"Faculty/school",'EL scheme register'!$AJ$7:$AJ$479,"Yes")</f>
        <v/>
      </c>
      <c r="L38" s="77">
        <f>COUNTIFS('EL scheme register'!$A$7:$A$479,$A38,'EL scheme register'!$C$7:$C$479,"Programme/course",'EL scheme register'!$AJ$7:$AJ$479,"Yes")</f>
        <v/>
      </c>
      <c r="M38" s="77">
        <f>COUNTIFS('EL scheme register'!$A$7:$A$479,$A38,'EL scheme register'!$C$7:$C$479,"Unclear",'EL scheme register'!$AJ$7:$AJ$479,"Yes")</f>
        <v/>
      </c>
      <c r="N38" s="77">
        <f>SUM(I38:M38)</f>
        <v/>
      </c>
      <c r="O38" s="77">
        <f>COUNTIFS('EL scheme register'!$A$7:$A$479,$A38,'EL scheme register'!$AF$7:$AF$479,"Potentially relevant; evidence incomplete",'EL scheme register'!$AI$7:$AI$479,"Yes")</f>
        <v/>
      </c>
      <c r="P38" s="77">
        <f>COUNTIFS('EL scheme register'!$A$7:$A$479,$A38,'EL scheme register'!$AF$7:$AF$479,"Outside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Partial</t>
        </is>
      </c>
      <c r="I39" s="77">
        <f>COUNTIFS('EL scheme register'!$A$7:$A$479,$A39,'EL scheme register'!$C$7:$C$479,"University-wide",'EL scheme register'!$AJ$7:$AJ$479,"Yes")</f>
        <v/>
      </c>
      <c r="J39" s="77">
        <f>COUNTIFS('EL scheme register'!$A$7:$A$479,$A39,'EL scheme register'!$C$7:$C$479,"Cross-faculty",'EL scheme register'!$AJ$7:$AJ$479,"Yes")</f>
        <v/>
      </c>
      <c r="K39" s="77">
        <f>COUNTIFS('EL scheme register'!$A$7:$A$479,$A39,'EL scheme register'!$C$7:$C$479,"Faculty/school",'EL scheme register'!$AJ$7:$AJ$479,"Yes")</f>
        <v/>
      </c>
      <c r="L39" s="77">
        <f>COUNTIFS('EL scheme register'!$A$7:$A$479,$A39,'EL scheme register'!$C$7:$C$479,"Programme/course",'EL scheme register'!$AJ$7:$AJ$479,"Yes")</f>
        <v/>
      </c>
      <c r="M39" s="77">
        <f>COUNTIFS('EL scheme register'!$A$7:$A$479,$A39,'EL scheme register'!$C$7:$C$479,"Unclear",'EL scheme register'!$AJ$7:$AJ$479,"Yes")</f>
        <v/>
      </c>
      <c r="N39" s="77">
        <f>SUM(I39:M39)</f>
        <v/>
      </c>
      <c r="O39" s="77">
        <f>COUNTIFS('EL scheme register'!$A$7:$A$479,$A39,'EL scheme register'!$AF$7:$AF$479,"Potentially relevant; evidence incomplete",'EL scheme register'!$AI$7:$AI$479,"Yes")</f>
        <v/>
      </c>
      <c r="P39" s="77">
        <f>COUNTIFS('EL scheme register'!$A$7:$A$479,$A39,'EL scheme register'!$AF$7:$AF$479,"Outside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 xml:space="preserve">UTS (partial review; the search budget ran out after the central searches). Two central routes were verified. Transdisciplinary (TD) Electives are 8 TD School subjects (6 or 8 cp) open to undergraduates across UTS, except BCII students. Each subject is paired with a partner on a three-year cycle; 2026 partners are UNICEF Australia, City of Sydney, Microsoft, Miro, Lane Cove Council and ServiceRocket. Partners co-design the challenge, record learning content, and mentor and give feedback in live sessions. Students from across faculties work in teams on proposals. The team format comes from search summaries, not quoted handbook text. The route is optional and elective, and 2026 delivery is confirmed. UTS Shopfront brokers projects from not-for-profits and social enterprises into coursework subjects. Students, usually final-year or postgraduate, work in teams as consultants for credit. It reports more than 1,698 cumulative projects (May 2026). The participating subjects were not identified. The Industry Innovation Project is a 13-week final-year BCII subject. Teams of 5–7 work with an industry mentor and present prototypes and a report to the partner (2026). No faculty-level searches </t>
        </is>
      </c>
      <c r="X39" s="77" t="inlineStr">
        <is>
          <t>Faculty-level provision was not searched at all because the search budget ran out. Also unresolved: group format of the TD Electives in the 2026 handbook; Shopfront host subjects; whether the Industry Innovation Project is core to BCII. Further departmental instances likely (e.g. engineering/IT capstones, business consulting subjects, design studios). | PARTIAL REVIEW — remaining: The search budget ran out after 7 searches. Still to do: (1) faculty-level searches for business (consulting or capstone subjects), engineering and IT (capstones, software studios), science, arts and social sciences (communication, education), and other areas (design, architecture and building, law, health); (2) checking the TD Electives group/team format and assessment in the 2026 handbook subject pages (only search-summary paraphrases were obtained); (3) the Shopfront participating-subject list and a quoted team-format extract; (4) the participation mode of the BCII Industry Innovation Project.</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register'!$A$7:$A$479,$A40,'EL scheme register'!$C$7:$C$479,"University-wide",'EL scheme register'!$AJ$7:$AJ$479,"Yes")</f>
        <v/>
      </c>
      <c r="J40" s="77">
        <f>COUNTIFS('EL scheme register'!$A$7:$A$479,$A40,'EL scheme register'!$C$7:$C$479,"Cross-faculty",'EL scheme register'!$AJ$7:$AJ$479,"Yes")</f>
        <v/>
      </c>
      <c r="K40" s="77">
        <f>COUNTIFS('EL scheme register'!$A$7:$A$479,$A40,'EL scheme register'!$C$7:$C$479,"Faculty/school",'EL scheme register'!$AJ$7:$AJ$479,"Yes")</f>
        <v/>
      </c>
      <c r="L40" s="77">
        <f>COUNTIFS('EL scheme register'!$A$7:$A$479,$A40,'EL scheme register'!$C$7:$C$479,"Programme/course",'EL scheme register'!$AJ$7:$AJ$479,"Yes")</f>
        <v/>
      </c>
      <c r="M40" s="77">
        <f>COUNTIFS('EL scheme register'!$A$7:$A$479,$A40,'EL scheme register'!$C$7:$C$479,"Unclear",'EL scheme register'!$AJ$7:$AJ$479,"Yes")</f>
        <v/>
      </c>
      <c r="N40" s="77">
        <f>SUM(I40:M40)</f>
        <v/>
      </c>
      <c r="O40" s="77">
        <f>COUNTIFS('EL scheme register'!$A$7:$A$479,$A40,'EL scheme register'!$AF$7:$AF$479,"Potentially relevant; evidence incomplete",'EL scheme register'!$AI$7:$AI$479,"Yes")</f>
        <v/>
      </c>
      <c r="P40" s="77">
        <f>COUNTIFS('EL scheme register'!$A$7:$A$479,$A40,'EL scheme register'!$AF$7:$AF$479,"Outside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register'!$A$7:$A$479,$A41,'EL scheme register'!$C$7:$C$479,"University-wide",'EL scheme register'!$AJ$7:$AJ$479,"Yes")</f>
        <v/>
      </c>
      <c r="J41" s="77">
        <f>COUNTIFS('EL scheme register'!$A$7:$A$479,$A41,'EL scheme register'!$C$7:$C$479,"Cross-faculty",'EL scheme register'!$AJ$7:$AJ$479,"Yes")</f>
        <v/>
      </c>
      <c r="K41" s="77">
        <f>COUNTIFS('EL scheme register'!$A$7:$A$479,$A41,'EL scheme register'!$C$7:$C$479,"Faculty/school",'EL scheme register'!$AJ$7:$AJ$479,"Yes")</f>
        <v/>
      </c>
      <c r="L41" s="77">
        <f>COUNTIFS('EL scheme register'!$A$7:$A$479,$A41,'EL scheme register'!$C$7:$C$479,"Programme/course",'EL scheme register'!$AJ$7:$AJ$479,"Yes")</f>
        <v/>
      </c>
      <c r="M41" s="77">
        <f>COUNTIFS('EL scheme register'!$A$7:$A$479,$A41,'EL scheme register'!$C$7:$C$479,"Unclear",'EL scheme register'!$AJ$7:$AJ$479,"Yes")</f>
        <v/>
      </c>
      <c r="N41" s="77">
        <f>SUM(I41:M41)</f>
        <v/>
      </c>
      <c r="O41" s="77">
        <f>COUNTIFS('EL scheme register'!$A$7:$A$479,$A41,'EL scheme register'!$AF$7:$AF$479,"Potentially relevant; evidence incomplete",'EL scheme register'!$AI$7:$AI$479,"Yes")</f>
        <v/>
      </c>
      <c r="P41" s="77">
        <f>COUNTIFS('EL scheme register'!$A$7:$A$479,$A41,'EL scheme register'!$AF$7:$AF$479,"Outside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Partial</t>
        </is>
      </c>
      <c r="I42" s="77">
        <f>COUNTIFS('EL scheme register'!$A$7:$A$479,$A42,'EL scheme register'!$C$7:$C$479,"University-wide",'EL scheme register'!$AJ$7:$AJ$479,"Yes")</f>
        <v/>
      </c>
      <c r="J42" s="77">
        <f>COUNTIFS('EL scheme register'!$A$7:$A$479,$A42,'EL scheme register'!$C$7:$C$479,"Cross-faculty",'EL scheme register'!$AJ$7:$AJ$479,"Yes")</f>
        <v/>
      </c>
      <c r="K42" s="77">
        <f>COUNTIFS('EL scheme register'!$A$7:$A$479,$A42,'EL scheme register'!$C$7:$C$479,"Faculty/school",'EL scheme register'!$AJ$7:$AJ$479,"Yes")</f>
        <v/>
      </c>
      <c r="L42" s="77">
        <f>COUNTIFS('EL scheme register'!$A$7:$A$479,$A42,'EL scheme register'!$C$7:$C$479,"Programme/course",'EL scheme register'!$AJ$7:$AJ$479,"Yes")</f>
        <v/>
      </c>
      <c r="M42" s="77">
        <f>COUNTIFS('EL scheme register'!$A$7:$A$479,$A42,'EL scheme register'!$C$7:$C$479,"Unclear",'EL scheme register'!$AJ$7:$AJ$479,"Yes")</f>
        <v/>
      </c>
      <c r="N42" s="77">
        <f>SUM(I42:M42)</f>
        <v/>
      </c>
      <c r="O42" s="77">
        <f>COUNTIFS('EL scheme register'!$A$7:$A$479,$A42,'EL scheme register'!$AF$7:$AF$479,"Potentially relevant; evidence incomplete",'EL scheme register'!$AI$7:$AI$479,"Yes")</f>
        <v/>
      </c>
      <c r="P42" s="77">
        <f>COUNTIFS('EL scheme register'!$A$7:$A$479,$A42,'EL scheme register'!$AF$7:$AF$479,"Outside strict definition")</f>
        <v/>
      </c>
      <c r="Q42" s="77">
        <f>COUNTIF('EL exclusions &amp; gaps'!$B$7:$B$5000,$A42)</f>
        <v/>
      </c>
      <c r="R42" s="77" t="inlineStr">
        <is>
          <t>Not evidenced</t>
        </is>
      </c>
      <c r="S42" s="77" t="inlineStr">
        <is>
          <t>Not evidenced</t>
        </is>
      </c>
      <c r="T42" s="77" t="inlineStr"/>
      <c r="U42" s="77" t="inlineStr"/>
      <c r="V42" s="77" t="inlineStr">
        <is>
          <t>Unclear</t>
        </is>
      </c>
      <c r="W42" s="77" t="inlineStr">
        <is>
          <t>St Andrews (partial review, 8 searches): no qualifying scheme verified through the documented search so far. Several group project routes were found, but none has evidence that an external organisation is the standard client. - Vertically Integrated Projects (VIP): credit-bearing modules (10-30 SCOTCAT per semester; 5 for returners) in which a supervisor leads a mixed-discipline, mixed-level student team working on an ongoing research project. Applications for 2026/27 opened in April 2026. Projects are academic-led. External practitioners appear only in individual projects (e.g. St Andrews Forest), and that project's report goes to an internal University board, so C is Unclear. - STEP (Summer Team Enterprise Programme): an online 7-week programme for teams of 6-7 undergraduates, running in 2026 and recorded on the HEAR. The consulting projects are designed by University staff for University Schools and service units, so they are internal clients (C = No). - CS3099 Software Engineering Team Project: a year-3 group software build (30 credits, running in 2026/27). A 2025 blog reports Experian and Skyscanner involvement, but their role is not described. - Management MSc: the course pag</t>
        </is>
      </c>
      <c r="X42" s="77" t="inlineStr">
        <is>
          <t>Review incomplete: science, AHSS and other areas not searched; Business School consultancy module (MSc/MLitt) not identified; VIP project-level external partners not enumerated; VIP faculty eligibility (legacy: Arts and Science) not re-verified; CS3099 partner role and compulsory status unknown; Playfair pro bono consultancy (student-led) not examined; 2026 STEP project list not retrieved. | PARTIAL REVIEW — remaining: Science, arts/humanities/social sciences and other (Medicine, Divinity) areas not searched; Business School consultancy-project module not identified; VIP project list not checked for external partners; Playfair not researched. Stopped after 8 searches because the shared per-turn WebSearch limit (200 calls) was exhausted.</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register'!$A$7:$A$479,$A43,'EL scheme register'!$C$7:$C$479,"University-wide",'EL scheme register'!$AJ$7:$AJ$479,"Yes")</f>
        <v/>
      </c>
      <c r="J43" s="77">
        <f>COUNTIFS('EL scheme register'!$A$7:$A$479,$A43,'EL scheme register'!$C$7:$C$479,"Cross-faculty",'EL scheme register'!$AJ$7:$AJ$479,"Yes")</f>
        <v/>
      </c>
      <c r="K43" s="77">
        <f>COUNTIFS('EL scheme register'!$A$7:$A$479,$A43,'EL scheme register'!$C$7:$C$479,"Faculty/school",'EL scheme register'!$AJ$7:$AJ$479,"Yes")</f>
        <v/>
      </c>
      <c r="L43" s="77">
        <f>COUNTIFS('EL scheme register'!$A$7:$A$479,$A43,'EL scheme register'!$C$7:$C$479,"Programme/course",'EL scheme register'!$AJ$7:$AJ$479,"Yes")</f>
        <v/>
      </c>
      <c r="M43" s="77">
        <f>COUNTIFS('EL scheme register'!$A$7:$A$479,$A43,'EL scheme register'!$C$7:$C$479,"Unclear",'EL scheme register'!$AJ$7:$AJ$479,"Yes")</f>
        <v/>
      </c>
      <c r="N43" s="77">
        <f>SUM(I43:M43)</f>
        <v/>
      </c>
      <c r="O43" s="77">
        <f>COUNTIFS('EL scheme register'!$A$7:$A$479,$A43,'EL scheme register'!$AF$7:$AF$479,"Potentially relevant; evidence incomplete",'EL scheme register'!$AI$7:$AI$479,"Yes")</f>
        <v/>
      </c>
      <c r="P43" s="77">
        <f>COUNTIFS('EL scheme register'!$A$7:$A$479,$A43,'EL scheme register'!$AF$7:$AF$479,"Outside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register'!$A$7:$A$479,$A44,'EL scheme register'!$C$7:$C$479,"University-wide",'EL scheme register'!$AJ$7:$AJ$479,"Yes")</f>
        <v/>
      </c>
      <c r="J44" s="77">
        <f>COUNTIFS('EL scheme register'!$A$7:$A$479,$A44,'EL scheme register'!$C$7:$C$479,"Cross-faculty",'EL scheme register'!$AJ$7:$AJ$479,"Yes")</f>
        <v/>
      </c>
      <c r="K44" s="77">
        <f>COUNTIFS('EL scheme register'!$A$7:$A$479,$A44,'EL scheme register'!$C$7:$C$479,"Faculty/school",'EL scheme register'!$AJ$7:$AJ$479,"Yes")</f>
        <v/>
      </c>
      <c r="L44" s="77">
        <f>COUNTIFS('EL scheme register'!$A$7:$A$479,$A44,'EL scheme register'!$C$7:$C$479,"Programme/course",'EL scheme register'!$AJ$7:$AJ$479,"Yes")</f>
        <v/>
      </c>
      <c r="M44" s="77">
        <f>COUNTIFS('EL scheme register'!$A$7:$A$479,$A44,'EL scheme register'!$C$7:$C$479,"Unclear",'EL scheme register'!$AJ$7:$AJ$479,"Yes")</f>
        <v/>
      </c>
      <c r="N44" s="77">
        <f>SUM(I44:M44)</f>
        <v/>
      </c>
      <c r="O44" s="77">
        <f>COUNTIFS('EL scheme register'!$A$7:$A$479,$A44,'EL scheme register'!$AF$7:$AF$479,"Potentially relevant; evidence incomplete",'EL scheme register'!$AI$7:$AI$479,"Yes")</f>
        <v/>
      </c>
      <c r="P44" s="77">
        <f>COUNTIFS('EL scheme register'!$A$7:$A$479,$A44,'EL scheme register'!$AF$7:$AF$479,"Outside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Partial</t>
        </is>
      </c>
      <c r="I45" s="77">
        <f>COUNTIFS('EL scheme register'!$A$7:$A$479,$A45,'EL scheme register'!$C$7:$C$479,"University-wide",'EL scheme register'!$AJ$7:$AJ$479,"Yes")</f>
        <v/>
      </c>
      <c r="J45" s="77">
        <f>COUNTIFS('EL scheme register'!$A$7:$A$479,$A45,'EL scheme register'!$C$7:$C$479,"Cross-faculty",'EL scheme register'!$AJ$7:$AJ$479,"Yes")</f>
        <v/>
      </c>
      <c r="K45" s="77">
        <f>COUNTIFS('EL scheme register'!$A$7:$A$479,$A45,'EL scheme register'!$C$7:$C$479,"Faculty/school",'EL scheme register'!$AJ$7:$AJ$479,"Yes")</f>
        <v/>
      </c>
      <c r="L45" s="77">
        <f>COUNTIFS('EL scheme register'!$A$7:$A$479,$A45,'EL scheme register'!$C$7:$C$479,"Programme/course",'EL scheme register'!$AJ$7:$AJ$479,"Yes")</f>
        <v/>
      </c>
      <c r="M45" s="77">
        <f>COUNTIFS('EL scheme register'!$A$7:$A$479,$A45,'EL scheme register'!$C$7:$C$479,"Unclear",'EL scheme register'!$AJ$7:$AJ$479,"Yes")</f>
        <v/>
      </c>
      <c r="N45" s="77">
        <f>SUM(I45:M45)</f>
        <v/>
      </c>
      <c r="O45" s="77">
        <f>COUNTIFS('EL scheme register'!$A$7:$A$479,$A45,'EL scheme register'!$AF$7:$AF$479,"Potentially relevant; evidence incomplete",'EL scheme register'!$AI$7:$AI$479,"Yes")</f>
        <v/>
      </c>
      <c r="P45" s="77">
        <f>COUNTIFS('EL scheme register'!$A$7:$A$479,$A45,'EL scheme register'!$AF$7:$AF$479,"Outside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Partial review: the search budget ran out after 4 searches. Aberdeen has at least three curricular routes that put students in teams on externally sponsored projects: - PD2503 Work-Based Learning: Team Projects with Employer Partners. A 15-credit, Level 2 elective open to undergraduates in any discipline, with entry by application and interview. Teams agree a project plan with a sponsoring organisation, submit a group report and pitch to the sponsors. It launched in January 2025 with 23 students; delivery in 2025/26 is not confirmed. - ED3537 Employer-led Interdisciplinary Project. A Level 3 small-group consultancy project hosted by micro-businesses, organisations or charities. The latest evidence is the 2023/24 catalogue. - ED251A Engineering Work Experience. A 15-credit second-year engineering course: a group consultancy project for a local engineering organisation, with current delivery confirmed for 2025/26. Computing Science also runs a Year 4 work-based learning course with employer-proposed projects and weekly employer meetings, but team working is unverified. Careers runs the extracurricular ABDN Grad Challenge, virtual cross-discipline team challenges set by employer partn</t>
        </is>
      </c>
      <c r="X45" s="77" t="inlineStr">
        <is>
          <t>Business school, science, arts/humanities/social sciences, law and medicine/health were not searched. The current status of PD2503 and ED3537 is unconfirmed. ED251A assessment and compulsory status, the Computing Science course code and group working, and Grad Challenge details are still open. Most evidence is search-summary paraphrase, not verbatim. The search budget was exhausted, so further departmental instances are likely. | PARTIAL REVIEW — remaining: The shared WebSearch budget ran out after 4 searches. Still to do: business school, science, arts/humanities/social sciences and other (law, medicine/health) areas are all unsearched. Also outstanding: verbatim evidence and 2025/26–2026/27 delivery for PD2503 and ED3537; ED251A assessment and compulsory status; Computing Science course code and team working; Grad Challenge details; ABDN Internships seven-week employer-project strand; engineering employer page (other engineering design projects).</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register'!$A$7:$A$479,$A46,'EL scheme register'!$C$7:$C$479,"University-wide",'EL scheme register'!$AJ$7:$AJ$479,"Yes")</f>
        <v/>
      </c>
      <c r="J46" s="77">
        <f>COUNTIFS('EL scheme register'!$A$7:$A$479,$A46,'EL scheme register'!$C$7:$C$479,"Cross-faculty",'EL scheme register'!$AJ$7:$AJ$479,"Yes")</f>
        <v/>
      </c>
      <c r="K46" s="77">
        <f>COUNTIFS('EL scheme register'!$A$7:$A$479,$A46,'EL scheme register'!$C$7:$C$479,"Faculty/school",'EL scheme register'!$AJ$7:$AJ$479,"Yes")</f>
        <v/>
      </c>
      <c r="L46" s="77">
        <f>COUNTIFS('EL scheme register'!$A$7:$A$479,$A46,'EL scheme register'!$C$7:$C$479,"Programme/course",'EL scheme register'!$AJ$7:$AJ$479,"Yes")</f>
        <v/>
      </c>
      <c r="M46" s="77">
        <f>COUNTIFS('EL scheme register'!$A$7:$A$479,$A46,'EL scheme register'!$C$7:$C$479,"Unclear",'EL scheme register'!$AJ$7:$AJ$479,"Yes")</f>
        <v/>
      </c>
      <c r="N46" s="77">
        <f>SUM(I46:M46)</f>
        <v/>
      </c>
      <c r="O46" s="77">
        <f>COUNTIFS('EL scheme register'!$A$7:$A$479,$A46,'EL scheme register'!$AF$7:$AF$479,"Potentially relevant; evidence incomplete",'EL scheme register'!$AI$7:$AI$479,"Yes")</f>
        <v/>
      </c>
      <c r="P46" s="77">
        <f>COUNTIFS('EL scheme register'!$A$7:$A$479,$A46,'EL scheme register'!$AF$7:$AF$479,"Outside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register'!$A$7:$A$479,$A47,'EL scheme register'!$C$7:$C$479,"University-wide",'EL scheme register'!$AJ$7:$AJ$479,"Yes")</f>
        <v/>
      </c>
      <c r="J47" s="77">
        <f>COUNTIFS('EL scheme register'!$A$7:$A$479,$A47,'EL scheme register'!$C$7:$C$479,"Cross-faculty",'EL scheme register'!$AJ$7:$AJ$479,"Yes")</f>
        <v/>
      </c>
      <c r="K47" s="77">
        <f>COUNTIFS('EL scheme register'!$A$7:$A$479,$A47,'EL scheme register'!$C$7:$C$479,"Faculty/school",'EL scheme register'!$AJ$7:$AJ$479,"Yes")</f>
        <v/>
      </c>
      <c r="L47" s="77">
        <f>COUNTIFS('EL scheme register'!$A$7:$A$479,$A47,'EL scheme register'!$C$7:$C$479,"Programme/course",'EL scheme register'!$AJ$7:$AJ$479,"Yes")</f>
        <v/>
      </c>
      <c r="M47" s="77">
        <f>COUNTIFS('EL scheme register'!$A$7:$A$479,$A47,'EL scheme register'!$C$7:$C$479,"Unclear",'EL scheme register'!$AJ$7:$AJ$479,"Yes")</f>
        <v/>
      </c>
      <c r="N47" s="77">
        <f>SUM(I47:M47)</f>
        <v/>
      </c>
      <c r="O47" s="77">
        <f>COUNTIFS('EL scheme register'!$A$7:$A$479,$A47,'EL scheme register'!$AF$7:$AF$479,"Potentially relevant; evidence incomplete",'EL scheme register'!$AI$7:$AI$479,"Yes")</f>
        <v/>
      </c>
      <c r="P47" s="77">
        <f>COUNTIFS('EL scheme register'!$A$7:$A$479,$A47,'EL scheme register'!$AF$7:$AF$479,"Outside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Partial</t>
        </is>
      </c>
      <c r="I48" s="77">
        <f>COUNTIFS('EL scheme register'!$A$7:$A$479,$A48,'EL scheme register'!$C$7:$C$479,"University-wide",'EL scheme register'!$AJ$7:$AJ$479,"Yes")</f>
        <v/>
      </c>
      <c r="J48" s="77">
        <f>COUNTIFS('EL scheme register'!$A$7:$A$479,$A48,'EL scheme register'!$C$7:$C$479,"Cross-faculty",'EL scheme register'!$AJ$7:$AJ$479,"Yes")</f>
        <v/>
      </c>
      <c r="K48" s="77">
        <f>COUNTIFS('EL scheme register'!$A$7:$A$479,$A48,'EL scheme register'!$C$7:$C$479,"Faculty/school",'EL scheme register'!$AJ$7:$AJ$479,"Yes")</f>
        <v/>
      </c>
      <c r="L48" s="77">
        <f>COUNTIFS('EL scheme register'!$A$7:$A$479,$A48,'EL scheme register'!$C$7:$C$479,"Programme/course",'EL scheme register'!$AJ$7:$AJ$479,"Yes")</f>
        <v/>
      </c>
      <c r="M48" s="77">
        <f>COUNTIFS('EL scheme register'!$A$7:$A$479,$A48,'EL scheme register'!$C$7:$C$479,"Unclear",'EL scheme register'!$AJ$7:$AJ$479,"Yes")</f>
        <v/>
      </c>
      <c r="N48" s="77">
        <f>SUM(I48:M48)</f>
        <v/>
      </c>
      <c r="O48" s="77">
        <f>COUNTIFS('EL scheme register'!$A$7:$A$479,$A48,'EL scheme register'!$AF$7:$AF$479,"Potentially relevant; evidence incomplete",'EL scheme register'!$AI$7:$AI$479,"Yes")</f>
        <v/>
      </c>
      <c r="P48" s="77">
        <f>COUNTIFS('EL scheme register'!$A$7:$A$479,$A48,'EL scheme register'!$AF$7:$AF$479,"Outside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Unclear</t>
        </is>
      </c>
      <c r="W48" s="77" t="inlineStr">
        <is>
          <t>Partial review (search budget exhausted after 6 searches; only central and business areas searched).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&amp; Informatics, sciences, arts/humanities/social sciences, law, medicine and IDS were not searched, so the extent of embedding cannot be judged</t>
        </is>
      </c>
      <c r="X48" s="77" t="inlineStr">
        <is>
          <t>Five of six areas wholly or partly unsearched (see partial_remaining). Current delivery of the PG Consultancy Project not corroborated for 2025/26+. Marketing capstone client involvement unknown. Business Analytics MSc / IBD consultancy projects and the 'Changing the Face of Consultancy' variant untested. | PARTIAL REVIEW — remaining: Search budget exhausted after 6 searches. Not searched: engineering_computing (School of Engineering and Informatics group/industry projects), science (Life Sciences, Maths &amp; Physical Sciences), arts_humanities_social_sciences (incl. Global Studies, Media, Psychology, Education), other (Law, BSMS medicine, IDS). Business partly searched (Business Analytics MSc / International Business and Development consultancy projects, Business School guaranteed internship/work project page, 'Changing the Face of Consultancy' scheme not tested). Legacy Connector Programme assessed from the legacy row only, not re-searched.</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register'!$A$7:$A$479,$A49,'EL scheme register'!$C$7:$C$479,"University-wide",'EL scheme register'!$AJ$7:$AJ$479,"Yes")</f>
        <v/>
      </c>
      <c r="J49" s="77">
        <f>COUNTIFS('EL scheme register'!$A$7:$A$479,$A49,'EL scheme register'!$C$7:$C$479,"Cross-faculty",'EL scheme register'!$AJ$7:$AJ$479,"Yes")</f>
        <v/>
      </c>
      <c r="K49" s="77">
        <f>COUNTIFS('EL scheme register'!$A$7:$A$479,$A49,'EL scheme register'!$C$7:$C$479,"Faculty/school",'EL scheme register'!$AJ$7:$AJ$479,"Yes")</f>
        <v/>
      </c>
      <c r="L49" s="77">
        <f>COUNTIFS('EL scheme register'!$A$7:$A$479,$A49,'EL scheme register'!$C$7:$C$479,"Programme/course",'EL scheme register'!$AJ$7:$AJ$479,"Yes")</f>
        <v/>
      </c>
      <c r="M49" s="77">
        <f>COUNTIFS('EL scheme register'!$A$7:$A$479,$A49,'EL scheme register'!$C$7:$C$479,"Unclear",'EL scheme register'!$AJ$7:$AJ$479,"Yes")</f>
        <v/>
      </c>
      <c r="N49" s="77">
        <f>SUM(I49:M49)</f>
        <v/>
      </c>
      <c r="O49" s="77">
        <f>COUNTIFS('EL scheme register'!$A$7:$A$479,$A49,'EL scheme register'!$AF$7:$AF$479,"Potentially relevant; evidence incomplete",'EL scheme register'!$AI$7:$AI$479,"Yes")</f>
        <v/>
      </c>
      <c r="P49" s="77">
        <f>COUNTIFS('EL scheme register'!$A$7:$A$479,$A49,'EL scheme register'!$AF$7:$AF$479,"Outside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register'!$A$7:$A$479,$A50,'EL scheme register'!$C$7:$C$479,"University-wide",'EL scheme register'!$AJ$7:$AJ$479,"Yes")</f>
        <v/>
      </c>
      <c r="J50" s="77">
        <f>COUNTIFS('EL scheme register'!$A$7:$A$479,$A50,'EL scheme register'!$C$7:$C$479,"Cross-faculty",'EL scheme register'!$AJ$7:$AJ$479,"Yes")</f>
        <v/>
      </c>
      <c r="K50" s="77">
        <f>COUNTIFS('EL scheme register'!$A$7:$A$479,$A50,'EL scheme register'!$C$7:$C$479,"Faculty/school",'EL scheme register'!$AJ$7:$AJ$479,"Yes")</f>
        <v/>
      </c>
      <c r="L50" s="77">
        <f>COUNTIFS('EL scheme register'!$A$7:$A$479,$A50,'EL scheme register'!$C$7:$C$479,"Programme/course",'EL scheme register'!$AJ$7:$AJ$479,"Yes")</f>
        <v/>
      </c>
      <c r="M50" s="77">
        <f>COUNTIFS('EL scheme register'!$A$7:$A$479,$A50,'EL scheme register'!$C$7:$C$479,"Unclear",'EL scheme register'!$AJ$7:$AJ$479,"Yes")</f>
        <v/>
      </c>
      <c r="N50" s="77">
        <f>SUM(I50:M50)</f>
        <v/>
      </c>
      <c r="O50" s="77">
        <f>COUNTIFS('EL scheme register'!$A$7:$A$479,$A50,'EL scheme register'!$AF$7:$AF$479,"Potentially relevant; evidence incomplete",'EL scheme register'!$AI$7:$AI$479,"Yes")</f>
        <v/>
      </c>
      <c r="P50" s="77">
        <f>COUNTIFS('EL scheme register'!$A$7:$A$479,$A50,'EL scheme register'!$AF$7:$AF$479,"Outside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Partial</t>
        </is>
      </c>
      <c r="I51" s="77">
        <f>COUNTIFS('EL scheme register'!$A$7:$A$479,$A51,'EL scheme register'!$C$7:$C$479,"University-wide",'EL scheme register'!$AJ$7:$AJ$479,"Yes")</f>
        <v/>
      </c>
      <c r="J51" s="77">
        <f>COUNTIFS('EL scheme register'!$A$7:$A$479,$A51,'EL scheme register'!$C$7:$C$479,"Cross-faculty",'EL scheme register'!$AJ$7:$AJ$479,"Yes")</f>
        <v/>
      </c>
      <c r="K51" s="77">
        <f>COUNTIFS('EL scheme register'!$A$7:$A$479,$A51,'EL scheme register'!$C$7:$C$479,"Faculty/school",'EL scheme register'!$AJ$7:$AJ$479,"Yes")</f>
        <v/>
      </c>
      <c r="L51" s="77">
        <f>COUNTIFS('EL scheme register'!$A$7:$A$479,$A51,'EL scheme register'!$C$7:$C$479,"Programme/course",'EL scheme register'!$AJ$7:$AJ$479,"Yes")</f>
        <v/>
      </c>
      <c r="M51" s="77">
        <f>COUNTIFS('EL scheme register'!$A$7:$A$479,$A51,'EL scheme register'!$C$7:$C$479,"Unclear",'EL scheme register'!$AJ$7:$AJ$479,"Yes")</f>
        <v/>
      </c>
      <c r="N51" s="77">
        <f>SUM(I51:M51)</f>
        <v/>
      </c>
      <c r="O51" s="77">
        <f>COUNTIFS('EL scheme register'!$A$7:$A$479,$A51,'EL scheme register'!$AF$7:$AF$479,"Potentially relevant; evidence incomplete",'EL scheme register'!$AI$7:$AI$479,"Yes")</f>
        <v/>
      </c>
      <c r="P51" s="77">
        <f>COUNTIFS('EL scheme register'!$A$7:$A$479,$A51,'EL scheme register'!$AF$7:$AF$479,"Outside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(Partial review: search budget exhausted after 4 searches). No qualifying scheme was verified through the documented search. This reflects an incomplete search, not evidence of absence. - Engineering: A staff research publication describes a 4th-year multidisciplinary engineering final year project (mechanical, electrical/electronic, robotics) built to requirements specified by an industrial client. It is undated, team format is only paraphrased, and it is unclear whether industrial clients are the norm. - Electronic and Computer Engineering: The B39VS System Project is a team project demonstrated to academic and industry staff. It is only evidenced for 2022/23, and there is no evidence of a client brief. - Business: Edinburgh Business School's MSc International Business Management ends with a 'company consultancy project'. Group format and external client are unverified. - Central: The legacy Global Innovation Challenge is a founder-led venture competition and is excluded. Careers micro-placements are two-week placements and are excluded. - Uncertain: Science, social sciences/languages, Textiles and Design, the built environment and most of engineering/compu</t>
        </is>
      </c>
      <c r="X51" s="77" t="inlineStr">
        <is>
          <t>Review incomplete: only 4 searches completed before the shared per-turn web-search limit was hit. Not searched: science, arts/humanities/social sciences, other (Textiles &amp; Design, built environment), most engineering/computing (MEng group design projects, MACS software engineering group projects), central GRID/enterprise challenges. No extended-mode verbatim extracts obtained beyond the research-portal abstract; no 2025/26+ dated delivery evidence for any route. Further departmental instances likely. | PARTIAL REVIEW — remaining: Search stopped after 4 completed searches because the shared per-turn web-search limit was reached. Remaining: business (EBS MSc/UG consultancy project course-level detail: group vs individual, external client), engineering_computing (MEng/BEng group design projects, MACS software engineering group projects, School of Engineering &amp; Physical Sciences industry projects; current-year Curriculum Explorer entries), science (EPS chemistry/physics, maths/actuarial), arts_humanities_social_sciences (languages/interpreting, psychology, social sciences), other (School of Textiles and Design live briefs, architecture/built environment/construction, EGIS), central (GRID/Enterprise team challenges, Careers employer projects), plus extended-mode verbatim extracts and 2025/26 or 2026/27 dated evidence for every recorded route.</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Partial</t>
        </is>
      </c>
      <c r="I52" s="77">
        <f>COUNTIFS('EL scheme register'!$A$7:$A$479,$A52,'EL scheme register'!$C$7:$C$479,"University-wide",'EL scheme register'!$AJ$7:$AJ$479,"Yes")</f>
        <v/>
      </c>
      <c r="J52" s="77">
        <f>COUNTIFS('EL scheme register'!$A$7:$A$479,$A52,'EL scheme register'!$C$7:$C$479,"Cross-faculty",'EL scheme register'!$AJ$7:$AJ$479,"Yes")</f>
        <v/>
      </c>
      <c r="K52" s="77">
        <f>COUNTIFS('EL scheme register'!$A$7:$A$479,$A52,'EL scheme register'!$C$7:$C$479,"Faculty/school",'EL scheme register'!$AJ$7:$AJ$479,"Yes")</f>
        <v/>
      </c>
      <c r="L52" s="77">
        <f>COUNTIFS('EL scheme register'!$A$7:$A$479,$A52,'EL scheme register'!$C$7:$C$479,"Programme/course",'EL scheme register'!$AJ$7:$AJ$479,"Yes")</f>
        <v/>
      </c>
      <c r="M52" s="77">
        <f>COUNTIFS('EL scheme register'!$A$7:$A$479,$A52,'EL scheme register'!$C$7:$C$479,"Unclear",'EL scheme register'!$AJ$7:$AJ$479,"Yes")</f>
        <v/>
      </c>
      <c r="N52" s="77">
        <f>SUM(I52:M52)</f>
        <v/>
      </c>
      <c r="O52" s="77">
        <f>COUNTIFS('EL scheme register'!$A$7:$A$479,$A52,'EL scheme register'!$AF$7:$AF$479,"Potentially relevant; evidence incomplete",'EL scheme register'!$AI$7:$AI$479,"Yes")</f>
        <v/>
      </c>
      <c r="P52" s="77">
        <f>COUNTIFS('EL scheme register'!$A$7:$A$479,$A52,'EL scheme register'!$AF$7:$AF$479,"Outside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Search limit reached. Health sciences/Medicine/Education/Social Work/Pharmacy not searched; science schools only generally searched. Module-level evidence (codes, credits, team format, client names) missing for most routes; all extracts are search-index summaries of course pages rather than handbook text. Further departmental instances likely (e.g. other MEng/MComp variants, NBS postgraduate programmes). | PARTIAL REVIEW — remaining: Search limit reached at about 33 searches. Remaining: (1) 'other' area: Norwich Medical School/health sciences, Education, Social Work, Pharmacy, Law (only the Law Clinic was found; the combined health/education query was refused for the limit). (2) Science: Biological Sciences/Chemistry/Mathematics/Physics only searched with one general query; a school-level query for team external-partner projects is outstanding. (3) Economics consulting project and MA Media live project need module-level evidence on group vs individual working. (4) MSc Sustainability and Society, NBS MSc industry-sponsored project and UEA placement-year industry projects need project/format evidence. (5) NBS undergraduate module names for live briefs (Adnams/EAZS) and current-year run dates. (6) i-Teams current-year run.</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register'!$A$7:$A$479,$A53,'EL scheme register'!$C$7:$C$479,"University-wide",'EL scheme register'!$AJ$7:$AJ$479,"Yes")</f>
        <v/>
      </c>
      <c r="J53" s="77">
        <f>COUNTIFS('EL scheme register'!$A$7:$A$479,$A53,'EL scheme register'!$C$7:$C$479,"Cross-faculty",'EL scheme register'!$AJ$7:$AJ$479,"Yes")</f>
        <v/>
      </c>
      <c r="K53" s="77">
        <f>COUNTIFS('EL scheme register'!$A$7:$A$479,$A53,'EL scheme register'!$C$7:$C$479,"Faculty/school",'EL scheme register'!$AJ$7:$AJ$479,"Yes")</f>
        <v/>
      </c>
      <c r="L53" s="77">
        <f>COUNTIFS('EL scheme register'!$A$7:$A$479,$A53,'EL scheme register'!$C$7:$C$479,"Programme/course",'EL scheme register'!$AJ$7:$AJ$479,"Yes")</f>
        <v/>
      </c>
      <c r="M53" s="77">
        <f>COUNTIFS('EL scheme register'!$A$7:$A$479,$A53,'EL scheme register'!$C$7:$C$479,"Unclear",'EL scheme register'!$AJ$7:$AJ$479,"Yes")</f>
        <v/>
      </c>
      <c r="N53" s="77">
        <f>SUM(I53:M53)</f>
        <v/>
      </c>
      <c r="O53" s="77">
        <f>COUNTIFS('EL scheme register'!$A$7:$A$479,$A53,'EL scheme register'!$AF$7:$AF$479,"Potentially relevant; evidence incomplete",'EL scheme register'!$AI$7:$AI$479,"Yes")</f>
        <v/>
      </c>
      <c r="P53" s="77">
        <f>COUNTIFS('EL scheme register'!$A$7:$A$479,$A53,'EL scheme register'!$AF$7:$AF$479,"Outside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Partial</t>
        </is>
      </c>
      <c r="I54" s="77">
        <f>COUNTIFS('EL scheme register'!$A$7:$A$479,$A54,'EL scheme register'!$C$7:$C$479,"University-wide",'EL scheme register'!$AJ$7:$AJ$479,"Yes")</f>
        <v/>
      </c>
      <c r="J54" s="77">
        <f>COUNTIFS('EL scheme register'!$A$7:$A$479,$A54,'EL scheme register'!$C$7:$C$479,"Cross-faculty",'EL scheme register'!$AJ$7:$AJ$479,"Yes")</f>
        <v/>
      </c>
      <c r="K54" s="77">
        <f>COUNTIFS('EL scheme register'!$A$7:$A$479,$A54,'EL scheme register'!$C$7:$C$479,"Faculty/school",'EL scheme register'!$AJ$7:$AJ$479,"Yes")</f>
        <v/>
      </c>
      <c r="L54" s="77">
        <f>COUNTIFS('EL scheme register'!$A$7:$A$479,$A54,'EL scheme register'!$C$7:$C$479,"Programme/course",'EL scheme register'!$AJ$7:$AJ$479,"Yes")</f>
        <v/>
      </c>
      <c r="M54" s="77">
        <f>COUNTIFS('EL scheme register'!$A$7:$A$479,$A54,'EL scheme register'!$C$7:$C$479,"Unclear",'EL scheme register'!$AJ$7:$AJ$479,"Yes")</f>
        <v/>
      </c>
      <c r="N54" s="77">
        <f>SUM(I54:M54)</f>
        <v/>
      </c>
      <c r="O54" s="77">
        <f>COUNTIFS('EL scheme register'!$A$7:$A$479,$A54,'EL scheme register'!$AF$7:$AF$479,"Potentially relevant; evidence incomplete",'EL scheme register'!$AI$7:$AI$479,"Yes")</f>
        <v/>
      </c>
      <c r="P54" s="77">
        <f>COUNTIFS('EL scheme register'!$A$7:$A$479,$A54,'EL scheme register'!$AF$7:$AF$479,"Outside strict definition")</f>
        <v/>
      </c>
      <c r="Q54" s="77">
        <f>COUNTIF('EL exclusions &amp; gaps'!$B$7:$B$5000,$A54)</f>
        <v/>
      </c>
      <c r="R54" s="77" t="inlineStr">
        <is>
          <t>Not evidenced</t>
        </is>
      </c>
      <c r="S54" s="77" t="inlineStr">
        <is>
          <t>Not evidenced</t>
        </is>
      </c>
      <c r="T54" s="77" t="inlineStr"/>
      <c r="U54" s="77" t="inlineStr"/>
      <c r="V54" s="77" t="inlineStr">
        <is>
          <t>Unclear</t>
        </is>
      </c>
      <c r="W54" s="77" t="inlineStr">
        <is>
          <t>Swansea University (partial review, 6 searches before the shared search budget ran out). - Strongest route: the Civil Engineering MEng year-long group design exercise. Students choose from full design projects 'currently being carried out in industry' and work with industry professionals, so it meets A/B/C. The course page is undated, so current delivery is unconfirmed. At BEng Level 6, the design project is a task set by industry engineers, but group work is not evidenced. - Business: the BSc Economics and Business has a final-year Business Consultancy Project on a live client challenge (group format unknown). BSc Marketing offers a consultancy project as a dissertation alternative (client unclear). The MSc Project Management cites live project collaborations with Tata Steel, Siemens and the NHS, but these are not separated from dissertation partnerships. - Central: an extracurricular Student Enterprise hackathon set a real commercial challenge for Swansea City FC. Otherwise central provision is award-based (Employability Awards, Discovery volunteering) or individual placements (GO Wales). No route has dated 2025/26 evidence. Science, humanities/social sciences, law and health wer</t>
        </is>
      </c>
      <c r="X54" s="77" t="inlineStr">
        <is>
          <t>Group format and current delivery are unverified for all business routes. Module codes and credits were not found. MBA 'Research in Action' client project needs a citable source. Other engineering disciplines (Mechanical, Aerospace, Electrical, Chemical, Materials), Computer Science group projects, Science, Humanities/Social Sciences, Law, Medicine/Health Sciences and Sport were not searched. Formula Student (SURE) was mentioned only in a search summary without a source. Further departmental instances are likely. | PARTIAL REVIEW — remaining: Science, AHSS (except Economics and Business), and other areas (Law, Health/Medicine, Sport) were not searched. Still to do: verify group format for S3–S5; find module codes and 2025/26 evidence for S1–S2; cite the MBA client project; check other engineering disciplines and the 2020 emergency-vehicle student project news item. The shared search budget ran out after 6 searches.</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Partial</t>
        </is>
      </c>
      <c r="I55" s="77">
        <f>COUNTIFS('EL scheme register'!$A$7:$A$479,$A55,'EL scheme register'!$C$7:$C$479,"University-wide",'EL scheme register'!$AJ$7:$AJ$479,"Yes")</f>
        <v/>
      </c>
      <c r="J55" s="77">
        <f>COUNTIFS('EL scheme register'!$A$7:$A$479,$A55,'EL scheme register'!$C$7:$C$479,"Cross-faculty",'EL scheme register'!$AJ$7:$AJ$479,"Yes")</f>
        <v/>
      </c>
      <c r="K55" s="77">
        <f>COUNTIFS('EL scheme register'!$A$7:$A$479,$A55,'EL scheme register'!$C$7:$C$479,"Faculty/school",'EL scheme register'!$AJ$7:$AJ$479,"Yes")</f>
        <v/>
      </c>
      <c r="L55" s="77">
        <f>COUNTIFS('EL scheme register'!$A$7:$A$479,$A55,'EL scheme register'!$C$7:$C$479,"Programme/course",'EL scheme register'!$AJ$7:$AJ$479,"Yes")</f>
        <v/>
      </c>
      <c r="M55" s="77">
        <f>COUNTIFS('EL scheme register'!$A$7:$A$479,$A55,'EL scheme register'!$C$7:$C$479,"Unclear",'EL scheme register'!$AJ$7:$AJ$479,"Yes")</f>
        <v/>
      </c>
      <c r="N55" s="77">
        <f>SUM(I55:M55)</f>
        <v/>
      </c>
      <c r="O55" s="77">
        <f>COUNTIFS('EL scheme register'!$A$7:$A$479,$A55,'EL scheme register'!$AF$7:$AF$479,"Potentially relevant; evidence incomplete",'EL scheme register'!$AI$7:$AI$479,"Yes")</f>
        <v/>
      </c>
      <c r="P55" s="77">
        <f>COUNTIFS('EL scheme register'!$A$7:$A$479,$A55,'EL scheme register'!$AF$7:$AF$479,"Outside strict definition")</f>
        <v/>
      </c>
      <c r="Q55" s="77">
        <f>COUNTIF('EL exclusions &amp; gaps'!$B$7:$B$5000,$A55)</f>
        <v/>
      </c>
      <c r="R55" s="77" t="inlineStr">
        <is>
          <t>Not evidenced</t>
        </is>
      </c>
      <c r="S55" s="77" t="inlineStr">
        <is>
          <t>Not evidenced</t>
        </is>
      </c>
      <c r="T55" s="77" t="inlineStr"/>
      <c r="U55" s="77" t="inlineStr"/>
      <c r="V55" s="77" t="inlineStr">
        <is>
          <t>Unclear</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Partial: see partial_remaining. Social science, humanities, law, health, engineering and most science areas unsearched; current-year (2025/26) delivery unconfirmed for iTeams and Marketing Management; WBL live-project modules unidentified; further departmental instances likely. | PARTIAL REVIEW — remaining: Session search limit reached after 12 searches. Remaining: (1) obtain quoted extracts and 2025/26 evidence for iTeams (any 2026 edition) and Cyber Innovate to Elevate (team structure, deliverable, eligibility); (2) identify the WBL live-employer-project modules in Faculty of Science and Health (Biomedical Science, Actuarial) and whether team-based; (3) Marketing Management module code/assessment (group? client?); (4) science (Biosciences, Maths/Stats, Psychology), engineering (EA364 etc., Robotic Engineering capstone), arts/humanities/social sciences (Government, Sociology, Language and Linguistics, Essex Law School clinics, Art History), and other (Law, Health and Social Care, Nursing) not searched; (5) Essex Business School other employer projects (Business Collaboration page); (6) corroborate current-year delivery.</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register'!$A$7:$A$479,$A56,'EL scheme register'!$C$7:$C$479,"University-wide",'EL scheme register'!$AJ$7:$AJ$479,"Yes")</f>
        <v/>
      </c>
      <c r="J56" s="77">
        <f>COUNTIFS('EL scheme register'!$A$7:$A$479,$A56,'EL scheme register'!$C$7:$C$479,"Cross-faculty",'EL scheme register'!$AJ$7:$AJ$479,"Yes")</f>
        <v/>
      </c>
      <c r="K56" s="77">
        <f>COUNTIFS('EL scheme register'!$A$7:$A$479,$A56,'EL scheme register'!$C$7:$C$479,"Faculty/school",'EL scheme register'!$AJ$7:$AJ$479,"Yes")</f>
        <v/>
      </c>
      <c r="L56" s="77">
        <f>COUNTIFS('EL scheme register'!$A$7:$A$479,$A56,'EL scheme register'!$C$7:$C$479,"Programme/course",'EL scheme register'!$AJ$7:$AJ$479,"Yes")</f>
        <v/>
      </c>
      <c r="M56" s="77">
        <f>COUNTIFS('EL scheme register'!$A$7:$A$479,$A56,'EL scheme register'!$C$7:$C$479,"Unclear",'EL scheme register'!$AJ$7:$AJ$479,"Yes")</f>
        <v/>
      </c>
      <c r="N56" s="77">
        <f>SUM(I56:M56)</f>
        <v/>
      </c>
      <c r="O56" s="77">
        <f>COUNTIFS('EL scheme register'!$A$7:$A$479,$A56,'EL scheme register'!$AF$7:$AF$479,"Potentially relevant; evidence incomplete",'EL scheme register'!$AI$7:$AI$479,"Yes")</f>
        <v/>
      </c>
      <c r="P56" s="77">
        <f>COUNTIFS('EL scheme register'!$A$7:$A$479,$A56,'EL scheme register'!$AF$7:$AF$479,"Outside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Partial</t>
        </is>
      </c>
      <c r="I57" s="77">
        <f>COUNTIFS('EL scheme register'!$A$7:$A$479,$A57,'EL scheme register'!$C$7:$C$479,"University-wide",'EL scheme register'!$AJ$7:$AJ$479,"Yes")</f>
        <v/>
      </c>
      <c r="J57" s="77">
        <f>COUNTIFS('EL scheme register'!$A$7:$A$479,$A57,'EL scheme register'!$C$7:$C$479,"Cross-faculty",'EL scheme register'!$AJ$7:$AJ$479,"Yes")</f>
        <v/>
      </c>
      <c r="K57" s="77">
        <f>COUNTIFS('EL scheme register'!$A$7:$A$479,$A57,'EL scheme register'!$C$7:$C$479,"Faculty/school",'EL scheme register'!$AJ$7:$AJ$479,"Yes")</f>
        <v/>
      </c>
      <c r="L57" s="77">
        <f>COUNTIFS('EL scheme register'!$A$7:$A$479,$A57,'EL scheme register'!$C$7:$C$479,"Programme/course",'EL scheme register'!$AJ$7:$AJ$479,"Yes")</f>
        <v/>
      </c>
      <c r="M57" s="77">
        <f>COUNTIFS('EL scheme register'!$A$7:$A$479,$A57,'EL scheme register'!$C$7:$C$479,"Unclear",'EL scheme register'!$AJ$7:$AJ$479,"Yes")</f>
        <v/>
      </c>
      <c r="N57" s="77">
        <f>SUM(I57:M57)</f>
        <v/>
      </c>
      <c r="O57" s="77">
        <f>COUNTIFS('EL scheme register'!$A$7:$A$479,$A57,'EL scheme register'!$AF$7:$AF$479,"Potentially relevant; evidence incomplete",'EL scheme register'!$AI$7:$AI$479,"Yes")</f>
        <v/>
      </c>
      <c r="P57" s="77">
        <f>COUNTIFS('EL scheme register'!$A$7:$A$479,$A57,'EL scheme register'!$AF$7:$AF$479,"Outside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Provisional (Partial) profile. Brunel's clearest employer-linked project route is Brunel Business School's Co-Innovate collaborative student projects: SMEs write briefs, students are matched under a three-party contract, work on campus with academic supervision and deliver a report; the route can serve as a final-year project (30 credits on the BSc Business Management with Entrepreneurship page), where students present recommendations to the client's management team. Sources say projects may be done individually or in a small team, so group working is Unclear, and pages are undated with ERDF funding referenced to 2020, so current delivery is unverified. Other leads: Design+ and live briefs in Brunel Design School, PG design studios with industry partners, MSc Project Management live consultancy projects, a Global Challenges BASc 8-week placement or group project (external bodies optional), and a two-week Enterprise Mobility Challenge (Feb 2025). No route is yet verified as meeting all three criteria with current delivery. Engineering, computing, science and social science areas remain unsearched.</t>
        </is>
      </c>
      <c r="X57" s="77" t="inlineStr">
        <is>
          <t>Search limit reached; engineering/computing, science, social sciences not searched; no dated 2025/26 evidence for Co-Innovate; team-vs-individual not separable; Design+ / Digital Design group project unverified; MSc PM live-project detail missing. | PARTIAL REVIEW — remaining: Search limit reached after 6 searches. Remaining: (1) engineering/computing (Brunel Engineering capstone/industry project, Computer Science final-year industry projects, Brunel Innovation/Mechanical group design projects); (2) science (Life sciences, Maths); (3) arts/humanities/social sciences (Social Sciences/Psychology/Law/Education projects, Global Challenges module page); (4) other: Design+ and Digital Design BSc extended evidence, health, law; (5) central: Brunel Software Innovation 2025, Student Professional Development employer challenges, Enterprise Mobility Challenge detail; (6) dated 2025/26 evidence for Co-Innovate (S1/S2) and group-vs-individual split; MSc Project Management live project detail.</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register'!$A$7:$A$479,$A58,'EL scheme register'!$C$7:$C$479,"University-wide",'EL scheme register'!$AJ$7:$AJ$479,"Yes")</f>
        <v/>
      </c>
      <c r="J58" s="77">
        <f>COUNTIFS('EL scheme register'!$A$7:$A$479,$A58,'EL scheme register'!$C$7:$C$479,"Cross-faculty",'EL scheme register'!$AJ$7:$AJ$479,"Yes")</f>
        <v/>
      </c>
      <c r="K58" s="77">
        <f>COUNTIFS('EL scheme register'!$A$7:$A$479,$A58,'EL scheme register'!$C$7:$C$479,"Faculty/school",'EL scheme register'!$AJ$7:$AJ$479,"Yes")</f>
        <v/>
      </c>
      <c r="L58" s="77">
        <f>COUNTIFS('EL scheme register'!$A$7:$A$479,$A58,'EL scheme register'!$C$7:$C$479,"Programme/course",'EL scheme register'!$AJ$7:$AJ$479,"Yes")</f>
        <v/>
      </c>
      <c r="M58" s="77">
        <f>COUNTIFS('EL scheme register'!$A$7:$A$479,$A58,'EL scheme register'!$C$7:$C$479,"Unclear",'EL scheme register'!$AJ$7:$AJ$479,"Yes")</f>
        <v/>
      </c>
      <c r="N58" s="77">
        <f>SUM(I58:M58)</f>
        <v/>
      </c>
      <c r="O58" s="77">
        <f>COUNTIFS('EL scheme register'!$A$7:$A$479,$A58,'EL scheme register'!$AF$7:$AF$479,"Potentially relevant; evidence incomplete",'EL scheme register'!$AI$7:$AI$479,"Yes")</f>
        <v/>
      </c>
      <c r="P58" s="77">
        <f>COUNTIFS('EL scheme register'!$A$7:$A$479,$A58,'EL scheme register'!$AF$7:$AF$479,"Outside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register'!$A$7:$A$479,$A59,'EL scheme register'!$C$7:$C$479,"University-wide",'EL scheme register'!$AJ$7:$AJ$479,"Yes")</f>
        <v/>
      </c>
      <c r="J59" s="77">
        <f>COUNTIFS('EL scheme register'!$A$7:$A$479,$A59,'EL scheme register'!$C$7:$C$479,"Cross-faculty",'EL scheme register'!$AJ$7:$AJ$479,"Yes")</f>
        <v/>
      </c>
      <c r="K59" s="77">
        <f>COUNTIFS('EL scheme register'!$A$7:$A$479,$A59,'EL scheme register'!$C$7:$C$479,"Faculty/school",'EL scheme register'!$AJ$7:$AJ$479,"Yes")</f>
        <v/>
      </c>
      <c r="L59" s="77">
        <f>COUNTIFS('EL scheme register'!$A$7:$A$479,$A59,'EL scheme register'!$C$7:$C$479,"Programme/course",'EL scheme register'!$AJ$7:$AJ$479,"Yes")</f>
        <v/>
      </c>
      <c r="M59" s="77">
        <f>COUNTIFS('EL scheme register'!$A$7:$A$479,$A59,'EL scheme register'!$C$7:$C$479,"Unclear",'EL scheme register'!$AJ$7:$AJ$479,"Yes")</f>
        <v/>
      </c>
      <c r="N59" s="77">
        <f>SUM(I59:M59)</f>
        <v/>
      </c>
      <c r="O59" s="77">
        <f>COUNTIFS('EL scheme register'!$A$7:$A$479,$A59,'EL scheme register'!$AF$7:$AF$479,"Potentially relevant; evidence incomplete",'EL scheme register'!$AI$7:$AI$479,"Yes")</f>
        <v/>
      </c>
      <c r="P59" s="77">
        <f>COUNTIFS('EL scheme register'!$A$7:$A$479,$A59,'EL scheme register'!$AF$7:$AF$479,"Outside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register'!$A$7:$A$479,$A60,'EL scheme register'!$C$7:$C$479,"University-wide",'EL scheme register'!$AJ$7:$AJ$479,"Yes")</f>
        <v/>
      </c>
      <c r="J60" s="77">
        <f>COUNTIFS('EL scheme register'!$A$7:$A$479,$A60,'EL scheme register'!$C$7:$C$479,"Cross-faculty",'EL scheme register'!$AJ$7:$AJ$479,"Yes")</f>
        <v/>
      </c>
      <c r="K60" s="77">
        <f>COUNTIFS('EL scheme register'!$A$7:$A$479,$A60,'EL scheme register'!$C$7:$C$479,"Faculty/school",'EL scheme register'!$AJ$7:$AJ$479,"Yes")</f>
        <v/>
      </c>
      <c r="L60" s="77">
        <f>COUNTIFS('EL scheme register'!$A$7:$A$479,$A60,'EL scheme register'!$C$7:$C$479,"Programme/course",'EL scheme register'!$AJ$7:$AJ$479,"Yes")</f>
        <v/>
      </c>
      <c r="M60" s="77">
        <f>COUNTIFS('EL scheme register'!$A$7:$A$479,$A60,'EL scheme register'!$C$7:$C$479,"Unclear",'EL scheme register'!$AJ$7:$AJ$479,"Yes")</f>
        <v/>
      </c>
      <c r="N60" s="77">
        <f>SUM(I60:M60)</f>
        <v/>
      </c>
      <c r="O60" s="77">
        <f>COUNTIFS('EL scheme register'!$A$7:$A$479,$A60,'EL scheme register'!$AF$7:$AF$479,"Potentially relevant; evidence incomplete",'EL scheme register'!$AI$7:$AI$479,"Yes")</f>
        <v/>
      </c>
      <c r="P60" s="77">
        <f>COUNTIFS('EL scheme register'!$A$7:$A$479,$A60,'EL scheme register'!$AF$7:$AF$479,"Outside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register'!$A$7:$A$479,$A61,'EL scheme register'!$C$7:$C$479,"University-wide",'EL scheme register'!$AJ$7:$AJ$479,"Yes")</f>
        <v/>
      </c>
      <c r="J61" s="77">
        <f>COUNTIFS('EL scheme register'!$A$7:$A$479,$A61,'EL scheme register'!$C$7:$C$479,"Cross-faculty",'EL scheme register'!$AJ$7:$AJ$479,"Yes")</f>
        <v/>
      </c>
      <c r="K61" s="77">
        <f>COUNTIFS('EL scheme register'!$A$7:$A$479,$A61,'EL scheme register'!$C$7:$C$479,"Faculty/school",'EL scheme register'!$AJ$7:$AJ$479,"Yes")</f>
        <v/>
      </c>
      <c r="L61" s="77">
        <f>COUNTIFS('EL scheme register'!$A$7:$A$479,$A61,'EL scheme register'!$C$7:$C$479,"Programme/course",'EL scheme register'!$AJ$7:$AJ$479,"Yes")</f>
        <v/>
      </c>
      <c r="M61" s="77">
        <f>COUNTIFS('EL scheme register'!$A$7:$A$479,$A61,'EL scheme register'!$C$7:$C$479,"Unclear",'EL scheme register'!$AJ$7:$AJ$479,"Yes")</f>
        <v/>
      </c>
      <c r="N61" s="77">
        <f>SUM(I61:M61)</f>
        <v/>
      </c>
      <c r="O61" s="77">
        <f>COUNTIFS('EL scheme register'!$A$7:$A$479,$A61,'EL scheme register'!$AF$7:$AF$479,"Potentially relevant; evidence incomplete",'EL scheme register'!$AI$7:$AI$479,"Yes")</f>
        <v/>
      </c>
      <c r="P61" s="77">
        <f>COUNTIFS('EL scheme register'!$A$7:$A$479,$A61,'EL scheme register'!$AF$7:$AF$479,"Outside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register'!$A$7:$A$479,$A62,'EL scheme register'!$C$7:$C$479,"University-wide",'EL scheme register'!$AJ$7:$AJ$479,"Yes")</f>
        <v/>
      </c>
      <c r="J62" s="77">
        <f>COUNTIFS('EL scheme register'!$A$7:$A$479,$A62,'EL scheme register'!$C$7:$C$479,"Cross-faculty",'EL scheme register'!$AJ$7:$AJ$479,"Yes")</f>
        <v/>
      </c>
      <c r="K62" s="77">
        <f>COUNTIFS('EL scheme register'!$A$7:$A$479,$A62,'EL scheme register'!$C$7:$C$479,"Faculty/school",'EL scheme register'!$AJ$7:$AJ$479,"Yes")</f>
        <v/>
      </c>
      <c r="L62" s="77">
        <f>COUNTIFS('EL scheme register'!$A$7:$A$479,$A62,'EL scheme register'!$C$7:$C$479,"Programme/course",'EL scheme register'!$AJ$7:$AJ$479,"Yes")</f>
        <v/>
      </c>
      <c r="M62" s="77">
        <f>COUNTIFS('EL scheme register'!$A$7:$A$479,$A62,'EL scheme register'!$C$7:$C$479,"Unclear",'EL scheme register'!$AJ$7:$AJ$479,"Yes")</f>
        <v/>
      </c>
      <c r="N62" s="77">
        <f>SUM(I62:M62)</f>
        <v/>
      </c>
      <c r="O62" s="77">
        <f>COUNTIFS('EL scheme register'!$A$7:$A$479,$A62,'EL scheme register'!$AF$7:$AF$479,"Potentially relevant; evidence incomplete",'EL scheme register'!$AI$7:$AI$479,"Yes")</f>
        <v/>
      </c>
      <c r="P62" s="77">
        <f>COUNTIFS('EL scheme register'!$A$7:$A$479,$A62,'EL scheme register'!$AF$7:$AF$479,"Outside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register'!$A$7:$A$479,$A63,'EL scheme register'!$C$7:$C$479,"University-wide",'EL scheme register'!$AJ$7:$AJ$479,"Yes")</f>
        <v/>
      </c>
      <c r="J63" s="77">
        <f>COUNTIFS('EL scheme register'!$A$7:$A$479,$A63,'EL scheme register'!$C$7:$C$479,"Cross-faculty",'EL scheme register'!$AJ$7:$AJ$479,"Yes")</f>
        <v/>
      </c>
      <c r="K63" s="77">
        <f>COUNTIFS('EL scheme register'!$A$7:$A$479,$A63,'EL scheme register'!$C$7:$C$479,"Faculty/school",'EL scheme register'!$AJ$7:$AJ$479,"Yes")</f>
        <v/>
      </c>
      <c r="L63" s="77">
        <f>COUNTIFS('EL scheme register'!$A$7:$A$479,$A63,'EL scheme register'!$C$7:$C$479,"Programme/course",'EL scheme register'!$AJ$7:$AJ$479,"Yes")</f>
        <v/>
      </c>
      <c r="M63" s="77">
        <f>COUNTIFS('EL scheme register'!$A$7:$A$479,$A63,'EL scheme register'!$C$7:$C$479,"Unclear",'EL scheme register'!$AJ$7:$AJ$479,"Yes")</f>
        <v/>
      </c>
      <c r="N63" s="77">
        <f>SUM(I63:M63)</f>
        <v/>
      </c>
      <c r="O63" s="77">
        <f>COUNTIFS('EL scheme register'!$A$7:$A$479,$A63,'EL scheme register'!$AF$7:$AF$479,"Potentially relevant; evidence incomplete",'EL scheme register'!$AI$7:$AI$479,"Yes")</f>
        <v/>
      </c>
      <c r="P63" s="77">
        <f>COUNTIFS('EL scheme register'!$A$7:$A$479,$A63,'EL scheme register'!$AF$7:$AF$479,"Outside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register'!$A$7:$A$479,$A64,'EL scheme register'!$C$7:$C$479,"University-wide",'EL scheme register'!$AJ$7:$AJ$479,"Yes")</f>
        <v/>
      </c>
      <c r="J64" s="77">
        <f>COUNTIFS('EL scheme register'!$A$7:$A$479,$A64,'EL scheme register'!$C$7:$C$479,"Cross-faculty",'EL scheme register'!$AJ$7:$AJ$479,"Yes")</f>
        <v/>
      </c>
      <c r="K64" s="77">
        <f>COUNTIFS('EL scheme register'!$A$7:$A$479,$A64,'EL scheme register'!$C$7:$C$479,"Faculty/school",'EL scheme register'!$AJ$7:$AJ$479,"Yes")</f>
        <v/>
      </c>
      <c r="L64" s="77">
        <f>COUNTIFS('EL scheme register'!$A$7:$A$479,$A64,'EL scheme register'!$C$7:$C$479,"Programme/course",'EL scheme register'!$AJ$7:$AJ$479,"Yes")</f>
        <v/>
      </c>
      <c r="M64" s="77">
        <f>COUNTIFS('EL scheme register'!$A$7:$A$479,$A64,'EL scheme register'!$C$7:$C$479,"Unclear",'EL scheme register'!$AJ$7:$AJ$479,"Yes")</f>
        <v/>
      </c>
      <c r="N64" s="77">
        <f>SUM(I64:M64)</f>
        <v/>
      </c>
      <c r="O64" s="77">
        <f>COUNTIFS('EL scheme register'!$A$7:$A$479,$A64,'EL scheme register'!$AF$7:$AF$479,"Potentially relevant; evidence incomplete",'EL scheme register'!$AI$7:$AI$479,"Yes")</f>
        <v/>
      </c>
      <c r="P64" s="77">
        <f>COUNTIFS('EL scheme register'!$A$7:$A$479,$A64,'EL scheme register'!$AF$7:$AF$479,"Outside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register'!$A$7:$A$479,$A65,'EL scheme register'!$C$7:$C$479,"University-wide",'EL scheme register'!$AJ$7:$AJ$479,"Yes")</f>
        <v/>
      </c>
      <c r="J65" s="77">
        <f>COUNTIFS('EL scheme register'!$A$7:$A$479,$A65,'EL scheme register'!$C$7:$C$479,"Cross-faculty",'EL scheme register'!$AJ$7:$AJ$479,"Yes")</f>
        <v/>
      </c>
      <c r="K65" s="77">
        <f>COUNTIFS('EL scheme register'!$A$7:$A$479,$A65,'EL scheme register'!$C$7:$C$479,"Faculty/school",'EL scheme register'!$AJ$7:$AJ$479,"Yes")</f>
        <v/>
      </c>
      <c r="L65" s="77">
        <f>COUNTIFS('EL scheme register'!$A$7:$A$479,$A65,'EL scheme register'!$C$7:$C$479,"Programme/course",'EL scheme register'!$AJ$7:$AJ$479,"Yes")</f>
        <v/>
      </c>
      <c r="M65" s="77">
        <f>COUNTIFS('EL scheme register'!$A$7:$A$479,$A65,'EL scheme register'!$C$7:$C$479,"Unclear",'EL scheme register'!$AJ$7:$AJ$479,"Yes")</f>
        <v/>
      </c>
      <c r="N65" s="77">
        <f>SUM(I65:M65)</f>
        <v/>
      </c>
      <c r="O65" s="77">
        <f>COUNTIFS('EL scheme register'!$A$7:$A$479,$A65,'EL scheme register'!$AF$7:$AF$479,"Potentially relevant; evidence incomplete",'EL scheme register'!$AI$7:$AI$479,"Yes")</f>
        <v/>
      </c>
      <c r="P65" s="77">
        <f>COUNTIFS('EL scheme register'!$A$7:$A$479,$A65,'EL scheme register'!$AF$7:$AF$479,"Outside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register'!$A$7:$A$479,$A66,'EL scheme register'!$C$7:$C$479,"University-wide",'EL scheme register'!$AJ$7:$AJ$479,"Yes")</f>
        <v/>
      </c>
      <c r="J66" s="77">
        <f>COUNTIFS('EL scheme register'!$A$7:$A$479,$A66,'EL scheme register'!$C$7:$C$479,"Cross-faculty",'EL scheme register'!$AJ$7:$AJ$479,"Yes")</f>
        <v/>
      </c>
      <c r="K66" s="77">
        <f>COUNTIFS('EL scheme register'!$A$7:$A$479,$A66,'EL scheme register'!$C$7:$C$479,"Faculty/school",'EL scheme register'!$AJ$7:$AJ$479,"Yes")</f>
        <v/>
      </c>
      <c r="L66" s="77">
        <f>COUNTIFS('EL scheme register'!$A$7:$A$479,$A66,'EL scheme register'!$C$7:$C$479,"Programme/course",'EL scheme register'!$AJ$7:$AJ$479,"Yes")</f>
        <v/>
      </c>
      <c r="M66" s="77">
        <f>COUNTIFS('EL scheme register'!$A$7:$A$479,$A66,'EL scheme register'!$C$7:$C$479,"Unclear",'EL scheme register'!$AJ$7:$AJ$479,"Yes")</f>
        <v/>
      </c>
      <c r="N66" s="77">
        <f>SUM(I66:M66)</f>
        <v/>
      </c>
      <c r="O66" s="77">
        <f>COUNTIFS('EL scheme register'!$A$7:$A$479,$A66,'EL scheme register'!$AF$7:$AF$479,"Potentially relevant; evidence incomplete",'EL scheme register'!$AI$7:$AI$479,"Yes")</f>
        <v/>
      </c>
      <c r="P66" s="77">
        <f>COUNTIFS('EL scheme register'!$A$7:$A$479,$A66,'EL scheme register'!$AF$7:$AF$479,"Outside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register'!$A$7:$A$479,$A67,'EL scheme register'!$C$7:$C$479,"University-wide",'EL scheme register'!$AJ$7:$AJ$479,"Yes")</f>
        <v/>
      </c>
      <c r="J67" s="77">
        <f>COUNTIFS('EL scheme register'!$A$7:$A$479,$A67,'EL scheme register'!$C$7:$C$479,"Cross-faculty",'EL scheme register'!$AJ$7:$AJ$479,"Yes")</f>
        <v/>
      </c>
      <c r="K67" s="77">
        <f>COUNTIFS('EL scheme register'!$A$7:$A$479,$A67,'EL scheme register'!$C$7:$C$479,"Faculty/school",'EL scheme register'!$AJ$7:$AJ$479,"Yes")</f>
        <v/>
      </c>
      <c r="L67" s="77">
        <f>COUNTIFS('EL scheme register'!$A$7:$A$479,$A67,'EL scheme register'!$C$7:$C$479,"Programme/course",'EL scheme register'!$AJ$7:$AJ$479,"Yes")</f>
        <v/>
      </c>
      <c r="M67" s="77">
        <f>COUNTIFS('EL scheme register'!$A$7:$A$479,$A67,'EL scheme register'!$C$7:$C$479,"Unclear",'EL scheme register'!$AJ$7:$AJ$479,"Yes")</f>
        <v/>
      </c>
      <c r="N67" s="77">
        <f>SUM(I67:M67)</f>
        <v/>
      </c>
      <c r="O67" s="77">
        <f>COUNTIFS('EL scheme register'!$A$7:$A$479,$A67,'EL scheme register'!$AF$7:$AF$479,"Potentially relevant; evidence incomplete",'EL scheme register'!$AI$7:$AI$479,"Yes")</f>
        <v/>
      </c>
      <c r="P67" s="77">
        <f>COUNTIFS('EL scheme register'!$A$7:$A$479,$A67,'EL scheme register'!$AF$7:$AF$479,"Outside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register'!$A$7:$A$479,$A68,'EL scheme register'!$C$7:$C$479,"University-wide",'EL scheme register'!$AJ$7:$AJ$479,"Yes")</f>
        <v/>
      </c>
      <c r="J68" s="77">
        <f>COUNTIFS('EL scheme register'!$A$7:$A$479,$A68,'EL scheme register'!$C$7:$C$479,"Cross-faculty",'EL scheme register'!$AJ$7:$AJ$479,"Yes")</f>
        <v/>
      </c>
      <c r="K68" s="77">
        <f>COUNTIFS('EL scheme register'!$A$7:$A$479,$A68,'EL scheme register'!$C$7:$C$479,"Faculty/school",'EL scheme register'!$AJ$7:$AJ$479,"Yes")</f>
        <v/>
      </c>
      <c r="L68" s="77">
        <f>COUNTIFS('EL scheme register'!$A$7:$A$479,$A68,'EL scheme register'!$C$7:$C$479,"Programme/course",'EL scheme register'!$AJ$7:$AJ$479,"Yes")</f>
        <v/>
      </c>
      <c r="M68" s="77">
        <f>COUNTIFS('EL scheme register'!$A$7:$A$479,$A68,'EL scheme register'!$C$7:$C$479,"Unclear",'EL scheme register'!$AJ$7:$AJ$479,"Yes")</f>
        <v/>
      </c>
      <c r="N68" s="77">
        <f>SUM(I68:M68)</f>
        <v/>
      </c>
      <c r="O68" s="77">
        <f>COUNTIFS('EL scheme register'!$A$7:$A$479,$A68,'EL scheme register'!$AF$7:$AF$479,"Potentially relevant; evidence incomplete",'EL scheme register'!$AI$7:$AI$479,"Yes")</f>
        <v/>
      </c>
      <c r="P68" s="77">
        <f>COUNTIFS('EL scheme register'!$A$7:$A$479,$A68,'EL scheme register'!$AF$7:$AF$479,"Outside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register'!$A$7:$A$479,$A69,'EL scheme register'!$C$7:$C$479,"University-wide",'EL scheme register'!$AJ$7:$AJ$479,"Yes")</f>
        <v/>
      </c>
      <c r="J69" s="77">
        <f>COUNTIFS('EL scheme register'!$A$7:$A$479,$A69,'EL scheme register'!$C$7:$C$479,"Cross-faculty",'EL scheme register'!$AJ$7:$AJ$479,"Yes")</f>
        <v/>
      </c>
      <c r="K69" s="77">
        <f>COUNTIFS('EL scheme register'!$A$7:$A$479,$A69,'EL scheme register'!$C$7:$C$479,"Faculty/school",'EL scheme register'!$AJ$7:$AJ$479,"Yes")</f>
        <v/>
      </c>
      <c r="L69" s="77">
        <f>COUNTIFS('EL scheme register'!$A$7:$A$479,$A69,'EL scheme register'!$C$7:$C$479,"Programme/course",'EL scheme register'!$AJ$7:$AJ$479,"Yes")</f>
        <v/>
      </c>
      <c r="M69" s="77">
        <f>COUNTIFS('EL scheme register'!$A$7:$A$479,$A69,'EL scheme register'!$C$7:$C$479,"Unclear",'EL scheme register'!$AJ$7:$AJ$479,"Yes")</f>
        <v/>
      </c>
      <c r="N69" s="77">
        <f>SUM(I69:M69)</f>
        <v/>
      </c>
      <c r="O69" s="77">
        <f>COUNTIFS('EL scheme register'!$A$7:$A$479,$A69,'EL scheme register'!$AF$7:$AF$479,"Potentially relevant; evidence incomplete",'EL scheme register'!$AI$7:$AI$479,"Yes")</f>
        <v/>
      </c>
      <c r="P69" s="77">
        <f>COUNTIFS('EL scheme register'!$A$7:$A$479,$A69,'EL scheme register'!$AF$7:$AF$479,"Outside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register'!$A$7:$A$479,$A70,'EL scheme register'!$C$7:$C$479,"University-wide",'EL scheme register'!$AJ$7:$AJ$479,"Yes")</f>
        <v/>
      </c>
      <c r="J70" s="77">
        <f>COUNTIFS('EL scheme register'!$A$7:$A$479,$A70,'EL scheme register'!$C$7:$C$479,"Cross-faculty",'EL scheme register'!$AJ$7:$AJ$479,"Yes")</f>
        <v/>
      </c>
      <c r="K70" s="77">
        <f>COUNTIFS('EL scheme register'!$A$7:$A$479,$A70,'EL scheme register'!$C$7:$C$479,"Faculty/school",'EL scheme register'!$AJ$7:$AJ$479,"Yes")</f>
        <v/>
      </c>
      <c r="L70" s="77">
        <f>COUNTIFS('EL scheme register'!$A$7:$A$479,$A70,'EL scheme register'!$C$7:$C$479,"Programme/course",'EL scheme register'!$AJ$7:$AJ$479,"Yes")</f>
        <v/>
      </c>
      <c r="M70" s="77">
        <f>COUNTIFS('EL scheme register'!$A$7:$A$479,$A70,'EL scheme register'!$C$7:$C$479,"Unclear",'EL scheme register'!$AJ$7:$AJ$479,"Yes")</f>
        <v/>
      </c>
      <c r="N70" s="77">
        <f>SUM(I70:M70)</f>
        <v/>
      </c>
      <c r="O70" s="77">
        <f>COUNTIFS('EL scheme register'!$A$7:$A$479,$A70,'EL scheme register'!$AF$7:$AF$479,"Potentially relevant; evidence incomplete",'EL scheme register'!$AI$7:$AI$479,"Yes")</f>
        <v/>
      </c>
      <c r="P70" s="77">
        <f>COUNTIFS('EL scheme register'!$A$7:$A$479,$A70,'EL scheme register'!$AF$7:$AF$479,"Outside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register'!$A$7:$A$479,$A71,'EL scheme register'!$C$7:$C$479,"University-wide",'EL scheme register'!$AJ$7:$AJ$479,"Yes")</f>
        <v/>
      </c>
      <c r="J71" s="77">
        <f>COUNTIFS('EL scheme register'!$A$7:$A$479,$A71,'EL scheme register'!$C$7:$C$479,"Cross-faculty",'EL scheme register'!$AJ$7:$AJ$479,"Yes")</f>
        <v/>
      </c>
      <c r="K71" s="77">
        <f>COUNTIFS('EL scheme register'!$A$7:$A$479,$A71,'EL scheme register'!$C$7:$C$479,"Faculty/school",'EL scheme register'!$AJ$7:$AJ$479,"Yes")</f>
        <v/>
      </c>
      <c r="L71" s="77">
        <f>COUNTIFS('EL scheme register'!$A$7:$A$479,$A71,'EL scheme register'!$C$7:$C$479,"Programme/course",'EL scheme register'!$AJ$7:$AJ$479,"Yes")</f>
        <v/>
      </c>
      <c r="M71" s="77">
        <f>COUNTIFS('EL scheme register'!$A$7:$A$479,$A71,'EL scheme register'!$C$7:$C$479,"Unclear",'EL scheme register'!$AJ$7:$AJ$479,"Yes")</f>
        <v/>
      </c>
      <c r="N71" s="77">
        <f>SUM(I71:M71)</f>
        <v/>
      </c>
      <c r="O71" s="77">
        <f>COUNTIFS('EL scheme register'!$A$7:$A$479,$A71,'EL scheme register'!$AF$7:$AF$479,"Potentially relevant; evidence incomplete",'EL scheme register'!$AI$7:$AI$479,"Yes")</f>
        <v/>
      </c>
      <c r="P71" s="77">
        <f>COUNTIFS('EL scheme register'!$A$7:$A$479,$A71,'EL scheme register'!$AF$7:$AF$479,"Outside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register'!$A$7:$A$479,$A72,'EL scheme register'!$C$7:$C$479,"University-wide",'EL scheme register'!$AJ$7:$AJ$479,"Yes")</f>
        <v/>
      </c>
      <c r="J72" s="77">
        <f>COUNTIFS('EL scheme register'!$A$7:$A$479,$A72,'EL scheme register'!$C$7:$C$479,"Cross-faculty",'EL scheme register'!$AJ$7:$AJ$479,"Yes")</f>
        <v/>
      </c>
      <c r="K72" s="77">
        <f>COUNTIFS('EL scheme register'!$A$7:$A$479,$A72,'EL scheme register'!$C$7:$C$479,"Faculty/school",'EL scheme register'!$AJ$7:$AJ$479,"Yes")</f>
        <v/>
      </c>
      <c r="L72" s="77">
        <f>COUNTIFS('EL scheme register'!$A$7:$A$479,$A72,'EL scheme register'!$C$7:$C$479,"Programme/course",'EL scheme register'!$AJ$7:$AJ$479,"Yes")</f>
        <v/>
      </c>
      <c r="M72" s="77">
        <f>COUNTIFS('EL scheme register'!$A$7:$A$479,$A72,'EL scheme register'!$C$7:$C$479,"Unclear",'EL scheme register'!$AJ$7:$AJ$479,"Yes")</f>
        <v/>
      </c>
      <c r="N72" s="77">
        <f>SUM(I72:M72)</f>
        <v/>
      </c>
      <c r="O72" s="77">
        <f>COUNTIFS('EL scheme register'!$A$7:$A$479,$A72,'EL scheme register'!$AF$7:$AF$479,"Potentially relevant; evidence incomplete",'EL scheme register'!$AI$7:$AI$479,"Yes")</f>
        <v/>
      </c>
      <c r="P72" s="77">
        <f>COUNTIFS('EL scheme register'!$A$7:$A$479,$A72,'EL scheme register'!$AF$7:$AF$479,"Outside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register'!$A$7:$A$479,$A73,'EL scheme register'!$C$7:$C$479,"University-wide",'EL scheme register'!$AJ$7:$AJ$479,"Yes")</f>
        <v/>
      </c>
      <c r="J73" s="77">
        <f>COUNTIFS('EL scheme register'!$A$7:$A$479,$A73,'EL scheme register'!$C$7:$C$479,"Cross-faculty",'EL scheme register'!$AJ$7:$AJ$479,"Yes")</f>
        <v/>
      </c>
      <c r="K73" s="77">
        <f>COUNTIFS('EL scheme register'!$A$7:$A$479,$A73,'EL scheme register'!$C$7:$C$479,"Faculty/school",'EL scheme register'!$AJ$7:$AJ$479,"Yes")</f>
        <v/>
      </c>
      <c r="L73" s="77">
        <f>COUNTIFS('EL scheme register'!$A$7:$A$479,$A73,'EL scheme register'!$C$7:$C$479,"Programme/course",'EL scheme register'!$AJ$7:$AJ$479,"Yes")</f>
        <v/>
      </c>
      <c r="M73" s="77">
        <f>COUNTIFS('EL scheme register'!$A$7:$A$479,$A73,'EL scheme register'!$C$7:$C$479,"Unclear",'EL scheme register'!$AJ$7:$AJ$479,"Yes")</f>
        <v/>
      </c>
      <c r="N73" s="77">
        <f>SUM(I73:M73)</f>
        <v/>
      </c>
      <c r="O73" s="77">
        <f>COUNTIFS('EL scheme register'!$A$7:$A$479,$A73,'EL scheme register'!$AF$7:$AF$479,"Potentially relevant; evidence incomplete",'EL scheme register'!$AI$7:$AI$479,"Yes")</f>
        <v/>
      </c>
      <c r="P73" s="77">
        <f>COUNTIFS('EL scheme register'!$A$7:$A$479,$A73,'EL scheme register'!$AF$7:$AF$479,"Outside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register'!$A$7:$A$479,$A74,'EL scheme register'!$C$7:$C$479,"University-wide",'EL scheme register'!$AJ$7:$AJ$479,"Yes")</f>
        <v/>
      </c>
      <c r="J74" s="77">
        <f>COUNTIFS('EL scheme register'!$A$7:$A$479,$A74,'EL scheme register'!$C$7:$C$479,"Cross-faculty",'EL scheme register'!$AJ$7:$AJ$479,"Yes")</f>
        <v/>
      </c>
      <c r="K74" s="77">
        <f>COUNTIFS('EL scheme register'!$A$7:$A$479,$A74,'EL scheme register'!$C$7:$C$479,"Faculty/school",'EL scheme register'!$AJ$7:$AJ$479,"Yes")</f>
        <v/>
      </c>
      <c r="L74" s="77">
        <f>COUNTIFS('EL scheme register'!$A$7:$A$479,$A74,'EL scheme register'!$C$7:$C$479,"Programme/course",'EL scheme register'!$AJ$7:$AJ$479,"Yes")</f>
        <v/>
      </c>
      <c r="M74" s="77">
        <f>COUNTIFS('EL scheme register'!$A$7:$A$479,$A74,'EL scheme register'!$C$7:$C$479,"Unclear",'EL scheme register'!$AJ$7:$AJ$479,"Yes")</f>
        <v/>
      </c>
      <c r="N74" s="77">
        <f>SUM(I74:M74)</f>
        <v/>
      </c>
      <c r="O74" s="77">
        <f>COUNTIFS('EL scheme register'!$A$7:$A$479,$A74,'EL scheme register'!$AF$7:$AF$479,"Potentially relevant; evidence incomplete",'EL scheme register'!$AI$7:$AI$479,"Yes")</f>
        <v/>
      </c>
      <c r="P74" s="77">
        <f>COUNTIFS('EL scheme register'!$A$7:$A$479,$A74,'EL scheme register'!$AF$7:$AF$479,"Outside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register'!$A$7:$A$479,$A75,'EL scheme register'!$C$7:$C$479,"University-wide",'EL scheme register'!$AJ$7:$AJ$479,"Yes")</f>
        <v/>
      </c>
      <c r="J75" s="77">
        <f>COUNTIFS('EL scheme register'!$A$7:$A$479,$A75,'EL scheme register'!$C$7:$C$479,"Cross-faculty",'EL scheme register'!$AJ$7:$AJ$479,"Yes")</f>
        <v/>
      </c>
      <c r="K75" s="77">
        <f>COUNTIFS('EL scheme register'!$A$7:$A$479,$A75,'EL scheme register'!$C$7:$C$479,"Faculty/school",'EL scheme register'!$AJ$7:$AJ$479,"Yes")</f>
        <v/>
      </c>
      <c r="L75" s="77">
        <f>COUNTIFS('EL scheme register'!$A$7:$A$479,$A75,'EL scheme register'!$C$7:$C$479,"Programme/course",'EL scheme register'!$AJ$7:$AJ$479,"Yes")</f>
        <v/>
      </c>
      <c r="M75" s="77">
        <f>COUNTIFS('EL scheme register'!$A$7:$A$479,$A75,'EL scheme register'!$C$7:$C$479,"Unclear",'EL scheme register'!$AJ$7:$AJ$479,"Yes")</f>
        <v/>
      </c>
      <c r="N75" s="77">
        <f>SUM(I75:M75)</f>
        <v/>
      </c>
      <c r="O75" s="77">
        <f>COUNTIFS('EL scheme register'!$A$7:$A$479,$A75,'EL scheme register'!$AF$7:$AF$479,"Potentially relevant; evidence incomplete",'EL scheme register'!$AI$7:$AI$479,"Yes")</f>
        <v/>
      </c>
      <c r="P75" s="77">
        <f>COUNTIFS('EL scheme register'!$A$7:$A$479,$A75,'EL scheme register'!$AF$7:$AF$479,"Outside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register'!$A$7:$A$479,$A76,'EL scheme register'!$C$7:$C$479,"University-wide",'EL scheme register'!$AJ$7:$AJ$479,"Yes")</f>
        <v/>
      </c>
      <c r="J76" s="77">
        <f>COUNTIFS('EL scheme register'!$A$7:$A$479,$A76,'EL scheme register'!$C$7:$C$479,"Cross-faculty",'EL scheme register'!$AJ$7:$AJ$479,"Yes")</f>
        <v/>
      </c>
      <c r="K76" s="77">
        <f>COUNTIFS('EL scheme register'!$A$7:$A$479,$A76,'EL scheme register'!$C$7:$C$479,"Faculty/school",'EL scheme register'!$AJ$7:$AJ$479,"Yes")</f>
        <v/>
      </c>
      <c r="L76" s="77">
        <f>COUNTIFS('EL scheme register'!$A$7:$A$479,$A76,'EL scheme register'!$C$7:$C$479,"Programme/course",'EL scheme register'!$AJ$7:$AJ$479,"Yes")</f>
        <v/>
      </c>
      <c r="M76" s="77">
        <f>COUNTIFS('EL scheme register'!$A$7:$A$479,$A76,'EL scheme register'!$C$7:$C$479,"Unclear",'EL scheme register'!$AJ$7:$AJ$479,"Yes")</f>
        <v/>
      </c>
      <c r="N76" s="77">
        <f>SUM(I76:M76)</f>
        <v/>
      </c>
      <c r="O76" s="77">
        <f>COUNTIFS('EL scheme register'!$A$7:$A$479,$A76,'EL scheme register'!$AF$7:$AF$479,"Potentially relevant; evidence incomplete",'EL scheme register'!$AI$7:$AI$479,"Yes")</f>
        <v/>
      </c>
      <c r="P76" s="77">
        <f>COUNTIFS('EL scheme register'!$A$7:$A$479,$A76,'EL scheme register'!$AF$7:$AF$479,"Outside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register'!$A$7:$A$479,$A77,'EL scheme register'!$C$7:$C$479,"University-wide",'EL scheme register'!$AJ$7:$AJ$479,"Yes")</f>
        <v/>
      </c>
      <c r="J77" s="77">
        <f>COUNTIFS('EL scheme register'!$A$7:$A$479,$A77,'EL scheme register'!$C$7:$C$479,"Cross-faculty",'EL scheme register'!$AJ$7:$AJ$479,"Yes")</f>
        <v/>
      </c>
      <c r="K77" s="77">
        <f>COUNTIFS('EL scheme register'!$A$7:$A$479,$A77,'EL scheme register'!$C$7:$C$479,"Faculty/school",'EL scheme register'!$AJ$7:$AJ$479,"Yes")</f>
        <v/>
      </c>
      <c r="L77" s="77">
        <f>COUNTIFS('EL scheme register'!$A$7:$A$479,$A77,'EL scheme register'!$C$7:$C$479,"Programme/course",'EL scheme register'!$AJ$7:$AJ$479,"Yes")</f>
        <v/>
      </c>
      <c r="M77" s="77">
        <f>COUNTIFS('EL scheme register'!$A$7:$A$479,$A77,'EL scheme register'!$C$7:$C$479,"Unclear",'EL scheme register'!$AJ$7:$AJ$479,"Yes")</f>
        <v/>
      </c>
      <c r="N77" s="77">
        <f>SUM(I77:M77)</f>
        <v/>
      </c>
      <c r="O77" s="77">
        <f>COUNTIFS('EL scheme register'!$A$7:$A$479,$A77,'EL scheme register'!$AF$7:$AF$479,"Potentially relevant; evidence incomplete",'EL scheme register'!$AI$7:$AI$479,"Yes")</f>
        <v/>
      </c>
      <c r="P77" s="77">
        <f>COUNTIFS('EL scheme register'!$A$7:$A$479,$A77,'EL scheme register'!$AF$7:$AF$479,"Outside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register'!$A$7:$A$479,$A78,'EL scheme register'!$C$7:$C$479,"University-wide",'EL scheme register'!$AJ$7:$AJ$479,"Yes")</f>
        <v/>
      </c>
      <c r="J78" s="77">
        <f>COUNTIFS('EL scheme register'!$A$7:$A$479,$A78,'EL scheme register'!$C$7:$C$479,"Cross-faculty",'EL scheme register'!$AJ$7:$AJ$479,"Yes")</f>
        <v/>
      </c>
      <c r="K78" s="77">
        <f>COUNTIFS('EL scheme register'!$A$7:$A$479,$A78,'EL scheme register'!$C$7:$C$479,"Faculty/school",'EL scheme register'!$AJ$7:$AJ$479,"Yes")</f>
        <v/>
      </c>
      <c r="L78" s="77">
        <f>COUNTIFS('EL scheme register'!$A$7:$A$479,$A78,'EL scheme register'!$C$7:$C$479,"Programme/course",'EL scheme register'!$AJ$7:$AJ$479,"Yes")</f>
        <v/>
      </c>
      <c r="M78" s="77">
        <f>COUNTIFS('EL scheme register'!$A$7:$A$479,$A78,'EL scheme register'!$C$7:$C$479,"Unclear",'EL scheme register'!$AJ$7:$AJ$479,"Yes")</f>
        <v/>
      </c>
      <c r="N78" s="77">
        <f>SUM(I78:M78)</f>
        <v/>
      </c>
      <c r="O78" s="77">
        <f>COUNTIFS('EL scheme register'!$A$7:$A$479,$A78,'EL scheme register'!$AF$7:$AF$479,"Potentially relevant; evidence incomplete",'EL scheme register'!$AI$7:$AI$479,"Yes")</f>
        <v/>
      </c>
      <c r="P78" s="77">
        <f>COUNTIFS('EL scheme register'!$A$7:$A$479,$A78,'EL scheme register'!$AF$7:$AF$479,"Outside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register'!$A$7:$A$479,$A79,'EL scheme register'!$C$7:$C$479,"University-wide",'EL scheme register'!$AJ$7:$AJ$479,"Yes")</f>
        <v/>
      </c>
      <c r="J79" s="77">
        <f>COUNTIFS('EL scheme register'!$A$7:$A$479,$A79,'EL scheme register'!$C$7:$C$479,"Cross-faculty",'EL scheme register'!$AJ$7:$AJ$479,"Yes")</f>
        <v/>
      </c>
      <c r="K79" s="77">
        <f>COUNTIFS('EL scheme register'!$A$7:$A$479,$A79,'EL scheme register'!$C$7:$C$479,"Faculty/school",'EL scheme register'!$AJ$7:$AJ$479,"Yes")</f>
        <v/>
      </c>
      <c r="L79" s="77">
        <f>COUNTIFS('EL scheme register'!$A$7:$A$479,$A79,'EL scheme register'!$C$7:$C$479,"Programme/course",'EL scheme register'!$AJ$7:$AJ$479,"Yes")</f>
        <v/>
      </c>
      <c r="M79" s="77">
        <f>COUNTIFS('EL scheme register'!$A$7:$A$479,$A79,'EL scheme register'!$C$7:$C$479,"Unclear",'EL scheme register'!$AJ$7:$AJ$479,"Yes")</f>
        <v/>
      </c>
      <c r="N79" s="77">
        <f>SUM(I79:M79)</f>
        <v/>
      </c>
      <c r="O79" s="77">
        <f>COUNTIFS('EL scheme register'!$A$7:$A$479,$A79,'EL scheme register'!$AF$7:$AF$479,"Potentially relevant; evidence incomplete",'EL scheme register'!$AI$7:$AI$479,"Yes")</f>
        <v/>
      </c>
      <c r="P79" s="77">
        <f>COUNTIFS('EL scheme register'!$A$7:$A$479,$A79,'EL scheme register'!$AF$7:$AF$479,"Outside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register'!$A$7:$A$479,$A80,'EL scheme register'!$C$7:$C$479,"University-wide",'EL scheme register'!$AJ$7:$AJ$479,"Yes")</f>
        <v/>
      </c>
      <c r="J80" s="77">
        <f>COUNTIFS('EL scheme register'!$A$7:$A$479,$A80,'EL scheme register'!$C$7:$C$479,"Cross-faculty",'EL scheme register'!$AJ$7:$AJ$479,"Yes")</f>
        <v/>
      </c>
      <c r="K80" s="77">
        <f>COUNTIFS('EL scheme register'!$A$7:$A$479,$A80,'EL scheme register'!$C$7:$C$479,"Faculty/school",'EL scheme register'!$AJ$7:$AJ$479,"Yes")</f>
        <v/>
      </c>
      <c r="L80" s="77">
        <f>COUNTIFS('EL scheme register'!$A$7:$A$479,$A80,'EL scheme register'!$C$7:$C$479,"Programme/course",'EL scheme register'!$AJ$7:$AJ$479,"Yes")</f>
        <v/>
      </c>
      <c r="M80" s="77">
        <f>COUNTIFS('EL scheme register'!$A$7:$A$479,$A80,'EL scheme register'!$C$7:$C$479,"Unclear",'EL scheme register'!$AJ$7:$AJ$479,"Yes")</f>
        <v/>
      </c>
      <c r="N80" s="77">
        <f>SUM(I80:M80)</f>
        <v/>
      </c>
      <c r="O80" s="77">
        <f>COUNTIFS('EL scheme register'!$A$7:$A$479,$A80,'EL scheme register'!$AF$7:$AF$479,"Potentially relevant; evidence incomplete",'EL scheme register'!$AI$7:$AI$479,"Yes")</f>
        <v/>
      </c>
      <c r="P80" s="77">
        <f>COUNTIFS('EL scheme register'!$A$7:$A$479,$A80,'EL scheme register'!$AF$7:$AF$479,"Outside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register'!$A$7:$A$479,$A81,'EL scheme register'!$C$7:$C$479,"University-wide",'EL scheme register'!$AJ$7:$AJ$479,"Yes")</f>
        <v/>
      </c>
      <c r="J81" s="77">
        <f>COUNTIFS('EL scheme register'!$A$7:$A$479,$A81,'EL scheme register'!$C$7:$C$479,"Cross-faculty",'EL scheme register'!$AJ$7:$AJ$479,"Yes")</f>
        <v/>
      </c>
      <c r="K81" s="77">
        <f>COUNTIFS('EL scheme register'!$A$7:$A$479,$A81,'EL scheme register'!$C$7:$C$479,"Faculty/school",'EL scheme register'!$AJ$7:$AJ$479,"Yes")</f>
        <v/>
      </c>
      <c r="L81" s="77">
        <f>COUNTIFS('EL scheme register'!$A$7:$A$479,$A81,'EL scheme register'!$C$7:$C$479,"Programme/course",'EL scheme register'!$AJ$7:$AJ$479,"Yes")</f>
        <v/>
      </c>
      <c r="M81" s="77">
        <f>COUNTIFS('EL scheme register'!$A$7:$A$479,$A81,'EL scheme register'!$C$7:$C$479,"Unclear",'EL scheme register'!$AJ$7:$AJ$479,"Yes")</f>
        <v/>
      </c>
      <c r="N81" s="77">
        <f>SUM(I81:M81)</f>
        <v/>
      </c>
      <c r="O81" s="77">
        <f>COUNTIFS('EL scheme register'!$A$7:$A$479,$A81,'EL scheme register'!$AF$7:$AF$479,"Potentially relevant; evidence incomplete",'EL scheme register'!$AI$7:$AI$479,"Yes")</f>
        <v/>
      </c>
      <c r="P81" s="77">
        <f>COUNTIFS('EL scheme register'!$A$7:$A$479,$A81,'EL scheme register'!$AF$7:$AF$479,"Outside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register'!$A$7:$A$479,$A82,'EL scheme register'!$C$7:$C$479,"University-wide",'EL scheme register'!$AJ$7:$AJ$479,"Yes")</f>
        <v/>
      </c>
      <c r="J82" s="77">
        <f>COUNTIFS('EL scheme register'!$A$7:$A$479,$A82,'EL scheme register'!$C$7:$C$479,"Cross-faculty",'EL scheme register'!$AJ$7:$AJ$479,"Yes")</f>
        <v/>
      </c>
      <c r="K82" s="77">
        <f>COUNTIFS('EL scheme register'!$A$7:$A$479,$A82,'EL scheme register'!$C$7:$C$479,"Faculty/school",'EL scheme register'!$AJ$7:$AJ$479,"Yes")</f>
        <v/>
      </c>
      <c r="L82" s="77">
        <f>COUNTIFS('EL scheme register'!$A$7:$A$479,$A82,'EL scheme register'!$C$7:$C$479,"Programme/course",'EL scheme register'!$AJ$7:$AJ$479,"Yes")</f>
        <v/>
      </c>
      <c r="M82" s="77">
        <f>COUNTIFS('EL scheme register'!$A$7:$A$479,$A82,'EL scheme register'!$C$7:$C$479,"Unclear",'EL scheme register'!$AJ$7:$AJ$479,"Yes")</f>
        <v/>
      </c>
      <c r="N82" s="77">
        <f>SUM(I82:M82)</f>
        <v/>
      </c>
      <c r="O82" s="77">
        <f>COUNTIFS('EL scheme register'!$A$7:$A$479,$A82,'EL scheme register'!$AF$7:$AF$479,"Potentially relevant; evidence incomplete",'EL scheme register'!$AI$7:$AI$479,"Yes")</f>
        <v/>
      </c>
      <c r="P82" s="77">
        <f>COUNTIFS('EL scheme register'!$A$7:$A$479,$A82,'EL scheme register'!$AF$7:$AF$479,"Outside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register'!$A$7:$A$479,$A83,'EL scheme register'!$C$7:$C$479,"University-wide",'EL scheme register'!$AJ$7:$AJ$479,"Yes")</f>
        <v/>
      </c>
      <c r="J83" s="77">
        <f>COUNTIFS('EL scheme register'!$A$7:$A$479,$A83,'EL scheme register'!$C$7:$C$479,"Cross-faculty",'EL scheme register'!$AJ$7:$AJ$479,"Yes")</f>
        <v/>
      </c>
      <c r="K83" s="77">
        <f>COUNTIFS('EL scheme register'!$A$7:$A$479,$A83,'EL scheme register'!$C$7:$C$479,"Faculty/school",'EL scheme register'!$AJ$7:$AJ$479,"Yes")</f>
        <v/>
      </c>
      <c r="L83" s="77">
        <f>COUNTIFS('EL scheme register'!$A$7:$A$479,$A83,'EL scheme register'!$C$7:$C$479,"Programme/course",'EL scheme register'!$AJ$7:$AJ$479,"Yes")</f>
        <v/>
      </c>
      <c r="M83" s="77">
        <f>COUNTIFS('EL scheme register'!$A$7:$A$479,$A83,'EL scheme register'!$C$7:$C$479,"Unclear",'EL scheme register'!$AJ$7:$AJ$479,"Yes")</f>
        <v/>
      </c>
      <c r="N83" s="77">
        <f>SUM(I83:M83)</f>
        <v/>
      </c>
      <c r="O83" s="77">
        <f>COUNTIFS('EL scheme register'!$A$7:$A$479,$A83,'EL scheme register'!$AF$7:$AF$479,"Potentially relevant; evidence incomplete",'EL scheme register'!$AI$7:$AI$479,"Yes")</f>
        <v/>
      </c>
      <c r="P83" s="77">
        <f>COUNTIFS('EL scheme register'!$A$7:$A$479,$A83,'EL scheme register'!$AF$7:$AF$479,"Outside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register'!$A$7:$A$479,$A84,'EL scheme register'!$C$7:$C$479,"University-wide",'EL scheme register'!$AJ$7:$AJ$479,"Yes")</f>
        <v/>
      </c>
      <c r="J84" s="77">
        <f>COUNTIFS('EL scheme register'!$A$7:$A$479,$A84,'EL scheme register'!$C$7:$C$479,"Cross-faculty",'EL scheme register'!$AJ$7:$AJ$479,"Yes")</f>
        <v/>
      </c>
      <c r="K84" s="77">
        <f>COUNTIFS('EL scheme register'!$A$7:$A$479,$A84,'EL scheme register'!$C$7:$C$479,"Faculty/school",'EL scheme register'!$AJ$7:$AJ$479,"Yes")</f>
        <v/>
      </c>
      <c r="L84" s="77">
        <f>COUNTIFS('EL scheme register'!$A$7:$A$479,$A84,'EL scheme register'!$C$7:$C$479,"Programme/course",'EL scheme register'!$AJ$7:$AJ$479,"Yes")</f>
        <v/>
      </c>
      <c r="M84" s="77">
        <f>COUNTIFS('EL scheme register'!$A$7:$A$479,$A84,'EL scheme register'!$C$7:$C$479,"Unclear",'EL scheme register'!$AJ$7:$AJ$479,"Yes")</f>
        <v/>
      </c>
      <c r="N84" s="77">
        <f>SUM(I84:M84)</f>
        <v/>
      </c>
      <c r="O84" s="77">
        <f>COUNTIFS('EL scheme register'!$A$7:$A$479,$A84,'EL scheme register'!$AF$7:$AF$479,"Potentially relevant; evidence incomplete",'EL scheme register'!$AI$7:$AI$479,"Yes")</f>
        <v/>
      </c>
      <c r="P84" s="77">
        <f>COUNTIFS('EL scheme register'!$A$7:$A$479,$A84,'EL scheme register'!$AF$7:$AF$479,"Outside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register'!$A$7:$A$479,$A85,'EL scheme register'!$C$7:$C$479,"University-wide",'EL scheme register'!$AJ$7:$AJ$479,"Yes")</f>
        <v/>
      </c>
      <c r="J85" s="77">
        <f>COUNTIFS('EL scheme register'!$A$7:$A$479,$A85,'EL scheme register'!$C$7:$C$479,"Cross-faculty",'EL scheme register'!$AJ$7:$AJ$479,"Yes")</f>
        <v/>
      </c>
      <c r="K85" s="77">
        <f>COUNTIFS('EL scheme register'!$A$7:$A$479,$A85,'EL scheme register'!$C$7:$C$479,"Faculty/school",'EL scheme register'!$AJ$7:$AJ$479,"Yes")</f>
        <v/>
      </c>
      <c r="L85" s="77">
        <f>COUNTIFS('EL scheme register'!$A$7:$A$479,$A85,'EL scheme register'!$C$7:$C$479,"Programme/course",'EL scheme register'!$AJ$7:$AJ$479,"Yes")</f>
        <v/>
      </c>
      <c r="M85" s="77">
        <f>COUNTIFS('EL scheme register'!$A$7:$A$479,$A85,'EL scheme register'!$C$7:$C$479,"Unclear",'EL scheme register'!$AJ$7:$AJ$479,"Yes")</f>
        <v/>
      </c>
      <c r="N85" s="77">
        <f>SUM(I85:M85)</f>
        <v/>
      </c>
      <c r="O85" s="77">
        <f>COUNTIFS('EL scheme register'!$A$7:$A$479,$A85,'EL scheme register'!$AF$7:$AF$479,"Potentially relevant; evidence incomplete",'EL scheme register'!$AI$7:$AI$479,"Yes")</f>
        <v/>
      </c>
      <c r="P85" s="77">
        <f>COUNTIFS('EL scheme register'!$A$7:$A$479,$A85,'EL scheme register'!$AF$7:$AF$479,"Outside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register'!$A$7:$A$479,$A86,'EL scheme register'!$C$7:$C$479,"University-wide",'EL scheme register'!$AJ$7:$AJ$479,"Yes")</f>
        <v/>
      </c>
      <c r="J86" s="77">
        <f>COUNTIFS('EL scheme register'!$A$7:$A$479,$A86,'EL scheme register'!$C$7:$C$479,"Cross-faculty",'EL scheme register'!$AJ$7:$AJ$479,"Yes")</f>
        <v/>
      </c>
      <c r="K86" s="77">
        <f>COUNTIFS('EL scheme register'!$A$7:$A$479,$A86,'EL scheme register'!$C$7:$C$479,"Faculty/school",'EL scheme register'!$AJ$7:$AJ$479,"Yes")</f>
        <v/>
      </c>
      <c r="L86" s="77">
        <f>COUNTIFS('EL scheme register'!$A$7:$A$479,$A86,'EL scheme register'!$C$7:$C$479,"Programme/course",'EL scheme register'!$AJ$7:$AJ$479,"Yes")</f>
        <v/>
      </c>
      <c r="M86" s="77">
        <f>COUNTIFS('EL scheme register'!$A$7:$A$479,$A86,'EL scheme register'!$C$7:$C$479,"Unclear",'EL scheme register'!$AJ$7:$AJ$479,"Yes")</f>
        <v/>
      </c>
      <c r="N86" s="77">
        <f>SUM(I86:M86)</f>
        <v/>
      </c>
      <c r="O86" s="77">
        <f>COUNTIFS('EL scheme register'!$A$7:$A$479,$A86,'EL scheme register'!$AF$7:$AF$479,"Potentially relevant; evidence incomplete",'EL scheme register'!$AI$7:$AI$479,"Yes")</f>
        <v/>
      </c>
      <c r="P86" s="77">
        <f>COUNTIFS('EL scheme register'!$A$7:$A$479,$A86,'EL scheme register'!$AF$7:$AF$479,"Outside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register'!$A$7:$A$479,$A87,'EL scheme register'!$C$7:$C$479,"University-wide",'EL scheme register'!$AJ$7:$AJ$479,"Yes")</f>
        <v/>
      </c>
      <c r="J87" s="77">
        <f>COUNTIFS('EL scheme register'!$A$7:$A$479,$A87,'EL scheme register'!$C$7:$C$479,"Cross-faculty",'EL scheme register'!$AJ$7:$AJ$479,"Yes")</f>
        <v/>
      </c>
      <c r="K87" s="77">
        <f>COUNTIFS('EL scheme register'!$A$7:$A$479,$A87,'EL scheme register'!$C$7:$C$479,"Faculty/school",'EL scheme register'!$AJ$7:$AJ$479,"Yes")</f>
        <v/>
      </c>
      <c r="L87" s="77">
        <f>COUNTIFS('EL scheme register'!$A$7:$A$479,$A87,'EL scheme register'!$C$7:$C$479,"Programme/course",'EL scheme register'!$AJ$7:$AJ$479,"Yes")</f>
        <v/>
      </c>
      <c r="M87" s="77">
        <f>COUNTIFS('EL scheme register'!$A$7:$A$479,$A87,'EL scheme register'!$C$7:$C$479,"Unclear",'EL scheme register'!$AJ$7:$AJ$479,"Yes")</f>
        <v/>
      </c>
      <c r="N87" s="77">
        <f>SUM(I87:M87)</f>
        <v/>
      </c>
      <c r="O87" s="77">
        <f>COUNTIFS('EL scheme register'!$A$7:$A$479,$A87,'EL scheme register'!$AF$7:$AF$479,"Potentially relevant; evidence incomplete",'EL scheme register'!$AI$7:$AI$479,"Yes")</f>
        <v/>
      </c>
      <c r="P87" s="77">
        <f>COUNTIFS('EL scheme register'!$A$7:$A$479,$A87,'EL scheme register'!$AF$7:$AF$479,"Outside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register'!$A$7:$A$479,$A88,'EL scheme register'!$C$7:$C$479,"University-wide",'EL scheme register'!$AJ$7:$AJ$479,"Yes")</f>
        <v/>
      </c>
      <c r="J88" s="77">
        <f>COUNTIFS('EL scheme register'!$A$7:$A$479,$A88,'EL scheme register'!$C$7:$C$479,"Cross-faculty",'EL scheme register'!$AJ$7:$AJ$479,"Yes")</f>
        <v/>
      </c>
      <c r="K88" s="77">
        <f>COUNTIFS('EL scheme register'!$A$7:$A$479,$A88,'EL scheme register'!$C$7:$C$479,"Faculty/school",'EL scheme register'!$AJ$7:$AJ$479,"Yes")</f>
        <v/>
      </c>
      <c r="L88" s="77">
        <f>COUNTIFS('EL scheme register'!$A$7:$A$479,$A88,'EL scheme register'!$C$7:$C$479,"Programme/course",'EL scheme register'!$AJ$7:$AJ$479,"Yes")</f>
        <v/>
      </c>
      <c r="M88" s="77">
        <f>COUNTIFS('EL scheme register'!$A$7:$A$479,$A88,'EL scheme register'!$C$7:$C$479,"Unclear",'EL scheme register'!$AJ$7:$AJ$479,"Yes")</f>
        <v/>
      </c>
      <c r="N88" s="77">
        <f>SUM(I88:M88)</f>
        <v/>
      </c>
      <c r="O88" s="77">
        <f>COUNTIFS('EL scheme register'!$A$7:$A$479,$A88,'EL scheme register'!$AF$7:$AF$479,"Potentially relevant; evidence incomplete",'EL scheme register'!$AI$7:$AI$479,"Yes")</f>
        <v/>
      </c>
      <c r="P88" s="77">
        <f>COUNTIFS('EL scheme register'!$A$7:$A$479,$A88,'EL scheme register'!$AF$7:$AF$479,"Outside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register'!$A$7:$A$479,$A89,'EL scheme register'!$C$7:$C$479,"University-wide",'EL scheme register'!$AJ$7:$AJ$479,"Yes")</f>
        <v/>
      </c>
      <c r="J89" s="77">
        <f>COUNTIFS('EL scheme register'!$A$7:$A$479,$A89,'EL scheme register'!$C$7:$C$479,"Cross-faculty",'EL scheme register'!$AJ$7:$AJ$479,"Yes")</f>
        <v/>
      </c>
      <c r="K89" s="77">
        <f>COUNTIFS('EL scheme register'!$A$7:$A$479,$A89,'EL scheme register'!$C$7:$C$479,"Faculty/school",'EL scheme register'!$AJ$7:$AJ$479,"Yes")</f>
        <v/>
      </c>
      <c r="L89" s="77">
        <f>COUNTIFS('EL scheme register'!$A$7:$A$479,$A89,'EL scheme register'!$C$7:$C$479,"Programme/course",'EL scheme register'!$AJ$7:$AJ$479,"Yes")</f>
        <v/>
      </c>
      <c r="M89" s="77">
        <f>COUNTIFS('EL scheme register'!$A$7:$A$479,$A89,'EL scheme register'!$C$7:$C$479,"Unclear",'EL scheme register'!$AJ$7:$AJ$479,"Yes")</f>
        <v/>
      </c>
      <c r="N89" s="77">
        <f>SUM(I89:M89)</f>
        <v/>
      </c>
      <c r="O89" s="77">
        <f>COUNTIFS('EL scheme register'!$A$7:$A$479,$A89,'EL scheme register'!$AF$7:$AF$479,"Potentially relevant; evidence incomplete",'EL scheme register'!$AI$7:$AI$479,"Yes")</f>
        <v/>
      </c>
      <c r="P89" s="77">
        <f>COUNTIFS('EL scheme register'!$A$7:$A$479,$A89,'EL scheme register'!$AF$7:$AF$479,"Outside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register'!$A$7:$A$479,$A90,'EL scheme register'!$C$7:$C$479,"University-wide",'EL scheme register'!$AJ$7:$AJ$479,"Yes")</f>
        <v/>
      </c>
      <c r="J90" s="77">
        <f>COUNTIFS('EL scheme register'!$A$7:$A$479,$A90,'EL scheme register'!$C$7:$C$479,"Cross-faculty",'EL scheme register'!$AJ$7:$AJ$479,"Yes")</f>
        <v/>
      </c>
      <c r="K90" s="77">
        <f>COUNTIFS('EL scheme register'!$A$7:$A$479,$A90,'EL scheme register'!$C$7:$C$479,"Faculty/school",'EL scheme register'!$AJ$7:$AJ$479,"Yes")</f>
        <v/>
      </c>
      <c r="L90" s="77">
        <f>COUNTIFS('EL scheme register'!$A$7:$A$479,$A90,'EL scheme register'!$C$7:$C$479,"Programme/course",'EL scheme register'!$AJ$7:$AJ$479,"Yes")</f>
        <v/>
      </c>
      <c r="M90" s="77">
        <f>COUNTIFS('EL scheme register'!$A$7:$A$479,$A90,'EL scheme register'!$C$7:$C$479,"Unclear",'EL scheme register'!$AJ$7:$AJ$479,"Yes")</f>
        <v/>
      </c>
      <c r="N90" s="77">
        <f>SUM(I90:M90)</f>
        <v/>
      </c>
      <c r="O90" s="77">
        <f>COUNTIFS('EL scheme register'!$A$7:$A$479,$A90,'EL scheme register'!$AF$7:$AF$479,"Potentially relevant; evidence incomplete",'EL scheme register'!$AI$7:$AI$479,"Yes")</f>
        <v/>
      </c>
      <c r="P90" s="77">
        <f>COUNTIFS('EL scheme register'!$A$7:$A$479,$A90,'EL scheme register'!$AF$7:$AF$479,"Outside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register'!$A$7:$A$479,$A91,'EL scheme register'!$C$7:$C$479,"University-wide",'EL scheme register'!$AJ$7:$AJ$479,"Yes")</f>
        <v/>
      </c>
      <c r="J91" s="77">
        <f>COUNTIFS('EL scheme register'!$A$7:$A$479,$A91,'EL scheme register'!$C$7:$C$479,"Cross-faculty",'EL scheme register'!$AJ$7:$AJ$479,"Yes")</f>
        <v/>
      </c>
      <c r="K91" s="77">
        <f>COUNTIFS('EL scheme register'!$A$7:$A$479,$A91,'EL scheme register'!$C$7:$C$479,"Faculty/school",'EL scheme register'!$AJ$7:$AJ$479,"Yes")</f>
        <v/>
      </c>
      <c r="L91" s="77">
        <f>COUNTIFS('EL scheme register'!$A$7:$A$479,$A91,'EL scheme register'!$C$7:$C$479,"Programme/course",'EL scheme register'!$AJ$7:$AJ$479,"Yes")</f>
        <v/>
      </c>
      <c r="M91" s="77">
        <f>COUNTIFS('EL scheme register'!$A$7:$A$479,$A91,'EL scheme register'!$C$7:$C$479,"Unclear",'EL scheme register'!$AJ$7:$AJ$479,"Yes")</f>
        <v/>
      </c>
      <c r="N91" s="77">
        <f>SUM(I91:M91)</f>
        <v/>
      </c>
      <c r="O91" s="77">
        <f>COUNTIFS('EL scheme register'!$A$7:$A$479,$A91,'EL scheme register'!$AF$7:$AF$479,"Potentially relevant; evidence incomplete",'EL scheme register'!$AI$7:$AI$479,"Yes")</f>
        <v/>
      </c>
      <c r="P91" s="77">
        <f>COUNTIFS('EL scheme register'!$A$7:$A$479,$A91,'EL scheme register'!$AF$7:$AF$479,"Outside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register'!$A$7:$A$479,$A92,'EL scheme register'!$C$7:$C$479,"University-wide",'EL scheme register'!$AJ$7:$AJ$479,"Yes")</f>
        <v/>
      </c>
      <c r="J92" s="77">
        <f>COUNTIFS('EL scheme register'!$A$7:$A$479,$A92,'EL scheme register'!$C$7:$C$479,"Cross-faculty",'EL scheme register'!$AJ$7:$AJ$479,"Yes")</f>
        <v/>
      </c>
      <c r="K92" s="77">
        <f>COUNTIFS('EL scheme register'!$A$7:$A$479,$A92,'EL scheme register'!$C$7:$C$479,"Faculty/school",'EL scheme register'!$AJ$7:$AJ$479,"Yes")</f>
        <v/>
      </c>
      <c r="L92" s="77">
        <f>COUNTIFS('EL scheme register'!$A$7:$A$479,$A92,'EL scheme register'!$C$7:$C$479,"Programme/course",'EL scheme register'!$AJ$7:$AJ$479,"Yes")</f>
        <v/>
      </c>
      <c r="M92" s="77">
        <f>COUNTIFS('EL scheme register'!$A$7:$A$479,$A92,'EL scheme register'!$C$7:$C$479,"Unclear",'EL scheme register'!$AJ$7:$AJ$479,"Yes")</f>
        <v/>
      </c>
      <c r="N92" s="77">
        <f>SUM(I92:M92)</f>
        <v/>
      </c>
      <c r="O92" s="77">
        <f>COUNTIFS('EL scheme register'!$A$7:$A$479,$A92,'EL scheme register'!$AF$7:$AF$479,"Potentially relevant; evidence incomplete",'EL scheme register'!$AI$7:$AI$479,"Yes")</f>
        <v/>
      </c>
      <c r="P92" s="77">
        <f>COUNTIFS('EL scheme register'!$A$7:$A$479,$A92,'EL scheme register'!$AF$7:$AF$479,"Outside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register'!$A$7:$A$479,$A93,'EL scheme register'!$C$7:$C$479,"University-wide",'EL scheme register'!$AJ$7:$AJ$479,"Yes")</f>
        <v/>
      </c>
      <c r="J93" s="77">
        <f>COUNTIFS('EL scheme register'!$A$7:$A$479,$A93,'EL scheme register'!$C$7:$C$479,"Cross-faculty",'EL scheme register'!$AJ$7:$AJ$479,"Yes")</f>
        <v/>
      </c>
      <c r="K93" s="77">
        <f>COUNTIFS('EL scheme register'!$A$7:$A$479,$A93,'EL scheme register'!$C$7:$C$479,"Faculty/school",'EL scheme register'!$AJ$7:$AJ$479,"Yes")</f>
        <v/>
      </c>
      <c r="L93" s="77">
        <f>COUNTIFS('EL scheme register'!$A$7:$A$479,$A93,'EL scheme register'!$C$7:$C$479,"Programme/course",'EL scheme register'!$AJ$7:$AJ$479,"Yes")</f>
        <v/>
      </c>
      <c r="M93" s="77">
        <f>COUNTIFS('EL scheme register'!$A$7:$A$479,$A93,'EL scheme register'!$C$7:$C$479,"Unclear",'EL scheme register'!$AJ$7:$AJ$479,"Yes")</f>
        <v/>
      </c>
      <c r="N93" s="77">
        <f>SUM(I93:M93)</f>
        <v/>
      </c>
      <c r="O93" s="77">
        <f>COUNTIFS('EL scheme register'!$A$7:$A$479,$A93,'EL scheme register'!$AF$7:$AF$479,"Potentially relevant; evidence incomplete",'EL scheme register'!$AI$7:$AI$479,"Yes")</f>
        <v/>
      </c>
      <c r="P93" s="77">
        <f>COUNTIFS('EL scheme register'!$A$7:$A$479,$A93,'EL scheme register'!$AF$7:$AF$479,"Outside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register'!$A$7:$A$479,$A94,'EL scheme register'!$C$7:$C$479,"University-wide",'EL scheme register'!$AJ$7:$AJ$479,"Yes")</f>
        <v/>
      </c>
      <c r="J94" s="77">
        <f>COUNTIFS('EL scheme register'!$A$7:$A$479,$A94,'EL scheme register'!$C$7:$C$479,"Cross-faculty",'EL scheme register'!$AJ$7:$AJ$479,"Yes")</f>
        <v/>
      </c>
      <c r="K94" s="77">
        <f>COUNTIFS('EL scheme register'!$A$7:$A$479,$A94,'EL scheme register'!$C$7:$C$479,"Faculty/school",'EL scheme register'!$AJ$7:$AJ$479,"Yes")</f>
        <v/>
      </c>
      <c r="L94" s="77">
        <f>COUNTIFS('EL scheme register'!$A$7:$A$479,$A94,'EL scheme register'!$C$7:$C$479,"Programme/course",'EL scheme register'!$AJ$7:$AJ$479,"Yes")</f>
        <v/>
      </c>
      <c r="M94" s="77">
        <f>COUNTIFS('EL scheme register'!$A$7:$A$479,$A94,'EL scheme register'!$C$7:$C$479,"Unclear",'EL scheme register'!$AJ$7:$AJ$479,"Yes")</f>
        <v/>
      </c>
      <c r="N94" s="77">
        <f>SUM(I94:M94)</f>
        <v/>
      </c>
      <c r="O94" s="77">
        <f>COUNTIFS('EL scheme register'!$A$7:$A$479,$A94,'EL scheme register'!$AF$7:$AF$479,"Potentially relevant; evidence incomplete",'EL scheme register'!$AI$7:$AI$479,"Yes")</f>
        <v/>
      </c>
      <c r="P94" s="77">
        <f>COUNTIFS('EL scheme register'!$A$7:$A$479,$A94,'EL scheme register'!$AF$7:$AF$479,"Outside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register'!$A$7:$A$479,$A95,'EL scheme register'!$C$7:$C$479,"University-wide",'EL scheme register'!$AJ$7:$AJ$479,"Yes")</f>
        <v/>
      </c>
      <c r="J95" s="77">
        <f>COUNTIFS('EL scheme register'!$A$7:$A$479,$A95,'EL scheme register'!$C$7:$C$479,"Cross-faculty",'EL scheme register'!$AJ$7:$AJ$479,"Yes")</f>
        <v/>
      </c>
      <c r="K95" s="77">
        <f>COUNTIFS('EL scheme register'!$A$7:$A$479,$A95,'EL scheme register'!$C$7:$C$479,"Faculty/school",'EL scheme register'!$AJ$7:$AJ$479,"Yes")</f>
        <v/>
      </c>
      <c r="L95" s="77">
        <f>COUNTIFS('EL scheme register'!$A$7:$A$479,$A95,'EL scheme register'!$C$7:$C$479,"Programme/course",'EL scheme register'!$AJ$7:$AJ$479,"Yes")</f>
        <v/>
      </c>
      <c r="M95" s="77">
        <f>COUNTIFS('EL scheme register'!$A$7:$A$479,$A95,'EL scheme register'!$C$7:$C$479,"Unclear",'EL scheme register'!$AJ$7:$AJ$479,"Yes")</f>
        <v/>
      </c>
      <c r="N95" s="77">
        <f>SUM(I95:M95)</f>
        <v/>
      </c>
      <c r="O95" s="77">
        <f>COUNTIFS('EL scheme register'!$A$7:$A$479,$A95,'EL scheme register'!$AF$7:$AF$479,"Potentially relevant; evidence incomplete",'EL scheme register'!$AI$7:$AI$479,"Yes")</f>
        <v/>
      </c>
      <c r="P95" s="77">
        <f>COUNTIFS('EL scheme register'!$A$7:$A$479,$A95,'EL scheme register'!$AF$7:$AF$479,"Outside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register'!$A$7:$A$479,$A96,'EL scheme register'!$C$7:$C$479,"University-wide",'EL scheme register'!$AJ$7:$AJ$479,"Yes")</f>
        <v/>
      </c>
      <c r="J96" s="77">
        <f>COUNTIFS('EL scheme register'!$A$7:$A$479,$A96,'EL scheme register'!$C$7:$C$479,"Cross-faculty",'EL scheme register'!$AJ$7:$AJ$479,"Yes")</f>
        <v/>
      </c>
      <c r="K96" s="77">
        <f>COUNTIFS('EL scheme register'!$A$7:$A$479,$A96,'EL scheme register'!$C$7:$C$479,"Faculty/school",'EL scheme register'!$AJ$7:$AJ$479,"Yes")</f>
        <v/>
      </c>
      <c r="L96" s="77">
        <f>COUNTIFS('EL scheme register'!$A$7:$A$479,$A96,'EL scheme register'!$C$7:$C$479,"Programme/course",'EL scheme register'!$AJ$7:$AJ$479,"Yes")</f>
        <v/>
      </c>
      <c r="M96" s="77">
        <f>COUNTIFS('EL scheme register'!$A$7:$A$479,$A96,'EL scheme register'!$C$7:$C$479,"Unclear",'EL scheme register'!$AJ$7:$AJ$479,"Yes")</f>
        <v/>
      </c>
      <c r="N96" s="77">
        <f>SUM(I96:M96)</f>
        <v/>
      </c>
      <c r="O96" s="77">
        <f>COUNTIFS('EL scheme register'!$A$7:$A$479,$A96,'EL scheme register'!$AF$7:$AF$479,"Potentially relevant; evidence incomplete",'EL scheme register'!$AI$7:$AI$479,"Yes")</f>
        <v/>
      </c>
      <c r="P96" s="77">
        <f>COUNTIFS('EL scheme register'!$A$7:$A$479,$A96,'EL scheme register'!$AF$7:$AF$479,"Outside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register'!$A$7:$A$479,$A97,'EL scheme register'!$C$7:$C$479,"University-wide",'EL scheme register'!$AJ$7:$AJ$479,"Yes")</f>
        <v/>
      </c>
      <c r="J97" s="77">
        <f>COUNTIFS('EL scheme register'!$A$7:$A$479,$A97,'EL scheme register'!$C$7:$C$479,"Cross-faculty",'EL scheme register'!$AJ$7:$AJ$479,"Yes")</f>
        <v/>
      </c>
      <c r="K97" s="77">
        <f>COUNTIFS('EL scheme register'!$A$7:$A$479,$A97,'EL scheme register'!$C$7:$C$479,"Faculty/school",'EL scheme register'!$AJ$7:$AJ$479,"Yes")</f>
        <v/>
      </c>
      <c r="L97" s="77">
        <f>COUNTIFS('EL scheme register'!$A$7:$A$479,$A97,'EL scheme register'!$C$7:$C$479,"Programme/course",'EL scheme register'!$AJ$7:$AJ$479,"Yes")</f>
        <v/>
      </c>
      <c r="M97" s="77">
        <f>COUNTIFS('EL scheme register'!$A$7:$A$479,$A97,'EL scheme register'!$C$7:$C$479,"Unclear",'EL scheme register'!$AJ$7:$AJ$479,"Yes")</f>
        <v/>
      </c>
      <c r="N97" s="77">
        <f>SUM(I97:M97)</f>
        <v/>
      </c>
      <c r="O97" s="77">
        <f>COUNTIFS('EL scheme register'!$A$7:$A$479,$A97,'EL scheme register'!$AF$7:$AF$479,"Potentially relevant; evidence incomplete",'EL scheme register'!$AI$7:$AI$479,"Yes")</f>
        <v/>
      </c>
      <c r="P97" s="77">
        <f>COUNTIFS('EL scheme register'!$A$7:$A$479,$A97,'EL scheme register'!$AF$7:$AF$479,"Outside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register'!$A$7:$A$479,$A98,'EL scheme register'!$C$7:$C$479,"University-wide",'EL scheme register'!$AJ$7:$AJ$479,"Yes")</f>
        <v/>
      </c>
      <c r="J98" s="77">
        <f>COUNTIFS('EL scheme register'!$A$7:$A$479,$A98,'EL scheme register'!$C$7:$C$479,"Cross-faculty",'EL scheme register'!$AJ$7:$AJ$479,"Yes")</f>
        <v/>
      </c>
      <c r="K98" s="77">
        <f>COUNTIFS('EL scheme register'!$A$7:$A$479,$A98,'EL scheme register'!$C$7:$C$479,"Faculty/school",'EL scheme register'!$AJ$7:$AJ$479,"Yes")</f>
        <v/>
      </c>
      <c r="L98" s="77">
        <f>COUNTIFS('EL scheme register'!$A$7:$A$479,$A98,'EL scheme register'!$C$7:$C$479,"Programme/course",'EL scheme register'!$AJ$7:$AJ$479,"Yes")</f>
        <v/>
      </c>
      <c r="M98" s="77">
        <f>COUNTIFS('EL scheme register'!$A$7:$A$479,$A98,'EL scheme register'!$C$7:$C$479,"Unclear",'EL scheme register'!$AJ$7:$AJ$479,"Yes")</f>
        <v/>
      </c>
      <c r="N98" s="77">
        <f>SUM(I98:M98)</f>
        <v/>
      </c>
      <c r="O98" s="77">
        <f>COUNTIFS('EL scheme register'!$A$7:$A$479,$A98,'EL scheme register'!$AF$7:$AF$479,"Potentially relevant; evidence incomplete",'EL scheme register'!$AI$7:$AI$479,"Yes")</f>
        <v/>
      </c>
      <c r="P98" s="77">
        <f>COUNTIFS('EL scheme register'!$A$7:$A$479,$A98,'EL scheme register'!$AF$7:$AF$479,"Outside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register'!$A$7:$A$479,$A99,'EL scheme register'!$C$7:$C$479,"University-wide",'EL scheme register'!$AJ$7:$AJ$479,"Yes")</f>
        <v/>
      </c>
      <c r="J99" s="77">
        <f>COUNTIFS('EL scheme register'!$A$7:$A$479,$A99,'EL scheme register'!$C$7:$C$479,"Cross-faculty",'EL scheme register'!$AJ$7:$AJ$479,"Yes")</f>
        <v/>
      </c>
      <c r="K99" s="77">
        <f>COUNTIFS('EL scheme register'!$A$7:$A$479,$A99,'EL scheme register'!$C$7:$C$479,"Faculty/school",'EL scheme register'!$AJ$7:$AJ$479,"Yes")</f>
        <v/>
      </c>
      <c r="L99" s="77">
        <f>COUNTIFS('EL scheme register'!$A$7:$A$479,$A99,'EL scheme register'!$C$7:$C$479,"Programme/course",'EL scheme register'!$AJ$7:$AJ$479,"Yes")</f>
        <v/>
      </c>
      <c r="M99" s="77">
        <f>COUNTIFS('EL scheme register'!$A$7:$A$479,$A99,'EL scheme register'!$C$7:$C$479,"Unclear",'EL scheme register'!$AJ$7:$AJ$479,"Yes")</f>
        <v/>
      </c>
      <c r="N99" s="77">
        <f>SUM(I99:M99)</f>
        <v/>
      </c>
      <c r="O99" s="77">
        <f>COUNTIFS('EL scheme register'!$A$7:$A$479,$A99,'EL scheme register'!$AF$7:$AF$479,"Potentially relevant; evidence incomplete",'EL scheme register'!$AI$7:$AI$479,"Yes")</f>
        <v/>
      </c>
      <c r="P99" s="77">
        <f>COUNTIFS('EL scheme register'!$A$7:$A$479,$A99,'EL scheme register'!$AF$7:$AF$479,"Outside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register'!$A$7:$A$479,$A100,'EL scheme register'!$C$7:$C$479,"University-wide",'EL scheme register'!$AJ$7:$AJ$479,"Yes")</f>
        <v/>
      </c>
      <c r="J100" s="77">
        <f>COUNTIFS('EL scheme register'!$A$7:$A$479,$A100,'EL scheme register'!$C$7:$C$479,"Cross-faculty",'EL scheme register'!$AJ$7:$AJ$479,"Yes")</f>
        <v/>
      </c>
      <c r="K100" s="77">
        <f>COUNTIFS('EL scheme register'!$A$7:$A$479,$A100,'EL scheme register'!$C$7:$C$479,"Faculty/school",'EL scheme register'!$AJ$7:$AJ$479,"Yes")</f>
        <v/>
      </c>
      <c r="L100" s="77">
        <f>COUNTIFS('EL scheme register'!$A$7:$A$479,$A100,'EL scheme register'!$C$7:$C$479,"Programme/course",'EL scheme register'!$AJ$7:$AJ$479,"Yes")</f>
        <v/>
      </c>
      <c r="M100" s="77">
        <f>COUNTIFS('EL scheme register'!$A$7:$A$479,$A100,'EL scheme register'!$C$7:$C$479,"Unclear",'EL scheme register'!$AJ$7:$AJ$479,"Yes")</f>
        <v/>
      </c>
      <c r="N100" s="77">
        <f>SUM(I100:M100)</f>
        <v/>
      </c>
      <c r="O100" s="77">
        <f>COUNTIFS('EL scheme register'!$A$7:$A$479,$A100,'EL scheme register'!$AF$7:$AF$479,"Potentially relevant; evidence incomplete",'EL scheme register'!$AI$7:$AI$479,"Yes")</f>
        <v/>
      </c>
      <c r="P100" s="77">
        <f>COUNTIFS('EL scheme register'!$A$7:$A$479,$A100,'EL scheme register'!$AF$7:$AF$479,"Outside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register'!$A$7:$A$479,$A101,'EL scheme register'!$C$7:$C$479,"University-wide",'EL scheme register'!$AJ$7:$AJ$479,"Yes")</f>
        <v/>
      </c>
      <c r="J101" s="77">
        <f>COUNTIFS('EL scheme register'!$A$7:$A$479,$A101,'EL scheme register'!$C$7:$C$479,"Cross-faculty",'EL scheme register'!$AJ$7:$AJ$479,"Yes")</f>
        <v/>
      </c>
      <c r="K101" s="77">
        <f>COUNTIFS('EL scheme register'!$A$7:$A$479,$A101,'EL scheme register'!$C$7:$C$479,"Faculty/school",'EL scheme register'!$AJ$7:$AJ$479,"Yes")</f>
        <v/>
      </c>
      <c r="L101" s="77">
        <f>COUNTIFS('EL scheme register'!$A$7:$A$479,$A101,'EL scheme register'!$C$7:$C$479,"Programme/course",'EL scheme register'!$AJ$7:$AJ$479,"Yes")</f>
        <v/>
      </c>
      <c r="M101" s="77">
        <f>COUNTIFS('EL scheme register'!$A$7:$A$479,$A101,'EL scheme register'!$C$7:$C$479,"Unclear",'EL scheme register'!$AJ$7:$AJ$479,"Yes")</f>
        <v/>
      </c>
      <c r="N101" s="77">
        <f>SUM(I101:M101)</f>
        <v/>
      </c>
      <c r="O101" s="77">
        <f>COUNTIFS('EL scheme register'!$A$7:$A$479,$A101,'EL scheme register'!$AF$7:$AF$479,"Potentially relevant; evidence incomplete",'EL scheme register'!$AI$7:$AI$479,"Yes")</f>
        <v/>
      </c>
      <c r="P101" s="77">
        <f>COUNTIFS('EL scheme register'!$A$7:$A$479,$A101,'EL scheme register'!$AF$7:$AF$479,"Outside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register'!$A$7:$A$479,$A102,'EL scheme register'!$C$7:$C$479,"University-wide",'EL scheme register'!$AJ$7:$AJ$479,"Yes")</f>
        <v/>
      </c>
      <c r="J102" s="77">
        <f>COUNTIFS('EL scheme register'!$A$7:$A$479,$A102,'EL scheme register'!$C$7:$C$479,"Cross-faculty",'EL scheme register'!$AJ$7:$AJ$479,"Yes")</f>
        <v/>
      </c>
      <c r="K102" s="77">
        <f>COUNTIFS('EL scheme register'!$A$7:$A$479,$A102,'EL scheme register'!$C$7:$C$479,"Faculty/school",'EL scheme register'!$AJ$7:$AJ$479,"Yes")</f>
        <v/>
      </c>
      <c r="L102" s="77">
        <f>COUNTIFS('EL scheme register'!$A$7:$A$479,$A102,'EL scheme register'!$C$7:$C$479,"Programme/course",'EL scheme register'!$AJ$7:$AJ$479,"Yes")</f>
        <v/>
      </c>
      <c r="M102" s="77">
        <f>COUNTIFS('EL scheme register'!$A$7:$A$479,$A102,'EL scheme register'!$C$7:$C$479,"Unclear",'EL scheme register'!$AJ$7:$AJ$479,"Yes")</f>
        <v/>
      </c>
      <c r="N102" s="77">
        <f>SUM(I102:M102)</f>
        <v/>
      </c>
      <c r="O102" s="77">
        <f>COUNTIFS('EL scheme register'!$A$7:$A$479,$A102,'EL scheme register'!$AF$7:$AF$479,"Potentially relevant; evidence incomplete",'EL scheme register'!$AI$7:$AI$479,"Yes")</f>
        <v/>
      </c>
      <c r="P102" s="77">
        <f>COUNTIFS('EL scheme register'!$A$7:$A$479,$A102,'EL scheme register'!$AF$7:$AF$479,"Outside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register'!$A$7:$A$479,$A103,'EL scheme register'!$C$7:$C$479,"University-wide",'EL scheme register'!$AJ$7:$AJ$479,"Yes")</f>
        <v/>
      </c>
      <c r="J103" s="77">
        <f>COUNTIFS('EL scheme register'!$A$7:$A$479,$A103,'EL scheme register'!$C$7:$C$479,"Cross-faculty",'EL scheme register'!$AJ$7:$AJ$479,"Yes")</f>
        <v/>
      </c>
      <c r="K103" s="77">
        <f>COUNTIFS('EL scheme register'!$A$7:$A$479,$A103,'EL scheme register'!$C$7:$C$479,"Faculty/school",'EL scheme register'!$AJ$7:$AJ$479,"Yes")</f>
        <v/>
      </c>
      <c r="L103" s="77">
        <f>COUNTIFS('EL scheme register'!$A$7:$A$479,$A103,'EL scheme register'!$C$7:$C$479,"Programme/course",'EL scheme register'!$AJ$7:$AJ$479,"Yes")</f>
        <v/>
      </c>
      <c r="M103" s="77">
        <f>COUNTIFS('EL scheme register'!$A$7:$A$479,$A103,'EL scheme register'!$C$7:$C$479,"Unclear",'EL scheme register'!$AJ$7:$AJ$479,"Yes")</f>
        <v/>
      </c>
      <c r="N103" s="77">
        <f>SUM(I103:M103)</f>
        <v/>
      </c>
      <c r="O103" s="77">
        <f>COUNTIFS('EL scheme register'!$A$7:$A$479,$A103,'EL scheme register'!$AF$7:$AF$479,"Potentially relevant; evidence incomplete",'EL scheme register'!$AI$7:$AI$479,"Yes")</f>
        <v/>
      </c>
      <c r="P103" s="77">
        <f>COUNTIFS('EL scheme register'!$A$7:$A$479,$A103,'EL scheme register'!$AF$7:$AF$479,"Outside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register'!$A$7:$A$479,$A104,'EL scheme register'!$C$7:$C$479,"University-wide",'EL scheme register'!$AJ$7:$AJ$479,"Yes")</f>
        <v/>
      </c>
      <c r="J104" s="77">
        <f>COUNTIFS('EL scheme register'!$A$7:$A$479,$A104,'EL scheme register'!$C$7:$C$479,"Cross-faculty",'EL scheme register'!$AJ$7:$AJ$479,"Yes")</f>
        <v/>
      </c>
      <c r="K104" s="77">
        <f>COUNTIFS('EL scheme register'!$A$7:$A$479,$A104,'EL scheme register'!$C$7:$C$479,"Faculty/school",'EL scheme register'!$AJ$7:$AJ$479,"Yes")</f>
        <v/>
      </c>
      <c r="L104" s="77">
        <f>COUNTIFS('EL scheme register'!$A$7:$A$479,$A104,'EL scheme register'!$C$7:$C$479,"Programme/course",'EL scheme register'!$AJ$7:$AJ$479,"Yes")</f>
        <v/>
      </c>
      <c r="M104" s="77">
        <f>COUNTIFS('EL scheme register'!$A$7:$A$479,$A104,'EL scheme register'!$C$7:$C$479,"Unclear",'EL scheme register'!$AJ$7:$AJ$479,"Yes")</f>
        <v/>
      </c>
      <c r="N104" s="77">
        <f>SUM(I104:M104)</f>
        <v/>
      </c>
      <c r="O104" s="77">
        <f>COUNTIFS('EL scheme register'!$A$7:$A$479,$A104,'EL scheme register'!$AF$7:$AF$479,"Potentially relevant; evidence incomplete",'EL scheme register'!$AI$7:$AI$479,"Yes")</f>
        <v/>
      </c>
      <c r="P104" s="77">
        <f>COUNTIFS('EL scheme register'!$A$7:$A$479,$A104,'EL scheme register'!$AF$7:$AF$479,"Outside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register'!$A$7:$A$479,$A105,'EL scheme register'!$C$7:$C$479,"University-wide",'EL scheme register'!$AJ$7:$AJ$479,"Yes")</f>
        <v/>
      </c>
      <c r="J105" s="77">
        <f>COUNTIFS('EL scheme register'!$A$7:$A$479,$A105,'EL scheme register'!$C$7:$C$479,"Cross-faculty",'EL scheme register'!$AJ$7:$AJ$479,"Yes")</f>
        <v/>
      </c>
      <c r="K105" s="77">
        <f>COUNTIFS('EL scheme register'!$A$7:$A$479,$A105,'EL scheme register'!$C$7:$C$479,"Faculty/school",'EL scheme register'!$AJ$7:$AJ$479,"Yes")</f>
        <v/>
      </c>
      <c r="L105" s="77">
        <f>COUNTIFS('EL scheme register'!$A$7:$A$479,$A105,'EL scheme register'!$C$7:$C$479,"Programme/course",'EL scheme register'!$AJ$7:$AJ$479,"Yes")</f>
        <v/>
      </c>
      <c r="M105" s="77">
        <f>COUNTIFS('EL scheme register'!$A$7:$A$479,$A105,'EL scheme register'!$C$7:$C$479,"Unclear",'EL scheme register'!$AJ$7:$AJ$479,"Yes")</f>
        <v/>
      </c>
      <c r="N105" s="77">
        <f>SUM(I105:M105)</f>
        <v/>
      </c>
      <c r="O105" s="77">
        <f>COUNTIFS('EL scheme register'!$A$7:$A$479,$A105,'EL scheme register'!$AF$7:$AF$479,"Potentially relevant; evidence incomplete",'EL scheme register'!$AI$7:$AI$479,"Yes")</f>
        <v/>
      </c>
      <c r="P105" s="77">
        <f>COUNTIFS('EL scheme register'!$A$7:$A$479,$A105,'EL scheme register'!$AF$7:$AF$479,"Outside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register'!$A$7:$A$479,$A106,'EL scheme register'!$C$7:$C$479,"University-wide",'EL scheme register'!$AJ$7:$AJ$479,"Yes")</f>
        <v/>
      </c>
      <c r="J106" s="77">
        <f>COUNTIFS('EL scheme register'!$A$7:$A$479,$A106,'EL scheme register'!$C$7:$C$479,"Cross-faculty",'EL scheme register'!$AJ$7:$AJ$479,"Yes")</f>
        <v/>
      </c>
      <c r="K106" s="77">
        <f>COUNTIFS('EL scheme register'!$A$7:$A$479,$A106,'EL scheme register'!$C$7:$C$479,"Faculty/school",'EL scheme register'!$AJ$7:$AJ$479,"Yes")</f>
        <v/>
      </c>
      <c r="L106" s="77">
        <f>COUNTIFS('EL scheme register'!$A$7:$A$479,$A106,'EL scheme register'!$C$7:$C$479,"Programme/course",'EL scheme register'!$AJ$7:$AJ$479,"Yes")</f>
        <v/>
      </c>
      <c r="M106" s="77">
        <f>COUNTIFS('EL scheme register'!$A$7:$A$479,$A106,'EL scheme register'!$C$7:$C$479,"Unclear",'EL scheme register'!$AJ$7:$AJ$479,"Yes")</f>
        <v/>
      </c>
      <c r="N106" s="77">
        <f>SUM(I106:M106)</f>
        <v/>
      </c>
      <c r="O106" s="77">
        <f>COUNTIFS('EL scheme register'!$A$7:$A$479,$A106,'EL scheme register'!$AF$7:$AF$479,"Potentially relevant; evidence incomplete",'EL scheme register'!$AI$7:$AI$479,"Yes")</f>
        <v/>
      </c>
      <c r="P106" s="77">
        <f>COUNTIFS('EL scheme register'!$A$7:$A$479,$A106,'EL scheme register'!$AF$7:$AF$479,"Outside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register'!$A$7:$A$479,$A107,'EL scheme register'!$C$7:$C$479,"University-wide",'EL scheme register'!$AJ$7:$AJ$479,"Yes")</f>
        <v/>
      </c>
      <c r="J107" s="77">
        <f>COUNTIFS('EL scheme register'!$A$7:$A$479,$A107,'EL scheme register'!$C$7:$C$479,"Cross-faculty",'EL scheme register'!$AJ$7:$AJ$479,"Yes")</f>
        <v/>
      </c>
      <c r="K107" s="77">
        <f>COUNTIFS('EL scheme register'!$A$7:$A$479,$A107,'EL scheme register'!$C$7:$C$479,"Faculty/school",'EL scheme register'!$AJ$7:$AJ$479,"Yes")</f>
        <v/>
      </c>
      <c r="L107" s="77">
        <f>COUNTIFS('EL scheme register'!$A$7:$A$479,$A107,'EL scheme register'!$C$7:$C$479,"Programme/course",'EL scheme register'!$AJ$7:$AJ$479,"Yes")</f>
        <v/>
      </c>
      <c r="M107" s="77">
        <f>COUNTIFS('EL scheme register'!$A$7:$A$479,$A107,'EL scheme register'!$C$7:$C$479,"Unclear",'EL scheme register'!$AJ$7:$AJ$479,"Yes")</f>
        <v/>
      </c>
      <c r="N107" s="77">
        <f>SUM(I107:M107)</f>
        <v/>
      </c>
      <c r="O107" s="77">
        <f>COUNTIFS('EL scheme register'!$A$7:$A$479,$A107,'EL scheme register'!$AF$7:$AF$479,"Potentially relevant; evidence incomplete",'EL scheme register'!$AI$7:$AI$479,"Yes")</f>
        <v/>
      </c>
      <c r="P107" s="77">
        <f>COUNTIFS('EL scheme register'!$A$7:$A$479,$A107,'EL scheme register'!$AF$7:$AF$479,"Outside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register'!$A$7:$A$479,$A108,'EL scheme register'!$C$7:$C$479,"University-wide",'EL scheme register'!$AJ$7:$AJ$479,"Yes")</f>
        <v/>
      </c>
      <c r="J108" s="77">
        <f>COUNTIFS('EL scheme register'!$A$7:$A$479,$A108,'EL scheme register'!$C$7:$C$479,"Cross-faculty",'EL scheme register'!$AJ$7:$AJ$479,"Yes")</f>
        <v/>
      </c>
      <c r="K108" s="77">
        <f>COUNTIFS('EL scheme register'!$A$7:$A$479,$A108,'EL scheme register'!$C$7:$C$479,"Faculty/school",'EL scheme register'!$AJ$7:$AJ$479,"Yes")</f>
        <v/>
      </c>
      <c r="L108" s="77">
        <f>COUNTIFS('EL scheme register'!$A$7:$A$479,$A108,'EL scheme register'!$C$7:$C$479,"Programme/course",'EL scheme register'!$AJ$7:$AJ$479,"Yes")</f>
        <v/>
      </c>
      <c r="M108" s="77">
        <f>COUNTIFS('EL scheme register'!$A$7:$A$479,$A108,'EL scheme register'!$C$7:$C$479,"Unclear",'EL scheme register'!$AJ$7:$AJ$479,"Yes")</f>
        <v/>
      </c>
      <c r="N108" s="77">
        <f>SUM(I108:M108)</f>
        <v/>
      </c>
      <c r="O108" s="77">
        <f>COUNTIFS('EL scheme register'!$A$7:$A$479,$A108,'EL scheme register'!$AF$7:$AF$479,"Potentially relevant; evidence incomplete",'EL scheme register'!$AI$7:$AI$479,"Yes")</f>
        <v/>
      </c>
      <c r="P108" s="77">
        <f>COUNTIFS('EL scheme register'!$A$7:$A$479,$A108,'EL scheme register'!$AF$7:$AF$479,"Outside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register'!$A$7:$A$479,$A109,'EL scheme register'!$C$7:$C$479,"University-wide",'EL scheme register'!$AJ$7:$AJ$479,"Yes")</f>
        <v/>
      </c>
      <c r="J109" s="77">
        <f>COUNTIFS('EL scheme register'!$A$7:$A$479,$A109,'EL scheme register'!$C$7:$C$479,"Cross-faculty",'EL scheme register'!$AJ$7:$AJ$479,"Yes")</f>
        <v/>
      </c>
      <c r="K109" s="77">
        <f>COUNTIFS('EL scheme register'!$A$7:$A$479,$A109,'EL scheme register'!$C$7:$C$479,"Faculty/school",'EL scheme register'!$AJ$7:$AJ$479,"Yes")</f>
        <v/>
      </c>
      <c r="L109" s="77">
        <f>COUNTIFS('EL scheme register'!$A$7:$A$479,$A109,'EL scheme register'!$C$7:$C$479,"Programme/course",'EL scheme register'!$AJ$7:$AJ$479,"Yes")</f>
        <v/>
      </c>
      <c r="M109" s="77">
        <f>COUNTIFS('EL scheme register'!$A$7:$A$479,$A109,'EL scheme register'!$C$7:$C$479,"Unclear",'EL scheme register'!$AJ$7:$AJ$479,"Yes")</f>
        <v/>
      </c>
      <c r="N109" s="77">
        <f>SUM(I109:M109)</f>
        <v/>
      </c>
      <c r="O109" s="77">
        <f>COUNTIFS('EL scheme register'!$A$7:$A$479,$A109,'EL scheme register'!$AF$7:$AF$479,"Potentially relevant; evidence incomplete",'EL scheme register'!$AI$7:$AI$479,"Yes")</f>
        <v/>
      </c>
      <c r="P109" s="77">
        <f>COUNTIFS('EL scheme register'!$A$7:$A$479,$A109,'EL scheme register'!$AF$7:$AF$479,"Outside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register'!$A$7:$A$479,$A110,'EL scheme register'!$C$7:$C$479,"University-wide",'EL scheme register'!$AJ$7:$AJ$479,"Yes")</f>
        <v/>
      </c>
      <c r="J110" s="77">
        <f>COUNTIFS('EL scheme register'!$A$7:$A$479,$A110,'EL scheme register'!$C$7:$C$479,"Cross-faculty",'EL scheme register'!$AJ$7:$AJ$479,"Yes")</f>
        <v/>
      </c>
      <c r="K110" s="77">
        <f>COUNTIFS('EL scheme register'!$A$7:$A$479,$A110,'EL scheme register'!$C$7:$C$479,"Faculty/school",'EL scheme register'!$AJ$7:$AJ$479,"Yes")</f>
        <v/>
      </c>
      <c r="L110" s="77">
        <f>COUNTIFS('EL scheme register'!$A$7:$A$479,$A110,'EL scheme register'!$C$7:$C$479,"Programme/course",'EL scheme register'!$AJ$7:$AJ$479,"Yes")</f>
        <v/>
      </c>
      <c r="M110" s="77">
        <f>COUNTIFS('EL scheme register'!$A$7:$A$479,$A110,'EL scheme register'!$C$7:$C$479,"Unclear",'EL scheme register'!$AJ$7:$AJ$479,"Yes")</f>
        <v/>
      </c>
      <c r="N110" s="77">
        <f>SUM(I110:M110)</f>
        <v/>
      </c>
      <c r="O110" s="77">
        <f>COUNTIFS('EL scheme register'!$A$7:$A$479,$A110,'EL scheme register'!$AF$7:$AF$479,"Potentially relevant; evidence incomplete",'EL scheme register'!$AI$7:$AI$479,"Yes")</f>
        <v/>
      </c>
      <c r="P110" s="77">
        <f>COUNTIFS('EL scheme register'!$A$7:$A$479,$A110,'EL scheme register'!$AF$7:$AF$479,"Outside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register'!$A$7:$A$479,$A111,'EL scheme register'!$C$7:$C$479,"University-wide",'EL scheme register'!$AJ$7:$AJ$479,"Yes")</f>
        <v/>
      </c>
      <c r="J111" s="77">
        <f>COUNTIFS('EL scheme register'!$A$7:$A$479,$A111,'EL scheme register'!$C$7:$C$479,"Cross-faculty",'EL scheme register'!$AJ$7:$AJ$479,"Yes")</f>
        <v/>
      </c>
      <c r="K111" s="77">
        <f>COUNTIFS('EL scheme register'!$A$7:$A$479,$A111,'EL scheme register'!$C$7:$C$479,"Faculty/school",'EL scheme register'!$AJ$7:$AJ$479,"Yes")</f>
        <v/>
      </c>
      <c r="L111" s="77">
        <f>COUNTIFS('EL scheme register'!$A$7:$A$479,$A111,'EL scheme register'!$C$7:$C$479,"Programme/course",'EL scheme register'!$AJ$7:$AJ$479,"Yes")</f>
        <v/>
      </c>
      <c r="M111" s="77">
        <f>COUNTIFS('EL scheme register'!$A$7:$A$479,$A111,'EL scheme register'!$C$7:$C$479,"Unclear",'EL scheme register'!$AJ$7:$AJ$479,"Yes")</f>
        <v/>
      </c>
      <c r="N111" s="77">
        <f>SUM(I111:M111)</f>
        <v/>
      </c>
      <c r="O111" s="77">
        <f>COUNTIFS('EL scheme register'!$A$7:$A$479,$A111,'EL scheme register'!$AF$7:$AF$479,"Potentially relevant; evidence incomplete",'EL scheme register'!$AI$7:$AI$479,"Yes")</f>
        <v/>
      </c>
      <c r="P111" s="77">
        <f>COUNTIFS('EL scheme register'!$A$7:$A$479,$A111,'EL scheme register'!$AF$7:$AF$479,"Outside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register'!$A$7:$A$479,$A112,'EL scheme register'!$C$7:$C$479,"University-wide",'EL scheme register'!$AJ$7:$AJ$479,"Yes")</f>
        <v/>
      </c>
      <c r="J112" s="77">
        <f>COUNTIFS('EL scheme register'!$A$7:$A$479,$A112,'EL scheme register'!$C$7:$C$479,"Cross-faculty",'EL scheme register'!$AJ$7:$AJ$479,"Yes")</f>
        <v/>
      </c>
      <c r="K112" s="77">
        <f>COUNTIFS('EL scheme register'!$A$7:$A$479,$A112,'EL scheme register'!$C$7:$C$479,"Faculty/school",'EL scheme register'!$AJ$7:$AJ$479,"Yes")</f>
        <v/>
      </c>
      <c r="L112" s="77">
        <f>COUNTIFS('EL scheme register'!$A$7:$A$479,$A112,'EL scheme register'!$C$7:$C$479,"Programme/course",'EL scheme register'!$AJ$7:$AJ$479,"Yes")</f>
        <v/>
      </c>
      <c r="M112" s="77">
        <f>COUNTIFS('EL scheme register'!$A$7:$A$479,$A112,'EL scheme register'!$C$7:$C$479,"Unclear",'EL scheme register'!$AJ$7:$AJ$479,"Yes")</f>
        <v/>
      </c>
      <c r="N112" s="77">
        <f>SUM(I112:M112)</f>
        <v/>
      </c>
      <c r="O112" s="77">
        <f>COUNTIFS('EL scheme register'!$A$7:$A$479,$A112,'EL scheme register'!$AF$7:$AF$479,"Potentially relevant; evidence incomplete",'EL scheme register'!$AI$7:$AI$479,"Yes")</f>
        <v/>
      </c>
      <c r="P112" s="77">
        <f>COUNTIFS('EL scheme register'!$A$7:$A$479,$A112,'EL scheme register'!$AF$7:$AF$479,"Outside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register'!$A$7:$A$479,$A113,'EL scheme register'!$C$7:$C$479,"University-wide",'EL scheme register'!$AJ$7:$AJ$479,"Yes")</f>
        <v/>
      </c>
      <c r="J113" s="77">
        <f>COUNTIFS('EL scheme register'!$A$7:$A$479,$A113,'EL scheme register'!$C$7:$C$479,"Cross-faculty",'EL scheme register'!$AJ$7:$AJ$479,"Yes")</f>
        <v/>
      </c>
      <c r="K113" s="77">
        <f>COUNTIFS('EL scheme register'!$A$7:$A$479,$A113,'EL scheme register'!$C$7:$C$479,"Faculty/school",'EL scheme register'!$AJ$7:$AJ$479,"Yes")</f>
        <v/>
      </c>
      <c r="L113" s="77">
        <f>COUNTIFS('EL scheme register'!$A$7:$A$479,$A113,'EL scheme register'!$C$7:$C$479,"Programme/course",'EL scheme register'!$AJ$7:$AJ$479,"Yes")</f>
        <v/>
      </c>
      <c r="M113" s="77">
        <f>COUNTIFS('EL scheme register'!$A$7:$A$479,$A113,'EL scheme register'!$C$7:$C$479,"Unclear",'EL scheme register'!$AJ$7:$AJ$479,"Yes")</f>
        <v/>
      </c>
      <c r="N113" s="77">
        <f>SUM(I113:M113)</f>
        <v/>
      </c>
      <c r="O113" s="77">
        <f>COUNTIFS('EL scheme register'!$A$7:$A$479,$A113,'EL scheme register'!$AF$7:$AF$479,"Potentially relevant; evidence incomplete",'EL scheme register'!$AI$7:$AI$479,"Yes")</f>
        <v/>
      </c>
      <c r="P113" s="77">
        <f>COUNTIFS('EL scheme register'!$A$7:$A$479,$A113,'EL scheme register'!$AF$7:$AF$479,"Outside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register'!$A$7:$A$479,$A114,'EL scheme register'!$C$7:$C$479,"University-wide",'EL scheme register'!$AJ$7:$AJ$479,"Yes")</f>
        <v/>
      </c>
      <c r="J114" s="77">
        <f>COUNTIFS('EL scheme register'!$A$7:$A$479,$A114,'EL scheme register'!$C$7:$C$479,"Cross-faculty",'EL scheme register'!$AJ$7:$AJ$479,"Yes")</f>
        <v/>
      </c>
      <c r="K114" s="77">
        <f>COUNTIFS('EL scheme register'!$A$7:$A$479,$A114,'EL scheme register'!$C$7:$C$479,"Faculty/school",'EL scheme register'!$AJ$7:$AJ$479,"Yes")</f>
        <v/>
      </c>
      <c r="L114" s="77">
        <f>COUNTIFS('EL scheme register'!$A$7:$A$479,$A114,'EL scheme register'!$C$7:$C$479,"Programme/course",'EL scheme register'!$AJ$7:$AJ$479,"Yes")</f>
        <v/>
      </c>
      <c r="M114" s="77">
        <f>COUNTIFS('EL scheme register'!$A$7:$A$479,$A114,'EL scheme register'!$C$7:$C$479,"Unclear",'EL scheme register'!$AJ$7:$AJ$479,"Yes")</f>
        <v/>
      </c>
      <c r="N114" s="77">
        <f>SUM(I114:M114)</f>
        <v/>
      </c>
      <c r="O114" s="77">
        <f>COUNTIFS('EL scheme register'!$A$7:$A$479,$A114,'EL scheme register'!$AF$7:$AF$479,"Potentially relevant; evidence incomplete",'EL scheme register'!$AI$7:$AI$479,"Yes")</f>
        <v/>
      </c>
      <c r="P114" s="77">
        <f>COUNTIFS('EL scheme register'!$A$7:$A$479,$A114,'EL scheme register'!$AF$7:$AF$479,"Outside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register'!$A$7:$A$479,$A115,'EL scheme register'!$C$7:$C$479,"University-wide",'EL scheme register'!$AJ$7:$AJ$479,"Yes")</f>
        <v/>
      </c>
      <c r="J115" s="77">
        <f>COUNTIFS('EL scheme register'!$A$7:$A$479,$A115,'EL scheme register'!$C$7:$C$479,"Cross-faculty",'EL scheme register'!$AJ$7:$AJ$479,"Yes")</f>
        <v/>
      </c>
      <c r="K115" s="77">
        <f>COUNTIFS('EL scheme register'!$A$7:$A$479,$A115,'EL scheme register'!$C$7:$C$479,"Faculty/school",'EL scheme register'!$AJ$7:$AJ$479,"Yes")</f>
        <v/>
      </c>
      <c r="L115" s="77">
        <f>COUNTIFS('EL scheme register'!$A$7:$A$479,$A115,'EL scheme register'!$C$7:$C$479,"Programme/course",'EL scheme register'!$AJ$7:$AJ$479,"Yes")</f>
        <v/>
      </c>
      <c r="M115" s="77">
        <f>COUNTIFS('EL scheme register'!$A$7:$A$479,$A115,'EL scheme register'!$C$7:$C$479,"Unclear",'EL scheme register'!$AJ$7:$AJ$479,"Yes")</f>
        <v/>
      </c>
      <c r="N115" s="77">
        <f>SUM(I115:M115)</f>
        <v/>
      </c>
      <c r="O115" s="77">
        <f>COUNTIFS('EL scheme register'!$A$7:$A$479,$A115,'EL scheme register'!$AF$7:$AF$479,"Potentially relevant; evidence incomplete",'EL scheme register'!$AI$7:$AI$479,"Yes")</f>
        <v/>
      </c>
      <c r="P115" s="77">
        <f>COUNTIFS('EL scheme register'!$A$7:$A$479,$A115,'EL scheme register'!$AF$7:$AF$479,"Outside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register'!$A$7:$A$479,$A116,'EL scheme register'!$C$7:$C$479,"University-wide",'EL scheme register'!$AJ$7:$AJ$479,"Yes")</f>
        <v/>
      </c>
      <c r="J116" s="77">
        <f>COUNTIFS('EL scheme register'!$A$7:$A$479,$A116,'EL scheme register'!$C$7:$C$479,"Cross-faculty",'EL scheme register'!$AJ$7:$AJ$479,"Yes")</f>
        <v/>
      </c>
      <c r="K116" s="77">
        <f>COUNTIFS('EL scheme register'!$A$7:$A$479,$A116,'EL scheme register'!$C$7:$C$479,"Faculty/school",'EL scheme register'!$AJ$7:$AJ$479,"Yes")</f>
        <v/>
      </c>
      <c r="L116" s="77">
        <f>COUNTIFS('EL scheme register'!$A$7:$A$479,$A116,'EL scheme register'!$C$7:$C$479,"Programme/course",'EL scheme register'!$AJ$7:$AJ$479,"Yes")</f>
        <v/>
      </c>
      <c r="M116" s="77">
        <f>COUNTIFS('EL scheme register'!$A$7:$A$479,$A116,'EL scheme register'!$C$7:$C$479,"Unclear",'EL scheme register'!$AJ$7:$AJ$479,"Yes")</f>
        <v/>
      </c>
      <c r="N116" s="77">
        <f>SUM(I116:M116)</f>
        <v/>
      </c>
      <c r="O116" s="77">
        <f>COUNTIFS('EL scheme register'!$A$7:$A$479,$A116,'EL scheme register'!$AF$7:$AF$479,"Potentially relevant; evidence incomplete",'EL scheme register'!$AI$7:$AI$479,"Yes")</f>
        <v/>
      </c>
      <c r="P116" s="77">
        <f>COUNTIFS('EL scheme register'!$A$7:$A$479,$A116,'EL scheme register'!$AF$7:$AF$479,"Outside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register'!$A$7:$A$479,$A117,'EL scheme register'!$C$7:$C$479,"University-wide",'EL scheme register'!$AJ$7:$AJ$479,"Yes")</f>
        <v/>
      </c>
      <c r="J117" s="77">
        <f>COUNTIFS('EL scheme register'!$A$7:$A$479,$A117,'EL scheme register'!$C$7:$C$479,"Cross-faculty",'EL scheme register'!$AJ$7:$AJ$479,"Yes")</f>
        <v/>
      </c>
      <c r="K117" s="77">
        <f>COUNTIFS('EL scheme register'!$A$7:$A$479,$A117,'EL scheme register'!$C$7:$C$479,"Faculty/school",'EL scheme register'!$AJ$7:$AJ$479,"Yes")</f>
        <v/>
      </c>
      <c r="L117" s="77">
        <f>COUNTIFS('EL scheme register'!$A$7:$A$479,$A117,'EL scheme register'!$C$7:$C$479,"Programme/course",'EL scheme register'!$AJ$7:$AJ$479,"Yes")</f>
        <v/>
      </c>
      <c r="M117" s="77">
        <f>COUNTIFS('EL scheme register'!$A$7:$A$479,$A117,'EL scheme register'!$C$7:$C$479,"Unclear",'EL scheme register'!$AJ$7:$AJ$479,"Yes")</f>
        <v/>
      </c>
      <c r="N117" s="77">
        <f>SUM(I117:M117)</f>
        <v/>
      </c>
      <c r="O117" s="77">
        <f>COUNTIFS('EL scheme register'!$A$7:$A$479,$A117,'EL scheme register'!$AF$7:$AF$479,"Potentially relevant; evidence incomplete",'EL scheme register'!$AI$7:$AI$479,"Yes")</f>
        <v/>
      </c>
      <c r="P117" s="77">
        <f>COUNTIFS('EL scheme register'!$A$7:$A$479,$A117,'EL scheme register'!$AF$7:$AF$479,"Outside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register'!$A$7:$A$479,$A118,'EL scheme register'!$C$7:$C$479,"University-wide",'EL scheme register'!$AJ$7:$AJ$479,"Yes")</f>
        <v/>
      </c>
      <c r="J118" s="77">
        <f>COUNTIFS('EL scheme register'!$A$7:$A$479,$A118,'EL scheme register'!$C$7:$C$479,"Cross-faculty",'EL scheme register'!$AJ$7:$AJ$479,"Yes")</f>
        <v/>
      </c>
      <c r="K118" s="77">
        <f>COUNTIFS('EL scheme register'!$A$7:$A$479,$A118,'EL scheme register'!$C$7:$C$479,"Faculty/school",'EL scheme register'!$AJ$7:$AJ$479,"Yes")</f>
        <v/>
      </c>
      <c r="L118" s="77">
        <f>COUNTIFS('EL scheme register'!$A$7:$A$479,$A118,'EL scheme register'!$C$7:$C$479,"Programme/course",'EL scheme register'!$AJ$7:$AJ$479,"Yes")</f>
        <v/>
      </c>
      <c r="M118" s="77">
        <f>COUNTIFS('EL scheme register'!$A$7:$A$479,$A118,'EL scheme register'!$C$7:$C$479,"Unclear",'EL scheme register'!$AJ$7:$AJ$479,"Yes")</f>
        <v/>
      </c>
      <c r="N118" s="77">
        <f>SUM(I118:M118)</f>
        <v/>
      </c>
      <c r="O118" s="77">
        <f>COUNTIFS('EL scheme register'!$A$7:$A$479,$A118,'EL scheme register'!$AF$7:$AF$479,"Potentially relevant; evidence incomplete",'EL scheme register'!$AI$7:$AI$479,"Yes")</f>
        <v/>
      </c>
      <c r="P118" s="77">
        <f>COUNTIFS('EL scheme register'!$A$7:$A$479,$A118,'EL scheme register'!$AF$7:$AF$479,"Outside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register'!$A$7:$A$479,$A119,'EL scheme register'!$C$7:$C$479,"University-wide",'EL scheme register'!$AJ$7:$AJ$479,"Yes")</f>
        <v/>
      </c>
      <c r="J119" s="77">
        <f>COUNTIFS('EL scheme register'!$A$7:$A$479,$A119,'EL scheme register'!$C$7:$C$479,"Cross-faculty",'EL scheme register'!$AJ$7:$AJ$479,"Yes")</f>
        <v/>
      </c>
      <c r="K119" s="77">
        <f>COUNTIFS('EL scheme register'!$A$7:$A$479,$A119,'EL scheme register'!$C$7:$C$479,"Faculty/school",'EL scheme register'!$AJ$7:$AJ$479,"Yes")</f>
        <v/>
      </c>
      <c r="L119" s="77">
        <f>COUNTIFS('EL scheme register'!$A$7:$A$479,$A119,'EL scheme register'!$C$7:$C$479,"Programme/course",'EL scheme register'!$AJ$7:$AJ$479,"Yes")</f>
        <v/>
      </c>
      <c r="M119" s="77">
        <f>COUNTIFS('EL scheme register'!$A$7:$A$479,$A119,'EL scheme register'!$C$7:$C$479,"Unclear",'EL scheme register'!$AJ$7:$AJ$479,"Yes")</f>
        <v/>
      </c>
      <c r="N119" s="77">
        <f>SUM(I119:M119)</f>
        <v/>
      </c>
      <c r="O119" s="77">
        <f>COUNTIFS('EL scheme register'!$A$7:$A$479,$A119,'EL scheme register'!$AF$7:$AF$479,"Potentially relevant; evidence incomplete",'EL scheme register'!$AI$7:$AI$479,"Yes")</f>
        <v/>
      </c>
      <c r="P119" s="77">
        <f>COUNTIFS('EL scheme register'!$A$7:$A$479,$A119,'EL scheme register'!$AF$7:$AF$479,"Outside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register'!$A$7:$A$479,$A120,'EL scheme register'!$C$7:$C$479,"University-wide",'EL scheme register'!$AJ$7:$AJ$479,"Yes")</f>
        <v/>
      </c>
      <c r="J120" s="77">
        <f>COUNTIFS('EL scheme register'!$A$7:$A$479,$A120,'EL scheme register'!$C$7:$C$479,"Cross-faculty",'EL scheme register'!$AJ$7:$AJ$479,"Yes")</f>
        <v/>
      </c>
      <c r="K120" s="77">
        <f>COUNTIFS('EL scheme register'!$A$7:$A$479,$A120,'EL scheme register'!$C$7:$C$479,"Faculty/school",'EL scheme register'!$AJ$7:$AJ$479,"Yes")</f>
        <v/>
      </c>
      <c r="L120" s="77">
        <f>COUNTIFS('EL scheme register'!$A$7:$A$479,$A120,'EL scheme register'!$C$7:$C$479,"Programme/course",'EL scheme register'!$AJ$7:$AJ$479,"Yes")</f>
        <v/>
      </c>
      <c r="M120" s="77">
        <f>COUNTIFS('EL scheme register'!$A$7:$A$479,$A120,'EL scheme register'!$C$7:$C$479,"Unclear",'EL scheme register'!$AJ$7:$AJ$479,"Yes")</f>
        <v/>
      </c>
      <c r="N120" s="77">
        <f>SUM(I120:M120)</f>
        <v/>
      </c>
      <c r="O120" s="77">
        <f>COUNTIFS('EL scheme register'!$A$7:$A$479,$A120,'EL scheme register'!$AF$7:$AF$479,"Potentially relevant; evidence incomplete",'EL scheme register'!$AI$7:$AI$479,"Yes")</f>
        <v/>
      </c>
      <c r="P120" s="77">
        <f>COUNTIFS('EL scheme register'!$A$7:$A$479,$A120,'EL scheme register'!$AF$7:$AF$479,"Outside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register'!$A$7:$A$479,$A121,'EL scheme register'!$C$7:$C$479,"University-wide",'EL scheme register'!$AJ$7:$AJ$479,"Yes")</f>
        <v/>
      </c>
      <c r="J121" s="77">
        <f>COUNTIFS('EL scheme register'!$A$7:$A$479,$A121,'EL scheme register'!$C$7:$C$479,"Cross-faculty",'EL scheme register'!$AJ$7:$AJ$479,"Yes")</f>
        <v/>
      </c>
      <c r="K121" s="77">
        <f>COUNTIFS('EL scheme register'!$A$7:$A$479,$A121,'EL scheme register'!$C$7:$C$479,"Faculty/school",'EL scheme register'!$AJ$7:$AJ$479,"Yes")</f>
        <v/>
      </c>
      <c r="L121" s="77">
        <f>COUNTIFS('EL scheme register'!$A$7:$A$479,$A121,'EL scheme register'!$C$7:$C$479,"Programme/course",'EL scheme register'!$AJ$7:$AJ$479,"Yes")</f>
        <v/>
      </c>
      <c r="M121" s="77">
        <f>COUNTIFS('EL scheme register'!$A$7:$A$479,$A121,'EL scheme register'!$C$7:$C$479,"Unclear",'EL scheme register'!$AJ$7:$AJ$479,"Yes")</f>
        <v/>
      </c>
      <c r="N121" s="77">
        <f>SUM(I121:M121)</f>
        <v/>
      </c>
      <c r="O121" s="77">
        <f>COUNTIFS('EL scheme register'!$A$7:$A$479,$A121,'EL scheme register'!$AF$7:$AF$479,"Potentially relevant; evidence incomplete",'EL scheme register'!$AI$7:$AI$479,"Yes")</f>
        <v/>
      </c>
      <c r="P121" s="77">
        <f>COUNTIFS('EL scheme register'!$A$7:$A$479,$A121,'EL scheme register'!$AF$7:$AF$479,"Outside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register'!$A$7:$A$479,$A122,'EL scheme register'!$C$7:$C$479,"University-wide",'EL scheme register'!$AJ$7:$AJ$479,"Yes")</f>
        <v/>
      </c>
      <c r="J122" s="77">
        <f>COUNTIFS('EL scheme register'!$A$7:$A$479,$A122,'EL scheme register'!$C$7:$C$479,"Cross-faculty",'EL scheme register'!$AJ$7:$AJ$479,"Yes")</f>
        <v/>
      </c>
      <c r="K122" s="77">
        <f>COUNTIFS('EL scheme register'!$A$7:$A$479,$A122,'EL scheme register'!$C$7:$C$479,"Faculty/school",'EL scheme register'!$AJ$7:$AJ$479,"Yes")</f>
        <v/>
      </c>
      <c r="L122" s="77">
        <f>COUNTIFS('EL scheme register'!$A$7:$A$479,$A122,'EL scheme register'!$C$7:$C$479,"Programme/course",'EL scheme register'!$AJ$7:$AJ$479,"Yes")</f>
        <v/>
      </c>
      <c r="M122" s="77">
        <f>COUNTIFS('EL scheme register'!$A$7:$A$479,$A122,'EL scheme register'!$C$7:$C$479,"Unclear",'EL scheme register'!$AJ$7:$AJ$479,"Yes")</f>
        <v/>
      </c>
      <c r="N122" s="77">
        <f>SUM(I122:M122)</f>
        <v/>
      </c>
      <c r="O122" s="77">
        <f>COUNTIFS('EL scheme register'!$A$7:$A$479,$A122,'EL scheme register'!$AF$7:$AF$479,"Potentially relevant; evidence incomplete",'EL scheme register'!$AI$7:$AI$479,"Yes")</f>
        <v/>
      </c>
      <c r="P122" s="77">
        <f>COUNTIFS('EL scheme register'!$A$7:$A$479,$A122,'EL scheme register'!$AF$7:$AF$479,"Outside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register'!$A$7:$A$479,$A123,'EL scheme register'!$C$7:$C$479,"University-wide",'EL scheme register'!$AJ$7:$AJ$479,"Yes")</f>
        <v/>
      </c>
      <c r="J123" s="77">
        <f>COUNTIFS('EL scheme register'!$A$7:$A$479,$A123,'EL scheme register'!$C$7:$C$479,"Cross-faculty",'EL scheme register'!$AJ$7:$AJ$479,"Yes")</f>
        <v/>
      </c>
      <c r="K123" s="77">
        <f>COUNTIFS('EL scheme register'!$A$7:$A$479,$A123,'EL scheme register'!$C$7:$C$479,"Faculty/school",'EL scheme register'!$AJ$7:$AJ$479,"Yes")</f>
        <v/>
      </c>
      <c r="L123" s="77">
        <f>COUNTIFS('EL scheme register'!$A$7:$A$479,$A123,'EL scheme register'!$C$7:$C$479,"Programme/course",'EL scheme register'!$AJ$7:$AJ$479,"Yes")</f>
        <v/>
      </c>
      <c r="M123" s="77">
        <f>COUNTIFS('EL scheme register'!$A$7:$A$479,$A123,'EL scheme register'!$C$7:$C$479,"Unclear",'EL scheme register'!$AJ$7:$AJ$479,"Yes")</f>
        <v/>
      </c>
      <c r="N123" s="77">
        <f>SUM(I123:M123)</f>
        <v/>
      </c>
      <c r="O123" s="77">
        <f>COUNTIFS('EL scheme register'!$A$7:$A$479,$A123,'EL scheme register'!$AF$7:$AF$479,"Potentially relevant; evidence incomplete",'EL scheme register'!$AI$7:$AI$479,"Yes")</f>
        <v/>
      </c>
      <c r="P123" s="77">
        <f>COUNTIFS('EL scheme register'!$A$7:$A$479,$A123,'EL scheme register'!$AF$7:$AF$479,"Outside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register'!$A$7:$A$479,$A124,'EL scheme register'!$C$7:$C$479,"University-wide",'EL scheme register'!$AJ$7:$AJ$479,"Yes")</f>
        <v/>
      </c>
      <c r="J124" s="77">
        <f>COUNTIFS('EL scheme register'!$A$7:$A$479,$A124,'EL scheme register'!$C$7:$C$479,"Cross-faculty",'EL scheme register'!$AJ$7:$AJ$479,"Yes")</f>
        <v/>
      </c>
      <c r="K124" s="77">
        <f>COUNTIFS('EL scheme register'!$A$7:$A$479,$A124,'EL scheme register'!$C$7:$C$479,"Faculty/school",'EL scheme register'!$AJ$7:$AJ$479,"Yes")</f>
        <v/>
      </c>
      <c r="L124" s="77">
        <f>COUNTIFS('EL scheme register'!$A$7:$A$479,$A124,'EL scheme register'!$C$7:$C$479,"Programme/course",'EL scheme register'!$AJ$7:$AJ$479,"Yes")</f>
        <v/>
      </c>
      <c r="M124" s="77">
        <f>COUNTIFS('EL scheme register'!$A$7:$A$479,$A124,'EL scheme register'!$C$7:$C$479,"Unclear",'EL scheme register'!$AJ$7:$AJ$479,"Yes")</f>
        <v/>
      </c>
      <c r="N124" s="77">
        <f>SUM(I124:M124)</f>
        <v/>
      </c>
      <c r="O124" s="77">
        <f>COUNTIFS('EL scheme register'!$A$7:$A$479,$A124,'EL scheme register'!$AF$7:$AF$479,"Potentially relevant; evidence incomplete",'EL scheme register'!$AI$7:$AI$479,"Yes")</f>
        <v/>
      </c>
      <c r="P124" s="77">
        <f>COUNTIFS('EL scheme register'!$A$7:$A$479,$A124,'EL scheme register'!$AF$7:$AF$479,"Outside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register'!$A$7:$A$479,$A125,'EL scheme register'!$C$7:$C$479,"University-wide",'EL scheme register'!$AJ$7:$AJ$479,"Yes")</f>
        <v/>
      </c>
      <c r="J125" s="77">
        <f>COUNTIFS('EL scheme register'!$A$7:$A$479,$A125,'EL scheme register'!$C$7:$C$479,"Cross-faculty",'EL scheme register'!$AJ$7:$AJ$479,"Yes")</f>
        <v/>
      </c>
      <c r="K125" s="77">
        <f>COUNTIFS('EL scheme register'!$A$7:$A$479,$A125,'EL scheme register'!$C$7:$C$479,"Faculty/school",'EL scheme register'!$AJ$7:$AJ$479,"Yes")</f>
        <v/>
      </c>
      <c r="L125" s="77">
        <f>COUNTIFS('EL scheme register'!$A$7:$A$479,$A125,'EL scheme register'!$C$7:$C$479,"Programme/course",'EL scheme register'!$AJ$7:$AJ$479,"Yes")</f>
        <v/>
      </c>
      <c r="M125" s="77">
        <f>COUNTIFS('EL scheme register'!$A$7:$A$479,$A125,'EL scheme register'!$C$7:$C$479,"Unclear",'EL scheme register'!$AJ$7:$AJ$479,"Yes")</f>
        <v/>
      </c>
      <c r="N125" s="77">
        <f>SUM(I125:M125)</f>
        <v/>
      </c>
      <c r="O125" s="77">
        <f>COUNTIFS('EL scheme register'!$A$7:$A$479,$A125,'EL scheme register'!$AF$7:$AF$479,"Potentially relevant; evidence incomplete",'EL scheme register'!$AI$7:$AI$479,"Yes")</f>
        <v/>
      </c>
      <c r="P125" s="77">
        <f>COUNTIFS('EL scheme register'!$A$7:$A$479,$A125,'EL scheme register'!$AF$7:$AF$479,"Outside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register'!$A$7:$A$479,$A126,'EL scheme register'!$C$7:$C$479,"University-wide",'EL scheme register'!$AJ$7:$AJ$479,"Yes")</f>
        <v/>
      </c>
      <c r="J126" s="77">
        <f>COUNTIFS('EL scheme register'!$A$7:$A$479,$A126,'EL scheme register'!$C$7:$C$479,"Cross-faculty",'EL scheme register'!$AJ$7:$AJ$479,"Yes")</f>
        <v/>
      </c>
      <c r="K126" s="77">
        <f>COUNTIFS('EL scheme register'!$A$7:$A$479,$A126,'EL scheme register'!$C$7:$C$479,"Faculty/school",'EL scheme register'!$AJ$7:$AJ$479,"Yes")</f>
        <v/>
      </c>
      <c r="L126" s="77">
        <f>COUNTIFS('EL scheme register'!$A$7:$A$479,$A126,'EL scheme register'!$C$7:$C$479,"Programme/course",'EL scheme register'!$AJ$7:$AJ$479,"Yes")</f>
        <v/>
      </c>
      <c r="M126" s="77">
        <f>COUNTIFS('EL scheme register'!$A$7:$A$479,$A126,'EL scheme register'!$C$7:$C$479,"Unclear",'EL scheme register'!$AJ$7:$AJ$479,"Yes")</f>
        <v/>
      </c>
      <c r="N126" s="77">
        <f>SUM(I126:M126)</f>
        <v/>
      </c>
      <c r="O126" s="77">
        <f>COUNTIFS('EL scheme register'!$A$7:$A$479,$A126,'EL scheme register'!$AF$7:$AF$479,"Potentially relevant; evidence incomplete",'EL scheme register'!$AI$7:$AI$479,"Yes")</f>
        <v/>
      </c>
      <c r="P126" s="77">
        <f>COUNTIFS('EL scheme register'!$A$7:$A$479,$A126,'EL scheme register'!$AF$7:$AF$479,"Outside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register'!$A$7:$A$479,$A127,'EL scheme register'!$C$7:$C$479,"University-wide",'EL scheme register'!$AJ$7:$AJ$479,"Yes")</f>
        <v/>
      </c>
      <c r="J127" s="77">
        <f>COUNTIFS('EL scheme register'!$A$7:$A$479,$A127,'EL scheme register'!$C$7:$C$479,"Cross-faculty",'EL scheme register'!$AJ$7:$AJ$479,"Yes")</f>
        <v/>
      </c>
      <c r="K127" s="77">
        <f>COUNTIFS('EL scheme register'!$A$7:$A$479,$A127,'EL scheme register'!$C$7:$C$479,"Faculty/school",'EL scheme register'!$AJ$7:$AJ$479,"Yes")</f>
        <v/>
      </c>
      <c r="L127" s="77">
        <f>COUNTIFS('EL scheme register'!$A$7:$A$479,$A127,'EL scheme register'!$C$7:$C$479,"Programme/course",'EL scheme register'!$AJ$7:$AJ$479,"Yes")</f>
        <v/>
      </c>
      <c r="M127" s="77">
        <f>COUNTIFS('EL scheme register'!$A$7:$A$479,$A127,'EL scheme register'!$C$7:$C$479,"Unclear",'EL scheme register'!$AJ$7:$AJ$479,"Yes")</f>
        <v/>
      </c>
      <c r="N127" s="77">
        <f>SUM(I127:M127)</f>
        <v/>
      </c>
      <c r="O127" s="77">
        <f>COUNTIFS('EL scheme register'!$A$7:$A$479,$A127,'EL scheme register'!$AF$7:$AF$479,"Potentially relevant; evidence incomplete",'EL scheme register'!$AI$7:$AI$479,"Yes")</f>
        <v/>
      </c>
      <c r="P127" s="77">
        <f>COUNTIFS('EL scheme register'!$A$7:$A$479,$A127,'EL scheme register'!$AF$7:$AF$479,"Outside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register'!$A$7:$A$479,$A128,'EL scheme register'!$C$7:$C$479,"University-wide",'EL scheme register'!$AJ$7:$AJ$479,"Yes")</f>
        <v/>
      </c>
      <c r="J128" s="77">
        <f>COUNTIFS('EL scheme register'!$A$7:$A$479,$A128,'EL scheme register'!$C$7:$C$479,"Cross-faculty",'EL scheme register'!$AJ$7:$AJ$479,"Yes")</f>
        <v/>
      </c>
      <c r="K128" s="77">
        <f>COUNTIFS('EL scheme register'!$A$7:$A$479,$A128,'EL scheme register'!$C$7:$C$479,"Faculty/school",'EL scheme register'!$AJ$7:$AJ$479,"Yes")</f>
        <v/>
      </c>
      <c r="L128" s="77">
        <f>COUNTIFS('EL scheme register'!$A$7:$A$479,$A128,'EL scheme register'!$C$7:$C$479,"Programme/course",'EL scheme register'!$AJ$7:$AJ$479,"Yes")</f>
        <v/>
      </c>
      <c r="M128" s="77">
        <f>COUNTIFS('EL scheme register'!$A$7:$A$479,$A128,'EL scheme register'!$C$7:$C$479,"Unclear",'EL scheme register'!$AJ$7:$AJ$479,"Yes")</f>
        <v/>
      </c>
      <c r="N128" s="77">
        <f>SUM(I128:M128)</f>
        <v/>
      </c>
      <c r="O128" s="77">
        <f>COUNTIFS('EL scheme register'!$A$7:$A$479,$A128,'EL scheme register'!$AF$7:$AF$479,"Potentially relevant; evidence incomplete",'EL scheme register'!$AI$7:$AI$479,"Yes")</f>
        <v/>
      </c>
      <c r="P128" s="77">
        <f>COUNTIFS('EL scheme register'!$A$7:$A$479,$A128,'EL scheme register'!$AF$7:$AF$479,"Outside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register'!$A$7:$A$479,$A129,'EL scheme register'!$C$7:$C$479,"University-wide",'EL scheme register'!$AJ$7:$AJ$479,"Yes")</f>
        <v/>
      </c>
      <c r="J129" s="77">
        <f>COUNTIFS('EL scheme register'!$A$7:$A$479,$A129,'EL scheme register'!$C$7:$C$479,"Cross-faculty",'EL scheme register'!$AJ$7:$AJ$479,"Yes")</f>
        <v/>
      </c>
      <c r="K129" s="77">
        <f>COUNTIFS('EL scheme register'!$A$7:$A$479,$A129,'EL scheme register'!$C$7:$C$479,"Faculty/school",'EL scheme register'!$AJ$7:$AJ$479,"Yes")</f>
        <v/>
      </c>
      <c r="L129" s="77">
        <f>COUNTIFS('EL scheme register'!$A$7:$A$479,$A129,'EL scheme register'!$C$7:$C$479,"Programme/course",'EL scheme register'!$AJ$7:$AJ$479,"Yes")</f>
        <v/>
      </c>
      <c r="M129" s="77">
        <f>COUNTIFS('EL scheme register'!$A$7:$A$479,$A129,'EL scheme register'!$C$7:$C$479,"Unclear",'EL scheme register'!$AJ$7:$AJ$479,"Yes")</f>
        <v/>
      </c>
      <c r="N129" s="77">
        <f>SUM(I129:M129)</f>
        <v/>
      </c>
      <c r="O129" s="77">
        <f>COUNTIFS('EL scheme register'!$A$7:$A$479,$A129,'EL scheme register'!$AF$7:$AF$479,"Potentially relevant; evidence incomplete",'EL scheme register'!$AI$7:$AI$479,"Yes")</f>
        <v/>
      </c>
      <c r="P129" s="77">
        <f>COUNTIFS('EL scheme register'!$A$7:$A$479,$A129,'EL scheme register'!$AF$7:$AF$479,"Outside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register'!$A$7:$A$479,$A130,'EL scheme register'!$C$7:$C$479,"University-wide",'EL scheme register'!$AJ$7:$AJ$479,"Yes")</f>
        <v/>
      </c>
      <c r="J130" s="77">
        <f>COUNTIFS('EL scheme register'!$A$7:$A$479,$A130,'EL scheme register'!$C$7:$C$479,"Cross-faculty",'EL scheme register'!$AJ$7:$AJ$479,"Yes")</f>
        <v/>
      </c>
      <c r="K130" s="77">
        <f>COUNTIFS('EL scheme register'!$A$7:$A$479,$A130,'EL scheme register'!$C$7:$C$479,"Faculty/school",'EL scheme register'!$AJ$7:$AJ$479,"Yes")</f>
        <v/>
      </c>
      <c r="L130" s="77">
        <f>COUNTIFS('EL scheme register'!$A$7:$A$479,$A130,'EL scheme register'!$C$7:$C$479,"Programme/course",'EL scheme register'!$AJ$7:$AJ$479,"Yes")</f>
        <v/>
      </c>
      <c r="M130" s="77">
        <f>COUNTIFS('EL scheme register'!$A$7:$A$479,$A130,'EL scheme register'!$C$7:$C$479,"Unclear",'EL scheme register'!$AJ$7:$AJ$479,"Yes")</f>
        <v/>
      </c>
      <c r="N130" s="77">
        <f>SUM(I130:M130)</f>
        <v/>
      </c>
      <c r="O130" s="77">
        <f>COUNTIFS('EL scheme register'!$A$7:$A$479,$A130,'EL scheme register'!$AF$7:$AF$479,"Potentially relevant; evidence incomplete",'EL scheme register'!$AI$7:$AI$479,"Yes")</f>
        <v/>
      </c>
      <c r="P130" s="77">
        <f>COUNTIFS('EL scheme register'!$A$7:$A$479,$A130,'EL scheme register'!$AF$7:$AF$479,"Outside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479"/>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AU03</t>
        </is>
      </c>
      <c r="B30" s="77" t="inlineStr">
        <is>
          <t>Sydney</t>
        </is>
      </c>
      <c r="C30" s="77" t="inlineStr">
        <is>
          <t>University-wide</t>
        </is>
      </c>
      <c r="D30" s="77" t="inlineStr">
        <is>
          <t>AU03-S01</t>
        </is>
      </c>
      <c r="E30" s="77" t="inlineStr"/>
      <c r="F30" s="77" t="inlineStr">
        <is>
          <t>Yes</t>
        </is>
      </c>
      <c r="G30" s="79" t="inlineStr">
        <is>
          <t>Industry and Community Project Units (ICPUs)</t>
        </is>
      </c>
      <c r="H30" s="77" t="inlineStr">
        <is>
          <t>Industry and Community Project Units</t>
        </is>
      </c>
      <c r="I30" s="77" t="inlineStr"/>
      <c r="J30"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0" s="77" t="inlineStr">
        <is>
          <t>Pro-Vice-Chancellor (Education) portfolio (pvceducation.enquiries@sydney.edu.au) with faculty shell units</t>
        </is>
      </c>
      <c r="L30" s="77" t="inlineStr">
        <is>
          <t>Students from all faculties via faculty shell units offered in their course</t>
        </is>
      </c>
      <c r="M30" s="77" t="inlineStr">
        <is>
          <t>Central provision; Business/management; Engineering/computing; Science; Arts/humanities/social sciences; Other (law, health, design, architecture…)</t>
        </is>
      </c>
      <c r="N30" s="77" t="inlineStr">
        <is>
          <t>Undergraduate</t>
        </is>
      </c>
      <c r="O30" s="77" t="inlineStr">
        <is>
          <t>3000 level and 4000 level (senior years)</t>
        </is>
      </c>
      <c r="P30" s="77" t="inlineStr">
        <is>
          <t>Must be undergraduate; shell unit must be available in the student's course; places limited; signed Deed Poll required</t>
        </is>
      </c>
      <c r="Q30" s="77" t="inlineStr">
        <is>
          <t>Optional/elective</t>
        </is>
      </c>
      <c r="R30" s="77" t="inlineStr">
        <is>
          <t>Curricular</t>
        </is>
      </c>
      <c r="S30" s="77" t="inlineStr">
        <is>
          <t>6 cp (3000 level) or 12 cp (4000 level, Projects A+B)</t>
        </is>
      </c>
      <c r="T30" s="77" t="inlineStr">
        <is>
          <t>Semester-long or intensive</t>
        </is>
      </c>
      <c r="U30" s="77" t="inlineStr">
        <is>
          <t>On campus, interdisciplinary teams with project supervisor</t>
        </is>
      </c>
      <c r="V30" s="77" t="inlineStr">
        <is>
          <t>Yes</t>
        </is>
      </c>
      <c r="W30" s="77" t="inlineStr">
        <is>
          <t>Students are given a brief of a real-world problem from a partner and propose solutions [1][2].</t>
        </is>
      </c>
      <c r="X30" s="77" t="inlineStr">
        <is>
          <t>Yes</t>
        </is>
      </c>
      <c r="Y30" s="77" t="inlineStr">
        <is>
          <t>Students 'must work in interdisciplinary teams' [2]; supervisors allocate groups [3].</t>
        </is>
      </c>
      <c r="Z30" s="77" t="inlineStr">
        <is>
          <t>Yes</t>
        </is>
      </c>
      <c r="AA30" s="77" t="inlineStr">
        <is>
          <t>Partners supply the brief, can give feedback and receive the recommended solutions [2][4].</t>
        </is>
      </c>
      <c r="AB30" s="77" t="inlineStr">
        <is>
          <t>Mixed</t>
        </is>
      </c>
      <c r="AC30" s="77" t="inlineStr">
        <is>
          <t>Set real-world brief; give feedback; receive presentations/recommendations</t>
        </is>
      </c>
      <c r="AD30" s="77" t="inlineStr">
        <is>
          <t>Westpac, Accenture, AGL, NSW Farmers Association, NSW Public Service Commission, Thales, NSW Health (teaching@sydney article, undated)</t>
        </is>
      </c>
      <c r="AE30" s="77" t="inlineStr">
        <is>
          <t>Recommendations/solutions presented to partner</t>
        </is>
      </c>
      <c r="AF30" s="77">
        <f>IF(OR(V30="No",X30="No",Z30="No"),"Outside strict definition",IF(AND(V30="Yes",X30="Yes",Z30="Yes"),"Meets all three","Potentially relevant; evidence incomplete"))</f>
        <v/>
      </c>
      <c r="AG30" s="77" t="inlineStr">
        <is>
          <t>Current delivery confirmed</t>
        </is>
      </c>
      <c r="AH30" s="77" t="inlineStr">
        <is>
          <t>2026/27</t>
        </is>
      </c>
      <c r="AI30" s="77" t="inlineStr">
        <is>
          <t>No</t>
        </is>
      </c>
      <c r="AJ30" s="77">
        <f>IF(AND(AI30="Yes",AF30="Meets all three",AG30="Current delivery confirmed"),"Yes","No")</f>
        <v/>
      </c>
      <c r="AK30" s="77" t="inlineStr">
        <is>
          <t>Partner-facing page: more than 85 business, government and community organisations have worked with the University (cumulative, undated) [4].</t>
        </is>
      </c>
      <c r="AL30" s="77" t="inlineStr">
        <is>
          <t>AU03-S01-R1; AU03-S01-R2; AU03-S01-R3; AU03-S01-R4</t>
        </is>
      </c>
      <c r="AM30" s="77" t="inlineStr">
        <is>
          <t>Total student enrolments per year not published in results.</t>
        </is>
      </c>
      <c r="AN30" s="77" t="inlineStr">
        <is>
          <t>Industry and Community Project Units</t>
        </is>
      </c>
      <c r="AO30" s="77" t="inlineStr">
        <is>
          <t>Australia</t>
        </is>
      </c>
      <c r="AP30" s="77" t="inlineStr">
        <is>
          <t>Australia</t>
        </is>
      </c>
      <c r="AQ30" s="77" t="inlineStr">
        <is>
          <t>~1 term/semester</t>
        </is>
      </c>
      <c r="AR30" s="77" t="inlineStr">
        <is>
          <t>All/standard</t>
        </is>
      </c>
      <c r="AS30" s="77" t="inlineStr">
        <is>
          <t>No (umbrella; children counted)</t>
        </is>
      </c>
    </row>
    <row r="31">
      <c r="A31" s="77" t="inlineStr">
        <is>
          <t>AU03</t>
        </is>
      </c>
      <c r="B31" s="77" t="inlineStr">
        <is>
          <t>Sydney</t>
        </is>
      </c>
      <c r="C31" s="77" t="inlineStr">
        <is>
          <t>University-wide</t>
        </is>
      </c>
      <c r="D31" s="77" t="inlineStr">
        <is>
          <t>AU03-S02</t>
        </is>
      </c>
      <c r="E31" s="77" t="inlineStr">
        <is>
          <t>AU03-S01</t>
        </is>
      </c>
      <c r="F31" s="77" t="inlineStr">
        <is>
          <t>No</t>
        </is>
      </c>
      <c r="G31" s="79" t="inlineStr">
        <is>
          <t>Industry and Community Project (3000 level ICPU)</t>
        </is>
      </c>
      <c r="H31" s="77" t="inlineStr">
        <is>
          <t>Industry and Community Project (3000 level)</t>
        </is>
      </c>
      <c r="I31" s="77" t="inlineStr">
        <is>
          <t>Faculty shell units incl. FASS3333, FINC3400, ACCT3400, BANK3400, GOVT3898, ENGG3800/ENGG3801, SCPU3001</t>
        </is>
      </c>
      <c r="J31"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1" s="77" t="inlineStr">
        <is>
          <t>PVC Education portfolio; faculty shell units</t>
        </is>
      </c>
      <c r="L31" s="77" t="inlineStr">
        <is>
          <t>Any undergraduate whose course includes a 3000-level ICPU shell unit (Arts &amp; Social Sciences, Business, Engineering, Science, etc.)</t>
        </is>
      </c>
      <c r="M31" s="77" t="inlineStr">
        <is>
          <t>Central provision; Business/management; Engineering/computing; Science; Arts/humanities/social sciences</t>
        </is>
      </c>
      <c r="N31" s="77" t="inlineStr">
        <is>
          <t>Undergraduate</t>
        </is>
      </c>
      <c r="O31" s="77" t="inlineStr">
        <is>
          <t>3000 level (typically third year)</t>
        </is>
      </c>
      <c r="P31" s="77" t="inlineStr">
        <is>
          <t>Must be an undergraduate; shell unit must be offered in your course and handbook criteria met; places limited; ENGG3801 requires departmental permission; from 2026 SCPU3001 is mainly for Science double-major students; signed and witnessed Deed Poll required.</t>
        </is>
      </c>
      <c r="Q31" s="77" t="inlineStr">
        <is>
          <t>Optional/elective</t>
        </is>
      </c>
      <c r="R31" s="77" t="inlineStr">
        <is>
          <t>Curricular</t>
        </is>
      </c>
      <c r="S31" s="77" t="inlineStr">
        <is>
          <t>6 credit points</t>
        </is>
      </c>
      <c r="T31" s="77" t="inlineStr">
        <is>
          <t>Semester or intensive session (Jan-Feb intensive offered); 120-150 hours effort cited for intensive</t>
        </is>
      </c>
      <c r="U31" s="77" t="inlineStr">
        <is>
          <t>On campus; interdisciplinary groups with project supervisor</t>
        </is>
      </c>
      <c r="V31" s="77" t="inlineStr">
        <is>
          <t>Yes</t>
        </is>
      </c>
      <c r="W31" s="77" t="inlineStr">
        <is>
          <t>Partners set a real business challenge [3]; students present ideas and solutions (FASS3333) [5].</t>
        </is>
      </c>
      <c r="X31" s="77" t="inlineStr">
        <is>
          <t>Yes</t>
        </is>
      </c>
      <c r="Y31" s="77" t="inlineStr">
        <is>
          <t>'Project supervisors will allocate the groups to ensure an interdisciplinary mix of students' [3]; groups of five within cohort of 45-60 in one listing [4].</t>
        </is>
      </c>
      <c r="Z31" s="77" t="inlineStr">
        <is>
          <t>Yes</t>
        </is>
      </c>
      <c r="AA31" s="77" t="inlineStr">
        <is>
          <t>External partners set the challenge; FASS3333 students present ideas and solutions to the industry partner [3][5]; projects 'run in collaboration with partners outside of the University' [1].</t>
        </is>
      </c>
      <c r="AB31" s="77" t="inlineStr">
        <is>
          <t>Mixed</t>
        </is>
      </c>
      <c r="AC31" s="77" t="inlineStr">
        <is>
          <t>Sets brief, receives presentation, may give feedback</t>
        </is>
      </c>
      <c r="AD31" s="77" t="inlineStr">
        <is>
          <t>City of Sydney, Westpac, Insurance Council of Australia (3000-level projects page, listing for 2027 sessions)</t>
        </is>
      </c>
      <c r="AE31" s="77" t="inlineStr">
        <is>
          <t>Recommendations / solution presentation to partner</t>
        </is>
      </c>
      <c r="AF31" s="77">
        <f>IF(OR(V31="No",X31="No",Z31="No"),"Outside strict definition",IF(AND(V31="Yes",X31="Yes",Z31="Yes"),"Meets all three","Potentially relevant; evidence incomplete"))</f>
        <v/>
      </c>
      <c r="AG31" s="77" t="inlineStr">
        <is>
          <t>Current delivery confirmed</t>
        </is>
      </c>
      <c r="AH31" s="77" t="inlineStr">
        <is>
          <t>2026/27 (project registration windows: intensive opens 30 Nov 2026; Semester 1 2027 window 11 Jan-21 Feb 2027)</t>
        </is>
      </c>
      <c r="AI31" s="77" t="inlineStr">
        <is>
          <t>Yes</t>
        </is>
      </c>
      <c r="AJ31" s="77">
        <f>IF(AND(AI31="Yes",AF31="Meets all three",AG31="Current delivery confirmed"),"Yes","No")</f>
        <v/>
      </c>
      <c r="AK31" s="77" t="inlineStr"/>
      <c r="AL31" s="77" t="inlineStr">
        <is>
          <t>AU03-S02-R1; AU03-S02-R2; AU03-S02-R3; AU03-S02-R4; AU03-S02-R5</t>
        </is>
      </c>
      <c r="AM31" s="77" t="inlineStr">
        <is>
          <t>Exact assessment weighting and number of students/projects per session not retrieved.</t>
        </is>
      </c>
      <c r="AN31" s="77" t="inlineStr"/>
      <c r="AO31" s="77" t="inlineStr">
        <is>
          <t>Australia</t>
        </is>
      </c>
      <c r="AP31" s="77" t="inlineStr">
        <is>
          <t>Australia</t>
        </is>
      </c>
      <c r="AQ31" s="77" t="inlineStr">
        <is>
          <t>~1 term/semester</t>
        </is>
      </c>
      <c r="AR31" s="77" t="inlineStr">
        <is>
          <t>All/standard</t>
        </is>
      </c>
      <c r="AS31" s="77" t="inlineStr"/>
    </row>
    <row r="32">
      <c r="A32" s="77" t="inlineStr">
        <is>
          <t>AU03</t>
        </is>
      </c>
      <c r="B32" s="77" t="inlineStr">
        <is>
          <t>Sydney</t>
        </is>
      </c>
      <c r="C32" s="77" t="inlineStr">
        <is>
          <t>Cross-faculty</t>
        </is>
      </c>
      <c r="D32" s="77" t="inlineStr">
        <is>
          <t>AU03-S03</t>
        </is>
      </c>
      <c r="E32" s="77" t="inlineStr">
        <is>
          <t>AU03-S01</t>
        </is>
      </c>
      <c r="F32" s="77" t="inlineStr">
        <is>
          <t>No</t>
        </is>
      </c>
      <c r="G32" s="79" t="inlineStr">
        <is>
          <t>Advanced Industry and Community Project A and B (4000 level ICPU)</t>
        </is>
      </c>
      <c r="H32" s="77" t="inlineStr">
        <is>
          <t>Advanced Industry and Community Project (4000 level)</t>
        </is>
      </c>
      <c r="I32" s="77" t="inlineStr">
        <is>
          <t>Shell units incl. BUSS4905, FASS4902, SCPU4001/SCPU4002, FMHU4001, ARCH4108</t>
        </is>
      </c>
      <c r="J32"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2" s="77" t="inlineStr">
        <is>
          <t>PVC Education portfolio; faculty shell units</t>
        </is>
      </c>
      <c r="L32" s="77" t="inlineStr">
        <is>
          <t>Students in courses offering a 4000-level shell unit (Business, Arts &amp; Social Sciences, Science, Medicine &amp; Health, Architecture evidenced)</t>
        </is>
      </c>
      <c r="M32" s="77" t="inlineStr">
        <is>
          <t>Central provision; Business/management; Science; Arts/humanities/social sciences; Other (law, health, design, architecture…)</t>
        </is>
      </c>
      <c r="N32" s="77" t="inlineStr">
        <is>
          <t>Undergraduate</t>
        </is>
      </c>
      <c r="O32" s="77" t="inlineStr">
        <is>
          <t>4000 level (final/honours-level year)</t>
        </is>
      </c>
      <c r="P32" s="77" t="inlineStr">
        <is>
          <t>Must access via the two co-requisite shell units available in own course; detailed eligibility not retrieved.</t>
        </is>
      </c>
      <c r="Q32" s="77" t="inlineStr">
        <is>
          <t>Optional/elective</t>
        </is>
      </c>
      <c r="R32" s="77" t="inlineStr">
        <is>
          <t>Curricular</t>
        </is>
      </c>
      <c r="S32" s="77" t="inlineStr">
        <is>
          <t>12 credit points (2 x 6 cp shell units, A and B)</t>
        </is>
      </c>
      <c r="T32" s="77" t="inlineStr">
        <is>
          <t>Project A June-July intensive + Project B Semester 2 (3 Aug - 8 Nov 2026)</t>
        </is>
      </c>
      <c r="U32" s="77" t="inlineStr">
        <is>
          <t>Interdisciplinary teams; intensive + semester</t>
        </is>
      </c>
      <c r="V32" s="77" t="inlineStr">
        <is>
          <t>Yes</t>
        </is>
      </c>
      <c r="W32" s="77" t="inlineStr">
        <is>
          <t>Teams work on a complex real-world problem identified by partner organisations and produce final recommendations [1][2].</t>
        </is>
      </c>
      <c r="X32" s="77" t="inlineStr">
        <is>
          <t>Yes</t>
        </is>
      </c>
      <c r="Y32" s="77" t="inlineStr">
        <is>
          <t>ARCH4108 describes teams working on the problem [2]; SCPU4001 students work in teams in collaboration with a major industry partner [3].</t>
        </is>
      </c>
      <c r="Z32" s="77" t="inlineStr">
        <is>
          <t>Yes</t>
        </is>
      </c>
      <c r="AA32" s="77" t="inlineStr">
        <is>
          <t>Problem identified by industry, community and government organisations [2]; SCPU4001 run in collaboration with a major industry partner [3]; 2026 projects with AMP and PTW Architects [1].</t>
        </is>
      </c>
      <c r="AB32" s="77" t="inlineStr">
        <is>
          <t>Mixed</t>
        </is>
      </c>
      <c r="AC32" s="77" t="inlineStr">
        <is>
          <t>Identifies the problem/brief; collaborates on the project</t>
        </is>
      </c>
      <c r="AD32" s="77" t="inlineStr">
        <is>
          <t>AMP; PTW Architects (Semester 2 2026)</t>
        </is>
      </c>
      <c r="AE32" s="77" t="inlineStr">
        <is>
          <t>Final recommendations</t>
        </is>
      </c>
      <c r="AF32" s="77">
        <f>IF(OR(V32="No",X32="No",Z32="No"),"Outside strict definition",IF(AND(V32="Yes",X32="Yes",Z32="Yes"),"Meets all three","Potentially relevant; evidence incomplete"))</f>
        <v/>
      </c>
      <c r="AG32" s="77" t="inlineStr">
        <is>
          <t>Current delivery confirmed</t>
        </is>
      </c>
      <c r="AH32" s="77" t="inlineStr">
        <is>
          <t>2026 (Semester 2 2026 projects, 3 Aug-8 Nov 2026)</t>
        </is>
      </c>
      <c r="AI32" s="77" t="inlineStr">
        <is>
          <t>Yes</t>
        </is>
      </c>
      <c r="AJ32" s="77">
        <f>IF(AND(AI32="Yes",AF32="Meets all three",AG32="Current delivery confirmed"),"Yes","No")</f>
        <v/>
      </c>
      <c r="AK32" s="77" t="inlineStr"/>
      <c r="AL32" s="77" t="inlineStr">
        <is>
          <t>AU03-S03-R1; AU03-S03-R2; AU03-S03-R3; AU03-S03-R4</t>
        </is>
      </c>
      <c r="AM32" s="77" t="inlineStr">
        <is>
          <t>The AMP 2026 project uses AMP's publicly available climate disclosures as a case study; extent of AMP's direct engagement with students not stated. Reach classed Cross-faculty because no explicit all-faculty eligibility statement for 4000 level was retrieved.</t>
        </is>
      </c>
      <c r="AN32" s="77" t="inlineStr"/>
      <c r="AO32" s="77" t="inlineStr">
        <is>
          <t>Australia</t>
        </is>
      </c>
      <c r="AP32" s="77" t="inlineStr">
        <is>
          <t>Australia</t>
        </is>
      </c>
      <c r="AQ32" s="77" t="inlineStr">
        <is>
          <t>&gt;1 term</t>
        </is>
      </c>
      <c r="AR32" s="77" t="inlineStr">
        <is>
          <t>All/standard</t>
        </is>
      </c>
      <c r="AS32" s="77" t="inlineStr"/>
    </row>
    <row r="33">
      <c r="A33" s="77" t="inlineStr">
        <is>
          <t>AU03</t>
        </is>
      </c>
      <c r="B33" s="77" t="inlineStr">
        <is>
          <t>Sydney</t>
        </is>
      </c>
      <c r="C33" s="77" t="inlineStr">
        <is>
          <t>Faculty/school</t>
        </is>
      </c>
      <c r="D33" s="77" t="inlineStr">
        <is>
          <t>AU03-S04</t>
        </is>
      </c>
      <c r="E33" s="77" t="inlineStr"/>
      <c r="F33" s="77" t="inlineStr">
        <is>
          <t>No</t>
        </is>
      </c>
      <c r="G33" s="79" t="inlineStr">
        <is>
          <t>Business Consulting Practicum (Undergraduate)</t>
        </is>
      </c>
      <c r="H33" s="77" t="inlineStr">
        <is>
          <t>Business Consulting Practicum</t>
        </is>
      </c>
      <c r="I33" s="77" t="inlineStr">
        <is>
          <t>BWIL1300</t>
        </is>
      </c>
      <c r="J33"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3" s="77" t="inlineStr">
        <is>
          <t>University of Sydney Business School (Business placements, projects and study tours)</t>
        </is>
      </c>
      <c r="L33" s="77" t="inlineStr">
        <is>
          <t>Business School degrees incl. Bachelor of Commerce and combined degrees</t>
        </is>
      </c>
      <c r="M33" s="77" t="inlineStr">
        <is>
          <t>Business/management</t>
        </is>
      </c>
      <c r="N33" s="77" t="inlineStr">
        <is>
          <t>Undergraduate</t>
        </is>
      </c>
      <c r="O33" s="77" t="inlineStr">
        <is>
          <t>After at least 24 cp of business units</t>
        </is>
      </c>
      <c r="P33" s="77" t="inlineStr">
        <is>
          <t>Enrolled in specified Business School degree; 24 cp of UG business units completed; 6 cp free elective space; does not count to major/minor; minimum enrolment needed.</t>
        </is>
      </c>
      <c r="Q33" s="77" t="inlineStr">
        <is>
          <t>Optional/elective</t>
        </is>
      </c>
      <c r="R33" s="77" t="inlineStr">
        <is>
          <t>Curricular</t>
        </is>
      </c>
      <c r="S33" s="77" t="inlineStr">
        <is>
          <t>6 credit points</t>
        </is>
      </c>
      <c r="T33" s="77" t="inlineStr">
        <is>
          <t>One semester</t>
        </is>
      </c>
      <c r="U33" s="77" t="inlineStr">
        <is>
          <t>On campus (Camperdown/Darlington)</t>
        </is>
      </c>
      <c r="V33" s="77" t="inlineStr">
        <is>
          <t>Yes</t>
        </is>
      </c>
      <c r="W33" s="77" t="inlineStr">
        <is>
          <t>Live industry project; scope and deliverables set with the sponsor; ends in a written report to the sponsor [1][2].</t>
        </is>
      </c>
      <c r="X33" s="77" t="inlineStr">
        <is>
          <t>Yes</t>
        </is>
      </c>
      <c r="Y33" s="77" t="inlineStr">
        <is>
          <t>Students 'form a student consultancy with your classmates' [1].</t>
        </is>
      </c>
      <c r="Z33" s="77" t="inlineStr">
        <is>
          <t>Yes</t>
        </is>
      </c>
      <c r="AA33" s="77" t="inlineStr">
        <is>
          <t>Sponsor organisation provides the project, agrees scope/deliverables and receives the written report [2].</t>
        </is>
      </c>
      <c r="AB33" s="77" t="inlineStr">
        <is>
          <t>Mixed</t>
        </is>
      </c>
      <c r="AC33" s="77" t="inlineStr">
        <is>
          <t>Sponsor/client: scopes deliverables, receives report</t>
        </is>
      </c>
      <c r="AD33" s="77" t="inlineStr"/>
      <c r="AE33" s="77" t="inlineStr">
        <is>
          <t>Written consulting report to sponsor</t>
        </is>
      </c>
      <c r="AF33" s="77">
        <f>IF(OR(V33="No",X33="No",Z33="No"),"Outside strict definition",IF(AND(V33="Yes",X33="Yes",Z33="Yes"),"Meets all three","Potentially relevant; evidence incomplete"))</f>
        <v/>
      </c>
      <c r="AG33" s="77" t="inlineStr">
        <is>
          <t>Current delivery confirmed</t>
        </is>
      </c>
      <c r="AH33" s="77" t="inlineStr">
        <is>
          <t>2026 (Semester 2 2026 offering)</t>
        </is>
      </c>
      <c r="AI33" s="77" t="inlineStr">
        <is>
          <t>Yes</t>
        </is>
      </c>
      <c r="AJ33" s="77">
        <f>IF(AND(AI33="Yes",AF33="Meets all three",AG33="Current delivery confirmed"),"Yes","No")</f>
        <v/>
      </c>
      <c r="AK33" s="77" t="inlineStr"/>
      <c r="AL33" s="77" t="inlineStr">
        <is>
          <t>AU03-S04-R1; AU03-S04-R2; AU03-S04-R3</t>
        </is>
      </c>
      <c r="AM33" s="77" t="inlineStr">
        <is>
          <t>Sponsor/report details are evidenced on the BWIL6300 unit page and shared programme page; BWIL1300's own unit page extract gave only the 2026 session.</t>
        </is>
      </c>
      <c r="AN33" s="77" t="inlineStr"/>
      <c r="AO33" s="77" t="inlineStr">
        <is>
          <t>Australia</t>
        </is>
      </c>
      <c r="AP33" s="77" t="inlineStr">
        <is>
          <t>Australia</t>
        </is>
      </c>
      <c r="AQ33" s="77" t="inlineStr">
        <is>
          <t>~1 term/semester</t>
        </is>
      </c>
      <c r="AR33" s="77" t="inlineStr">
        <is>
          <t>All/standard</t>
        </is>
      </c>
      <c r="AS33" s="77" t="inlineStr"/>
    </row>
    <row r="34">
      <c r="A34" s="77" t="inlineStr">
        <is>
          <t>AU03</t>
        </is>
      </c>
      <c r="B34" s="77" t="inlineStr">
        <is>
          <t>Sydney</t>
        </is>
      </c>
      <c r="C34" s="77" t="inlineStr">
        <is>
          <t>Faculty/school</t>
        </is>
      </c>
      <c r="D34" s="77" t="inlineStr">
        <is>
          <t>AU03-S05</t>
        </is>
      </c>
      <c r="E34" s="77" t="inlineStr"/>
      <c r="F34" s="77" t="inlineStr">
        <is>
          <t>No</t>
        </is>
      </c>
      <c r="G34" s="79" t="inlineStr">
        <is>
          <t>Business Consulting Practicum (Postgraduate)</t>
        </is>
      </c>
      <c r="H34" s="77" t="inlineStr">
        <is>
          <t>Business Consulting Practicum</t>
        </is>
      </c>
      <c r="I34" s="77" t="inlineStr">
        <is>
          <t>BWIL6300</t>
        </is>
      </c>
      <c r="J34" s="77" t="inlineStr">
        <is>
          <t>Postgraduate version: student consultancy teams of classmates work for a semester with a sponsor (corporate, SME, not-for-profit or government), examining the sponsor's current activities, challenges and aspirations and delivering a written report.</t>
        </is>
      </c>
      <c r="K34" s="77" t="inlineStr">
        <is>
          <t>University of Sydney Business School</t>
        </is>
      </c>
      <c r="L34" s="77" t="inlineStr">
        <is>
          <t>Specified Business School master's degrees (e.g. Master of Commerce, Master of Professional Accounting)</t>
        </is>
      </c>
      <c r="M34" s="77" t="inlineStr">
        <is>
          <t>Business/management</t>
        </is>
      </c>
      <c r="N34" s="77" t="inlineStr">
        <is>
          <t>Postgraduate taught</t>
        </is>
      </c>
      <c r="O34" s="77" t="inlineStr">
        <is>
          <t>Any (no minimum credit points)</t>
        </is>
      </c>
      <c r="P34" s="77" t="inlineStr">
        <is>
          <t>Enrolled in specified Business School PG degree; minimum enrolment needed.</t>
        </is>
      </c>
      <c r="Q34" s="77" t="inlineStr">
        <is>
          <t>Optional/elective</t>
        </is>
      </c>
      <c r="R34" s="77" t="inlineStr">
        <is>
          <t>Curricular</t>
        </is>
      </c>
      <c r="S34" s="77" t="inlineStr">
        <is>
          <t>6 credit points</t>
        </is>
      </c>
      <c r="T34" s="77" t="inlineStr">
        <is>
          <t>One semester</t>
        </is>
      </c>
      <c r="U34" s="77" t="inlineStr">
        <is>
          <t>On campus; Semester 1 and Semester 2 2026</t>
        </is>
      </c>
      <c r="V34" s="77" t="inlineStr">
        <is>
          <t>Yes</t>
        </is>
      </c>
      <c r="W34" s="77" t="inlineStr">
        <is>
          <t>Sponsor project; scope/deliverables set with sponsor; written report [1].</t>
        </is>
      </c>
      <c r="X34" s="77" t="inlineStr">
        <is>
          <t>Yes</t>
        </is>
      </c>
      <c r="Y34" s="77" t="inlineStr">
        <is>
          <t>Students form a student consultancy with classmates [2].</t>
        </is>
      </c>
      <c r="Z34" s="77" t="inlineStr">
        <is>
          <t>Yes</t>
        </is>
      </c>
      <c r="AA34" s="77" t="inlineStr">
        <is>
          <t>Sponsor organisation supplies project, co-scopes deliverables, receives written report [1].</t>
        </is>
      </c>
      <c r="AB34" s="77" t="inlineStr">
        <is>
          <t>Mixed</t>
        </is>
      </c>
      <c r="AC34" s="77" t="inlineStr">
        <is>
          <t>Sponsor/client</t>
        </is>
      </c>
      <c r="AD34" s="77" t="inlineStr"/>
      <c r="AE34" s="77" t="inlineStr">
        <is>
          <t>Written report to sponsor</t>
        </is>
      </c>
      <c r="AF34" s="77">
        <f>IF(OR(V34="No",X34="No",Z34="No"),"Outside strict definition",IF(AND(V34="Yes",X34="Yes",Z34="Yes"),"Meets all three","Potentially relevant; evidence incomplete"))</f>
        <v/>
      </c>
      <c r="AG34" s="77" t="inlineStr">
        <is>
          <t>Current delivery confirmed</t>
        </is>
      </c>
      <c r="AH34" s="77" t="inlineStr">
        <is>
          <t>2026 (Semester 1 and 2 2026 offerings)</t>
        </is>
      </c>
      <c r="AI34" s="77" t="inlineStr">
        <is>
          <t>Yes</t>
        </is>
      </c>
      <c r="AJ34" s="77">
        <f>IF(AND(AI34="Yes",AF34="Meets all three",AG34="Current delivery confirmed"),"Yes","No")</f>
        <v/>
      </c>
      <c r="AK34" s="77" t="inlineStr"/>
      <c r="AL34" s="77" t="inlineStr">
        <is>
          <t>AU03-S05-R1; AU03-S05-R2</t>
        </is>
      </c>
      <c r="AM34" s="77" t="inlineStr"/>
      <c r="AN34" s="77" t="inlineStr"/>
      <c r="AO34" s="77" t="inlineStr">
        <is>
          <t>Australia</t>
        </is>
      </c>
      <c r="AP34" s="77" t="inlineStr">
        <is>
          <t>Australia</t>
        </is>
      </c>
      <c r="AQ34" s="77" t="inlineStr">
        <is>
          <t>~1 term/semester</t>
        </is>
      </c>
      <c r="AR34" s="77" t="inlineStr">
        <is>
          <t>All/standard</t>
        </is>
      </c>
      <c r="AS34" s="77" t="inlineStr"/>
    </row>
    <row r="35">
      <c r="A35" s="77" t="inlineStr">
        <is>
          <t>AU03</t>
        </is>
      </c>
      <c r="B35" s="77" t="inlineStr">
        <is>
          <t>Sydney</t>
        </is>
      </c>
      <c r="C35" s="77" t="inlineStr">
        <is>
          <t>Programme/course</t>
        </is>
      </c>
      <c r="D35" s="77" t="inlineStr">
        <is>
          <t>AU03-S06</t>
        </is>
      </c>
      <c r="E35" s="77" t="inlineStr"/>
      <c r="F35" s="77" t="inlineStr">
        <is>
          <t>No</t>
        </is>
      </c>
      <c r="G35" s="79" t="inlineStr">
        <is>
          <t>MMGT Business Project</t>
        </is>
      </c>
      <c r="H35" s="77" t="inlineStr">
        <is>
          <t>Master of Management Business Project</t>
        </is>
      </c>
      <c r="I35" s="77" t="inlineStr">
        <is>
          <t>MMGT6101</t>
        </is>
      </c>
      <c r="J35"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35" s="77" t="inlineStr">
        <is>
          <t>University of Sydney Business School</t>
        </is>
      </c>
      <c r="L35" s="77" t="inlineStr">
        <is>
          <t>Master of Management (and CEMS variant)</t>
        </is>
      </c>
      <c r="M35" s="77" t="inlineStr">
        <is>
          <t>Business/management</t>
        </is>
      </c>
      <c r="N35" s="77" t="inlineStr">
        <is>
          <t>Postgraduate taught</t>
        </is>
      </c>
      <c r="O35" s="77" t="inlineStr">
        <is>
          <t>After 24 cp of core units (2016 handbook)</t>
        </is>
      </c>
      <c r="P35" s="77" t="inlineStr">
        <is>
          <t>Department permission; 24 cp core units completed (archived 2016 handbook)</t>
        </is>
      </c>
      <c r="Q35" s="77" t="inlineStr">
        <is>
          <t>Unclear</t>
        </is>
      </c>
      <c r="R35" s="77" t="inlineStr">
        <is>
          <t>Curricular</t>
        </is>
      </c>
      <c r="S35" s="77" t="inlineStr">
        <is>
          <t>12 cp; report 45%, presentation 25%, thought leadership + portfolio 30%</t>
        </is>
      </c>
      <c r="T35" s="77" t="inlineStr">
        <is>
          <t>Ten weeks</t>
        </is>
      </c>
      <c r="U35" s="77" t="inlineStr">
        <is>
          <t>Field experience, no formal classes</t>
        </is>
      </c>
      <c r="V35" s="77" t="inlineStr">
        <is>
          <t>Yes</t>
        </is>
      </c>
      <c r="W35" s="77" t="inlineStr">
        <is>
          <t>Research and recommend solutions to a business problem; project report and presentation [1].</t>
        </is>
      </c>
      <c r="X35" s="77" t="inlineStr">
        <is>
          <t>Yes</t>
        </is>
      </c>
      <c r="Y35" s="77" t="inlineStr">
        <is>
          <t>'small groups of four or five' [1].</t>
        </is>
      </c>
      <c r="Z35" s="77" t="inlineStr">
        <is>
          <t>Yes</t>
        </is>
      </c>
      <c r="AA35" s="77" t="inlineStr">
        <is>
          <t>Groups partner with a real (host) organisation that identifies the business problem; projects range from NGOs/community groups to multinational corporations [1].</t>
        </is>
      </c>
      <c r="AB35" s="77" t="inlineStr">
        <is>
          <t>Mixed</t>
        </is>
      </c>
      <c r="AC35" s="77" t="inlineStr">
        <is>
          <t>Host organisation; identifies problem; receives recommendations</t>
        </is>
      </c>
      <c r="AD35" s="77" t="inlineStr"/>
      <c r="AE35" s="77" t="inlineStr">
        <is>
          <t>Business project report and presentation</t>
        </is>
      </c>
      <c r="AF35" s="77">
        <f>IF(OR(V35="No",X35="No",Z35="No"),"Outside strict definition",IF(AND(V35="Yes",X35="Yes",Z35="Yes"),"Meets all three","Potentially relevant; evidence incomplete"))</f>
        <v/>
      </c>
      <c r="AG35" s="77" t="inlineStr">
        <is>
          <t>Current status unclear</t>
        </is>
      </c>
      <c r="AH35" s="77" t="inlineStr">
        <is>
          <t>Unclear (unit page undated in extract; detailed description from un-yeared/archived handbooks)</t>
        </is>
      </c>
      <c r="AI35" s="77" t="inlineStr">
        <is>
          <t>Yes</t>
        </is>
      </c>
      <c r="AJ35" s="77">
        <f>IF(AND(AI35="Yes",AF35="Meets all three",AG35="Current delivery confirmed"),"Yes","No")</f>
        <v/>
      </c>
      <c r="AK35" s="77" t="inlineStr"/>
      <c r="AL35" s="77" t="inlineStr">
        <is>
          <t>AU03-S06-R1; AU03-S06-R2; AU03-S06-R3</t>
        </is>
      </c>
      <c r="AM35" s="77" t="inlineStr">
        <is>
          <t>No dated 2025/26-2026/27 corroboration retrieved (round-2 ruling); compulsory vs elective status in the MMgt not confirmed.</t>
        </is>
      </c>
      <c r="AN35" s="77" t="inlineStr"/>
      <c r="AO35" s="77" t="inlineStr">
        <is>
          <t>Australia</t>
        </is>
      </c>
      <c r="AP35" s="77" t="inlineStr">
        <is>
          <t>Australia</t>
        </is>
      </c>
      <c r="AQ35" s="77" t="inlineStr">
        <is>
          <t>~1 term/semester</t>
        </is>
      </c>
      <c r="AR35" s="77" t="inlineStr">
        <is>
          <t>All/standard</t>
        </is>
      </c>
      <c r="AS35" s="77" t="inlineStr"/>
    </row>
    <row r="36">
      <c r="A36" s="77" t="inlineStr">
        <is>
          <t>AU03</t>
        </is>
      </c>
      <c r="B36" s="77" t="inlineStr">
        <is>
          <t>Sydney</t>
        </is>
      </c>
      <c r="C36" s="77" t="inlineStr">
        <is>
          <t>Programme/course</t>
        </is>
      </c>
      <c r="D36" s="77" t="inlineStr">
        <is>
          <t>AU03-S07</t>
        </is>
      </c>
      <c r="E36" s="77" t="inlineStr"/>
      <c r="F36" s="77" t="inlineStr">
        <is>
          <t>No</t>
        </is>
      </c>
      <c r="G36" s="79" t="inlineStr">
        <is>
          <t>Strategy, Innovation and Management Capstone</t>
        </is>
      </c>
      <c r="H36" s="77" t="inlineStr"/>
      <c r="I36" s="77" t="inlineStr">
        <is>
          <t>SIEN6600</t>
        </is>
      </c>
      <c r="J36" s="77" t="inlineStr">
        <is>
          <t>6 cp capstone in the Master of Commerce Strategy, Innovation and Management specialisation in which theories and concepts are tested in real-life business projects offered by participating partner organisations.</t>
        </is>
      </c>
      <c r="K36" s="77" t="inlineStr">
        <is>
          <t>Business School, Discipline of Strategy, Innovation and Entrepreneurship</t>
        </is>
      </c>
      <c r="L36" s="77" t="inlineStr">
        <is>
          <t>Master of Commerce (SIM specialisation)</t>
        </is>
      </c>
      <c r="M36" s="77" t="inlineStr">
        <is>
          <t>Business/management</t>
        </is>
      </c>
      <c r="N36" s="77" t="inlineStr">
        <is>
          <t>Postgraduate taught</t>
        </is>
      </c>
      <c r="O36" s="77" t="inlineStr">
        <is>
          <t>Final (capstone)</t>
        </is>
      </c>
      <c r="P36" s="77" t="inlineStr">
        <is>
          <t>Not retrieved</t>
        </is>
      </c>
      <c r="Q36" s="77" t="inlineStr">
        <is>
          <t>Unclear</t>
        </is>
      </c>
      <c r="R36" s="77" t="inlineStr">
        <is>
          <t>Curricular</t>
        </is>
      </c>
      <c r="S36" s="77" t="inlineStr">
        <is>
          <t>6 credit points</t>
        </is>
      </c>
      <c r="T36" s="77" t="inlineStr">
        <is>
          <t>One semester</t>
        </is>
      </c>
      <c r="U36" s="77" t="inlineStr">
        <is>
          <t>On campus, Semester 1 and Semester 2 2026</t>
        </is>
      </c>
      <c r="V36" s="77" t="inlineStr">
        <is>
          <t>Yes</t>
        </is>
      </c>
      <c r="W36" s="77" t="inlineStr">
        <is>
          <t>Real-life business projects [1].</t>
        </is>
      </c>
      <c r="X36" s="77" t="inlineStr">
        <is>
          <t>Unclear</t>
        </is>
      </c>
      <c r="Y36" s="77" t="inlineStr">
        <is>
          <t>Team format not stated in retrieved extracts.</t>
        </is>
      </c>
      <c r="Z36" s="77" t="inlineStr">
        <is>
          <t>Yes</t>
        </is>
      </c>
      <c r="AA36" s="77" t="inlineStr">
        <is>
          <t>Projects 'offered by participating partner organisations' [1].</t>
        </is>
      </c>
      <c r="AB36" s="77" t="inlineStr">
        <is>
          <t>Unclear</t>
        </is>
      </c>
      <c r="AC36" s="77" t="inlineStr">
        <is>
          <t>Offers the project</t>
        </is>
      </c>
      <c r="AD36" s="77" t="inlineStr"/>
      <c r="AE36" s="77" t="inlineStr">
        <is>
          <t>Not retrieved</t>
        </is>
      </c>
      <c r="AF36" s="77">
        <f>IF(OR(V36="No",X36="No",Z36="No"),"Outside strict definition",IF(AND(V36="Yes",X36="Yes",Z36="Yes"),"Meets all three","Potentially relevant; evidence incomplete"))</f>
        <v/>
      </c>
      <c r="AG36" s="77" t="inlineStr">
        <is>
          <t>Current delivery confirmed</t>
        </is>
      </c>
      <c r="AH36" s="77" t="inlineStr">
        <is>
          <t>2026</t>
        </is>
      </c>
      <c r="AI36" s="77" t="inlineStr">
        <is>
          <t>Yes</t>
        </is>
      </c>
      <c r="AJ36" s="77">
        <f>IF(AND(AI36="Yes",AF36="Meets all three",AG36="Current delivery confirmed"),"Yes","No")</f>
        <v/>
      </c>
      <c r="AK36" s="77" t="inlineStr"/>
      <c r="AL36" s="77" t="inlineStr">
        <is>
          <t>AU03-S07-R1</t>
        </is>
      </c>
      <c r="AM36" s="77" t="inlineStr">
        <is>
          <t>Group vs individual format; named partners; whether compulsory for the specialisation.</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Programme/course</t>
        </is>
      </c>
      <c r="D37" s="77" t="inlineStr">
        <is>
          <t>AU03-S08</t>
        </is>
      </c>
      <c r="E37" s="77" t="inlineStr"/>
      <c r="F37" s="77" t="inlineStr">
        <is>
          <t>No</t>
        </is>
      </c>
      <c r="G37" s="79" t="inlineStr">
        <is>
          <t>Master of Commerce Business Information Systems (BIS) capstone</t>
        </is>
      </c>
      <c r="H37" s="77" t="inlineStr"/>
      <c r="I37" s="77" t="inlineStr">
        <is>
          <t>Not identified</t>
        </is>
      </c>
      <c r="J37" s="77" t="inlineStr">
        <is>
          <t>BIS capstone unit in the Master of Commerce in which students work with industry partners (e.g. Prezzee, 2024) on real business cases over 13 weeks with mid-term deliverables and a final report and presentation.</t>
        </is>
      </c>
      <c r="K37" s="77" t="inlineStr">
        <is>
          <t>Business School, Discipline of Business Information Systems</t>
        </is>
      </c>
      <c r="L37" s="77" t="inlineStr">
        <is>
          <t>Master of Commerce (BIS)</t>
        </is>
      </c>
      <c r="M37" s="77" t="inlineStr">
        <is>
          <t>Business/management</t>
        </is>
      </c>
      <c r="N37" s="77" t="inlineStr">
        <is>
          <t>Postgraduate taught</t>
        </is>
      </c>
      <c r="O37" s="77" t="inlineStr">
        <is>
          <t>Capstone</t>
        </is>
      </c>
      <c r="P37" s="77" t="inlineStr">
        <is>
          <t>Not retrieved</t>
        </is>
      </c>
      <c r="Q37" s="77" t="inlineStr">
        <is>
          <t>Unclear</t>
        </is>
      </c>
      <c r="R37" s="77" t="inlineStr">
        <is>
          <t>Curricular</t>
        </is>
      </c>
      <c r="S37" s="77" t="inlineStr">
        <is>
          <t>Not retrieved</t>
        </is>
      </c>
      <c r="T37" s="77" t="inlineStr">
        <is>
          <t>13 weeks</t>
        </is>
      </c>
      <c r="U37" s="77" t="inlineStr"/>
      <c r="V37" s="77" t="inlineStr">
        <is>
          <t>Yes</t>
        </is>
      </c>
      <c r="W37" s="77" t="inlineStr">
        <is>
          <t>Real business cases with mid-term deliverables, final report and presentation [1].</t>
        </is>
      </c>
      <c r="X37" s="77" t="inlineStr">
        <is>
          <t>Unclear</t>
        </is>
      </c>
      <c r="Y37" s="77" t="inlineStr">
        <is>
          <t>Team format not explicit in retrieved summary.</t>
        </is>
      </c>
      <c r="Z37" s="77" t="inlineStr">
        <is>
          <t>Yes</t>
        </is>
      </c>
      <c r="AA37" s="77" t="inlineStr">
        <is>
          <t>Students work with industry partner Prezzee as a real client [1].</t>
        </is>
      </c>
      <c r="AB37" s="77" t="inlineStr">
        <is>
          <t>Business/commercial</t>
        </is>
      </c>
      <c r="AC37" s="77" t="inlineStr">
        <is>
          <t>Industry partner/client</t>
        </is>
      </c>
      <c r="AD37" s="77" t="inlineStr">
        <is>
          <t>Prezzee (2024)</t>
        </is>
      </c>
      <c r="AE37" s="77" t="inlineStr">
        <is>
          <t>Final report and presentation</t>
        </is>
      </c>
      <c r="AF37" s="77">
        <f>IF(OR(V37="No",X37="No",Z37="No"),"Outside strict definition",IF(AND(V37="Yes",X37="Yes",Z37="Yes"),"Meets all three","Potentially relevant; evidence incomplete"))</f>
        <v/>
      </c>
      <c r="AG37" s="77" t="inlineStr">
        <is>
          <t>Current status unclear</t>
        </is>
      </c>
      <c r="AH37" s="77" t="inlineStr">
        <is>
          <t>2024</t>
        </is>
      </c>
      <c r="AI37" s="77" t="inlineStr">
        <is>
          <t>Yes</t>
        </is>
      </c>
      <c r="AJ37" s="77">
        <f>IF(AND(AI37="Yes",AF37="Meets all three",AG37="Current delivery confirmed"),"Yes","No")</f>
        <v/>
      </c>
      <c r="AK37" s="77" t="inlineStr"/>
      <c r="AL37" s="77" t="inlineStr">
        <is>
          <t>AU03-S08-R1</t>
        </is>
      </c>
      <c r="AM37" s="77" t="inlineStr">
        <is>
          <t>Unit code, group format, whether all projects have industry partners, and 2025/26 delivery not retrieved.</t>
        </is>
      </c>
      <c r="AN37" s="77" t="inlineStr"/>
      <c r="AO37" s="77" t="inlineStr">
        <is>
          <t>Australia</t>
        </is>
      </c>
      <c r="AP37" s="77" t="inlineStr">
        <is>
          <t>Australia</t>
        </is>
      </c>
      <c r="AQ37" s="77" t="inlineStr">
        <is>
          <t>~1 term/semester</t>
        </is>
      </c>
      <c r="AR37" s="77" t="inlineStr">
        <is>
          <t>Unclear</t>
        </is>
      </c>
      <c r="AS37" s="77" t="inlineStr"/>
    </row>
    <row r="38">
      <c r="A38" s="77" t="inlineStr">
        <is>
          <t>AU03</t>
        </is>
      </c>
      <c r="B38" s="77" t="inlineStr">
        <is>
          <t>Sydney</t>
        </is>
      </c>
      <c r="C38" s="77" t="inlineStr">
        <is>
          <t>Programme/course</t>
        </is>
      </c>
      <c r="D38" s="77" t="inlineStr">
        <is>
          <t>AU03-S09</t>
        </is>
      </c>
      <c r="E38" s="77" t="inlineStr"/>
      <c r="F38" s="77" t="inlineStr">
        <is>
          <t>No</t>
        </is>
      </c>
      <c r="G38" s="79" t="inlineStr">
        <is>
          <t>Computer Science Project</t>
        </is>
      </c>
      <c r="H38" s="77" t="inlineStr"/>
      <c r="I38" s="77" t="inlineStr">
        <is>
          <t>COMP3888 (advanced alternative COMP3988)</t>
        </is>
      </c>
      <c r="J38"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38" s="77" t="inlineStr">
        <is>
          <t>School of Computer Science, Faculty of Engineering</t>
        </is>
      </c>
      <c r="L38" s="77" t="inlineStr">
        <is>
          <t>Computer Science major (BSc, BAdvComputing, etc.)</t>
        </is>
      </c>
      <c r="M38" s="77" t="inlineStr">
        <is>
          <t>Engineering/computing</t>
        </is>
      </c>
      <c r="N38" s="77" t="inlineStr">
        <is>
          <t>Undergraduate</t>
        </is>
      </c>
      <c r="O38" s="77" t="inlineStr">
        <is>
          <t>Third year</t>
        </is>
      </c>
      <c r="P38" s="77" t="inlineStr">
        <is>
          <t>Core for Computer Science major; may be replaced by COMP3988</t>
        </is>
      </c>
      <c r="Q38" s="77" t="inlineStr">
        <is>
          <t>Compulsory within specified programmes</t>
        </is>
      </c>
      <c r="R38" s="77" t="inlineStr">
        <is>
          <t>Curricular</t>
        </is>
      </c>
      <c r="S38" s="77" t="inlineStr">
        <is>
          <t>6 credit points</t>
        </is>
      </c>
      <c r="T38" s="77" t="inlineStr">
        <is>
          <t>Semester 2</t>
        </is>
      </c>
      <c r="U38" s="77" t="inlineStr">
        <is>
          <t>On campus (Camperdown/Darlington)</t>
        </is>
      </c>
      <c r="V38" s="77" t="inlineStr">
        <is>
          <t>Yes</t>
        </is>
      </c>
      <c r="W38" s="77" t="inlineStr">
        <is>
          <t>Substantial software system built across the full development cycle [1].</t>
        </is>
      </c>
      <c r="X38" s="77" t="inlineStr">
        <is>
          <t>Yes</t>
        </is>
      </c>
      <c r="Y38" s="77" t="inlineStr">
        <is>
          <t>'students work in groups' [1].</t>
        </is>
      </c>
      <c r="Z38" s="77" t="inlineStr">
        <is>
          <t>Yes</t>
        </is>
      </c>
      <c r="AA38" s="77" t="inlineStr">
        <is>
          <t>Groups work 'for an external client'; outcome on working with clients to discover their needs [1]; partner-facing page invites partners to provide a project scope and expected deliverables for a twelve-week CS capstone [2].</t>
        </is>
      </c>
      <c r="AB38" s="77" t="inlineStr">
        <is>
          <t>Unclear</t>
        </is>
      </c>
      <c r="AC38" s="77" t="inlineStr">
        <is>
          <t>Client: provides project scope/requirements, receives software</t>
        </is>
      </c>
      <c r="AD38" s="77" t="inlineStr"/>
      <c r="AE38" s="77" t="inlineStr">
        <is>
          <t>Software system</t>
        </is>
      </c>
      <c r="AF38" s="77">
        <f>IF(OR(V38="No",X38="No",Z38="No"),"Outside strict definition",IF(AND(V38="Yes",X38="Yes",Z38="Yes"),"Meets all three","Potentially relevant; evidence incomplete"))</f>
        <v/>
      </c>
      <c r="AG38" s="77" t="inlineStr">
        <is>
          <t>Current delivery confirmed</t>
        </is>
      </c>
      <c r="AH38" s="77" t="inlineStr">
        <is>
          <t>2026 (Semester 2 2026)</t>
        </is>
      </c>
      <c r="AI38" s="77" t="inlineStr">
        <is>
          <t>Yes</t>
        </is>
      </c>
      <c r="AJ38" s="77">
        <f>IF(AND(AI38="Yes",AF38="Meets all three",AG38="Current delivery confirmed"),"Yes","No")</f>
        <v/>
      </c>
      <c r="AK38" s="77" t="inlineStr"/>
      <c r="AL38" s="77" t="inlineStr">
        <is>
          <t>AU03-S09-R1; AU03-S09-R2</t>
        </is>
      </c>
      <c r="AM38" s="77" t="inlineStr">
        <is>
          <t>Partner sector mix and whether internal (university) clients are also used; COMP3988 format not checked.</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AU03-S10</t>
        </is>
      </c>
      <c r="E39" s="77" t="inlineStr"/>
      <c r="F39" s="77" t="inlineStr">
        <is>
          <t>No</t>
        </is>
      </c>
      <c r="G39" s="79" t="inlineStr">
        <is>
          <t>Jacaranda Flame Consulting (JFC)</t>
        </is>
      </c>
      <c r="H39" s="77" t="inlineStr"/>
      <c r="I39" s="77" t="inlineStr"/>
      <c r="J39"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39" s="77" t="inlineStr">
        <is>
          <t>Faculty of Engineering</t>
        </is>
      </c>
      <c r="L39" s="77" t="inlineStr">
        <is>
          <t>Engineering undergraduates (3rd/4th year) and Master of Professional Engineering</t>
        </is>
      </c>
      <c r="M39" s="77" t="inlineStr">
        <is>
          <t>Engineering/computing</t>
        </is>
      </c>
      <c r="N39" s="77" t="inlineStr">
        <is>
          <t>Mixed</t>
        </is>
      </c>
      <c r="O39" s="77" t="inlineStr">
        <is>
          <t>Third and fourth year UG; MPE</t>
        </is>
      </c>
      <c r="P39" s="77" t="inlineStr">
        <is>
          <t>Engineering students; selection implied ('eligible students')</t>
        </is>
      </c>
      <c r="Q39" s="77" t="inlineStr">
        <is>
          <t>Selective/competitive</t>
        </is>
      </c>
      <c r="R39" s="77" t="inlineStr">
        <is>
          <t>Extracurricular</t>
        </is>
      </c>
      <c r="S39" s="77" t="inlineStr">
        <is>
          <t>Unpaid; no credit evidenced</t>
        </is>
      </c>
      <c r="T39" s="77" t="inlineStr">
        <is>
          <t>6 weeks full time (winter) or 9 weeks full time (summer), twice a year</t>
        </is>
      </c>
      <c r="U39" s="77" t="inlineStr">
        <is>
          <t>Full-time team consulting</t>
        </is>
      </c>
      <c r="V39" s="77" t="inlineStr">
        <is>
          <t>Yes</t>
        </is>
      </c>
      <c r="W39" s="77" t="inlineStr">
        <is>
          <t>Client problem with agreed deliverables; outcomes presented for client sign-off [1].</t>
        </is>
      </c>
      <c r="X39" s="77" t="inlineStr">
        <is>
          <t>Yes</t>
        </is>
      </c>
      <c r="Y39" s="77" t="inlineStr">
        <is>
          <t>'project teams of 4 to 5 students' [1].</t>
        </is>
      </c>
      <c r="Z39" s="77" t="inlineStr">
        <is>
          <t>Yes</t>
        </is>
      </c>
      <c r="AA39" s="77" t="inlineStr">
        <is>
          <t>Problems submitted by commercial engineering companies and government organisations; clients meet teams, attend progress meetings and sign off outcomes [1].</t>
        </is>
      </c>
      <c r="AB39" s="77" t="inlineStr">
        <is>
          <t>Mixed</t>
        </is>
      </c>
      <c r="AC39" s="77" t="inlineStr">
        <is>
          <t>Submits problem; client meetings; signs off outcomes</t>
        </is>
      </c>
      <c r="AD39" s="77" t="inlineStr">
        <is>
          <t>Ampol, Transport for NSW, Laing O'Rourke, Robert Bird Group, IPWEA, Marrickville Golf Course, Vinsi Partners (undated page)</t>
        </is>
      </c>
      <c r="AE39" s="77" t="inlineStr">
        <is>
          <t>Consulting outcomes presented for client sign-off</t>
        </is>
      </c>
      <c r="AF39" s="77">
        <f>IF(OR(V39="No",X39="No",Z39="No"),"Outside strict definition",IF(AND(V39="Yes",X39="Yes",Z39="Yes"),"Meets all three","Potentially relevant; evidence incomplete"))</f>
        <v/>
      </c>
      <c r="AG39" s="77" t="inlineStr">
        <is>
          <t>Current status unclear</t>
        </is>
      </c>
      <c r="AH39" s="77" t="inlineStr">
        <is>
          <t>2023 (UTS collaboration announcement)</t>
        </is>
      </c>
      <c r="AI39" s="77" t="inlineStr">
        <is>
          <t>Yes</t>
        </is>
      </c>
      <c r="AJ39" s="77">
        <f>IF(AND(AI39="Yes",AF39="Meets all three",AG39="Current delivery confirmed"),"Yes","No")</f>
        <v/>
      </c>
      <c r="AK39" s="77" t="inlineStr"/>
      <c r="AL39" s="77" t="inlineStr">
        <is>
          <t>AU03-S10-R1; AU03-S10-R2</t>
        </is>
      </c>
      <c r="AM39" s="77" t="inlineStr">
        <is>
          <t>No dated 2025/26 round found; page directs students to engineering.jfc@sydney.edu.au. Duration band approximate (6-9 weeks full time).</t>
        </is>
      </c>
      <c r="AN39" s="77" t="inlineStr"/>
      <c r="AO39" s="77" t="inlineStr">
        <is>
          <t>Australia</t>
        </is>
      </c>
      <c r="AP39" s="77" t="inlineStr">
        <is>
          <t>Australia</t>
        </is>
      </c>
      <c r="AQ39" s="77" t="inlineStr">
        <is>
          <t>~1 term/semester</t>
        </is>
      </c>
      <c r="AR39" s="77" t="inlineStr">
        <is>
          <t>All/standard</t>
        </is>
      </c>
      <c r="AS39" s="77" t="inlineStr"/>
    </row>
    <row r="40">
      <c r="A40" s="77" t="inlineStr">
        <is>
          <t>AU06</t>
        </is>
      </c>
      <c r="B40" s="77" t="inlineStr">
        <is>
          <t>Queensland</t>
        </is>
      </c>
      <c r="C40" s="77" t="inlineStr">
        <is>
          <t>University-wide</t>
        </is>
      </c>
      <c r="D40" s="77" t="inlineStr">
        <is>
          <t>AU06-S01</t>
        </is>
      </c>
      <c r="E40" s="77" t="inlineStr"/>
      <c r="F40" s="77" t="inlineStr">
        <is>
          <t>No</t>
        </is>
      </c>
      <c r="G40" s="79" t="inlineStr">
        <is>
          <t>Ventures Industry Challenge</t>
        </is>
      </c>
      <c r="H40" s="77" t="inlineStr">
        <is>
          <t>Ventures Industry Challenge</t>
        </is>
      </c>
      <c r="I40" s="77" t="inlineStr"/>
      <c r="J40"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40" s="77" t="inlineStr">
        <is>
          <t>UQ Ventures (central entrepreneurship/innovation unit)</t>
        </is>
      </c>
      <c r="L40" s="77" t="inlineStr">
        <is>
          <t>Teams of current UQ students from any faculty, discipline or year level</t>
        </is>
      </c>
      <c r="M40" s="77" t="inlineStr">
        <is>
          <t>Central provision</t>
        </is>
      </c>
      <c r="N40" s="77" t="inlineStr">
        <is>
          <t>Mixed</t>
        </is>
      </c>
      <c r="O40" s="77" t="inlineStr">
        <is>
          <t>Any</t>
        </is>
      </c>
      <c r="P40" s="77" t="inlineStr">
        <is>
          <t>Current UQ students; register and join a team at the first panel session (26 August in 2026).</t>
        </is>
      </c>
      <c r="Q40" s="77" t="inlineStr">
        <is>
          <t>Optional/elective</t>
        </is>
      </c>
      <c r="R40" s="77" t="inlineStr">
        <is>
          <t>Extracurricular</t>
        </is>
      </c>
      <c r="S40" s="77" t="inlineStr">
        <is>
          <t>No credit; pitch competition judged against criteria provided to participants; prizes (up to $11,000 in an earlier, undated edition).</t>
        </is>
      </c>
      <c r="T40" s="77" t="inlineStr">
        <is>
          <t>Across September (approx. 4 weeks) in 2026</t>
        </is>
      </c>
      <c r="U40" s="77" t="inlineStr">
        <is>
          <t>In person workshops/panel sessions, mentoring and final pitch</t>
        </is>
      </c>
      <c r="V40" s="77" t="inlineStr">
        <is>
          <t>Yes</t>
        </is>
      </c>
      <c r="W40" s="77" t="inlineStr">
        <is>
          <t>Teams tackle a defined annual challenge theme and pitch a solution (identifiable output: solution pitch) [1][3].</t>
        </is>
      </c>
      <c r="X40" s="77" t="inlineStr">
        <is>
          <t>Yes</t>
        </is>
      </c>
      <c r="Y40" s="77" t="inlineStr">
        <is>
          <t>'Open to teams of current UQ students'; trans-disciplinary teams formed at first panel session [1][3].</t>
        </is>
      </c>
      <c r="Z40" s="77" t="inlineStr">
        <is>
          <t>Unclear</t>
        </is>
      </c>
      <c r="AA40"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40" s="77" t="inlineStr">
        <is>
          <t>Mixed</t>
        </is>
      </c>
      <c r="AC40" s="77" t="inlineStr">
        <is>
          <t>Theme partner (varies by year: not-for-profit, port operator, internal UQ initiative); industry mentors; judging panel composition not evidenced</t>
        </is>
      </c>
      <c r="AD40" s="77" t="inlineStr">
        <is>
          <t>WaterStart (2020); Port of Brisbane (2024); UQ SEXtember (internal, 2026); ASHM (2026, attribution to specific page unclear)</t>
        </is>
      </c>
      <c r="AE40" s="77" t="inlineStr">
        <is>
          <t>Team solution pitch</t>
        </is>
      </c>
      <c r="AF40" s="77">
        <f>IF(OR(V40="No",X40="No",Z40="No"),"Outside strict definition",IF(AND(V40="Yes",X40="Yes",Z40="Yes"),"Meets all three","Potentially relevant; evidence incomplete"))</f>
        <v/>
      </c>
      <c r="AG40" s="77" t="inlineStr">
        <is>
          <t>Current delivery confirmed</t>
        </is>
      </c>
      <c r="AH40" s="77" t="inlineStr">
        <is>
          <t>2026</t>
        </is>
      </c>
      <c r="AI40" s="77" t="inlineStr">
        <is>
          <t>Yes</t>
        </is>
      </c>
      <c r="AJ40" s="77">
        <f>IF(AND(AI40="Yes",AF40="Meets all three",AG40="Current delivery confirmed"),"Yes","No")</f>
        <v/>
      </c>
      <c r="AK40" s="77" t="inlineStr">
        <is>
          <t>Over 40 teams (2020, inaugural edition) [1]</t>
        </is>
      </c>
      <c r="AL40" s="77" t="inlineStr">
        <is>
          <t>AU06-S01-R1; AU06-S01-R2; AU06-S01-R3</t>
        </is>
      </c>
      <c r="AM40" s="77" t="inlineStr">
        <is>
          <t>Whether external partners set the problem statements and sit on the judging panel; 2026 partner is internal UQ SEXtember; prize amounts for 2026 not published.</t>
        </is>
      </c>
      <c r="AN40" s="77" t="inlineStr">
        <is>
          <t>UQ Ventures challenges</t>
        </is>
      </c>
      <c r="AO40" s="77" t="inlineStr">
        <is>
          <t>Australia</t>
        </is>
      </c>
      <c r="AP40" s="77" t="inlineStr">
        <is>
          <t>Australia</t>
        </is>
      </c>
      <c r="AQ40" s="77" t="inlineStr">
        <is>
          <t>1–4 weeks</t>
        </is>
      </c>
      <c r="AR40" s="77" t="inlineStr">
        <is>
          <t>Unclear</t>
        </is>
      </c>
      <c r="AS40" s="77" t="inlineStr"/>
    </row>
    <row r="41">
      <c r="A41" s="77" t="inlineStr">
        <is>
          <t>AU06</t>
        </is>
      </c>
      <c r="B41" s="77" t="inlineStr">
        <is>
          <t>Queensland</t>
        </is>
      </c>
      <c r="C41" s="77" t="inlineStr">
        <is>
          <t>University-wide</t>
        </is>
      </c>
      <c r="D41" s="77" t="inlineStr">
        <is>
          <t>AU06-S02</t>
        </is>
      </c>
      <c r="E41" s="77" t="inlineStr"/>
      <c r="F41" s="77" t="inlineStr">
        <is>
          <t>No</t>
        </is>
      </c>
      <c r="G41" s="79" t="inlineStr">
        <is>
          <t>Practera SAIEP - Industry Experience Projects</t>
        </is>
      </c>
      <c r="H41" s="77" t="inlineStr">
        <is>
          <t>Practera SAIEP Industry Experience Projects</t>
        </is>
      </c>
      <c r="I41" s="77" t="inlineStr"/>
      <c r="J41"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41" s="77" t="inlineStr">
        <is>
          <t>UQ Careers and Employability (delivered by Practera)</t>
        </is>
      </c>
      <c r="L41" s="77" t="inlineStr">
        <is>
          <t>Any currently enrolled UQ student</t>
        </is>
      </c>
      <c r="M41" s="77" t="inlineStr">
        <is>
          <t>Central provision</t>
        </is>
      </c>
      <c r="N41" s="77" t="inlineStr">
        <is>
          <t>Mixed</t>
        </is>
      </c>
      <c r="O41" s="77" t="inlineStr">
        <is>
          <t>Any</t>
        </is>
      </c>
      <c r="P41" s="77" t="inlineStr">
        <is>
          <t>Current UQ enrolment; limited places; compulsory orientation; minimum 25 hours commitment; no fee.</t>
        </is>
      </c>
      <c r="Q41" s="77" t="inlineStr">
        <is>
          <t>Selective/competitive</t>
        </is>
      </c>
      <c r="R41" s="77" t="inlineStr">
        <is>
          <t>Extracurricular</t>
        </is>
      </c>
      <c r="S41" s="77" t="inlineStr">
        <is>
          <t>No credit; certificate and LinkedIn badge</t>
        </is>
      </c>
      <c r="T41" s="77" t="inlineStr">
        <is>
          <t>Two weeks, minimum 25 hours</t>
        </is>
      </c>
      <c r="U41" s="77" t="inlineStr">
        <is>
          <t>Virtual, mixed-institution teams</t>
        </is>
      </c>
      <c r="V41" s="77" t="inlineStr">
        <is>
          <t>Yes</t>
        </is>
      </c>
      <c r="W41" s="77" t="inlineStr">
        <is>
          <t>Students respond to a project brief from an organisation (e.g. export brief) producing a project outcome on which the client gives feedback [1].</t>
        </is>
      </c>
      <c r="X41" s="77" t="inlineStr">
        <is>
          <t>Yes</t>
        </is>
      </c>
      <c r="Y41" s="77" t="inlineStr">
        <is>
          <t>'student teams across Australian institutions work on real industry projects' [1].</t>
        </is>
      </c>
      <c r="Z41" s="77" t="inlineStr">
        <is>
          <t>Yes</t>
        </is>
      </c>
      <c r="AA41" s="77" t="inlineStr">
        <is>
          <t>Australian/global employers provide the brief and give 'direct feedback from their client on their project outcome' [1]. Live client, not a simulation, per the UQ page.</t>
        </is>
      </c>
      <c r="AB41" s="77" t="inlineStr">
        <is>
          <t>Business/commercial</t>
        </is>
      </c>
      <c r="AC41" s="77" t="inlineStr">
        <is>
          <t>Supplies brief; receives outputs and gives feedback</t>
        </is>
      </c>
      <c r="AD41" s="77" t="inlineStr">
        <is>
          <t>Past clients named on UQ page (undated): Infosys, FlyFreely, Synapse Medical</t>
        </is>
      </c>
      <c r="AE41" s="77" t="inlineStr">
        <is>
          <t>Team project outcome/recommendations to client</t>
        </is>
      </c>
      <c r="AF41" s="77">
        <f>IF(OR(V41="No",X41="No",Z41="No"),"Outside strict definition",IF(AND(V41="Yes",X41="Yes",Z41="Yes"),"Meets all three","Potentially relevant; evidence incomplete"))</f>
        <v/>
      </c>
      <c r="AG41" s="77" t="inlineStr">
        <is>
          <t>Current delivery confirmed</t>
        </is>
      </c>
      <c r="AH41" s="77" t="inlineStr">
        <is>
          <t>2026/27</t>
        </is>
      </c>
      <c r="AI41" s="77" t="inlineStr">
        <is>
          <t>Yes</t>
        </is>
      </c>
      <c r="AJ41" s="77">
        <f>IF(AND(AI41="Yes",AF41="Meets all three",AG41="Current delivery confirmed"),"Yes","No")</f>
        <v/>
      </c>
      <c r="AK41" s="77" t="inlineStr"/>
      <c r="AL41" s="77" t="inlineStr">
        <is>
          <t>AU06-S02-R1</t>
        </is>
      </c>
      <c r="AM41" s="77" t="inlineStr">
        <is>
          <t>Number of UQ participants not published; brief/output format per stream not detailed; short (2-week) format.</t>
        </is>
      </c>
      <c r="AN41" s="77" t="inlineStr"/>
      <c r="AO41" s="77" t="inlineStr">
        <is>
          <t>Australia</t>
        </is>
      </c>
      <c r="AP41" s="77" t="inlineStr">
        <is>
          <t>Australia</t>
        </is>
      </c>
      <c r="AQ41" s="77" t="inlineStr">
        <is>
          <t>1–4 weeks</t>
        </is>
      </c>
      <c r="AR41" s="77" t="inlineStr">
        <is>
          <t>All/standard</t>
        </is>
      </c>
      <c r="AS41" s="77" t="inlineStr"/>
    </row>
    <row r="42">
      <c r="A42" s="77" t="inlineStr">
        <is>
          <t>AU06</t>
        </is>
      </c>
      <c r="B42" s="77" t="inlineStr">
        <is>
          <t>Queensland</t>
        </is>
      </c>
      <c r="C42" s="77" t="inlineStr">
        <is>
          <t>Faculty/school</t>
        </is>
      </c>
      <c r="D42" s="77" t="inlineStr">
        <is>
          <t>AU06-S03</t>
        </is>
      </c>
      <c r="E42" s="77" t="inlineStr"/>
      <c r="F42" s="77" t="inlineStr">
        <is>
          <t>No</t>
        </is>
      </c>
      <c r="G42" s="79" t="inlineStr">
        <is>
          <t>Industry Consulting Project (Business Industry Consultancy Project)</t>
        </is>
      </c>
      <c r="H42" s="77" t="inlineStr">
        <is>
          <t>BEL Industry Consulting Project</t>
        </is>
      </c>
      <c r="I42" s="77" t="inlineStr">
        <is>
          <t>RBUS3888; RBUS4888; RBUS7888; BSAN7215</t>
        </is>
      </c>
      <c r="J42"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42" s="77" t="inlineStr">
        <is>
          <t>Faculty of Business, Economics and Law (BEL Employability/WIL team)</t>
        </is>
      </c>
      <c r="L42" s="77" t="inlineStr">
        <is>
          <t>BEL Faculty students eligible for RBUS3888 (UG), RBUS4888, RBUS7888 (PG) or BSAN7215 (PG business analytics)</t>
        </is>
      </c>
      <c r="M42" s="77" t="inlineStr">
        <is>
          <t>Business/management</t>
        </is>
      </c>
      <c r="N42" s="77" t="inlineStr">
        <is>
          <t>Mixed</t>
        </is>
      </c>
      <c r="O42" s="77" t="inlineStr">
        <is>
          <t>Final year</t>
        </is>
      </c>
      <c r="P42" s="77" t="inlineStr">
        <is>
          <t>Final year with an elective available; minimum GPA 4.0; application via BEL WIL form and Head of School approval.</t>
        </is>
      </c>
      <c r="Q42" s="77" t="inlineStr">
        <is>
          <t>Selective/competitive</t>
        </is>
      </c>
      <c r="R42" s="77" t="inlineStr">
        <is>
          <t>Curricular</t>
        </is>
      </c>
      <c r="S42" s="77" t="inlineStr">
        <is>
          <t>Credit-bearing elective course (units not confirmed in search)</t>
        </is>
      </c>
      <c r="T42" s="77" t="inlineStr">
        <is>
          <t>One semester</t>
        </is>
      </c>
      <c r="U42" s="77" t="inlineStr">
        <is>
          <t>Weekly team meetings with project mentor; client engagement</t>
        </is>
      </c>
      <c r="V42" s="77" t="inlineStr">
        <is>
          <t>Yes</t>
        </is>
      </c>
      <c r="W42" s="77" t="inlineStr">
        <is>
          <t>'professional response to a project brief provided by an industry partner'; final deliverable a team report for the client (2500-3000 words guide) [1].</t>
        </is>
      </c>
      <c r="X42" s="77" t="inlineStr">
        <is>
          <t>Yes</t>
        </is>
      </c>
      <c r="Y42" s="77" t="inlineStr">
        <is>
          <t>'meet weekly to work with your project team'; mentor assigned to the group; team report [1].</t>
        </is>
      </c>
      <c r="Z42" s="77" t="inlineStr">
        <is>
          <t>Yes</t>
        </is>
      </c>
      <c r="AA42" s="77" t="inlineStr">
        <is>
          <t>Industry partner provides the project brief and receives the team's client report [1]; partner-facing BEL page invites organisations to have students 'develop a tailored response to your project brief' [2].</t>
        </is>
      </c>
      <c r="AB42" s="77" t="inlineStr">
        <is>
          <t>Mixed</t>
        </is>
      </c>
      <c r="AC42" s="77" t="inlineStr">
        <is>
          <t>Supplies brief; client for team report</t>
        </is>
      </c>
      <c r="AD42" s="77" t="inlineStr">
        <is>
          <t>Cancer Council Queensland; Netball Queensland (past partners, undated) [1]</t>
        </is>
      </c>
      <c r="AE42" s="77" t="inlineStr">
        <is>
          <t>Team client report</t>
        </is>
      </c>
      <c r="AF42" s="77">
        <f>IF(OR(V42="No",X42="No",Z42="No"),"Outside strict definition",IF(AND(V42="Yes",X42="Yes",Z42="Yes"),"Meets all three","Potentially relevant; evidence incomplete"))</f>
        <v/>
      </c>
      <c r="AG42" s="77" t="inlineStr">
        <is>
          <t>Current delivery confirmed</t>
        </is>
      </c>
      <c r="AH42" s="77" t="inlineStr">
        <is>
          <t>2026/27</t>
        </is>
      </c>
      <c r="AI42" s="77" t="inlineStr">
        <is>
          <t>Yes</t>
        </is>
      </c>
      <c r="AJ42" s="77">
        <f>IF(AND(AI42="Yes",AF42="Meets all three",AG42="Current delivery confirmed"),"Yes","No")</f>
        <v/>
      </c>
      <c r="AK42" s="77" t="inlineStr"/>
      <c r="AL42" s="77" t="inlineStr">
        <is>
          <t>AU06-S03-R1; AU06-S03-R2; AU06-S03-R3</t>
        </is>
      </c>
      <c r="AM42" s="77" t="inlineStr">
        <is>
          <t>Places per semester; unit value; split of UG/PG uptake.</t>
        </is>
      </c>
      <c r="AN42" s="77" t="inlineStr"/>
      <c r="AO42" s="77" t="inlineStr">
        <is>
          <t>Australia</t>
        </is>
      </c>
      <c r="AP42" s="77" t="inlineStr">
        <is>
          <t>Australia</t>
        </is>
      </c>
      <c r="AQ42" s="77" t="inlineStr">
        <is>
          <t>~1 term/semester</t>
        </is>
      </c>
      <c r="AR42" s="77" t="inlineStr">
        <is>
          <t>All/standard</t>
        </is>
      </c>
      <c r="AS42" s="77" t="inlineStr"/>
    </row>
    <row r="43">
      <c r="A43" s="77" t="inlineStr">
        <is>
          <t>AU06</t>
        </is>
      </c>
      <c r="B43" s="77" t="inlineStr">
        <is>
          <t>Queensland</t>
        </is>
      </c>
      <c r="C43" s="77" t="inlineStr">
        <is>
          <t>Faculty/school</t>
        </is>
      </c>
      <c r="D43" s="77" t="inlineStr">
        <is>
          <t>AU06-S04</t>
        </is>
      </c>
      <c r="E43" s="77" t="inlineStr"/>
      <c r="F43" s="77" t="inlineStr">
        <is>
          <t>No</t>
        </is>
      </c>
      <c r="G43" s="79" t="inlineStr">
        <is>
          <t>Learning by Doing in a Disruptive World</t>
        </is>
      </c>
      <c r="H43" s="77" t="inlineStr">
        <is>
          <t>Learning by Doing in a Disruptive World (BEL Employability Capstone)</t>
        </is>
      </c>
      <c r="I43" s="77" t="inlineStr">
        <is>
          <t>PBEL3000</t>
        </is>
      </c>
      <c r="J43"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43" s="77" t="inlineStr">
        <is>
          <t>UQ Business School, Faculty of Business, Economics and Law</t>
        </is>
      </c>
      <c r="L43" s="77" t="inlineStr">
        <is>
          <t>BEL students; listed as elective in BCom, BEcon and combined degrees (2025 program rules)</t>
        </is>
      </c>
      <c r="M43" s="77" t="inlineStr">
        <is>
          <t>Business/management</t>
        </is>
      </c>
      <c r="N43" s="77" t="inlineStr">
        <is>
          <t>Undergraduate</t>
        </is>
      </c>
      <c r="O43" s="77" t="inlineStr">
        <is>
          <t>Later years (3000-level)</t>
        </is>
      </c>
      <c r="P43" s="77" t="inlineStr">
        <is>
          <t>Entry by application only</t>
        </is>
      </c>
      <c r="Q43" s="77" t="inlineStr">
        <is>
          <t>Selective/competitive</t>
        </is>
      </c>
      <c r="R43" s="77" t="inlineStr">
        <is>
          <t>Curricular</t>
        </is>
      </c>
      <c r="S43" s="77" t="inlineStr">
        <is>
          <t>2 units; team presentation 30%, industry report 40%, individual reflections/peer contribution remainder (2024 profile)</t>
        </is>
      </c>
      <c r="T43" s="77" t="inlineStr">
        <is>
          <t>One (summer) semester; 65 contact hours</t>
        </is>
      </c>
      <c r="U43" s="77" t="inlineStr">
        <is>
          <t>In person, studio/open-office workshop</t>
        </is>
      </c>
      <c r="V43" s="77" t="inlineStr">
        <is>
          <t>Yes</t>
        </is>
      </c>
      <c r="W43" s="77" t="inlineStr">
        <is>
          <t>Real industry problem; team pitch (10 min) and final industry report (2,000-3,000 words) on putting the solution into practice [1][2].</t>
        </is>
      </c>
      <c r="X43" s="77" t="inlineStr">
        <is>
          <t>Yes</t>
        </is>
      </c>
      <c r="Y43" s="77" t="inlineStr">
        <is>
          <t>Teams of 3-5 [2]; 'students partner with other students from across the Business, Economics and Law Faculty to work with an industry partner' [1].</t>
        </is>
      </c>
      <c r="Z43" s="77" t="inlineStr">
        <is>
          <t>Yes</t>
        </is>
      </c>
      <c r="AA43" s="77" t="inlineStr">
        <is>
          <t>Industry partner poses the problem, advises teams, receives the pitch, questions the team and gives feedback [1][2]; 2022 award notice: helped four industry partners [3].</t>
        </is>
      </c>
      <c r="AB43" s="77" t="inlineStr">
        <is>
          <t>Business/commercial</t>
        </is>
      </c>
      <c r="AC43" s="77" t="inlineStr">
        <is>
          <t>Problem owner; adviser; audience/feedback on pitch</t>
        </is>
      </c>
      <c r="AD43" s="77" t="inlineStr"/>
      <c r="AE43" s="77" t="inlineStr">
        <is>
          <t>Team pitch and industry report</t>
        </is>
      </c>
      <c r="AF43" s="77">
        <f>IF(OR(V43="No",X43="No",Z43="No"),"Outside strict definition",IF(AND(V43="Yes",X43="Yes",Z43="Yes"),"Meets all three","Potentially relevant; evidence incomplete"))</f>
        <v/>
      </c>
      <c r="AG43" s="77" t="inlineStr">
        <is>
          <t>Current delivery confirmed</t>
        </is>
      </c>
      <c r="AH43" s="77" t="inlineStr">
        <is>
          <t>2025/26 (Summer Semester 2025)</t>
        </is>
      </c>
      <c r="AI43" s="77" t="inlineStr">
        <is>
          <t>Yes</t>
        </is>
      </c>
      <c r="AJ43" s="77">
        <f>IF(AND(AI43="Yes",AF43="Meets all three",AG43="Current delivery confirmed"),"Yes","No")</f>
        <v/>
      </c>
      <c r="AK43" s="77" t="inlineStr"/>
      <c r="AL43" s="77" t="inlineStr">
        <is>
          <t>AU06-S04-R1; AU06-S04-R2; AU06-S04-R3</t>
        </is>
      </c>
      <c r="AM43" s="77" t="inlineStr">
        <is>
          <t>Course page lists most recent offering as Summer Semester 2025 (Nov 2025-Feb 2026); 2026-27 offering not confirmed. Named partners not found.</t>
        </is>
      </c>
      <c r="AN43" s="77" t="inlineStr"/>
      <c r="AO43" s="77" t="inlineStr">
        <is>
          <t>Australia</t>
        </is>
      </c>
      <c r="AP43" s="77" t="inlineStr">
        <is>
          <t>Australia</t>
        </is>
      </c>
      <c r="AQ43" s="77" t="inlineStr">
        <is>
          <t>~1 term/semester</t>
        </is>
      </c>
      <c r="AR43" s="77" t="inlineStr">
        <is>
          <t>All/standard</t>
        </is>
      </c>
      <c r="AS43" s="77" t="inlineStr"/>
    </row>
    <row r="44">
      <c r="A44" s="77" t="inlineStr">
        <is>
          <t>AU06</t>
        </is>
      </c>
      <c r="B44" s="77" t="inlineStr">
        <is>
          <t>Queensland</t>
        </is>
      </c>
      <c r="C44" s="77" t="inlineStr">
        <is>
          <t>Programme/course</t>
        </is>
      </c>
      <c r="D44" s="77" t="inlineStr">
        <is>
          <t>AU06-S05</t>
        </is>
      </c>
      <c r="E44" s="77" t="inlineStr"/>
      <c r="F44" s="77" t="inlineStr">
        <is>
          <t>No</t>
        </is>
      </c>
      <c r="G44" s="79" t="inlineStr">
        <is>
          <t>Impact Academy 1: Discovering New Solutions for Complex Problems</t>
        </is>
      </c>
      <c r="H44" s="77" t="inlineStr">
        <is>
          <t>UQ MBA Impact Academy 1</t>
        </is>
      </c>
      <c r="I44" s="77" t="inlineStr">
        <is>
          <t>MGTS7820</t>
        </is>
      </c>
      <c r="J44"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44" s="77" t="inlineStr">
        <is>
          <t>UQ Business School (MBA)</t>
        </is>
      </c>
      <c r="L44" s="77" t="inlineStr">
        <is>
          <t>Master of Business Administration</t>
        </is>
      </c>
      <c r="M44" s="77" t="inlineStr">
        <is>
          <t>Business/management</t>
        </is>
      </c>
      <c r="N44" s="77" t="inlineStr">
        <is>
          <t>Postgraduate taught</t>
        </is>
      </c>
      <c r="O44" s="77" t="inlineStr">
        <is>
          <t>MBA</t>
        </is>
      </c>
      <c r="P44" s="77" t="inlineStr">
        <is>
          <t>MBA students; incompatible with MGTS7818</t>
        </is>
      </c>
      <c r="Q44" s="77" t="inlineStr">
        <is>
          <t>Optional/elective</t>
        </is>
      </c>
      <c r="R44" s="77" t="inlineStr">
        <is>
          <t>Curricular</t>
        </is>
      </c>
      <c r="S44" s="77" t="inlineStr">
        <is>
          <t>Credit-bearing course; stakeholder and situation analysis 40% (2026 profile)</t>
        </is>
      </c>
      <c r="T44" s="77" t="inlineStr">
        <is>
          <t>One semester (projects typically 3-4 months)</t>
        </is>
      </c>
      <c r="U44" s="77" t="inlineStr">
        <is>
          <t>Team consulting project</t>
        </is>
      </c>
      <c r="V44" s="77" t="inlineStr">
        <is>
          <t>Yes</t>
        </is>
      </c>
      <c r="W44" s="77" t="inlineStr">
        <is>
          <t>Project on a real complex problem with stakeholder analysis and final presentation [1][2].</t>
        </is>
      </c>
      <c r="X44" s="77" t="inlineStr">
        <is>
          <t>Yes</t>
        </is>
      </c>
      <c r="Y44" s="77" t="inlineStr">
        <is>
          <t>'students work in teams on projects' [1]; each group conducts stakeholder conversations [1].</t>
        </is>
      </c>
      <c r="Z44" s="77" t="inlineStr">
        <is>
          <t>Yes</t>
        </is>
      </c>
      <c r="AA44" s="77" t="inlineStr">
        <is>
          <t>Projects come from a curated list of real problems; final presentations delivered to project sponsors (2026 offering) [1]; MBA projects delivered for 70+ industry partners incl. corporates, NFPs, government and startups, free to partners [2][3].</t>
        </is>
      </c>
      <c r="AB44" s="77" t="inlineStr">
        <is>
          <t>Mixed</t>
        </is>
      </c>
      <c r="AC44" s="77" t="inlineStr">
        <is>
          <t>Project sponsor supplying problem; receives final presentation</t>
        </is>
      </c>
      <c r="AD44" s="77" t="inlineStr">
        <is>
          <t>Past MBA project partners (undated list): Suncorp, Hatch, Anglicare, Queensland Police, Boeing Research and Technology, Unity Water; also Avcair, BenchOn, People With Purpose; CSIRO (student example) [3]</t>
        </is>
      </c>
      <c r="AE44" s="77" t="inlineStr">
        <is>
          <t>Stakeholder/situation analysis and final presentation to sponsor</t>
        </is>
      </c>
      <c r="AF44" s="77">
        <f>IF(OR(V44="No",X44="No",Z44="No"),"Outside strict definition",IF(AND(V44="Yes",X44="Yes",Z44="Yes"),"Meets all three","Potentially relevant; evidence incomplete"))</f>
        <v/>
      </c>
      <c r="AG44" s="77" t="inlineStr">
        <is>
          <t>Current delivery confirmed</t>
        </is>
      </c>
      <c r="AH44" s="77" t="inlineStr">
        <is>
          <t>2026</t>
        </is>
      </c>
      <c r="AI44" s="77" t="inlineStr">
        <is>
          <t>Yes</t>
        </is>
      </c>
      <c r="AJ44" s="77">
        <f>IF(AND(AI44="Yes",AF44="Meets all three",AG44="Current delivery confirmed"),"Yes","No")</f>
        <v/>
      </c>
      <c r="AK44" s="77" t="inlineStr">
        <is>
          <t>70+ industry partners cumulatively (MBA projects, undated) [2]</t>
        </is>
      </c>
      <c r="AL44" s="77" t="inlineStr">
        <is>
          <t>AU06-S05-R1; AU06-S05-R2; AU06-S05-R3</t>
        </is>
      </c>
      <c r="AM44" s="77" t="inlineStr">
        <is>
          <t>Whether all sponsors in the curated list are external (some may be UQ-internal or student ventures in later Impact Academy courses); partner list undated.</t>
        </is>
      </c>
      <c r="AN44" s="77" t="inlineStr"/>
      <c r="AO44" s="77" t="inlineStr">
        <is>
          <t>Australia</t>
        </is>
      </c>
      <c r="AP44" s="77" t="inlineStr">
        <is>
          <t>Australia</t>
        </is>
      </c>
      <c r="AQ44" s="77" t="inlineStr">
        <is>
          <t>~1 term/semester</t>
        </is>
      </c>
      <c r="AR44" s="77" t="inlineStr">
        <is>
          <t>All/standard</t>
        </is>
      </c>
      <c r="AS44" s="77" t="inlineStr"/>
    </row>
    <row r="45">
      <c r="A45" s="77" t="inlineStr">
        <is>
          <t>AU06</t>
        </is>
      </c>
      <c r="B45" s="77" t="inlineStr">
        <is>
          <t>Queensland</t>
        </is>
      </c>
      <c r="C45" s="77" t="inlineStr">
        <is>
          <t>Programme/course</t>
        </is>
      </c>
      <c r="D45" s="77" t="inlineStr">
        <is>
          <t>AU06-S06</t>
        </is>
      </c>
      <c r="E45" s="77" t="inlineStr"/>
      <c r="F45" s="77" t="inlineStr">
        <is>
          <t>No</t>
        </is>
      </c>
      <c r="G45" s="79" t="inlineStr">
        <is>
          <t>Industry Engagement Capstone</t>
        </is>
      </c>
      <c r="H45" s="77" t="inlineStr">
        <is>
          <t>MBA Industry Engagement Capstone</t>
        </is>
      </c>
      <c r="I45" s="77" t="inlineStr">
        <is>
          <t>MGTS7818</t>
        </is>
      </c>
      <c r="J45"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45" s="77" t="inlineStr">
        <is>
          <t>UQ Business School (MBA)</t>
        </is>
      </c>
      <c r="L45" s="77" t="inlineStr">
        <is>
          <t>Master of Business Administration</t>
        </is>
      </c>
      <c r="M45" s="77" t="inlineStr">
        <is>
          <t>Business/management</t>
        </is>
      </c>
      <c r="N45" s="77" t="inlineStr">
        <is>
          <t>Postgraduate taught</t>
        </is>
      </c>
      <c r="O45" s="77" t="inlineStr">
        <is>
          <t>MBA final stage</t>
        </is>
      </c>
      <c r="P45" s="77" t="inlineStr">
        <is>
          <t>MBA students</t>
        </is>
      </c>
      <c r="Q45" s="77" t="inlineStr">
        <is>
          <t>Unclear</t>
        </is>
      </c>
      <c r="R45" s="77" t="inlineStr">
        <is>
          <t>Curricular</t>
        </is>
      </c>
      <c r="S45" s="77" t="inlineStr">
        <is>
          <t>2 units; proposal pitch 25%, final client presentation and report 75% (2024 profile)</t>
        </is>
      </c>
      <c r="T45" s="77" t="inlineStr">
        <is>
          <t>One semester</t>
        </is>
      </c>
      <c r="U45" s="77" t="inlineStr">
        <is>
          <t>In person, Brisbane</t>
        </is>
      </c>
      <c r="V45" s="77" t="inlineStr">
        <is>
          <t>Yes</t>
        </is>
      </c>
      <c r="W45" s="77" t="inlineStr">
        <is>
          <t>Strategic consultancy project with proposal and final report/presentation [1].</t>
        </is>
      </c>
      <c r="X45" s="77" t="inlineStr">
        <is>
          <t>Yes</t>
        </is>
      </c>
      <c r="Y45" s="77" t="inlineStr">
        <is>
          <t>Consultancy teams, each with a mentor [1].</t>
        </is>
      </c>
      <c r="Z45" s="77" t="inlineStr">
        <is>
          <t>Yes</t>
        </is>
      </c>
      <c r="AA45" s="77" t="inlineStr">
        <is>
          <t>Industry partner is client: meets team within first two weeks, signs off proposal, receives final presentation and report [1].</t>
        </is>
      </c>
      <c r="AB45" s="77" t="inlineStr">
        <is>
          <t>Mixed</t>
        </is>
      </c>
      <c r="AC45" s="77" t="inlineStr">
        <is>
          <t>Client</t>
        </is>
      </c>
      <c r="AD45" s="77" t="inlineStr"/>
      <c r="AE45" s="77" t="inlineStr">
        <is>
          <t>Client report and presentation</t>
        </is>
      </c>
      <c r="AF45" s="77">
        <f>IF(OR(V45="No",X45="No",Z45="No"),"Outside strict definition",IF(AND(V45="Yes",X45="Yes",Z45="Yes"),"Meets all three","Potentially relevant; evidence incomplete"))</f>
        <v/>
      </c>
      <c r="AG45" s="77" t="inlineStr">
        <is>
          <t>Current status unclear</t>
        </is>
      </c>
      <c r="AH45" s="77" t="inlineStr">
        <is>
          <t>2024</t>
        </is>
      </c>
      <c r="AI45" s="77" t="inlineStr">
        <is>
          <t>Yes</t>
        </is>
      </c>
      <c r="AJ45" s="77">
        <f>IF(AND(AI45="Yes",AF45="Meets all three",AG45="Current delivery confirmed"),"Yes","No")</f>
        <v/>
      </c>
      <c r="AK45" s="77" t="inlineStr"/>
      <c r="AL45" s="77" t="inlineStr">
        <is>
          <t>AU06-S06-R1; AU06-S06-R2</t>
        </is>
      </c>
      <c r="AM45" s="77" t="inlineStr">
        <is>
          <t>Latest offerings found were Semester 1 and 2, 2024; MGTS7820 (Impact Academy) lists MGTS7818 as incompatible and Impact Academy is described as the former 'MBA capstone projects', suggesting replacement, but discontinuation not confirmed.</t>
        </is>
      </c>
      <c r="AN45" s="77" t="inlineStr"/>
      <c r="AO45" s="77" t="inlineStr">
        <is>
          <t>Australia</t>
        </is>
      </c>
      <c r="AP45" s="77" t="inlineStr">
        <is>
          <t>Australia</t>
        </is>
      </c>
      <c r="AQ45" s="77" t="inlineStr">
        <is>
          <t>~1 term/semester</t>
        </is>
      </c>
      <c r="AR45" s="77" t="inlineStr">
        <is>
          <t>All/standard</t>
        </is>
      </c>
      <c r="AS45" s="77" t="inlineStr"/>
    </row>
    <row r="46">
      <c r="A46" s="77" t="inlineStr">
        <is>
          <t>AU09</t>
        </is>
      </c>
      <c r="B46" s="77" t="inlineStr">
        <is>
          <t>University of Technology Sydney</t>
        </is>
      </c>
      <c r="C46" s="77" t="inlineStr">
        <is>
          <t>University-wide</t>
        </is>
      </c>
      <c r="D46" s="77" t="inlineStr">
        <is>
          <t>AU09-S01</t>
        </is>
      </c>
      <c r="E46" s="77" t="inlineStr"/>
      <c r="F46" s="77" t="inlineStr">
        <is>
          <t>No</t>
        </is>
      </c>
      <c r="G46" s="79" t="inlineStr">
        <is>
          <t>Transdisciplinary (TD) Electives</t>
        </is>
      </c>
      <c r="H46" s="77" t="inlineStr">
        <is>
          <t>Transdisciplinary Electives</t>
        </is>
      </c>
      <c r="I46" s="77" t="inlineStr">
        <is>
          <t>e.g. 95002/95010 TD: Reframing, remixing, reimagining society (UNICEF Australia); 95005 Shaping Technologies that Shape Us (Microsoft); 95004 (ServiceRocket); 95006 (City of Sydney); 95008 (Miro); Pathways to Societal Transitions (Lane Cove Council)</t>
        </is>
      </c>
      <c r="J46"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46" s="77" t="inlineStr">
        <is>
          <t>TD School (Transdisciplinary School)</t>
        </is>
      </c>
      <c r="L46" s="77" t="inlineStr">
        <is>
          <t>All UTS undergraduate degrees with elective space; BCII students take different electives</t>
        </is>
      </c>
      <c r="M46" s="77" t="inlineStr">
        <is>
          <t>Central provision</t>
        </is>
      </c>
      <c r="N46" s="77" t="inlineStr">
        <is>
          <t>Undergraduate</t>
        </is>
      </c>
      <c r="O46" s="77" t="inlineStr">
        <is>
          <t>Unclear</t>
        </is>
      </c>
      <c r="P46" s="77" t="inlineStr">
        <is>
          <t>Undergraduates with elective space; BCII students excluded (they take their own elective subjects).</t>
        </is>
      </c>
      <c r="Q46" s="77" t="inlineStr">
        <is>
          <t>Optional/elective</t>
        </is>
      </c>
      <c r="R46" s="77" t="inlineStr">
        <is>
          <t>Curricular</t>
        </is>
      </c>
      <c r="S46" s="77" t="inlineStr">
        <is>
          <t>6 cp (e.g. 95002) or 8 cp '+' version (e.g. 95010) per 2026 handbook / 2027 pre-approved list. Group assessment format for 2026 not verified; the pre-2025 handbook for 95009 lists a 40% major task with a 10-minute presentation, poster and Miro board.</t>
        </is>
      </c>
      <c r="T46" s="77" t="inlineStr">
        <is>
          <t>One teaching session (e.g. 95002 fortnightly in Autumn, or July block)</t>
        </is>
      </c>
      <c r="U46" s="77" t="inlineStr">
        <is>
          <t>Fortnightly in session or block mode; mix of pre-recorded partner content and live sessions</t>
        </is>
      </c>
      <c r="V46" s="77" t="inlineStr">
        <is>
          <t>Yes</t>
        </is>
      </c>
      <c r="W46"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46" s="77" t="inlineStr">
        <is>
          <t>Yes</t>
        </is>
      </c>
      <c r="Y46" s="77" t="inlineStr">
        <is>
          <t>Search summaries tied to the student-facing TD Electives page state that students from across all faculties collaborate in teams on the subject's challenge [1]. This is a search-summary paraphrase, not a quoted extract, and the team format in the 2026 handbook assessment was not verified. Downgrade to Unclear if the handbook shows individual assessment only.</t>
        </is>
      </c>
      <c r="Z46" s="77" t="inlineStr">
        <is>
          <t>Yes</t>
        </is>
      </c>
      <c r="AA46"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46" s="77" t="inlineStr">
        <is>
          <t>Mixed</t>
        </is>
      </c>
      <c r="AC46" s="77" t="inlineStr">
        <is>
          <t>Sets the challenge, provides content, mentors and gives feedback; receives pitches in some offerings</t>
        </is>
      </c>
      <c r="AD46" s="77" t="inlineStr">
        <is>
          <t>2026: UNICEF Australia, City of Sydney, Microsoft, Miro, Lane Cove Council, ServiceRocket [3]; earlier: Australian Red Cross, Stockland, Regen Studios (search summary)</t>
        </is>
      </c>
      <c r="AE46" s="77" t="inlineStr">
        <is>
          <t>Team proposals/ideas responding to the partner challenge (presentation, poster, Miro board in a pre-2025 example)</t>
        </is>
      </c>
      <c r="AF46" s="77">
        <f>IF(OR(V46="No",X46="No",Z46="No"),"Outside strict definition",IF(AND(V46="Yes",X46="Yes",Z46="Yes"),"Meets all three","Potentially relevant; evidence incomplete"))</f>
        <v/>
      </c>
      <c r="AG46" s="77" t="inlineStr">
        <is>
          <t>Current delivery confirmed</t>
        </is>
      </c>
      <c r="AH46" s="77" t="inlineStr">
        <is>
          <t>2026</t>
        </is>
      </c>
      <c r="AI46" s="77" t="inlineStr">
        <is>
          <t>Yes</t>
        </is>
      </c>
      <c r="AJ46" s="77">
        <f>IF(AND(AI46="Yes",AF46="Meets all three",AG46="Current delivery confirmed"),"Yes","No")</f>
        <v/>
      </c>
      <c r="AK46" s="77" t="inlineStr"/>
      <c r="AL46" s="77" t="inlineStr">
        <is>
          <t>AU09-S01-R1; AU09-S01-R2; AU09-S01-R3; AU09-S01-R4; AU09-S01-R5</t>
        </is>
      </c>
      <c r="AM46" s="77" t="inlineStr">
        <is>
          <t>Group format rests on search-summary paraphrase. 2026 subject assessment details were not retrieved. The phrase 'eight electives embedded in every undergraduate degree' probably means availability of the suite, not compulsion, so the scheme is recorded as optional. Current delivery rests on the dated 2026 brochure and the 2026 handbook entry for 95010.</t>
        </is>
      </c>
      <c r="AN46" s="77" t="inlineStr">
        <is>
          <t>Transdisciplinary electives</t>
        </is>
      </c>
      <c r="AO46" s="77" t="inlineStr">
        <is>
          <t>Australia</t>
        </is>
      </c>
      <c r="AP46" s="77" t="inlineStr">
        <is>
          <t>Australia</t>
        </is>
      </c>
      <c r="AQ46" s="77" t="inlineStr">
        <is>
          <t>~1 term/semester</t>
        </is>
      </c>
      <c r="AR46" s="77" t="inlineStr">
        <is>
          <t>All/standard</t>
        </is>
      </c>
      <c r="AS46" s="77" t="inlineStr"/>
    </row>
    <row r="47">
      <c r="A47" s="77" t="inlineStr">
        <is>
          <t>AU09</t>
        </is>
      </c>
      <c r="B47" s="77" t="inlineStr">
        <is>
          <t>University of Technology Sydney</t>
        </is>
      </c>
      <c r="C47" s="77" t="inlineStr">
        <is>
          <t>Programme/course</t>
        </is>
      </c>
      <c r="D47" s="77" t="inlineStr">
        <is>
          <t>AU09-S02</t>
        </is>
      </c>
      <c r="E47" s="77" t="inlineStr"/>
      <c r="F47" s="77" t="inlineStr">
        <is>
          <t>No</t>
        </is>
      </c>
      <c r="G47" s="79" t="inlineStr">
        <is>
          <t>Industry Innovation Project</t>
        </is>
      </c>
      <c r="H47" s="77" t="inlineStr">
        <is>
          <t>Industry Innovation Project</t>
        </is>
      </c>
      <c r="I47" s="77" t="inlineStr"/>
      <c r="J47"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47" s="77" t="inlineStr">
        <is>
          <t>TD School</t>
        </is>
      </c>
      <c r="L47" s="77" t="inlineStr">
        <is>
          <t>Bachelor of Creative Intelligence and Innovation (combined with students' core degrees)</t>
        </is>
      </c>
      <c r="M47" s="77" t="inlineStr">
        <is>
          <t>Central provision</t>
        </is>
      </c>
      <c r="N47" s="77" t="inlineStr">
        <is>
          <t>Undergraduate</t>
        </is>
      </c>
      <c r="O47" s="77" t="inlineStr">
        <is>
          <t>Final year</t>
        </is>
      </c>
      <c r="P47" s="77" t="inlineStr">
        <is>
          <t>BCII students only</t>
        </is>
      </c>
      <c r="Q47" s="77" t="inlineStr">
        <is>
          <t>Unclear</t>
        </is>
      </c>
      <c r="R47" s="77" t="inlineStr">
        <is>
          <t>Curricular</t>
        </is>
      </c>
      <c r="S47" s="77" t="inlineStr">
        <is>
          <t>Final presentation and report (weighting not retrieved)</t>
        </is>
      </c>
      <c r="T47" s="77" t="inlineStr">
        <is>
          <t>13 weeks (March–June 2026)</t>
        </is>
      </c>
      <c r="U47" s="77" t="inlineStr">
        <is>
          <t>In-session team project with weekly partner check-ins</t>
        </is>
      </c>
      <c r="V47" s="77" t="inlineStr">
        <is>
          <t>Yes</t>
        </is>
      </c>
      <c r="W47" s="77" t="inlineStr">
        <is>
          <t>Partner brief, which students reframe; final presentation of initiatives, insights and prototypes with a report [1][2].</t>
        </is>
      </c>
      <c r="X47" s="77" t="inlineStr">
        <is>
          <t>Yes</t>
        </is>
      </c>
      <c r="Y47" s="77" t="inlineStr">
        <is>
          <t>Coordinator allocates students into multidisciplinary teams of 5–7 [1] (search-summary paraphrase of partner page).</t>
        </is>
      </c>
      <c r="Z47" s="77" t="inlineStr">
        <is>
          <t>Yes</t>
        </is>
      </c>
      <c r="AA47"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47" s="77" t="inlineStr">
        <is>
          <t>Business/commercial</t>
        </is>
      </c>
      <c r="AC47" s="77" t="inlineStr">
        <is>
          <t>Supplies brief, mentors, gives feedback, receives final presentation</t>
        </is>
      </c>
      <c r="AD47" s="77" t="inlineStr"/>
      <c r="AE47" s="77" t="inlineStr">
        <is>
          <t>Prototypes/initiatives, final presentation and report</t>
        </is>
      </c>
      <c r="AF47" s="77">
        <f>IF(OR(V47="No",X47="No",Z47="No"),"Outside strict definition",IF(AND(V47="Yes",X47="Yes",Z47="Yes"),"Meets all three","Potentially relevant; evidence incomplete"))</f>
        <v/>
      </c>
      <c r="AG47" s="77" t="inlineStr">
        <is>
          <t>Current delivery confirmed</t>
        </is>
      </c>
      <c r="AH47" s="77" t="inlineStr">
        <is>
          <t>2026</t>
        </is>
      </c>
      <c r="AI47" s="77" t="inlineStr">
        <is>
          <t>Yes</t>
        </is>
      </c>
      <c r="AJ47" s="77">
        <f>IF(AND(AI47="Yes",AF47="Meets all three",AG47="Current delivery confirmed"),"Yes","No")</f>
        <v/>
      </c>
      <c r="AK47" s="77" t="inlineStr"/>
      <c r="AL47" s="77" t="inlineStr">
        <is>
          <t>AU09-S02-R1; AU09-S02-R2</t>
        </is>
      </c>
      <c r="AM47" s="77" t="inlineStr">
        <is>
          <t>Not confirmed whether the subject is a core BCII requirement. Partners described only as 'industry partners', so sector mix is unverified. Projects are chosen by student vote from partner proposals.</t>
        </is>
      </c>
      <c r="AN47" s="77" t="inlineStr"/>
      <c r="AO47" s="77" t="inlineStr">
        <is>
          <t>Australia</t>
        </is>
      </c>
      <c r="AP47" s="77" t="inlineStr">
        <is>
          <t>Australia</t>
        </is>
      </c>
      <c r="AQ47" s="77" t="inlineStr">
        <is>
          <t>~1 term/semester</t>
        </is>
      </c>
      <c r="AR47" s="77" t="inlineStr">
        <is>
          <t>All/standard</t>
        </is>
      </c>
      <c r="AS47" s="77" t="inlineStr"/>
    </row>
    <row r="48">
      <c r="A48" s="77" t="inlineStr">
        <is>
          <t>AU09</t>
        </is>
      </c>
      <c r="B48" s="77" t="inlineStr">
        <is>
          <t>University of Technology Sydney</t>
        </is>
      </c>
      <c r="C48" s="77" t="inlineStr">
        <is>
          <t>Unclear</t>
        </is>
      </c>
      <c r="D48" s="77" t="inlineStr">
        <is>
          <t>AU09-S03</t>
        </is>
      </c>
      <c r="E48" s="77" t="inlineStr"/>
      <c r="F48" s="77" t="inlineStr">
        <is>
          <t>No</t>
        </is>
      </c>
      <c r="G48" s="79" t="inlineStr">
        <is>
          <t>UTS Shopfront Community Program – community projects in coursework</t>
        </is>
      </c>
      <c r="H48" s="77" t="inlineStr">
        <is>
          <t>UTS Shopfront community projects</t>
        </is>
      </c>
      <c r="I48" s="77" t="inlineStr">
        <is>
          <t>Various participating coursework subjects (not identified)</t>
        </is>
      </c>
      <c r="J48"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48" s="77" t="inlineStr">
        <is>
          <t>UTS Shopfront (Social Justice / community engagement, central)</t>
        </is>
      </c>
      <c r="L48" s="77" t="inlineStr">
        <is>
          <t>Students in participating coursework subjects (faculties not identified)</t>
        </is>
      </c>
      <c r="M48" s="77" t="inlineStr">
        <is>
          <t>Central provision</t>
        </is>
      </c>
      <c r="N48" s="77" t="inlineStr">
        <is>
          <t>Mixed</t>
        </is>
      </c>
      <c r="O48" s="77" t="inlineStr">
        <is>
          <t>Usually final-year UG or PG</t>
        </is>
      </c>
      <c r="P48" s="77" t="inlineStr">
        <is>
          <t>Enrolled in a subject that takes Shopfront projects</t>
        </is>
      </c>
      <c r="Q48" s="77" t="inlineStr">
        <is>
          <t>Unclear</t>
        </is>
      </c>
      <c r="R48" s="77" t="inlineStr">
        <is>
          <t>Curricular</t>
        </is>
      </c>
      <c r="S48" s="77" t="inlineStr">
        <is>
          <t>Course credit within host subjects (details vary)</t>
        </is>
      </c>
      <c r="T48" s="77" t="inlineStr">
        <is>
          <t>One teaching session</t>
        </is>
      </c>
      <c r="U48" s="77" t="inlineStr">
        <is>
          <t>Team consultancy within subjects</t>
        </is>
      </c>
      <c r="V48" s="77" t="inlineStr">
        <is>
          <t>Yes</t>
        </is>
      </c>
      <c r="W48" s="77" t="inlineStr">
        <is>
          <t>Organisations identify and submit defined projects, which students deliver within coursework (e.g. research for a legal centre) [1][2].</t>
        </is>
      </c>
      <c r="X48" s="77" t="inlineStr">
        <is>
          <t>Yes</t>
        </is>
      </c>
      <c r="Y48" s="77" t="inlineStr">
        <is>
          <t>Students work in teams as external consultants [1] (search-summary paraphrase). Not verified whether all host subjects use teams.</t>
        </is>
      </c>
      <c r="Z48" s="77" t="inlineStr">
        <is>
          <t>Yes</t>
        </is>
      </c>
      <c r="AA48" s="77" t="inlineStr">
        <is>
          <t>Community organisations propose the project, nominate a key contact giving up to 2 hours/week, and receive the outputs [1][2].</t>
        </is>
      </c>
      <c r="AB48" s="77" t="inlineStr">
        <is>
          <t>Charity/community</t>
        </is>
      </c>
      <c r="AC48" s="77" t="inlineStr">
        <is>
          <t>Proposes project, liaises (up to 2 hrs/week), receives deliverable</t>
        </is>
      </c>
      <c r="AD48" s="77" t="inlineStr">
        <is>
          <t>HIV/AIDS Legal Centre (NSW); Glebe Youth Service (2024 article) [3]</t>
        </is>
      </c>
      <c r="AE48" s="77" t="inlineStr">
        <is>
          <t>Consultancy outputs (research reports, programmes, etc.) for the organisation</t>
        </is>
      </c>
      <c r="AF48" s="77">
        <f>IF(OR(V48="No",X48="No",Z48="No"),"Outside strict definition",IF(AND(V48="Yes",X48="Yes",Z48="Yes"),"Meets all three","Potentially relevant; evidence incomplete"))</f>
        <v/>
      </c>
      <c r="AG48" s="77" t="inlineStr">
        <is>
          <t>Current delivery confirmed</t>
        </is>
      </c>
      <c r="AH48" s="77" t="inlineStr">
        <is>
          <t>2026</t>
        </is>
      </c>
      <c r="AI48" s="77" t="inlineStr">
        <is>
          <t>Yes</t>
        </is>
      </c>
      <c r="AJ48" s="77">
        <f>IF(AND(AI48="Yes",AF48="Meets all three",AG48="Current delivery confirmed"),"Yes","No")</f>
        <v/>
      </c>
      <c r="AK48" s="77" t="inlineStr">
        <is>
          <t>Cumulative: more than 1,698 projects for over 1,199 community organisations as of May 2026 (one UTS Shopfront page; the exact page could not be separated in the search summary). A 2024 UTS page gives 1,614 projects and 1,115 organisations.</t>
        </is>
      </c>
      <c r="AL48" s="77" t="inlineStr">
        <is>
          <t>AU09-S03-R1; AU09-S03-R2; AU09-S03-R3</t>
        </is>
      </c>
      <c r="AM48" s="77" t="inlineStr">
        <is>
          <t>Participating subjects and faculties not identified, so reach is Unclear. Team format and the May 2026 count are search-summary paraphrases. Eligibility rules for organisations appear to differ between older and newer pages.</t>
        </is>
      </c>
      <c r="AN48" s="77" t="inlineStr"/>
      <c r="AO48" s="77" t="inlineStr">
        <is>
          <t>Australia</t>
        </is>
      </c>
      <c r="AP48" s="77" t="inlineStr">
        <is>
          <t>Australia</t>
        </is>
      </c>
      <c r="AQ48" s="77" t="inlineStr">
        <is>
          <t>~1 term/semester</t>
        </is>
      </c>
      <c r="AR48" s="77" t="inlineStr">
        <is>
          <t>All/standard</t>
        </is>
      </c>
      <c r="AS48" s="77" t="inlineStr"/>
    </row>
    <row r="49">
      <c r="A49" s="77" t="inlineStr">
        <is>
          <t>RG01</t>
        </is>
      </c>
      <c r="B49" s="77" t="inlineStr">
        <is>
          <t>Birmingham</t>
        </is>
      </c>
      <c r="C49" s="77" t="inlineStr">
        <is>
          <t>University-wide</t>
        </is>
      </c>
      <c r="D49" s="77" t="inlineStr">
        <is>
          <t>RG01-S01</t>
        </is>
      </c>
      <c r="E49" s="77" t="inlineStr"/>
      <c r="F49" s="77" t="inlineStr">
        <is>
          <t>No</t>
        </is>
      </c>
      <c r="G49" s="79" t="inlineStr">
        <is>
          <t>The Birmingham Project</t>
        </is>
      </c>
      <c r="H49" s="77" t="inlineStr">
        <is>
          <t>The Birmingham Project</t>
        </is>
      </c>
      <c r="I49" s="77" t="inlineStr"/>
      <c r="J49"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49" s="77" t="inlineStr">
        <is>
          <t>Careers Network (central)</t>
        </is>
      </c>
      <c r="L49" s="77" t="inlineStr">
        <is>
          <t>Registered first-year undergraduates on any course (incl. Erasmus students) at the Birmingham (Edgbaston) campus</t>
        </is>
      </c>
      <c r="M49" s="77" t="inlineStr">
        <is>
          <t>Central provision</t>
        </is>
      </c>
      <c r="N49" s="77" t="inlineStr">
        <is>
          <t>Undergraduate</t>
        </is>
      </c>
      <c r="O49" s="77" t="inlineStr">
        <is>
          <t>Year 1</t>
        </is>
      </c>
      <c r="P49" s="77" t="inlineStr">
        <is>
          <t>First-year UG, Birmingham campus only; must attend every day of the week; Birmingham Scholars and students from IMD Quintile 1 neighbourhoods encouraged/get early enrolment (16 March 2026; general enrolment 30 March 2026).</t>
        </is>
      </c>
      <c r="Q49" s="77" t="inlineStr">
        <is>
          <t>Optional/elective</t>
        </is>
      </c>
      <c r="R49" s="77" t="inlineStr">
        <is>
          <t>Extracurricular</t>
        </is>
      </c>
      <c r="S49" s="77" t="inlineStr">
        <is>
          <t>Non-credit-bearing; recorded as a pass/fail module on the University transcript. Group video presentation 50% + individual self-evaluation 50%.</t>
        </is>
      </c>
      <c r="T49" s="77" t="inlineStr">
        <is>
          <t>One week (5 days, full-time), June</t>
        </is>
      </c>
      <c r="U49" s="77" t="inlineStr">
        <is>
          <t>In person, Edgbaston campus</t>
        </is>
      </c>
      <c r="V49" s="77" t="inlineStr">
        <is>
          <t>Yes</t>
        </is>
      </c>
      <c r="W49" s="77" t="inlineStr">
        <is>
          <t>Defined challenge question per team, solution developed over the week and delivered as an assessed group video presentation [1][2].</t>
        </is>
      </c>
      <c r="X49" s="77" t="inlineStr">
        <is>
          <t>Yes</t>
        </is>
      </c>
      <c r="Y49" s="77" t="inlineStr">
        <is>
          <t>Students work in small interdisciplinary teams/groups with students from across the university; assessed group presentation [1][3].</t>
        </is>
      </c>
      <c r="Z49" s="77" t="inlineStr">
        <is>
          <t>Yes</t>
        </is>
      </c>
      <c r="AA49" s="77" t="inlineStr">
        <is>
          <t>Employer partners set the challenges ('seven employer-set challenges' in the 2026 news item), an industry professional supports each challenge, and teams present to industry professionals on the final day [1][4][5].</t>
        </is>
      </c>
      <c r="AB49" s="77" t="inlineStr">
        <is>
          <t>Mixed</t>
        </is>
      </c>
      <c r="AC49" s="77" t="inlineStr">
        <is>
          <t>Set the challenge question; industry professional supports each challenge team; industry professionals attend/receive final presentations.</t>
        </is>
      </c>
      <c r="AD49" s="77" t="inlineStr">
        <is>
          <t>2026 news item: Birmingham City FC, Conde Nast, Expedia Group, HSBC, Siemens, Transport for West Midlands, West Midlands Combined Authority; employer partners page lists 8 supporters for June 2026 incl. new partner BBC Studios Drama Productions.</t>
        </is>
      </c>
      <c r="AE49" s="77" t="inlineStr">
        <is>
          <t>Group video presentation of solution; individual self-evaluation</t>
        </is>
      </c>
      <c r="AF49" s="77">
        <f>IF(OR(V49="No",X49="No",Z49="No"),"Outside strict definition",IF(AND(V49="Yes",X49="Yes",Z49="Yes"),"Meets all three","Potentially relevant; evidence incomplete"))</f>
        <v/>
      </c>
      <c r="AG49" s="77" t="inlineStr">
        <is>
          <t>Current delivery confirmed</t>
        </is>
      </c>
      <c r="AH49" s="77" t="inlineStr">
        <is>
          <t>2026 (8-12 June 2026 run; a 7-11 June 2027 run was also reported)</t>
        </is>
      </c>
      <c r="AI49" s="77" t="inlineStr">
        <is>
          <t>Yes</t>
        </is>
      </c>
      <c r="AJ49" s="77">
        <f>IF(AND(AI49="Yes",AF49="Meets all three",AG49="Current delivery confirmed"),"Yes","No")</f>
        <v/>
      </c>
      <c r="AK49" s="77" t="inlineStr">
        <is>
          <t>More than 2,000 students have completed the programme since 2013 (cumulative participants; 2026 news item).</t>
        </is>
      </c>
      <c r="AL49" s="77" t="inlineStr">
        <is>
          <t>RG01-S01-R1; RG01-S01-R2; RG01-S01-R3; RG01-S01-R4; RG01-S01-R5</t>
        </is>
      </c>
      <c r="AM49" s="77" t="inlineStr">
        <is>
          <t>Partner count differs (7 in news item vs 8 on partner page for 2026). Annual places not published. 2027 dates came from a search summary of the project page and are not separately verified.</t>
        </is>
      </c>
      <c r="AN49" s="77" t="inlineStr">
        <is>
          <t>Birmingham Project</t>
        </is>
      </c>
      <c r="AO49" s="77" t="inlineStr">
        <is>
          <t>UK</t>
        </is>
      </c>
      <c r="AP49" s="77" t="inlineStr">
        <is>
          <t>UK – Russell Group</t>
        </is>
      </c>
      <c r="AQ49" s="77" t="inlineStr">
        <is>
          <t>1–4 weeks</t>
        </is>
      </c>
      <c r="AR49" s="77" t="inlineStr">
        <is>
          <t>All/standard</t>
        </is>
      </c>
      <c r="AS49" s="77" t="inlineStr"/>
    </row>
    <row r="50">
      <c r="A50" s="77" t="inlineStr">
        <is>
          <t>RG01</t>
        </is>
      </c>
      <c r="B50" s="77" t="inlineStr">
        <is>
          <t>Birmingham</t>
        </is>
      </c>
      <c r="C50" s="77" t="inlineStr">
        <is>
          <t>University-wide</t>
        </is>
      </c>
      <c r="D50" s="77" t="inlineStr">
        <is>
          <t>RG01-S02</t>
        </is>
      </c>
      <c r="E50" s="77" t="inlineStr"/>
      <c r="F50" s="77" t="inlineStr">
        <is>
          <t>No</t>
        </is>
      </c>
      <c r="G50" s="79" t="inlineStr">
        <is>
          <t>Masters Consultancy Challenge (MCC)</t>
        </is>
      </c>
      <c r="H50" s="77" t="inlineStr">
        <is>
          <t>Masters Consultancy Challenge</t>
        </is>
      </c>
      <c r="I50" s="77" t="inlineStr"/>
      <c r="J50"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50" s="77" t="inlineStr">
        <is>
          <t>Careers Network (central, postgraduate)</t>
        </is>
      </c>
      <c r="L50" s="77" t="inlineStr">
        <is>
          <t>PGT students from any of the five Colleges registered on Edgbaston-campus programmes</t>
        </is>
      </c>
      <c r="M50" s="77" t="inlineStr">
        <is>
          <t>Central provision</t>
        </is>
      </c>
      <c r="N50" s="77" t="inlineStr">
        <is>
          <t>Postgraduate taught</t>
        </is>
      </c>
      <c r="O50" s="77" t="inlineStr">
        <is>
          <t>Masters (summer period)</t>
        </is>
      </c>
      <c r="P50" s="77" t="inlineStr">
        <is>
          <t>PGT only; Edgbaston-campus programmes; limited places allocated on quality of application.</t>
        </is>
      </c>
      <c r="Q50" s="77" t="inlineStr">
        <is>
          <t>Selective/competitive</t>
        </is>
      </c>
      <c r="R50" s="77" t="inlineStr">
        <is>
          <t>Extracurricular</t>
        </is>
      </c>
      <c r="S50" s="77" t="inlineStr">
        <is>
          <t>None evidenced</t>
        </is>
      </c>
      <c r="T50" s="77" t="inlineStr">
        <is>
          <t>3 weeks (8-26 June 2026; 9-27 June 2025)</t>
        </is>
      </c>
      <c r="U50" s="77" t="inlineStr">
        <is>
          <t>Intensive programme; mode not specified</t>
        </is>
      </c>
      <c r="V50" s="77" t="inlineStr">
        <is>
          <t>Yes</t>
        </is>
      </c>
      <c r="W50" s="77" t="inlineStr">
        <is>
          <t>Defined 'challenge' set by the firm, solved by teams and presented as challenge solutions [1][2].</t>
        </is>
      </c>
      <c r="X50" s="77" t="inlineStr">
        <is>
          <t>Yes</t>
        </is>
      </c>
      <c r="Y50" s="77" t="inlineStr">
        <is>
          <t>'students will form interdisciplinary groups to solve a challenge' [1].</t>
        </is>
      </c>
      <c r="Z50" s="77" t="inlineStr">
        <is>
          <t>Yes</t>
        </is>
      </c>
      <c r="AA50"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50" s="77" t="inlineStr">
        <is>
          <t>Business/commercial</t>
        </is>
      </c>
      <c r="AC50" s="77" t="inlineStr">
        <is>
          <t>Sets the challenge brief; industry representatives sit on the judging panel.</t>
        </is>
      </c>
      <c r="AD50" s="77" t="inlineStr">
        <is>
          <t>Turner &amp; Townsend (2025, 2026)</t>
        </is>
      </c>
      <c r="AE50" s="77" t="inlineStr">
        <is>
          <t>Team challenge solution and presentation to judging panel</t>
        </is>
      </c>
      <c r="AF50" s="77">
        <f>IF(OR(V50="No",X50="No",Z50="No"),"Outside strict definition",IF(AND(V50="Yes",X50="Yes",Z50="Yes"),"Meets all three","Potentially relevant; evidence incomplete"))</f>
        <v/>
      </c>
      <c r="AG50" s="77" t="inlineStr">
        <is>
          <t>Current delivery confirmed</t>
        </is>
      </c>
      <c r="AH50" s="77" t="inlineStr">
        <is>
          <t>2026</t>
        </is>
      </c>
      <c r="AI50" s="77" t="inlineStr">
        <is>
          <t>Yes</t>
        </is>
      </c>
      <c r="AJ50" s="77">
        <f>IF(AND(AI50="Yes",AF50="Meets all three",AG50="Current delivery confirmed"),"Yes","No")</f>
        <v/>
      </c>
      <c r="AK50" s="77" t="inlineStr"/>
      <c r="AL50" s="77" t="inlineStr">
        <is>
          <t>RG01-S02-R1; RG01-S02-R2; RG01-S02-R3</t>
        </is>
      </c>
      <c r="AM50" s="77" t="inlineStr">
        <is>
          <t>Whether the Turner &amp; Townsend brief is a live organisational problem or a designed scenario ('simulates'); number of places; credit/recognition.</t>
        </is>
      </c>
      <c r="AN50" s="77" t="inlineStr"/>
      <c r="AO50" s="77" t="inlineStr">
        <is>
          <t>UK</t>
        </is>
      </c>
      <c r="AP50" s="77" t="inlineStr">
        <is>
          <t>UK – Russell Group</t>
        </is>
      </c>
      <c r="AQ50" s="77" t="inlineStr">
        <is>
          <t>1–4 weeks</t>
        </is>
      </c>
      <c r="AR50" s="77" t="inlineStr">
        <is>
          <t>All/standard</t>
        </is>
      </c>
      <c r="AS50" s="77" t="inlineStr"/>
    </row>
    <row r="51">
      <c r="A51" s="77" t="inlineStr">
        <is>
          <t>RG01</t>
        </is>
      </c>
      <c r="B51" s="77" t="inlineStr">
        <is>
          <t>Birmingham</t>
        </is>
      </c>
      <c r="C51" s="77" t="inlineStr">
        <is>
          <t>University-wide</t>
        </is>
      </c>
      <c r="D51" s="77" t="inlineStr">
        <is>
          <t>RG01-S03</t>
        </is>
      </c>
      <c r="E51" s="77" t="inlineStr"/>
      <c r="F51" s="77" t="inlineStr">
        <is>
          <t>No</t>
        </is>
      </c>
      <c r="G51" s="79" t="inlineStr">
        <is>
          <t>Impact Challenge</t>
        </is>
      </c>
      <c r="H51" s="77" t="inlineStr">
        <is>
          <t>Impact Challenge</t>
        </is>
      </c>
      <c r="I51" s="77" t="inlineStr"/>
      <c r="J51" s="77" t="inlineStr">
        <is>
          <t>Paid (GBP125) week-long on-campus work-experience programme for widening-participation undergraduates. Students work in small teams on a project set by an employer and present their outputs at the end of the week; compulsory follow-up session.</t>
        </is>
      </c>
      <c r="K51" s="77" t="inlineStr">
        <is>
          <t>Careers Network (Equality, diversity and inclusion careers support)</t>
        </is>
      </c>
      <c r="L51" s="77" t="inlineStr">
        <is>
          <t>Penultimate and final-year undergraduates in any discipline meeting WP criteria</t>
        </is>
      </c>
      <c r="M51" s="77" t="inlineStr">
        <is>
          <t>Central provision</t>
        </is>
      </c>
      <c r="N51" s="77" t="inlineStr">
        <is>
          <t>Undergraduate</t>
        </is>
      </c>
      <c r="O51" s="77" t="inlineStr">
        <is>
          <t>Penultimate and final year</t>
        </is>
      </c>
      <c r="P51" s="77" t="inlineStr">
        <is>
          <t>Birmingham Scholars, students with home address in IMD Quintile 1, and/or students registered with a disability / in receipt of DSA.</t>
        </is>
      </c>
      <c r="Q51" s="77" t="inlineStr">
        <is>
          <t>Selective/competitive</t>
        </is>
      </c>
      <c r="R51" s="77" t="inlineStr">
        <is>
          <t>Extracurricular</t>
        </is>
      </c>
      <c r="S51" s="77" t="inlineStr">
        <is>
          <t>Not credit-bearing; GBP125 payment on completion</t>
        </is>
      </c>
      <c r="T51" s="77" t="inlineStr">
        <is>
          <t>One week (15-19 June 2026) + follow-up session 22 or 24 June</t>
        </is>
      </c>
      <c r="U51" s="77" t="inlineStr">
        <is>
          <t>In person, on campus</t>
        </is>
      </c>
      <c r="V51" s="77" t="inlineStr">
        <is>
          <t>Yes</t>
        </is>
      </c>
      <c r="W51" s="77" t="inlineStr">
        <is>
          <t>Team project set by an employer with outputs presented at end of week; past briefs e.g. a campaign for Grace Cares, a patient feedback strategy for The Patient Centre, marketing work for CoachBright [1].</t>
        </is>
      </c>
      <c r="X51" s="77" t="inlineStr">
        <is>
          <t>Yes</t>
        </is>
      </c>
      <c r="Y51" s="77" t="inlineStr">
        <is>
          <t>Students work 'in small teams on a project set by an employer' [1].</t>
        </is>
      </c>
      <c r="Z51" s="77" t="inlineStr">
        <is>
          <t>Yes</t>
        </is>
      </c>
      <c r="AA51" s="77" t="inlineStr">
        <is>
          <t>Employer sets the project and receives the presented outputs [1]. One past brief was internal (study of student engagement with Careers Network, which informed the Careers Corner location).</t>
        </is>
      </c>
      <c r="AB51" s="77" t="inlineStr">
        <is>
          <t>Mixed</t>
        </is>
      </c>
      <c r="AC51" s="77" t="inlineStr">
        <is>
          <t>Sets the project brief; receives end-of-week presentation. Mostly charities/social enterprises/health organisations in examples; one internal (Careers Network) brief evidenced.</t>
        </is>
      </c>
      <c r="AD51" s="77" t="inlineStr">
        <is>
          <t>Past briefs (undated): Grace Cares, The Patient Centre, CoachBright; internal: Careers Network.</t>
        </is>
      </c>
      <c r="AE51" s="77" t="inlineStr">
        <is>
          <t>Team outputs (e.g. campaign, strategy) presented at end of week</t>
        </is>
      </c>
      <c r="AF51" s="77">
        <f>IF(OR(V51="No",X51="No",Z51="No"),"Outside strict definition",IF(AND(V51="Yes",X51="Yes",Z51="Yes"),"Meets all three","Potentially relevant; evidence incomplete"))</f>
        <v/>
      </c>
      <c r="AG51" s="77" t="inlineStr">
        <is>
          <t>Current delivery confirmed</t>
        </is>
      </c>
      <c r="AH51" s="77" t="inlineStr">
        <is>
          <t>2026</t>
        </is>
      </c>
      <c r="AI51" s="77" t="inlineStr">
        <is>
          <t>Yes</t>
        </is>
      </c>
      <c r="AJ51" s="77">
        <f>IF(AND(AI51="Yes",AF51="Meets all three",AG51="Current delivery confirmed"),"Yes","No")</f>
        <v/>
      </c>
      <c r="AK51" s="77" t="inlineStr"/>
      <c r="AL51" s="77" t="inlineStr">
        <is>
          <t>RG01-S03-R1</t>
        </is>
      </c>
      <c r="AM51" s="77" t="inlineStr">
        <is>
          <t>Number of places/teams; whether internal briefs recur each year (would lower external coverage).</t>
        </is>
      </c>
      <c r="AN51" s="77" t="inlineStr"/>
      <c r="AO51" s="77" t="inlineStr">
        <is>
          <t>UK</t>
        </is>
      </c>
      <c r="AP51" s="77" t="inlineStr">
        <is>
          <t>UK – Russell Group</t>
        </is>
      </c>
      <c r="AQ51" s="77" t="inlineStr">
        <is>
          <t>1–4 weeks</t>
        </is>
      </c>
      <c r="AR51" s="77" t="inlineStr">
        <is>
          <t>All/standard</t>
        </is>
      </c>
      <c r="AS51" s="77" t="inlineStr"/>
    </row>
    <row r="52">
      <c r="A52" s="77" t="inlineStr">
        <is>
          <t>RG01</t>
        </is>
      </c>
      <c r="B52" s="77" t="inlineStr">
        <is>
          <t>Birmingham</t>
        </is>
      </c>
      <c r="C52" s="77" t="inlineStr">
        <is>
          <t>Cross-faculty</t>
        </is>
      </c>
      <c r="D52" s="77" t="inlineStr">
        <is>
          <t>RG01-S04</t>
        </is>
      </c>
      <c r="E52" s="77" t="inlineStr"/>
      <c r="F52" s="77" t="inlineStr">
        <is>
          <t>No</t>
        </is>
      </c>
      <c r="G52" s="79" t="inlineStr">
        <is>
          <t>Capgemini Community Challenge</t>
        </is>
      </c>
      <c r="H52" s="77" t="inlineStr">
        <is>
          <t>Capgemini Community Challenge</t>
        </is>
      </c>
      <c r="I52" s="77" t="inlineStr"/>
      <c r="J52"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52" s="77" t="inlineStr">
        <is>
          <t>Birmingham Business School with Capgemini; advertised via Careers Network</t>
        </is>
      </c>
      <c r="L52" s="77" t="inlineStr">
        <is>
          <t>Intranet: first, second and penultimate-year UGs in business, computing, engineering, maths and sciences subjects; Business School page: 'exclusive to undergraduate students at Birmingham Business School' (conflict)</t>
        </is>
      </c>
      <c r="M52" s="77" t="inlineStr">
        <is>
          <t>Business/management; Engineering/computing; Science</t>
        </is>
      </c>
      <c r="N52" s="77" t="inlineStr">
        <is>
          <t>Undergraduate</t>
        </is>
      </c>
      <c r="O52" s="77" t="inlineStr">
        <is>
          <t>First, second and penultimate year</t>
        </is>
      </c>
      <c r="P52" s="77" t="inlineStr">
        <is>
          <t>Application-based; subject eligibility stated differently on two pages.</t>
        </is>
      </c>
      <c r="Q52" s="77" t="inlineStr">
        <is>
          <t>Selective/competitive</t>
        </is>
      </c>
      <c r="R52" s="77" t="inlineStr">
        <is>
          <t>Extracurricular</t>
        </is>
      </c>
      <c r="S52" s="77" t="inlineStr">
        <is>
          <t>None evidenced; unpaid but all expenses covered</t>
        </is>
      </c>
      <c r="T52" s="77" t="inlineStr">
        <is>
          <t>One week (8-12 June 2026) + team-building session</t>
        </is>
      </c>
      <c r="U52" s="77" t="inlineStr">
        <is>
          <t>In person at Capgemini Telford office</t>
        </is>
      </c>
      <c r="V52" s="77" t="inlineStr">
        <is>
          <t>Yes</t>
        </is>
      </c>
      <c r="W52" s="77" t="inlineStr">
        <is>
          <t>Solutions-based consultancy projects for third-sector clients [1][2].</t>
        </is>
      </c>
      <c r="X52" s="77" t="inlineStr">
        <is>
          <t>Yes</t>
        </is>
      </c>
      <c r="Y52" s="77" t="inlineStr">
        <is>
          <t>Undergraduates 'work in consultancy teams' for a third-sector client [1][3].</t>
        </is>
      </c>
      <c r="Z52" s="77" t="inlineStr">
        <is>
          <t>Yes</t>
        </is>
      </c>
      <c r="AA52" s="77" t="inlineStr">
        <is>
          <t>Third-sector organisations act as clients for the team consultancy projects; Capgemini hosts the week at its client-solutions facilities [1][2][3].</t>
        </is>
      </c>
      <c r="AB52" s="77" t="inlineStr">
        <is>
          <t>Charity/community</t>
        </is>
      </c>
      <c r="AC52" s="77" t="inlineStr">
        <is>
          <t>Charity clients commission/receive the consultancy solutions; Capgemini (business) hosts and sponsors.</t>
        </is>
      </c>
      <c r="AD52" s="77" t="inlineStr">
        <is>
          <t>Host: Capgemini (2026). Past clients (undated/2015-2024): Ironbridge Gorge Museum Trust, Age Concern, Air Ambulance, Shropshire Wildlife Trust; a Telford charity (2024).</t>
        </is>
      </c>
      <c r="AE52" s="77" t="inlineStr">
        <is>
          <t>Consultancy solutions for the charity client</t>
        </is>
      </c>
      <c r="AF52" s="77">
        <f>IF(OR(V52="No",X52="No",Z52="No"),"Outside strict definition",IF(AND(V52="Yes",X52="Yes",Z52="Yes"),"Meets all three","Potentially relevant; evidence incomplete"))</f>
        <v/>
      </c>
      <c r="AG52" s="77" t="inlineStr">
        <is>
          <t>Current delivery confirmed</t>
        </is>
      </c>
      <c r="AH52" s="77" t="inlineStr">
        <is>
          <t>2026</t>
        </is>
      </c>
      <c r="AI52" s="77" t="inlineStr">
        <is>
          <t>Yes</t>
        </is>
      </c>
      <c r="AJ52" s="77">
        <f>IF(AND(AI52="Yes",AF52="Meets all three",AG52="Current delivery confirmed"),"Yes","No")</f>
        <v/>
      </c>
      <c r="AK52" s="77" t="inlineStr"/>
      <c r="AL52" s="77" t="inlineStr">
        <is>
          <t>RG01-S04-R1; RG01-S04-R2; RG01-S04-R3</t>
        </is>
      </c>
      <c r="AM52" s="77" t="inlineStr">
        <is>
          <t>Eligibility conflict (BBS-only vs business/computing/engineering/maths/sciences); number of places; Capgemini staff role in coaching not evidenced.</t>
        </is>
      </c>
      <c r="AN52" s="77" t="inlineStr"/>
      <c r="AO52" s="77" t="inlineStr">
        <is>
          <t>UK</t>
        </is>
      </c>
      <c r="AP52" s="77" t="inlineStr">
        <is>
          <t>UK – Russell Group</t>
        </is>
      </c>
      <c r="AQ52" s="77" t="inlineStr">
        <is>
          <t>1–4 weeks</t>
        </is>
      </c>
      <c r="AR52" s="77" t="inlineStr">
        <is>
          <t>All/standard</t>
        </is>
      </c>
      <c r="AS52" s="77" t="inlineStr"/>
    </row>
    <row r="53">
      <c r="A53" s="77" t="inlineStr">
        <is>
          <t>RG01</t>
        </is>
      </c>
      <c r="B53" s="77" t="inlineStr">
        <is>
          <t>Birmingham</t>
        </is>
      </c>
      <c r="C53" s="77" t="inlineStr">
        <is>
          <t>Programme/course</t>
        </is>
      </c>
      <c r="D53" s="77" t="inlineStr">
        <is>
          <t>RG01-S05</t>
        </is>
      </c>
      <c r="E53" s="77" t="inlineStr"/>
      <c r="F53" s="77" t="inlineStr">
        <is>
          <t>No</t>
        </is>
      </c>
      <c r="G53" s="79" t="inlineStr">
        <is>
          <t>MSc Strategic Marketing and Consulting: Consultancy Skills and Practice (group consultancy project)</t>
        </is>
      </c>
      <c r="H53" s="77" t="inlineStr"/>
      <c r="I53" s="77" t="inlineStr"/>
      <c r="J53"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53" s="77" t="inlineStr">
        <is>
          <t>Birmingham Business School</t>
        </is>
      </c>
      <c r="L53" s="77" t="inlineStr">
        <is>
          <t>MSc Strategic Marketing and Consulting</t>
        </is>
      </c>
      <c r="M53" s="77" t="inlineStr">
        <is>
          <t>Business/management</t>
        </is>
      </c>
      <c r="N53" s="77" t="inlineStr">
        <is>
          <t>Postgraduate taught</t>
        </is>
      </c>
      <c r="O53" s="77" t="inlineStr">
        <is>
          <t>Masters</t>
        </is>
      </c>
      <c r="P53" s="77" t="inlineStr">
        <is>
          <t>Students on the named MSc</t>
        </is>
      </c>
      <c r="Q53" s="77" t="inlineStr">
        <is>
          <t>Unclear</t>
        </is>
      </c>
      <c r="R53" s="77" t="inlineStr">
        <is>
          <t>Curricular</t>
        </is>
      </c>
      <c r="S53" s="77" t="inlineStr">
        <is>
          <t>20-credit module (of 180)</t>
        </is>
      </c>
      <c r="T53" s="77" t="inlineStr">
        <is>
          <t>Not stated (within one-year MSc)</t>
        </is>
      </c>
      <c r="U53" s="77" t="inlineStr">
        <is>
          <t>In person</t>
        </is>
      </c>
      <c r="V53" s="77" t="inlineStr">
        <is>
          <t>Yes</t>
        </is>
      </c>
      <c r="W53" s="77" t="inlineStr">
        <is>
          <t>Group consultancy project with recommendations presented to the client [1].</t>
        </is>
      </c>
      <c r="X53" s="77" t="inlineStr">
        <is>
          <t>Yes</t>
        </is>
      </c>
      <c r="Y53" s="77" t="inlineStr">
        <is>
          <t>Course page describes a 'group consultancy project' [1].</t>
        </is>
      </c>
      <c r="Z53" s="77" t="inlineStr">
        <is>
          <t>Yes</t>
        </is>
      </c>
      <c r="AA53" s="77" t="inlineStr">
        <is>
          <t>Project is for a real external organisation; students present recommendations directly to the client [1].</t>
        </is>
      </c>
      <c r="AB53" s="77" t="inlineStr">
        <is>
          <t>Mixed</t>
        </is>
      </c>
      <c r="AC53" s="77" t="inlineStr">
        <is>
          <t>Client supplies the consultancy problem and receives recommendations</t>
        </is>
      </c>
      <c r="AD53" s="77" t="inlineStr"/>
      <c r="AE53" s="77" t="inlineStr">
        <is>
          <t>Consultancy recommendations presented to client</t>
        </is>
      </c>
      <c r="AF53" s="77">
        <f>IF(OR(V53="No",X53="No",Z53="No"),"Outside strict definition",IF(AND(V53="Yes",X53="Yes",Z53="Yes"),"Meets all three","Potentially relevant; evidence incomplete"))</f>
        <v/>
      </c>
      <c r="AG53" s="77" t="inlineStr">
        <is>
          <t>Current status unclear</t>
        </is>
      </c>
      <c r="AH53" s="77" t="inlineStr"/>
      <c r="AI53" s="77" t="inlineStr">
        <is>
          <t>Yes</t>
        </is>
      </c>
      <c r="AJ53" s="77">
        <f>IF(AND(AI53="Yes",AF53="Meets all three",AG53="Current delivery confirmed"),"Yes","No")</f>
        <v/>
      </c>
      <c r="AK53" s="77" t="inlineStr"/>
      <c r="AL53" s="77" t="inlineStr">
        <is>
          <t>RG01-S05-R1; RG01-S05-R2</t>
        </is>
      </c>
      <c r="AM53" s="77" t="inlineStr">
        <is>
          <t>Course page undated and not corroborated by a dated 2025/26-2026/27 source; whether the module is core; group size. A student story [2] about applying (CV/cover letter) to live briefs may refer to the individual company project rather than this group project.</t>
        </is>
      </c>
      <c r="AN53" s="77" t="inlineStr"/>
      <c r="AO53" s="77" t="inlineStr">
        <is>
          <t>UK</t>
        </is>
      </c>
      <c r="AP53" s="77" t="inlineStr">
        <is>
          <t>UK – Russell Group</t>
        </is>
      </c>
      <c r="AQ53" s="77" t="inlineStr">
        <is>
          <t>Unclear</t>
        </is>
      </c>
      <c r="AR53" s="77" t="inlineStr">
        <is>
          <t>All/standard</t>
        </is>
      </c>
      <c r="AS53" s="77" t="inlineStr"/>
    </row>
    <row r="54">
      <c r="A54" s="77" t="inlineStr">
        <is>
          <t>RG01</t>
        </is>
      </c>
      <c r="B54" s="77" t="inlineStr">
        <is>
          <t>Birmingham</t>
        </is>
      </c>
      <c r="C54" s="77" t="inlineStr">
        <is>
          <t>Faculty/school</t>
        </is>
      </c>
      <c r="D54" s="77" t="inlineStr">
        <is>
          <t>RG01-S06</t>
        </is>
      </c>
      <c r="E54" s="77" t="inlineStr"/>
      <c r="F54" s="77" t="inlineStr">
        <is>
          <t>No</t>
        </is>
      </c>
      <c r="G54" s="79" t="inlineStr">
        <is>
          <t>Masters Company Projects (Birmingham Business School)</t>
        </is>
      </c>
      <c r="H54" s="77" t="inlineStr"/>
      <c r="I54" s="77" t="inlineStr"/>
      <c r="J54"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54" s="77" t="inlineStr">
        <is>
          <t>Birmingham Business School (BBS Careers)</t>
        </is>
      </c>
      <c r="L54" s="77" t="inlineStr">
        <is>
          <t>Selected BBS MSc programmes; MBA (option)</t>
        </is>
      </c>
      <c r="M54" s="77" t="inlineStr">
        <is>
          <t>Business/management</t>
        </is>
      </c>
      <c r="N54" s="77" t="inlineStr">
        <is>
          <t>Postgraduate taught</t>
        </is>
      </c>
      <c r="O54" s="77" t="inlineStr">
        <is>
          <t>Final stage of Masters</t>
        </is>
      </c>
      <c r="P54" s="77" t="inlineStr">
        <is>
          <t>Selected programmes only; MBA students choose between company project, entrepreneurial project or dissertation</t>
        </is>
      </c>
      <c r="Q54" s="77" t="inlineStr">
        <is>
          <t>Optional/elective</t>
        </is>
      </c>
      <c r="R54" s="77" t="inlineStr">
        <is>
          <t>Curricular</t>
        </is>
      </c>
      <c r="S54" s="77" t="inlineStr">
        <is>
          <t>MBA Company Project 40 credits; MSc credit not stated (final project/dissertation equivalent)</t>
        </is>
      </c>
      <c r="T54" s="77" t="inlineStr">
        <is>
          <t>Not stated (summer final-project period)</t>
        </is>
      </c>
      <c r="U54" s="77" t="inlineStr">
        <is>
          <t>With host organisation</t>
        </is>
      </c>
      <c r="V54" s="77" t="inlineStr">
        <is>
          <t>Yes</t>
        </is>
      </c>
      <c r="W54" s="77" t="inlineStr">
        <is>
          <t>Project on a live business challenge for an organisation [1].</t>
        </is>
      </c>
      <c r="X54" s="77" t="inlineStr">
        <is>
          <t>Unclear</t>
        </is>
      </c>
      <c r="Y54" s="77" t="inlineStr">
        <is>
          <t>Sources do not say whether company projects are individual or team; functions as the final project/dissertation route, which is typically individual.</t>
        </is>
      </c>
      <c r="Z54" s="77" t="inlineStr">
        <is>
          <t>Yes</t>
        </is>
      </c>
      <c r="AA54" s="77" t="inlineStr">
        <is>
          <t>Organisation provides the live business challenge and hosts the project [1].</t>
        </is>
      </c>
      <c r="AB54" s="77" t="inlineStr">
        <is>
          <t>Business/commercial</t>
        </is>
      </c>
      <c r="AC54" s="77" t="inlineStr">
        <is>
          <t>Provides live business challenge; hosts student</t>
        </is>
      </c>
      <c r="AD54" s="77" t="inlineStr">
        <is>
          <t>MBA (reported, undated): Microsoft, BT, Sebring</t>
        </is>
      </c>
      <c r="AE54" s="77" t="inlineStr">
        <is>
          <t>Company project report</t>
        </is>
      </c>
      <c r="AF54" s="77">
        <f>IF(OR(V54="No",X54="No",Z54="No"),"Outside strict definition",IF(AND(V54="Yes",X54="Yes",Z54="Yes"),"Meets all three","Potentially relevant; evidence incomplete"))</f>
        <v/>
      </c>
      <c r="AG54" s="77" t="inlineStr">
        <is>
          <t>Current status unclear</t>
        </is>
      </c>
      <c r="AH54" s="77" t="inlineStr"/>
      <c r="AI54" s="77" t="inlineStr">
        <is>
          <t>Yes</t>
        </is>
      </c>
      <c r="AJ54" s="77">
        <f>IF(AND(AI54="Yes",AF54="Meets all three",AG54="Current delivery confirmed"),"Yes","No")</f>
        <v/>
      </c>
      <c r="AK54" s="77" t="inlineStr"/>
      <c r="AL54" s="77" t="inlineStr">
        <is>
          <t>RG01-S06-R1</t>
        </is>
      </c>
      <c r="AM54" s="77" t="inlineStr">
        <is>
          <t>Individual vs group; current-year evidence; credits for MSc variants.</t>
        </is>
      </c>
      <c r="AN54" s="77" t="inlineStr"/>
      <c r="AO54" s="77" t="inlineStr">
        <is>
          <t>UK</t>
        </is>
      </c>
      <c r="AP54" s="77" t="inlineStr">
        <is>
          <t>UK – Russell Group</t>
        </is>
      </c>
      <c r="AQ54" s="77" t="inlineStr">
        <is>
          <t>Unclear</t>
        </is>
      </c>
      <c r="AR54" s="77" t="inlineStr">
        <is>
          <t>All/standard</t>
        </is>
      </c>
      <c r="AS54" s="77" t="inlineStr"/>
    </row>
    <row r="55">
      <c r="A55" s="77" t="inlineStr">
        <is>
          <t>RG01</t>
        </is>
      </c>
      <c r="B55" s="77" t="inlineStr">
        <is>
          <t>Birmingham</t>
        </is>
      </c>
      <c r="C55" s="77" t="inlineStr">
        <is>
          <t>Programme/course</t>
        </is>
      </c>
      <c r="D55" s="77" t="inlineStr">
        <is>
          <t>RG01-S07</t>
        </is>
      </c>
      <c r="E55" s="77" t="inlineStr"/>
      <c r="F55" s="77" t="inlineStr">
        <is>
          <t>No</t>
        </is>
      </c>
      <c r="G55" s="79" t="inlineStr">
        <is>
          <t>Chemical / Energy Engineering final-year industry-linked design project</t>
        </is>
      </c>
      <c r="H55" s="77" t="inlineStr"/>
      <c r="I55" s="77" t="inlineStr"/>
      <c r="J55"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55" s="77" t="inlineStr">
        <is>
          <t>School of Chemical Engineering</t>
        </is>
      </c>
      <c r="L55" s="77" t="inlineStr">
        <is>
          <t>Chemical Engineering and Energy Engineering BEng/MEng (incl. industrial/international variants)</t>
        </is>
      </c>
      <c r="M55" s="77" t="inlineStr">
        <is>
          <t>Engineering/computing</t>
        </is>
      </c>
      <c r="N55" s="77" t="inlineStr">
        <is>
          <t>Undergraduate</t>
        </is>
      </c>
      <c r="O55" s="77" t="inlineStr">
        <is>
          <t>Final year</t>
        </is>
      </c>
      <c r="P55" s="77" t="inlineStr">
        <is>
          <t>Students on named programmes</t>
        </is>
      </c>
      <c r="Q55" s="77" t="inlineStr">
        <is>
          <t>Unclear</t>
        </is>
      </c>
      <c r="R55" s="77" t="inlineStr">
        <is>
          <t>Curricular</t>
        </is>
      </c>
      <c r="S55" s="77" t="inlineStr">
        <is>
          <t>40 credits (MEng with International and Industrial Study)</t>
        </is>
      </c>
      <c r="T55" s="77" t="inlineStr">
        <is>
          <t>Final year (length not stated)</t>
        </is>
      </c>
      <c r="U55" s="77" t="inlineStr">
        <is>
          <t>In person</t>
        </is>
      </c>
      <c r="V55" s="77" t="inlineStr">
        <is>
          <t>Yes</t>
        </is>
      </c>
      <c r="W55" s="77" t="inlineStr">
        <is>
          <t>Design project on a chemical process, 40 credits [2][3].</t>
        </is>
      </c>
      <c r="X55" s="77" t="inlineStr">
        <is>
          <t>Unclear</t>
        </is>
      </c>
      <c r="Y55" s="77" t="inlineStr">
        <is>
          <t>Programme stresses 'team-based project work' [3] but no source states the design project is done in teams.</t>
        </is>
      </c>
      <c r="Z55" s="77" t="inlineStr">
        <is>
          <t>Unclear</t>
        </is>
      </c>
      <c r="AA55" s="77" t="inlineStr">
        <is>
          <t>'final year sees you working closely with industry figures, as you develop your design project' [1]; 'industry relevant/industry linked' - no evidence that a company sets the brief, supervises or assesses.</t>
        </is>
      </c>
      <c r="AB55" s="77" t="inlineStr">
        <is>
          <t>Unclear</t>
        </is>
      </c>
      <c r="AC55" s="77" t="inlineStr">
        <is>
          <t>Unclear (industry figures involved in some way)</t>
        </is>
      </c>
      <c r="AD55" s="77" t="inlineStr"/>
      <c r="AE55" s="77" t="inlineStr">
        <is>
          <t>Process design</t>
        </is>
      </c>
      <c r="AF55" s="77">
        <f>IF(OR(V55="No",X55="No",Z55="No"),"Outside strict definition",IF(AND(V55="Yes",X55="Yes",Z55="Yes"),"Meets all three","Potentially relevant; evidence incomplete"))</f>
        <v/>
      </c>
      <c r="AG55" s="77" t="inlineStr">
        <is>
          <t>Current status unclear</t>
        </is>
      </c>
      <c r="AH55" s="77" t="inlineStr"/>
      <c r="AI55" s="77" t="inlineStr">
        <is>
          <t>Yes</t>
        </is>
      </c>
      <c r="AJ55" s="77">
        <f>IF(AND(AI55="Yes",AF55="Meets all three",AG55="Current delivery confirmed"),"Yes","No")</f>
        <v/>
      </c>
      <c r="AK55" s="77" t="inlineStr"/>
      <c r="AL55" s="77" t="inlineStr">
        <is>
          <t>RG01-S07-R1; RG01-S07-R2; RG01-S07-R3</t>
        </is>
      </c>
      <c r="AM55" s="77" t="inlineStr">
        <is>
          <t>Group format and industry role; course pages show module tables for future intakes only.</t>
        </is>
      </c>
      <c r="AN55" s="77" t="inlineStr"/>
      <c r="AO55" s="77" t="inlineStr">
        <is>
          <t>UK</t>
        </is>
      </c>
      <c r="AP55" s="77" t="inlineStr">
        <is>
          <t>UK – Russell Group</t>
        </is>
      </c>
      <c r="AQ55" s="77" t="inlineStr">
        <is>
          <t>Unclear</t>
        </is>
      </c>
      <c r="AR55" s="77" t="inlineStr">
        <is>
          <t>Unclear</t>
        </is>
      </c>
      <c r="AS55" s="77" t="inlineStr"/>
    </row>
    <row r="56">
      <c r="A56" s="77" t="inlineStr">
        <is>
          <t>RG01</t>
        </is>
      </c>
      <c r="B56" s="77" t="inlineStr">
        <is>
          <t>Birmingham</t>
        </is>
      </c>
      <c r="C56" s="77" t="inlineStr">
        <is>
          <t>Programme/course</t>
        </is>
      </c>
      <c r="D56" s="77" t="inlineStr">
        <is>
          <t>RG01-S08</t>
        </is>
      </c>
      <c r="E56" s="77" t="inlineStr"/>
      <c r="F56" s="77" t="inlineStr">
        <is>
          <t>No</t>
        </is>
      </c>
      <c r="G56" s="79" t="inlineStr">
        <is>
          <t>Mathematical Challenge: Problem Solving and Programming in Business and Industry</t>
        </is>
      </c>
      <c r="H56" s="77" t="inlineStr"/>
      <c r="I56" s="77" t="inlineStr"/>
      <c r="J56" s="77" t="inlineStr">
        <is>
          <t>Compulsory 20-credit Year 2 core module on the Mathematics BSc (also International Year variant) on applying mathematics to real-world problems; search summary states students model real problems with industry partners.</t>
        </is>
      </c>
      <c r="K56" s="77" t="inlineStr">
        <is>
          <t>School of Mathematics</t>
        </is>
      </c>
      <c r="L56" s="77" t="inlineStr">
        <is>
          <t>Mathematics / Mathematical Sciences BSc variants</t>
        </is>
      </c>
      <c r="M56" s="77" t="inlineStr">
        <is>
          <t>Science</t>
        </is>
      </c>
      <c r="N56" s="77" t="inlineStr">
        <is>
          <t>Undergraduate</t>
        </is>
      </c>
      <c r="O56" s="77" t="inlineStr">
        <is>
          <t>Year 2</t>
        </is>
      </c>
      <c r="P56" s="77" t="inlineStr">
        <is>
          <t>Named programmes</t>
        </is>
      </c>
      <c r="Q56" s="77" t="inlineStr">
        <is>
          <t>Compulsory within specified programmes</t>
        </is>
      </c>
      <c r="R56" s="77" t="inlineStr">
        <is>
          <t>Curricular</t>
        </is>
      </c>
      <c r="S56" s="77" t="inlineStr">
        <is>
          <t>20 credits</t>
        </is>
      </c>
      <c r="T56" s="77" t="inlineStr">
        <is>
          <t>Not stated</t>
        </is>
      </c>
      <c r="U56" s="77" t="inlineStr">
        <is>
          <t>In person</t>
        </is>
      </c>
      <c r="V56" s="77" t="inlineStr">
        <is>
          <t>Unclear</t>
        </is>
      </c>
      <c r="W56" s="77" t="inlineStr">
        <is>
          <t>Module title/summary only; no defined project brief evidenced [1].</t>
        </is>
      </c>
      <c r="X56" s="77" t="inlineStr">
        <is>
          <t>Unclear</t>
        </is>
      </c>
      <c r="Y56" s="77" t="inlineStr">
        <is>
          <t>Not stated [1].</t>
        </is>
      </c>
      <c r="Z56" s="77" t="inlineStr">
        <is>
          <t>Unclear</t>
        </is>
      </c>
      <c r="AA56" s="77" t="inlineStr">
        <is>
          <t>Summary mentions industry partners but no named partner or role confirmed [1].</t>
        </is>
      </c>
      <c r="AB56" s="77" t="inlineStr">
        <is>
          <t>Unclear</t>
        </is>
      </c>
      <c r="AC56" s="77" t="inlineStr">
        <is>
          <t>Unclear</t>
        </is>
      </c>
      <c r="AD56" s="77" t="inlineStr"/>
      <c r="AE56" s="77" t="inlineStr">
        <is>
          <t>Unclear</t>
        </is>
      </c>
      <c r="AF56" s="77">
        <f>IF(OR(V56="No",X56="No",Z56="No"),"Outside strict definition",IF(AND(V56="Yes",X56="Yes",Z56="Yes"),"Meets all three","Potentially relevant; evidence incomplete"))</f>
        <v/>
      </c>
      <c r="AG56" s="77" t="inlineStr">
        <is>
          <t>Current status unclear</t>
        </is>
      </c>
      <c r="AH56" s="77" t="inlineStr"/>
      <c r="AI56" s="77" t="inlineStr">
        <is>
          <t>Yes</t>
        </is>
      </c>
      <c r="AJ56" s="77">
        <f>IF(AND(AI56="Yes",AF56="Meets all three",AG56="Current delivery confirmed"),"Yes","No")</f>
        <v/>
      </c>
      <c r="AK56" s="77" t="inlineStr"/>
      <c r="AL56" s="77" t="inlineStr">
        <is>
          <t>RG01-S08-R1</t>
        </is>
      </c>
      <c r="AM56" s="77" t="inlineStr">
        <is>
          <t>Team format, partner role, current delivery (course page shows future-entry module list).</t>
        </is>
      </c>
      <c r="AN56" s="77" t="inlineStr"/>
      <c r="AO56" s="77" t="inlineStr">
        <is>
          <t>UK</t>
        </is>
      </c>
      <c r="AP56" s="77" t="inlineStr">
        <is>
          <t>UK – Russell Group</t>
        </is>
      </c>
      <c r="AQ56" s="77" t="inlineStr">
        <is>
          <t>Unclear</t>
        </is>
      </c>
      <c r="AR56" s="77" t="inlineStr">
        <is>
          <t>Unclear</t>
        </is>
      </c>
      <c r="AS56" s="77" t="inlineStr"/>
    </row>
    <row r="57">
      <c r="A57" s="77" t="inlineStr">
        <is>
          <t>RG01</t>
        </is>
      </c>
      <c r="B57" s="77" t="inlineStr">
        <is>
          <t>Birmingham</t>
        </is>
      </c>
      <c r="C57" s="77" t="inlineStr">
        <is>
          <t>Faculty/school</t>
        </is>
      </c>
      <c r="D57" s="77" t="inlineStr">
        <is>
          <t>RG01-S09</t>
        </is>
      </c>
      <c r="E57" s="77" t="inlineStr"/>
      <c r="F57" s="77" t="inlineStr">
        <is>
          <t>No</t>
        </is>
      </c>
      <c r="G57" s="79" t="inlineStr">
        <is>
          <t>Law Pro Bono Group: Birmingham Free Legal Advice Group (FLAG) and clinics</t>
        </is>
      </c>
      <c r="H57" s="77" t="inlineStr"/>
      <c r="I57" s="77" t="inlineStr"/>
      <c r="J57"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57" s="77" t="inlineStr">
        <is>
          <t>CEPLER / Birmingham Law School</t>
        </is>
      </c>
      <c r="L57" s="77" t="inlineStr">
        <is>
          <t>Law students (eligibility not verified)</t>
        </is>
      </c>
      <c r="M57" s="77" t="inlineStr">
        <is>
          <t>Other (law, health, design, architecture…)</t>
        </is>
      </c>
      <c r="N57" s="77" t="inlineStr">
        <is>
          <t>Mixed</t>
        </is>
      </c>
      <c r="O57" s="77" t="inlineStr">
        <is>
          <t>Unclear</t>
        </is>
      </c>
      <c r="P57" s="77" t="inlineStr">
        <is>
          <t>Not verified</t>
        </is>
      </c>
      <c r="Q57" s="77" t="inlineStr">
        <is>
          <t>Optional/elective</t>
        </is>
      </c>
      <c r="R57" s="77" t="inlineStr">
        <is>
          <t>Extracurricular</t>
        </is>
      </c>
      <c r="S57" s="77" t="inlineStr">
        <is>
          <t>None evidenced</t>
        </is>
      </c>
      <c r="T57" s="77" t="inlineStr">
        <is>
          <t>About 2 weeks per matter</t>
        </is>
      </c>
      <c r="U57" s="77" t="inlineStr">
        <is>
          <t>Clinic/remote</t>
        </is>
      </c>
      <c r="V57" s="77" t="inlineStr">
        <is>
          <t>Yes</t>
        </is>
      </c>
      <c r="W57" s="77" t="inlineStr">
        <is>
          <t>Client matter with advice letter as output [1].</t>
        </is>
      </c>
      <c r="X57" s="77" t="inlineStr">
        <is>
          <t>Yes</t>
        </is>
      </c>
      <c r="Y57" s="77" t="inlineStr">
        <is>
          <t>'In pairs' student volunteers interview the client (pair) [1].</t>
        </is>
      </c>
      <c r="Z57" s="77" t="inlineStr">
        <is>
          <t>Unclear</t>
        </is>
      </c>
      <c r="AA57" s="77" t="inlineStr">
        <is>
          <t>Clients are individual members of the public (not organisations); supervising solicitors include external firm Tenet Law (Fraud Clinic) - no external organisation sets a brief for a standard route [1].</t>
        </is>
      </c>
      <c r="AB57" s="77" t="inlineStr">
        <is>
          <t>Other</t>
        </is>
      </c>
      <c r="AC57" s="77" t="inlineStr">
        <is>
          <t>Individual clients; external supervising solicitors in some clinics</t>
        </is>
      </c>
      <c r="AD57" s="77" t="inlineStr"/>
      <c r="AE57" s="77" t="inlineStr">
        <is>
          <t>Letter of advice to client</t>
        </is>
      </c>
      <c r="AF57" s="77">
        <f>IF(OR(V57="No",X57="No",Z57="No"),"Outside strict definition",IF(AND(V57="Yes",X57="Yes",Z57="Yes"),"Meets all three","Potentially relevant; evidence incomplete"))</f>
        <v/>
      </c>
      <c r="AG57" s="77" t="inlineStr">
        <is>
          <t>Current delivery confirmed</t>
        </is>
      </c>
      <c r="AH57" s="77" t="inlineStr">
        <is>
          <t>2026</t>
        </is>
      </c>
      <c r="AI57" s="77" t="inlineStr">
        <is>
          <t>Yes</t>
        </is>
      </c>
      <c r="AJ57" s="77">
        <f>IF(AND(AI57="Yes",AF57="Meets all three",AG57="Current delivery confirmed"),"Yes","No")</f>
        <v/>
      </c>
      <c r="AK57" s="77" t="inlineStr"/>
      <c r="AL57" s="77" t="inlineStr">
        <is>
          <t>RG01-S09-R1</t>
        </is>
      </c>
      <c r="AM57" s="77" t="inlineStr">
        <is>
          <t>Whether individual clients/supervising solicitors count as external organisation; eligibility; credit; extracurricular.</t>
        </is>
      </c>
      <c r="AN57" s="77" t="inlineStr"/>
      <c r="AO57" s="77" t="inlineStr">
        <is>
          <t>UK</t>
        </is>
      </c>
      <c r="AP57" s="77" t="inlineStr">
        <is>
          <t>UK – Russell Group</t>
        </is>
      </c>
      <c r="AQ57" s="77" t="inlineStr">
        <is>
          <t>Unclear</t>
        </is>
      </c>
      <c r="AR57" s="77" t="inlineStr">
        <is>
          <t>Unclear</t>
        </is>
      </c>
      <c r="AS57" s="77" t="inlineStr"/>
    </row>
    <row r="58">
      <c r="A58" s="77" t="inlineStr">
        <is>
          <t>RG02</t>
        </is>
      </c>
      <c r="B58" s="77" t="inlineStr">
        <is>
          <t>Bristol</t>
        </is>
      </c>
      <c r="C58" s="77" t="inlineStr">
        <is>
          <t>Programme/course</t>
        </is>
      </c>
      <c r="D58" s="77" t="inlineStr">
        <is>
          <t>RG02-S01</t>
        </is>
      </c>
      <c r="E58" s="77" t="inlineStr"/>
      <c r="F58" s="77" t="inlineStr">
        <is>
          <t>No</t>
        </is>
      </c>
      <c r="G58" s="79" t="inlineStr">
        <is>
          <t>Software Engineering Project (undergraduate Computer Science client projects)</t>
        </is>
      </c>
      <c r="H58" s="77" t="inlineStr">
        <is>
          <t>Software Engineering Project (COMS20006)</t>
        </is>
      </c>
      <c r="I58" s="77" t="inlineStr">
        <is>
          <t>COMS20006</t>
        </is>
      </c>
      <c r="J58"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58" s="77" t="inlineStr">
        <is>
          <t>School of Computer Science / Industrial Liaison Office, Faculty of Science and Engineering</t>
        </is>
      </c>
      <c r="L58" s="77" t="inlineStr">
        <is>
          <t>Undergraduate Computer Science programmes (second year)</t>
        </is>
      </c>
      <c r="M58" s="77" t="inlineStr">
        <is>
          <t>Engineering/computing</t>
        </is>
      </c>
      <c r="N58" s="77" t="inlineStr">
        <is>
          <t>Undergraduate</t>
        </is>
      </c>
      <c r="O58" s="77" t="inlineStr">
        <is>
          <t>Year 2</t>
        </is>
      </c>
      <c r="P58" s="77" t="inlineStr">
        <is>
          <t>Not evidenced beyond Computer Science undergraduates.</t>
        </is>
      </c>
      <c r="Q58" s="77" t="inlineStr">
        <is>
          <t>Unclear</t>
        </is>
      </c>
      <c r="R58" s="77" t="inlineStr">
        <is>
          <t>Curricular</t>
        </is>
      </c>
      <c r="S58" s="77" t="inlineStr">
        <is>
          <t>20 credits; 100% coursework, assessed in groups (catalogue entry carries an unreliable year label, '2036/37').</t>
        </is>
      </c>
      <c r="T58" s="77" t="inlineStr">
        <is>
          <t>22 weeks (Oct-May), ~6 hours/student/week</t>
        </is>
      </c>
      <c r="U58" s="77" t="inlineStr">
        <is>
          <t>In-person team project with regular client meetings</t>
        </is>
      </c>
      <c r="V58" s="77" t="inlineStr">
        <is>
          <t>Yes</t>
        </is>
      </c>
      <c r="W58" s="77" t="inlineStr">
        <is>
          <t>Teams specify, design, implement and evaluate a software system with MVP, beta and final release milestones (sources 1, 2).</t>
        </is>
      </c>
      <c r="X58" s="77" t="inlineStr">
        <is>
          <t>Yes</t>
        </is>
      </c>
      <c r="Y58" s="77" t="inlineStr">
        <is>
          <t>'Each group contains approximately six students' (one page) / 'approximately four' (other pages); assessment is in groups (sources 1-3).</t>
        </is>
      </c>
      <c r="Z58" s="77" t="inlineStr">
        <is>
          <t>Yes</t>
        </is>
      </c>
      <c r="AA58" s="77" t="inlineStr">
        <is>
          <t>'Students work as a group on a problem for a real-world client'; clients propose the brief, give student effort free of charge and must meet the team every two to three weeks (sources 1, 2).</t>
        </is>
      </c>
      <c r="AB58" s="77" t="inlineStr">
        <is>
          <t>Business/commercial</t>
        </is>
      </c>
      <c r="AC58" s="77" t="inlineStr">
        <is>
          <t>Client supplies brief and meets team regularly for feedback; pages are addressed to companies with a 'software need'. Whether some clients are internal/academic is not stated.</t>
        </is>
      </c>
      <c r="AD58" s="77" t="inlineStr"/>
      <c r="AE58" s="77" t="inlineStr">
        <is>
          <t>Working software prototype/system delivered to the client</t>
        </is>
      </c>
      <c r="AF58" s="77">
        <f>IF(OR(V58="No",X58="No",Z58="No"),"Outside strict definition",IF(AND(V58="Yes",X58="Yes",Z58="Yes"),"Meets all three","Potentially relevant; evidence incomplete"))</f>
        <v/>
      </c>
      <c r="AG58" s="77" t="inlineStr">
        <is>
          <t>Current status unclear</t>
        </is>
      </c>
      <c r="AH58" s="77" t="inlineStr">
        <is>
          <t>undated</t>
        </is>
      </c>
      <c r="AI58" s="77" t="inlineStr">
        <is>
          <t>Yes</t>
        </is>
      </c>
      <c r="AJ58" s="77">
        <f>IF(AND(AI58="Yes",AF58="Meets all three",AG58="Current delivery confirmed"),"Yes","No")</f>
        <v/>
      </c>
      <c r="AK58" s="77" t="inlineStr"/>
      <c r="AL58" s="77" t="inlineStr">
        <is>
          <t>RG02-S01-R1; RG02-S01-R2; RG02-S01-R3</t>
        </is>
      </c>
      <c r="AM58"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58" s="77" t="inlineStr"/>
      <c r="AO58" s="77" t="inlineStr">
        <is>
          <t>UK</t>
        </is>
      </c>
      <c r="AP58" s="77" t="inlineStr">
        <is>
          <t>UK – Russell Group</t>
        </is>
      </c>
      <c r="AQ58" s="77" t="inlineStr">
        <is>
          <t>&gt;1 term</t>
        </is>
      </c>
      <c r="AR58" s="77" t="inlineStr">
        <is>
          <t>All/standard</t>
        </is>
      </c>
      <c r="AS58" s="77" t="inlineStr"/>
    </row>
    <row r="59">
      <c r="A59" s="77" t="inlineStr">
        <is>
          <t>RG02</t>
        </is>
      </c>
      <c r="B59" s="77" t="inlineStr">
        <is>
          <t>Bristol</t>
        </is>
      </c>
      <c r="C59" s="77" t="inlineStr">
        <is>
          <t>Programme/course</t>
        </is>
      </c>
      <c r="D59" s="77" t="inlineStr">
        <is>
          <t>RG02-S02</t>
        </is>
      </c>
      <c r="E59" s="77" t="inlineStr"/>
      <c r="F59" s="77" t="inlineStr">
        <is>
          <t>No</t>
        </is>
      </c>
      <c r="G59" s="79" t="inlineStr">
        <is>
          <t>MSc Summer Team Project (Computer Science)</t>
        </is>
      </c>
      <c r="H59" s="77" t="inlineStr">
        <is>
          <t>MSc Summer Team Project</t>
        </is>
      </c>
      <c r="I59" s="77" t="inlineStr"/>
      <c r="J59"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59" s="77" t="inlineStr">
        <is>
          <t>School of Computer Science / Industrial Liaison Office</t>
        </is>
      </c>
      <c r="L59" s="77" t="inlineStr">
        <is>
          <t>MSc Computer Science</t>
        </is>
      </c>
      <c r="M59" s="77" t="inlineStr">
        <is>
          <t>Engineering/computing</t>
        </is>
      </c>
      <c r="N59" s="77" t="inlineStr">
        <is>
          <t>Postgraduate taught</t>
        </is>
      </c>
      <c r="O59" s="77" t="inlineStr">
        <is>
          <t>Summer term after taught units</t>
        </is>
      </c>
      <c r="P59" s="77" t="inlineStr"/>
      <c r="Q59" s="77" t="inlineStr">
        <is>
          <t>Compulsory within specified programmes</t>
        </is>
      </c>
      <c r="R59" s="77" t="inlineStr">
        <is>
          <t>Curricular</t>
        </is>
      </c>
      <c r="S59" s="77" t="inlineStr">
        <is>
          <t>Not retrieved</t>
        </is>
      </c>
      <c r="T59" s="77" t="inlineStr">
        <is>
          <t>Summer (project work after teaching; proposals submitted July-December)</t>
        </is>
      </c>
      <c r="U59" s="77" t="inlineStr">
        <is>
          <t>Team project with regular client meetings</t>
        </is>
      </c>
      <c r="V59" s="77" t="inlineStr">
        <is>
          <t>Yes</t>
        </is>
      </c>
      <c r="W59" s="77" t="inlineStr">
        <is>
          <t>'Teams of typically 4-6 students build a prototype system or application' (source 1).</t>
        </is>
      </c>
      <c r="X59" s="77" t="inlineStr">
        <is>
          <t>Yes</t>
        </is>
      </c>
      <c r="Y59" s="77" t="inlineStr">
        <is>
          <t>Teams of typically 4-6 students; 'advanced group project' (source 1).</t>
        </is>
      </c>
      <c r="Z59" s="77" t="inlineStr">
        <is>
          <t>Yes</t>
        </is>
      </c>
      <c r="AA59" s="77" t="inlineStr">
        <is>
          <t>Client submits a brief (description, motivation, constraints, IP), contributes no fee but must meet student teams every two to three weeks to review progress and steer (source 1).</t>
        </is>
      </c>
      <c r="AB59" s="77" t="inlineStr">
        <is>
          <t>Business/commercial</t>
        </is>
      </c>
      <c r="AC59" s="77" t="inlineStr">
        <is>
          <t>Client supplies brief and steers work through regular meetings.</t>
        </is>
      </c>
      <c r="AD59" s="77" t="inlineStr"/>
      <c r="AE59" s="77" t="inlineStr">
        <is>
          <t>Prototype system/application</t>
        </is>
      </c>
      <c r="AF59" s="77">
        <f>IF(OR(V59="No",X59="No",Z59="No"),"Outside strict definition",IF(AND(V59="Yes",X59="Yes",Z59="Yes"),"Meets all three","Potentially relevant; evidence incomplete"))</f>
        <v/>
      </c>
      <c r="AG59" s="77" t="inlineStr">
        <is>
          <t>Current status unclear</t>
        </is>
      </c>
      <c r="AH59" s="77" t="inlineStr">
        <is>
          <t>undated</t>
        </is>
      </c>
      <c r="AI59" s="77" t="inlineStr">
        <is>
          <t>Yes</t>
        </is>
      </c>
      <c r="AJ59" s="77">
        <f>IF(AND(AI59="Yes",AF59="Meets all three",AG59="Current delivery confirmed"),"Yes","No")</f>
        <v/>
      </c>
      <c r="AK59" s="77" t="inlineStr"/>
      <c r="AL59" s="77" t="inlineStr">
        <is>
          <t>RG02-S02-R1</t>
        </is>
      </c>
      <c r="AM59" s="77" t="inlineStr">
        <is>
          <t>Page undated; no dated 2025/26 or 2026/27 corroboration. Credit value and assessment not retrieved. Whether academic/internal projects also feature is not stated.</t>
        </is>
      </c>
      <c r="AN59" s="77" t="inlineStr"/>
      <c r="AO59" s="77" t="inlineStr">
        <is>
          <t>UK</t>
        </is>
      </c>
      <c r="AP59" s="77" t="inlineStr">
        <is>
          <t>UK – Russell Group</t>
        </is>
      </c>
      <c r="AQ59" s="77" t="inlineStr">
        <is>
          <t>~1 term</t>
        </is>
      </c>
      <c r="AR59" s="77" t="inlineStr">
        <is>
          <t>All/standard</t>
        </is>
      </c>
      <c r="AS59" s="77" t="inlineStr"/>
    </row>
    <row r="60">
      <c r="A60" s="77" t="inlineStr">
        <is>
          <t>RG02</t>
        </is>
      </c>
      <c r="B60" s="77" t="inlineStr">
        <is>
          <t>Bristol</t>
        </is>
      </c>
      <c r="C60" s="77" t="inlineStr">
        <is>
          <t>Programme/course</t>
        </is>
      </c>
      <c r="D60" s="77" t="inlineStr">
        <is>
          <t>RG02-S03</t>
        </is>
      </c>
      <c r="E60" s="77" t="inlineStr"/>
      <c r="F60" s="77" t="inlineStr">
        <is>
          <t>No</t>
        </is>
      </c>
      <c r="G60" s="79" t="inlineStr">
        <is>
          <t>Mathematical and Data Modelling 3</t>
        </is>
      </c>
      <c r="H60" s="77" t="inlineStr">
        <is>
          <t>Mathematical and Data Modelling 3 (Engineering Mathematics industrial modelling projects)</t>
        </is>
      </c>
      <c r="I60" s="77" t="inlineStr">
        <is>
          <t>SEMT30005</t>
        </is>
      </c>
      <c r="J60"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60" s="77" t="inlineStr">
        <is>
          <t>School of Engineering Mathematics and Technology</t>
        </is>
      </c>
      <c r="L60" s="77" t="inlineStr">
        <is>
          <t>Engineering Mathematics programmes (third year)</t>
        </is>
      </c>
      <c r="M60" s="77" t="inlineStr">
        <is>
          <t>Engineering/computing</t>
        </is>
      </c>
      <c r="N60" s="77" t="inlineStr">
        <is>
          <t>Undergraduate</t>
        </is>
      </c>
      <c r="O60" s="77" t="inlineStr">
        <is>
          <t>Year 3</t>
        </is>
      </c>
      <c r="P60" s="77" t="inlineStr"/>
      <c r="Q60" s="77" t="inlineStr">
        <is>
          <t>Unclear</t>
        </is>
      </c>
      <c r="R60" s="77" t="inlineStr">
        <is>
          <t>Curricular</t>
        </is>
      </c>
      <c r="S60" s="77" t="inlineStr">
        <is>
          <t>Credits/assessment not retrieved</t>
        </is>
      </c>
      <c r="T60" s="77" t="inlineStr">
        <is>
          <t>3 x 6-week problems (two industry-supplied)</t>
        </is>
      </c>
      <c r="U60" s="77" t="inlineStr">
        <is>
          <t>Group projects with academic supervision and TA</t>
        </is>
      </c>
      <c r="V60" s="77" t="inlineStr">
        <is>
          <t>Yes</t>
        </is>
      </c>
      <c r="W60" s="77" t="inlineStr">
        <is>
          <t>Students 'work in groups to solve three real-world problems, each ... a total of 6 weeks' (source 1); prototype or concept expected (source 2).</t>
        </is>
      </c>
      <c r="X60" s="77" t="inlineStr">
        <is>
          <t>Yes</t>
        </is>
      </c>
      <c r="Y60" s="77" t="inlineStr">
        <is>
          <t>Groups of 4-6 students (source 1); ILO page: about 5 students per project-problem (source 2).</t>
        </is>
      </c>
      <c r="Z60" s="77" t="inlineStr">
        <is>
          <t>Yes</t>
        </is>
      </c>
      <c r="AA60" s="77" t="inlineStr">
        <is>
          <t>'Two group projects will be supplied by industrial partners' (source 1); partners propose open-ended problems via the ILO (source 2). The third project is student-led and not industry-set.</t>
        </is>
      </c>
      <c r="AB60" s="77" t="inlineStr">
        <is>
          <t>Business/commercial</t>
        </is>
      </c>
      <c r="AC60" s="77" t="inlineStr">
        <is>
          <t>Industrial partners supply the problems for two of the three group projects; engagement in feedback not detailed.</t>
        </is>
      </c>
      <c r="AD60" s="77" t="inlineStr">
        <is>
          <t>Not named in extracts</t>
        </is>
      </c>
      <c r="AE60" s="77" t="inlineStr">
        <is>
          <t>Working prototype or concept/model per problem</t>
        </is>
      </c>
      <c r="AF60" s="77">
        <f>IF(OR(V60="No",X60="No",Z60="No"),"Outside strict definition",IF(AND(V60="Yes",X60="Yes",Z60="Yes"),"Meets all three","Potentially relevant; evidence incomplete"))</f>
        <v/>
      </c>
      <c r="AG60" s="77" t="inlineStr">
        <is>
          <t>Current delivery confirmed</t>
        </is>
      </c>
      <c r="AH60" s="77" t="inlineStr">
        <is>
          <t>2026/27</t>
        </is>
      </c>
      <c r="AI60" s="77" t="inlineStr">
        <is>
          <t>Yes</t>
        </is>
      </c>
      <c r="AJ60" s="77">
        <f>IF(AND(AI60="Yes",AF60="Meets all three",AG60="Current delivery confirmed"),"Yes","No")</f>
        <v/>
      </c>
      <c r="AK60" s="77" t="inlineStr"/>
      <c r="AL60" s="77" t="inlineStr">
        <is>
          <t>RG02-S03-R1; RG02-S03-R2</t>
        </is>
      </c>
      <c r="AM60" s="77" t="inlineStr">
        <is>
          <t>Compulsory/optional status, credit value and exact programmes not retrieved. Partner names not evidenced. Industrial/external share applies to 2 of 3 projects.</t>
        </is>
      </c>
      <c r="AN60" s="77" t="inlineStr"/>
      <c r="AO60" s="77" t="inlineStr">
        <is>
          <t>UK</t>
        </is>
      </c>
      <c r="AP60" s="77" t="inlineStr">
        <is>
          <t>UK – Russell Group</t>
        </is>
      </c>
      <c r="AQ60" s="77" t="inlineStr">
        <is>
          <t>1-4 weeks to ~1 term (3 x 6-week projects)</t>
        </is>
      </c>
      <c r="AR60" s="77" t="inlineStr">
        <is>
          <t>All/standard</t>
        </is>
      </c>
      <c r="AS60" s="77" t="inlineStr"/>
    </row>
    <row r="61">
      <c r="A61" s="77" t="inlineStr">
        <is>
          <t>RG02</t>
        </is>
      </c>
      <c r="B61" s="77" t="inlineStr">
        <is>
          <t>Bristol</t>
        </is>
      </c>
      <c r="C61" s="77" t="inlineStr">
        <is>
          <t>Programme/course</t>
        </is>
      </c>
      <c r="D61" s="77" t="inlineStr">
        <is>
          <t>RG02-S04</t>
        </is>
      </c>
      <c r="E61" s="77" t="inlineStr"/>
      <c r="F61" s="77" t="inlineStr">
        <is>
          <t>No</t>
        </is>
      </c>
      <c r="G61" s="79" t="inlineStr">
        <is>
          <t>Design Project (Civil Engineering) / Civil Engineering Design Projects with external clients</t>
        </is>
      </c>
      <c r="H61" s="77" t="inlineStr">
        <is>
          <t>Civil Engineering Design Project</t>
        </is>
      </c>
      <c r="I61" s="77" t="inlineStr">
        <is>
          <t>CENGM0062</t>
        </is>
      </c>
      <c r="J61"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61" s="77" t="inlineStr">
        <is>
          <t>School of Civil, Aerospace and Design Engineering / ILO</t>
        </is>
      </c>
      <c r="L61" s="77" t="inlineStr">
        <is>
          <t>MEng Civil Engineering (final year)</t>
        </is>
      </c>
      <c r="M61" s="77" t="inlineStr">
        <is>
          <t>Engineering/computing</t>
        </is>
      </c>
      <c r="N61" s="77" t="inlineStr">
        <is>
          <t>Undergraduate</t>
        </is>
      </c>
      <c r="O61" s="77" t="inlineStr">
        <is>
          <t>Year 4 (MEng)</t>
        </is>
      </c>
      <c r="P61" s="77" t="inlineStr"/>
      <c r="Q61" s="77" t="inlineStr">
        <is>
          <t>Compulsory within specified programmes</t>
        </is>
      </c>
      <c r="R61" s="77" t="inlineStr">
        <is>
          <t>Curricular</t>
        </is>
      </c>
      <c r="S61" s="77" t="inlineStr">
        <is>
          <t>40 credits, Teaching Block 4 (source 1)</t>
        </is>
      </c>
      <c r="T61" s="77" t="inlineStr">
        <is>
          <t>Academic year (TB4 unit; client selection early October, poster session December)</t>
        </is>
      </c>
      <c r="U61" s="77" t="inlineStr">
        <is>
          <t>Group design project with supervisor and optional industrial advisor</t>
        </is>
      </c>
      <c r="V61" s="77" t="inlineStr">
        <is>
          <t>Yes</t>
        </is>
      </c>
      <c r="W61" s="77" t="inlineStr">
        <is>
          <t>Develop a RIBA stage 2 project from a basic brief; capstone integrating prior learning (source 1).</t>
        </is>
      </c>
      <c r="X61" s="77" t="inlineStr">
        <is>
          <t>Yes</t>
        </is>
      </c>
      <c r="Y61" s="77" t="inlineStr">
        <is>
          <t>ILO page: 'group projects' on real design briefs (source 2); unit assessment includes group final report (source 1).</t>
        </is>
      </c>
      <c r="Z61" s="77" t="inlineStr">
        <is>
          <t>Unclear</t>
        </is>
      </c>
      <c r="AA61" s="77" t="inlineStr">
        <is>
          <t>Briefs come 'from industry or from an academic' (source 1); only 'some projects have industrial advisors'; ILO page invites external client briefs and says clients meet students at least twice a year (source 2). External share not specified.</t>
        </is>
      </c>
      <c r="AB61" s="77" t="inlineStr">
        <is>
          <t>Mixed</t>
        </is>
      </c>
      <c r="AC61" s="77" t="inlineStr">
        <is>
          <t>External client proposes brief, meets students and comments at poster session; internal academic-set briefs also used.</t>
        </is>
      </c>
      <c r="AD61" s="77" t="inlineStr">
        <is>
          <t>Arcadis pitched a Holyhead train-care facility brief to an earlier 4th-year group (blog, ~2023); no 2025/26 clients evidenced.</t>
        </is>
      </c>
      <c r="AE61" s="77" t="inlineStr">
        <is>
          <t>Group design report and poster</t>
        </is>
      </c>
      <c r="AF61" s="77">
        <f>IF(OR(V61="No",X61="No",Z61="No"),"Outside strict definition",IF(AND(V61="Yes",X61="Yes",Z61="Yes"),"Meets all three","Potentially relevant; evidence incomplete"))</f>
        <v/>
      </c>
      <c r="AG61" s="77" t="inlineStr">
        <is>
          <t>Current delivery confirmed</t>
        </is>
      </c>
      <c r="AH61" s="77" t="inlineStr">
        <is>
          <t>2025/26</t>
        </is>
      </c>
      <c r="AI61" s="77" t="inlineStr">
        <is>
          <t>Yes</t>
        </is>
      </c>
      <c r="AJ61" s="77">
        <f>IF(AND(AI61="Yes",AF61="Meets all three",AG61="Current delivery confirmed"),"Yes","No")</f>
        <v/>
      </c>
      <c r="AK61" s="77" t="inlineStr"/>
      <c r="AL61" s="77" t="inlineStr">
        <is>
          <t>RG02-S04-R1; RG02-S04-R2</t>
        </is>
      </c>
      <c r="AM61" s="77" t="inlineStr">
        <is>
          <t>Share of projects with external clients in 2025/26 not published; C therefore Unclear. ILO brief dates are undated.</t>
        </is>
      </c>
      <c r="AN61" s="77" t="inlineStr"/>
      <c r="AO61" s="77" t="inlineStr">
        <is>
          <t>UK</t>
        </is>
      </c>
      <c r="AP61" s="77" t="inlineStr">
        <is>
          <t>UK – Russell Group</t>
        </is>
      </c>
      <c r="AQ61" s="77" t="inlineStr">
        <is>
          <t>&gt;1 term</t>
        </is>
      </c>
      <c r="AR61" s="77" t="inlineStr">
        <is>
          <t>Some projects</t>
        </is>
      </c>
      <c r="AS61" s="77" t="inlineStr"/>
    </row>
    <row r="62">
      <c r="A62" s="77" t="inlineStr">
        <is>
          <t>RG02</t>
        </is>
      </c>
      <c r="B62" s="77" t="inlineStr">
        <is>
          <t>Bristol</t>
        </is>
      </c>
      <c r="C62" s="77" t="inlineStr">
        <is>
          <t>Programme/course</t>
        </is>
      </c>
      <c r="D62" s="77" t="inlineStr">
        <is>
          <t>RG02-S05</t>
        </is>
      </c>
      <c r="E62" s="77" t="inlineStr"/>
      <c r="F62" s="77" t="inlineStr">
        <is>
          <t>No</t>
        </is>
      </c>
      <c r="G62" s="79" t="inlineStr">
        <is>
          <t>Data Science Mini-Project</t>
        </is>
      </c>
      <c r="H62" s="77" t="inlineStr">
        <is>
          <t>Data Science Mini-Project (MSc Data Science)</t>
        </is>
      </c>
      <c r="I62" s="77" t="inlineStr">
        <is>
          <t>EMATM0050</t>
        </is>
      </c>
      <c r="J62"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62" s="77" t="inlineStr">
        <is>
          <t>School of Engineering Mathematics and Technology</t>
        </is>
      </c>
      <c r="L62" s="77" t="inlineStr">
        <is>
          <t>MSc Data Science (on-campus cohort)</t>
        </is>
      </c>
      <c r="M62" s="77" t="inlineStr">
        <is>
          <t>Engineering/computing; Science</t>
        </is>
      </c>
      <c r="N62" s="77" t="inlineStr">
        <is>
          <t>Postgraduate taught</t>
        </is>
      </c>
      <c r="O62" s="77" t="inlineStr">
        <is>
          <t>Masters</t>
        </is>
      </c>
      <c r="P62" s="77" t="inlineStr"/>
      <c r="Q62" s="77" t="inlineStr">
        <is>
          <t>Compulsory within specified programmes</t>
        </is>
      </c>
      <c r="R62" s="77" t="inlineStr">
        <is>
          <t>Curricular</t>
        </is>
      </c>
      <c r="S62" s="77" t="inlineStr">
        <is>
          <t>20 credits, TB2; group presentation 20%, group report 60%, individual reflective account 20% (2025/26)</t>
        </is>
      </c>
      <c r="T62" s="77" t="inlineStr">
        <is>
          <t>Teaching Block 2 (weeks 13-24)</t>
        </is>
      </c>
      <c r="U62" s="77" t="inlineStr">
        <is>
          <t>Team project with problem-owner and review panel</t>
        </is>
      </c>
      <c r="V62" s="77" t="inlineStr">
        <is>
          <t>Yes</t>
        </is>
      </c>
      <c r="W62" s="77" t="inlineStr">
        <is>
          <t>Teams produce a data science application/proof-of-concept and written report (source 1).</t>
        </is>
      </c>
      <c r="X62" s="77" t="inlineStr">
        <is>
          <t>Yes</t>
        </is>
      </c>
      <c r="Y62" s="77" t="inlineStr">
        <is>
          <t>Group oral presentation and group written report; peer moderation (source 1).</t>
        </is>
      </c>
      <c r="Z62" s="77" t="inlineStr">
        <is>
          <t>Unclear</t>
        </is>
      </c>
      <c r="AA62" s="77" t="inlineStr">
        <is>
          <t>'Whenever possible' the application meets an external client's needs (e.g. industrial partner) or 'problem-owners elsewhere in the University' (source 1) - external clients not documented as standard.</t>
        </is>
      </c>
      <c r="AB62" s="77" t="inlineStr">
        <is>
          <t>Mixed</t>
        </is>
      </c>
      <c r="AC62" s="77" t="inlineStr">
        <is>
          <t>Problem-owner specifies project; may be external or internal.</t>
        </is>
      </c>
      <c r="AD62" s="77" t="inlineStr"/>
      <c r="AE62" s="77" t="inlineStr">
        <is>
          <t>Proof-of-concept application, group report with code, presentation</t>
        </is>
      </c>
      <c r="AF62" s="77">
        <f>IF(OR(V62="No",X62="No",Z62="No"),"Outside strict definition",IF(AND(V62="Yes",X62="Yes",Z62="Yes"),"Meets all three","Potentially relevant; evidence incomplete"))</f>
        <v/>
      </c>
      <c r="AG62" s="77" t="inlineStr">
        <is>
          <t>Current delivery confirmed</t>
        </is>
      </c>
      <c r="AH62" s="77" t="inlineStr">
        <is>
          <t>2026/27</t>
        </is>
      </c>
      <c r="AI62" s="77" t="inlineStr">
        <is>
          <t>Yes</t>
        </is>
      </c>
      <c r="AJ62" s="77">
        <f>IF(AND(AI62="Yes",AF62="Meets all three",AG62="Current delivery confirmed"),"Yes","No")</f>
        <v/>
      </c>
      <c r="AK62" s="77" t="inlineStr"/>
      <c r="AL62" s="77" t="inlineStr">
        <is>
          <t>RG02-S05-R1; RG02-S05-R2</t>
        </is>
      </c>
      <c r="AM62" s="77" t="inlineStr">
        <is>
          <t>Proportion of projects with external clients not published. Compulsory status inferred from programme structure listing only partly; confirm.</t>
        </is>
      </c>
      <c r="AN62" s="77" t="inlineStr"/>
      <c r="AO62" s="77" t="inlineStr">
        <is>
          <t>UK</t>
        </is>
      </c>
      <c r="AP62" s="77" t="inlineStr">
        <is>
          <t>UK – Russell Group</t>
        </is>
      </c>
      <c r="AQ62" s="77" t="inlineStr">
        <is>
          <t>~1 term</t>
        </is>
      </c>
      <c r="AR62" s="77" t="inlineStr">
        <is>
          <t>Some projects</t>
        </is>
      </c>
      <c r="AS62" s="77" t="inlineStr"/>
    </row>
    <row r="63">
      <c r="A63" s="77" t="inlineStr">
        <is>
          <t>RG02</t>
        </is>
      </c>
      <c r="B63" s="77" t="inlineStr">
        <is>
          <t>Bristol</t>
        </is>
      </c>
      <c r="C63" s="77" t="inlineStr">
        <is>
          <t>Programme/course</t>
        </is>
      </c>
      <c r="D63" s="77" t="inlineStr">
        <is>
          <t>RG02-S06</t>
        </is>
      </c>
      <c r="E63" s="77" t="inlineStr"/>
      <c r="F63" s="77" t="inlineStr">
        <is>
          <t>No</t>
        </is>
      </c>
      <c r="G63" s="79" t="inlineStr">
        <is>
          <t>Management Consultancy</t>
        </is>
      </c>
      <c r="H63" s="77" t="inlineStr">
        <is>
          <t>Management Consultancy (final-year group consultancy project)</t>
        </is>
      </c>
      <c r="I63" s="77" t="inlineStr">
        <is>
          <t>EFIM30064</t>
        </is>
      </c>
      <c r="J63" s="77" t="inlineStr">
        <is>
          <t>Final-year Business School unit: groups of 4-6 receive a consultancy research brief from an outside organisation (mostly local charities and not-for-profits), analyse it, propose objectives and deliver a 7,000-word group report plus individual reflection.</t>
        </is>
      </c>
      <c r="K63" s="77" t="inlineStr">
        <is>
          <t>Bristol University Business School (Faculty of Arts, Law and Social Sciences)</t>
        </is>
      </c>
      <c r="L63" s="77" t="inlineStr">
        <is>
          <t>Optional final-year unit (prerequisite Management Research Methods EFIM20025)</t>
        </is>
      </c>
      <c r="M63" s="77" t="inlineStr">
        <is>
          <t>Business/management</t>
        </is>
      </c>
      <c r="N63" s="77" t="inlineStr">
        <is>
          <t>Undergraduate</t>
        </is>
      </c>
      <c r="O63" s="77" t="inlineStr">
        <is>
          <t>Year 3</t>
        </is>
      </c>
      <c r="P63" s="77" t="inlineStr">
        <is>
          <t>Prerequisite EFIM20025 Management Research Methods.</t>
        </is>
      </c>
      <c r="Q63" s="77" t="inlineStr">
        <is>
          <t>Optional/elective</t>
        </is>
      </c>
      <c r="R63" s="77" t="inlineStr">
        <is>
          <t>Curricular</t>
        </is>
      </c>
      <c r="S63" s="77" t="inlineStr">
        <is>
          <t>20 credits, TB2 (Feb-May); group report 50% (7,000 words + 600-word reflection each), individual essay 50%</t>
        </is>
      </c>
      <c r="T63" s="77" t="inlineStr">
        <is>
          <t>11 weeks (TB2)</t>
        </is>
      </c>
      <c r="U63" s="77" t="inlineStr">
        <is>
          <t>Small-group consultancy project</t>
        </is>
      </c>
      <c r="V63" s="77" t="inlineStr">
        <is>
          <t>Yes</t>
        </is>
      </c>
      <c r="W63" s="77" t="inlineStr">
        <is>
          <t>Group consultancy project analysing a client brief and producing a 7,000-word report (source 1).</t>
        </is>
      </c>
      <c r="X63" s="77" t="inlineStr">
        <is>
          <t>Yes</t>
        </is>
      </c>
      <c r="Y63" s="77" t="inlineStr">
        <is>
          <t>'Groups normally have 4 to 6 members'; group project report is 50% (source 1).</t>
        </is>
      </c>
      <c r="Z63" s="77" t="inlineStr">
        <is>
          <t>Yes</t>
        </is>
      </c>
      <c r="AA63" s="77" t="inlineStr">
        <is>
          <t>'Small group consultancy project based on briefs from outside organisations/clients in the not-for-profit sectors'; briefs 'mostly from outside organisations such as local charities' (source 1). Clients' role in feedback/assessment not stated.</t>
        </is>
      </c>
      <c r="AB63" s="77" t="inlineStr">
        <is>
          <t>Charity/community</t>
        </is>
      </c>
      <c r="AC63" s="77" t="inlineStr">
        <is>
          <t>Supplies consultancy brief (client).</t>
        </is>
      </c>
      <c r="AD63" s="77" t="inlineStr"/>
      <c r="AE63" s="77" t="inlineStr">
        <is>
          <t>Consultancy group report and presentation</t>
        </is>
      </c>
      <c r="AF63" s="77">
        <f>IF(OR(V63="No",X63="No",Z63="No"),"Outside strict definition",IF(AND(V63="Yes",X63="Yes",Z63="Yes"),"Meets all three","Potentially relevant; evidence incomplete"))</f>
        <v/>
      </c>
      <c r="AG63" s="77" t="inlineStr">
        <is>
          <t>Current delivery confirmed</t>
        </is>
      </c>
      <c r="AH63" s="77" t="inlineStr">
        <is>
          <t>2025/26</t>
        </is>
      </c>
      <c r="AI63" s="77" t="inlineStr">
        <is>
          <t>Yes</t>
        </is>
      </c>
      <c r="AJ63" s="77">
        <f>IF(AND(AI63="Yes",AF63="Meets all three",AG63="Current delivery confirmed"),"Yes","No")</f>
        <v/>
      </c>
      <c r="AK63" s="77" t="inlineStr"/>
      <c r="AL63" s="77" t="inlineStr">
        <is>
          <t>RG02-S06-R1; RG02-S06-R2</t>
        </is>
      </c>
      <c r="AM63" s="77" t="inlineStr">
        <is>
          <t>'Mostly' leaves open a minority of non-external briefs. Named clients not evidenced. Number of students not published.</t>
        </is>
      </c>
      <c r="AN63" s="77" t="inlineStr"/>
      <c r="AO63" s="77" t="inlineStr">
        <is>
          <t>UK</t>
        </is>
      </c>
      <c r="AP63" s="77" t="inlineStr">
        <is>
          <t>UK – Russell Group</t>
        </is>
      </c>
      <c r="AQ63" s="77" t="inlineStr">
        <is>
          <t>~1 term</t>
        </is>
      </c>
      <c r="AR63" s="77" t="inlineStr">
        <is>
          <t>All/standard</t>
        </is>
      </c>
      <c r="AS63" s="77" t="inlineStr"/>
    </row>
    <row r="64">
      <c r="A64" s="77" t="inlineStr">
        <is>
          <t>RG02</t>
        </is>
      </c>
      <c r="B64" s="77" t="inlineStr">
        <is>
          <t>Bristol</t>
        </is>
      </c>
      <c r="C64" s="77" t="inlineStr">
        <is>
          <t>Faculty/school</t>
        </is>
      </c>
      <c r="D64" s="77" t="inlineStr">
        <is>
          <t>RG02-S07</t>
        </is>
      </c>
      <c r="E64" s="77" t="inlineStr"/>
      <c r="F64" s="77" t="inlineStr">
        <is>
          <t>No</t>
        </is>
      </c>
      <c r="G64" s="79" t="inlineStr">
        <is>
          <t>Business School Micro-Internship programme</t>
        </is>
      </c>
      <c r="H64" s="77" t="inlineStr">
        <is>
          <t>Business School Micro-Internship</t>
        </is>
      </c>
      <c r="I64" s="77" t="inlineStr"/>
      <c r="J64"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64" s="77" t="inlineStr">
        <is>
          <t>Bristol University Business School</t>
        </is>
      </c>
      <c r="L64" s="77" t="inlineStr">
        <is>
          <t>Business School Masters students; priority to those not completing an in-curriculum employer project</t>
        </is>
      </c>
      <c r="M64" s="77" t="inlineStr">
        <is>
          <t>Business/management</t>
        </is>
      </c>
      <c r="N64" s="77" t="inlineStr">
        <is>
          <t>Postgraduate taught</t>
        </is>
      </c>
      <c r="O64" s="77" t="inlineStr">
        <is>
          <t>Masters</t>
        </is>
      </c>
      <c r="P64" s="77" t="inlineStr">
        <is>
          <t>Business School Masters only; compulsory in-person launch.</t>
        </is>
      </c>
      <c r="Q64" s="77" t="inlineStr">
        <is>
          <t>Selective/competitive</t>
        </is>
      </c>
      <c r="R64" s="77" t="inlineStr">
        <is>
          <t>Extracurricular</t>
        </is>
      </c>
      <c r="S64" s="77" t="inlineStr">
        <is>
          <t>No credit; certificate on completion; unpaid</t>
        </is>
      </c>
      <c r="T64" s="77" t="inlineStr">
        <is>
          <t>3 weeks, 50 hours</t>
        </is>
      </c>
      <c r="U64" s="77" t="inlineStr">
        <is>
          <t>Virtual team consultancy with in-person launch</t>
        </is>
      </c>
      <c r="V64" s="77" t="inlineStr">
        <is>
          <t>Yes</t>
        </is>
      </c>
      <c r="W64" s="77" t="inlineStr">
        <is>
          <t>Team delivers report and final presentation on client brief (source 1).</t>
        </is>
      </c>
      <c r="X64" s="77" t="inlineStr">
        <is>
          <t>Yes</t>
        </is>
      </c>
      <c r="Y64" s="77" t="inlineStr">
        <is>
          <t>Teams assigned at random; 'virtual student consultant team' (sources 1, 2).</t>
        </is>
      </c>
      <c r="Z64" s="77" t="inlineStr">
        <is>
          <t>Yes</t>
        </is>
      </c>
      <c r="AA64" s="77" t="inlineStr">
        <is>
          <t>Industry client (UK or international organisation, often start-up/SME) sets brief and receives findings (source 1).</t>
        </is>
      </c>
      <c r="AB64" s="77" t="inlineStr">
        <is>
          <t>Business/commercial</t>
        </is>
      </c>
      <c r="AC64" s="77" t="inlineStr">
        <is>
          <t>Client supplies brief and receives report/presentation; separate mentor coaches.</t>
        </is>
      </c>
      <c r="AD64" s="77" t="inlineStr"/>
      <c r="AE64" s="77" t="inlineStr">
        <is>
          <t>Client report and final presentation</t>
        </is>
      </c>
      <c r="AF64" s="77">
        <f>IF(OR(V64="No",X64="No",Z64="No"),"Outside strict definition",IF(AND(V64="Yes",X64="Yes",Z64="Yes"),"Meets all three","Potentially relevant; evidence incomplete"))</f>
        <v/>
      </c>
      <c r="AG64" s="77" t="inlineStr">
        <is>
          <t>Current delivery confirmed</t>
        </is>
      </c>
      <c r="AH64" s="77" t="inlineStr">
        <is>
          <t>2025/26</t>
        </is>
      </c>
      <c r="AI64" s="77" t="inlineStr">
        <is>
          <t>Yes</t>
        </is>
      </c>
      <c r="AJ64" s="77">
        <f>IF(AND(AI64="Yes",AF64="Meets all three",AG64="Current delivery confirmed"),"Yes","No")</f>
        <v/>
      </c>
      <c r="AK64" s="77" t="inlineStr">
        <is>
          <t>200 Masters places per year (2025 programme document)</t>
        </is>
      </c>
      <c r="AL64" s="77" t="inlineStr">
        <is>
          <t>RG02-S07-R1; RG02-S07-R2; RG02-S07-R3</t>
        </is>
      </c>
      <c r="AM64" s="77" t="inlineStr">
        <is>
          <t>Official pages give no 2025/26 dates; a Nov 2025 student post says 2025/6 runs February-March. Named clients not evidenced.</t>
        </is>
      </c>
      <c r="AN64" s="77" t="inlineStr"/>
      <c r="AO64" s="77" t="inlineStr">
        <is>
          <t>UK</t>
        </is>
      </c>
      <c r="AP64" s="77" t="inlineStr">
        <is>
          <t>UK – Russell Group</t>
        </is>
      </c>
      <c r="AQ64" s="77" t="inlineStr">
        <is>
          <t>1-4 weeks</t>
        </is>
      </c>
      <c r="AR64" s="77" t="inlineStr">
        <is>
          <t>All/standard</t>
        </is>
      </c>
      <c r="AS64" s="77" t="inlineStr"/>
    </row>
    <row r="65">
      <c r="A65" s="77" t="inlineStr">
        <is>
          <t>RG02</t>
        </is>
      </c>
      <c r="B65" s="77" t="inlineStr">
        <is>
          <t>Bristol</t>
        </is>
      </c>
      <c r="C65" s="77" t="inlineStr">
        <is>
          <t>Programme/course</t>
        </is>
      </c>
      <c r="D65" s="77" t="inlineStr">
        <is>
          <t>RG02-S08</t>
        </is>
      </c>
      <c r="E65" s="77" t="inlineStr"/>
      <c r="F65" s="77" t="inlineStr">
        <is>
          <t>No</t>
        </is>
      </c>
      <c r="G65" s="79" t="inlineStr">
        <is>
          <t>Business Analytics Consulting Project (MSc Business Analytics)</t>
        </is>
      </c>
      <c r="H65" s="77" t="inlineStr">
        <is>
          <t>Business Analytics Consulting Project</t>
        </is>
      </c>
      <c r="I65" s="77" t="inlineStr">
        <is>
          <t>EFIMM0144</t>
        </is>
      </c>
      <c r="J65" s="77" t="inlineStr">
        <is>
          <t>Mandatory MSc Business Analytics team project in which students work with real organisations on business problems using data-driven methods, ending in a consultancy report and boardroom presentation.</t>
        </is>
      </c>
      <c r="K65" s="77" t="inlineStr">
        <is>
          <t>Bristol University Business School</t>
        </is>
      </c>
      <c r="L65" s="77" t="inlineStr">
        <is>
          <t>MSc Business Analytics</t>
        </is>
      </c>
      <c r="M65" s="77" t="inlineStr">
        <is>
          <t>Business/management</t>
        </is>
      </c>
      <c r="N65" s="77" t="inlineStr">
        <is>
          <t>Postgraduate taught</t>
        </is>
      </c>
      <c r="O65" s="77" t="inlineStr">
        <is>
          <t>Masters</t>
        </is>
      </c>
      <c r="P65" s="77" t="inlineStr"/>
      <c r="Q65" s="77" t="inlineStr">
        <is>
          <t>Compulsory within specified programmes</t>
        </is>
      </c>
      <c r="R65" s="77" t="inlineStr">
        <is>
          <t>Curricular</t>
        </is>
      </c>
      <c r="S65" s="77" t="inlineStr">
        <is>
          <t>20 credits, TB2 (per a catalogue structure labelled 2031/32 - indicative)</t>
        </is>
      </c>
      <c r="T65" s="77" t="inlineStr">
        <is>
          <t>Teaching Block 2</t>
        </is>
      </c>
      <c r="U65" s="77" t="inlineStr">
        <is>
          <t>Team consulting project</t>
        </is>
      </c>
      <c r="V65" s="77" t="inlineStr">
        <is>
          <t>Yes</t>
        </is>
      </c>
      <c r="W65" s="77" t="inlineStr">
        <is>
          <t>Consultancy report and boardroom presentation (source 1).</t>
        </is>
      </c>
      <c r="X65" s="77" t="inlineStr">
        <is>
          <t>Yes</t>
        </is>
      </c>
      <c r="Y65" s="77" t="inlineStr">
        <is>
          <t>'A team project solves a real-world organisational problem' (source 1).</t>
        </is>
      </c>
      <c r="Z65" s="77" t="inlineStr">
        <is>
          <t>Unclear</t>
        </is>
      </c>
      <c r="AA65" s="77" t="inlineStr">
        <is>
          <t>Programme page says students work with real organisations; a 2022 school blog says 'where possible' with private, charity and public-sector organisations (source 2) - not documented as standard.</t>
        </is>
      </c>
      <c r="AB65" s="77" t="inlineStr">
        <is>
          <t>Mixed</t>
        </is>
      </c>
      <c r="AC65" s="77" t="inlineStr">
        <is>
          <t>Real organisation supplies the problem; details of feedback not retrieved.</t>
        </is>
      </c>
      <c r="AD65" s="77" t="inlineStr">
        <is>
          <t>Programme developed with IBM, LV and UCL/IBM Industry Exchange Network (2022 blog); no project clients named.</t>
        </is>
      </c>
      <c r="AE65" s="77" t="inlineStr">
        <is>
          <t>Consultancy report and boardroom presentation</t>
        </is>
      </c>
      <c r="AF65" s="77">
        <f>IF(OR(V65="No",X65="No",Z65="No"),"Outside strict definition",IF(AND(V65="Yes",X65="Yes",Z65="Yes"),"Meets all three","Potentially relevant; evidence incomplete"))</f>
        <v/>
      </c>
      <c r="AG65" s="77" t="inlineStr">
        <is>
          <t>Current status unclear</t>
        </is>
      </c>
      <c r="AH65" s="77" t="inlineStr">
        <is>
          <t>undated</t>
        </is>
      </c>
      <c r="AI65" s="77" t="inlineStr">
        <is>
          <t>Yes</t>
        </is>
      </c>
      <c r="AJ65" s="77">
        <f>IF(AND(AI65="Yes",AF65="Meets all three",AG65="Current delivery confirmed"),"Yes","No")</f>
        <v/>
      </c>
      <c r="AK65" s="77" t="inlineStr"/>
      <c r="AL65" s="77" t="inlineStr">
        <is>
          <t>RG02-S08-R1; RG02-S08-R2</t>
        </is>
      </c>
      <c r="AM65" s="77" t="inlineStr">
        <is>
          <t>Could not retrieve a genuine 2025/26 or 2026/27 unit entry; unit directors listed on staff pages (undated). Extent of external clients unclear.</t>
        </is>
      </c>
      <c r="AN65" s="77" t="inlineStr"/>
      <c r="AO65" s="77" t="inlineStr">
        <is>
          <t>UK</t>
        </is>
      </c>
      <c r="AP65" s="77" t="inlineStr">
        <is>
          <t>UK – Russell Group</t>
        </is>
      </c>
      <c r="AQ65" s="77" t="inlineStr">
        <is>
          <t>~1 term</t>
        </is>
      </c>
      <c r="AR65" s="77" t="inlineStr">
        <is>
          <t>Some projects</t>
        </is>
      </c>
      <c r="AS65" s="77" t="inlineStr"/>
    </row>
    <row r="66">
      <c r="A66" s="77" t="inlineStr">
        <is>
          <t>RG02</t>
        </is>
      </c>
      <c r="B66" s="77" t="inlineStr">
        <is>
          <t>Bristol</t>
        </is>
      </c>
      <c r="C66" s="77" t="inlineStr">
        <is>
          <t>Programme/course</t>
        </is>
      </c>
      <c r="D66" s="77" t="inlineStr">
        <is>
          <t>RG02-S09</t>
        </is>
      </c>
      <c r="E66" s="77" t="inlineStr"/>
      <c r="F66" s="77" t="inlineStr">
        <is>
          <t>No</t>
        </is>
      </c>
      <c r="G66" s="79" t="inlineStr">
        <is>
          <t>MSc Business Innovation and Entrepreneurship - Term 2 management-consultant live brief option</t>
        </is>
      </c>
      <c r="H66" s="77" t="inlineStr">
        <is>
          <t>MSc BIE Term 2 live commercial brief</t>
        </is>
      </c>
      <c r="I66" s="77" t="inlineStr"/>
      <c r="J66" s="77" t="inlineStr">
        <is>
          <t>In Term 2 students choose between acting as a management consultant for a real-world industry partner on a live commercial brief, or founding a proposal for an internal venture/spin-out with their team.</t>
        </is>
      </c>
      <c r="K66" s="77" t="inlineStr">
        <is>
          <t>Bristol University Business School / Centre for Innovation and Entrepreneurship</t>
        </is>
      </c>
      <c r="L66" s="77" t="inlineStr">
        <is>
          <t>MSc Business Innovation and Entrepreneurship</t>
        </is>
      </c>
      <c r="M66" s="77" t="inlineStr">
        <is>
          <t>Business/management</t>
        </is>
      </c>
      <c r="N66" s="77" t="inlineStr">
        <is>
          <t>Postgraduate taught</t>
        </is>
      </c>
      <c r="O66" s="77" t="inlineStr">
        <is>
          <t>Masters</t>
        </is>
      </c>
      <c r="P66" s="77" t="inlineStr"/>
      <c r="Q66" s="77" t="inlineStr">
        <is>
          <t>Optional/elective</t>
        </is>
      </c>
      <c r="R66" s="77" t="inlineStr">
        <is>
          <t>Curricular</t>
        </is>
      </c>
      <c r="S66" s="77" t="inlineStr">
        <is>
          <t>Not retrieved</t>
        </is>
      </c>
      <c r="T66" s="77" t="inlineStr">
        <is>
          <t>Teaching Block 2 (Term 2)</t>
        </is>
      </c>
      <c r="U66" s="77" t="inlineStr">
        <is>
          <t>Consulting option for industry partner</t>
        </is>
      </c>
      <c r="V66" s="77" t="inlineStr">
        <is>
          <t>Yes</t>
        </is>
      </c>
      <c r="W66" s="77" t="inlineStr">
        <is>
          <t>Live commercial brief solved for an industry partner (source 1).</t>
        </is>
      </c>
      <c r="X66" s="77" t="inlineStr">
        <is>
          <t>Unclear</t>
        </is>
      </c>
      <c r="Y66" s="77" t="inlineStr">
        <is>
          <t>Programme is 'built around teamwork'; 'your team' is stated for the founder option, but the consultant option's team structure is not stated (source 1).</t>
        </is>
      </c>
      <c r="Z66" s="77" t="inlineStr">
        <is>
          <t>Yes</t>
        </is>
      </c>
      <c r="AA66" s="77" t="inlineStr">
        <is>
          <t>'Working for a real-world industry partner to solve a live commercial brief'; Centre says industry partners set live challenges (sources 1, 2).</t>
        </is>
      </c>
      <c r="AB66" s="77" t="inlineStr">
        <is>
          <t>Business/commercial</t>
        </is>
      </c>
      <c r="AC66" s="77" t="inlineStr">
        <is>
          <t>Industry partner sets live commercial brief.</t>
        </is>
      </c>
      <c r="AD66" s="77" t="inlineStr"/>
      <c r="AE66" s="77" t="inlineStr">
        <is>
          <t>Not specified (consultancy output)</t>
        </is>
      </c>
      <c r="AF66" s="77">
        <f>IF(OR(V66="No",X66="No",Z66="No"),"Outside strict definition",IF(AND(V66="Yes",X66="Yes",Z66="Yes"),"Meets all three","Potentially relevant; evidence incomplete"))</f>
        <v/>
      </c>
      <c r="AG66" s="77" t="inlineStr">
        <is>
          <t>Current status unclear</t>
        </is>
      </c>
      <c r="AH66" s="77" t="inlineStr">
        <is>
          <t>undated</t>
        </is>
      </c>
      <c r="AI66" s="77" t="inlineStr">
        <is>
          <t>Yes</t>
        </is>
      </c>
      <c r="AJ66" s="77">
        <f>IF(AND(AI66="Yes",AF66="Meets all three",AG66="Current delivery confirmed"),"Yes","No")</f>
        <v/>
      </c>
      <c r="AK66" s="77" t="inlineStr"/>
      <c r="AL66" s="77" t="inlineStr">
        <is>
          <t>RG02-S09-R1; RG02-S09-R2</t>
        </is>
      </c>
      <c r="AM66" s="77" t="inlineStr">
        <is>
          <t>Group vs individual for the consulting option, deliverable, credits, and dated delivery evidence not retrieved.</t>
        </is>
      </c>
      <c r="AN66" s="77" t="inlineStr"/>
      <c r="AO66" s="77" t="inlineStr">
        <is>
          <t>UK</t>
        </is>
      </c>
      <c r="AP66" s="77" t="inlineStr">
        <is>
          <t>UK – Russell Group</t>
        </is>
      </c>
      <c r="AQ66" s="77" t="inlineStr">
        <is>
          <t>~1 term</t>
        </is>
      </c>
      <c r="AR66" s="77" t="inlineStr">
        <is>
          <t>All/standard</t>
        </is>
      </c>
      <c r="AS66" s="77" t="inlineStr"/>
    </row>
    <row r="67">
      <c r="A67" s="77" t="inlineStr">
        <is>
          <t>RG02</t>
        </is>
      </c>
      <c r="B67" s="77" t="inlineStr">
        <is>
          <t>Bristol</t>
        </is>
      </c>
      <c r="C67" s="77" t="inlineStr">
        <is>
          <t>Programme/course</t>
        </is>
      </c>
      <c r="D67" s="77" t="inlineStr">
        <is>
          <t>RG02-S10</t>
        </is>
      </c>
      <c r="E67" s="77" t="inlineStr"/>
      <c r="F67" s="77" t="inlineStr">
        <is>
          <t>No</t>
        </is>
      </c>
      <c r="G67" s="79" t="inlineStr">
        <is>
          <t>The Marketing Applied Extended Project (AEP) - applied group route (MSc Marketing)</t>
        </is>
      </c>
      <c r="H67" s="77" t="inlineStr">
        <is>
          <t>Marketing Applied Extended Project</t>
        </is>
      </c>
      <c r="I67" s="77" t="inlineStr">
        <is>
          <t>MGRCM0040</t>
        </is>
      </c>
      <c r="J67"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67" s="77" t="inlineStr">
        <is>
          <t>Bristol University Business School</t>
        </is>
      </c>
      <c r="L67" s="77" t="inlineStr">
        <is>
          <t>MSc Marketing (not open to other students)</t>
        </is>
      </c>
      <c r="M67" s="77" t="inlineStr">
        <is>
          <t>Business/management</t>
        </is>
      </c>
      <c r="N67" s="77" t="inlineStr">
        <is>
          <t>Postgraduate taught</t>
        </is>
      </c>
      <c r="O67" s="77" t="inlineStr">
        <is>
          <t>Masters</t>
        </is>
      </c>
      <c r="P67" s="77" t="inlineStr"/>
      <c r="Q67" s="77" t="inlineStr">
        <is>
          <t>Optional/elective</t>
        </is>
      </c>
      <c r="R67" s="77" t="inlineStr">
        <is>
          <t>Curricular</t>
        </is>
      </c>
      <c r="S67" s="77" t="inlineStr">
        <is>
          <t>60 credits; group proposal 10%, group report/presentation 50%, individual reflection 40%</t>
        </is>
      </c>
      <c r="T67" s="77" t="inlineStr">
        <is>
          <t>Summer project (dissertation period)</t>
        </is>
      </c>
      <c r="U67" s="77" t="inlineStr">
        <is>
          <t>Small-group applied project with partner organisation</t>
        </is>
      </c>
      <c r="V67" s="77" t="inlineStr">
        <is>
          <t>Yes</t>
        </is>
      </c>
      <c r="W67" s="77" t="inlineStr">
        <is>
          <t>Group report and presentation on partner brief (source 1).</t>
        </is>
      </c>
      <c r="X67" s="77" t="inlineStr">
        <is>
          <t>Yes</t>
        </is>
      </c>
      <c r="Y67" s="77" t="inlineStr">
        <is>
          <t>Applied route is 'a small group on a real organisational challenge'; group components must be passed; the theoretical alternative is separate (sources 1, 2).</t>
        </is>
      </c>
      <c r="Z67" s="77" t="inlineStr">
        <is>
          <t>Yes</t>
        </is>
      </c>
      <c r="AA67" s="77" t="inlineStr">
        <is>
          <t>'Working with a range of organisational partners (commercial, third-sector, social etc) external to the School ... project briefs'; partners brief and guide students (source 1).</t>
        </is>
      </c>
      <c r="AB67" s="77" t="inlineStr">
        <is>
          <t>Mixed</t>
        </is>
      </c>
      <c r="AC67" s="77" t="inlineStr">
        <is>
          <t>Partner sets brief and guides students.</t>
        </is>
      </c>
      <c r="AD67" s="77" t="inlineStr"/>
      <c r="AE67" s="77" t="inlineStr">
        <is>
          <t>Group report and presentation to partner</t>
        </is>
      </c>
      <c r="AF67" s="77">
        <f>IF(OR(V67="No",X67="No",Z67="No"),"Outside strict definition",IF(AND(V67="Yes",X67="Yes",Z67="Yes"),"Meets all three","Potentially relevant; evidence incomplete"))</f>
        <v/>
      </c>
      <c r="AG67" s="77" t="inlineStr">
        <is>
          <t>Current delivery confirmed</t>
        </is>
      </c>
      <c r="AH67" s="77" t="inlineStr">
        <is>
          <t>2026/27</t>
        </is>
      </c>
      <c r="AI67" s="77" t="inlineStr">
        <is>
          <t>Yes</t>
        </is>
      </c>
      <c r="AJ67" s="77">
        <f>IF(AND(AI67="Yes",AF67="Meets all three",AG67="Current delivery confirmed"),"Yes","No")</f>
        <v/>
      </c>
      <c r="AK67" s="77" t="inlineStr"/>
      <c r="AL67" s="77" t="inlineStr">
        <is>
          <t>RG02-S10-R1; RG02-S10-R2</t>
        </is>
      </c>
      <c r="AM67" s="77" t="inlineStr">
        <is>
          <t>Catalogue entry year labels (2030/31, 2033/34) are unreliable; delivery corroborated only by the MSc Marketing page for September 2026 entry. The page says 'if applicable', so availability of applied route per cohort uncertain. No named partners.</t>
        </is>
      </c>
      <c r="AN67" s="77" t="inlineStr"/>
      <c r="AO67" s="77" t="inlineStr">
        <is>
          <t>UK</t>
        </is>
      </c>
      <c r="AP67" s="77" t="inlineStr">
        <is>
          <t>UK – Russell Group</t>
        </is>
      </c>
      <c r="AQ67" s="77" t="inlineStr">
        <is>
          <t>~1 term</t>
        </is>
      </c>
      <c r="AR67" s="77" t="inlineStr">
        <is>
          <t>All/standard</t>
        </is>
      </c>
      <c r="AS67" s="77" t="inlineStr"/>
    </row>
    <row r="68">
      <c r="A68" s="77" t="inlineStr">
        <is>
          <t>RG02</t>
        </is>
      </c>
      <c r="B68" s="77" t="inlineStr">
        <is>
          <t>Bristol</t>
        </is>
      </c>
      <c r="C68" s="77" t="inlineStr">
        <is>
          <t>Programme/course</t>
        </is>
      </c>
      <c r="D68" s="77" t="inlineStr">
        <is>
          <t>RG02-S11</t>
        </is>
      </c>
      <c r="E68" s="77" t="inlineStr"/>
      <c r="F68" s="77" t="inlineStr">
        <is>
          <t>No</t>
        </is>
      </c>
      <c r="G68" s="79" t="inlineStr">
        <is>
          <t>MSc Data Science for Business - live consulting projects / Applied Research Project</t>
        </is>
      </c>
      <c r="H68" s="77" t="inlineStr">
        <is>
          <t>Data Science for Business applied projects</t>
        </is>
      </c>
      <c r="I68" s="77" t="inlineStr"/>
      <c r="J68" s="77" t="inlineStr">
        <is>
          <t>Programme offers live consulting projects and an Applied Research Project that integrates industry projects, completed over the summer individually or as part of a team.</t>
        </is>
      </c>
      <c r="K68" s="77" t="inlineStr">
        <is>
          <t>Bristol University Business School with Engineering Mathematics</t>
        </is>
      </c>
      <c r="L68" s="77" t="inlineStr">
        <is>
          <t>MSc Data Science for Business</t>
        </is>
      </c>
      <c r="M68" s="77" t="inlineStr">
        <is>
          <t>Business/management; Engineering/computing</t>
        </is>
      </c>
      <c r="N68" s="77" t="inlineStr">
        <is>
          <t>Postgraduate taught</t>
        </is>
      </c>
      <c r="O68" s="77" t="inlineStr"/>
      <c r="P68" s="77" t="inlineStr"/>
      <c r="Q68" s="77" t="inlineStr">
        <is>
          <t>Unclear</t>
        </is>
      </c>
      <c r="R68" s="77" t="inlineStr">
        <is>
          <t>Curricular</t>
        </is>
      </c>
      <c r="S68" s="77" t="inlineStr"/>
      <c r="T68" s="77" t="inlineStr"/>
      <c r="U68" s="77" t="inlineStr"/>
      <c r="V68" s="77" t="inlineStr">
        <is>
          <t>Yes</t>
        </is>
      </c>
      <c r="W68" s="77" t="inlineStr">
        <is>
          <t>Applied Research Project and consulting projects (source 1).</t>
        </is>
      </c>
      <c r="X68" s="77" t="inlineStr">
        <is>
          <t>Unclear</t>
        </is>
      </c>
      <c r="Y68" s="77" t="inlineStr">
        <is>
          <t>'Either individually or as part of a team'; routes not separated (source 1).</t>
        </is>
      </c>
      <c r="Z68" s="77" t="inlineStr">
        <is>
          <t>Unclear</t>
        </is>
      </c>
      <c r="AA68" s="77" t="inlineStr">
        <is>
          <t>'Many projects developed in collaboration with an external organisation'; industry projects integrated 'particularly in the Applied Research Project' (source 1). A staff profile mentions IBM, Yeo Valley, NHS Bristol (not tied to this route).</t>
        </is>
      </c>
      <c r="AB68" s="77" t="inlineStr">
        <is>
          <t>Mixed</t>
        </is>
      </c>
      <c r="AC68" s="77" t="inlineStr"/>
      <c r="AD68" s="77" t="inlineStr"/>
      <c r="AE68" s="77" t="inlineStr"/>
      <c r="AF68" s="77">
        <f>IF(OR(V68="No",X68="No",Z68="No"),"Outside strict definition",IF(AND(V68="Yes",X68="Yes",Z68="Yes"),"Meets all three","Potentially relevant; evidence incomplete"))</f>
        <v/>
      </c>
      <c r="AG68" s="77" t="inlineStr">
        <is>
          <t>Current status unclear</t>
        </is>
      </c>
      <c r="AH68" s="77" t="inlineStr">
        <is>
          <t>undated</t>
        </is>
      </c>
      <c r="AI68" s="77" t="inlineStr">
        <is>
          <t>Yes</t>
        </is>
      </c>
      <c r="AJ68" s="77">
        <f>IF(AND(AI68="Yes",AF68="Meets all three",AG68="Current delivery confirmed"),"Yes","No")</f>
        <v/>
      </c>
      <c r="AK68" s="77" t="inlineStr"/>
      <c r="AL68" s="77" t="inlineStr">
        <is>
          <t>RG02-S11-R1</t>
        </is>
      </c>
      <c r="AM68" s="77" t="inlineStr">
        <is>
          <t>Individual vs team routes, external share, credits and dated delivery all unresolved.</t>
        </is>
      </c>
      <c r="AN68" s="77" t="inlineStr"/>
      <c r="AO68" s="77" t="inlineStr">
        <is>
          <t>UK</t>
        </is>
      </c>
      <c r="AP68" s="77" t="inlineStr">
        <is>
          <t>UK – Russell Group</t>
        </is>
      </c>
      <c r="AQ68" s="77" t="inlineStr">
        <is>
          <t>Unclear</t>
        </is>
      </c>
      <c r="AR68" s="77" t="inlineStr">
        <is>
          <t>Some projects</t>
        </is>
      </c>
      <c r="AS68" s="77" t="inlineStr"/>
    </row>
    <row r="69">
      <c r="A69" s="77" t="inlineStr">
        <is>
          <t>RG02</t>
        </is>
      </c>
      <c r="B69" s="77" t="inlineStr">
        <is>
          <t>Bristol</t>
        </is>
      </c>
      <c r="C69" s="77" t="inlineStr">
        <is>
          <t>Programme/course</t>
        </is>
      </c>
      <c r="D69" s="77" t="inlineStr">
        <is>
          <t>RG02-S12</t>
        </is>
      </c>
      <c r="E69" s="77" t="inlineStr"/>
      <c r="F69" s="77" t="inlineStr">
        <is>
          <t>No</t>
        </is>
      </c>
      <c r="G69" s="79" t="inlineStr">
        <is>
          <t>Consultancy Project (Geographical Sciences)</t>
        </is>
      </c>
      <c r="H69" s="77" t="inlineStr">
        <is>
          <t>Consultancy Project</t>
        </is>
      </c>
      <c r="I69" s="77" t="inlineStr">
        <is>
          <t>GEOGM0029</t>
        </is>
      </c>
      <c r="J69" s="77" t="inlineStr">
        <is>
          <t>Masters unit: unit director collects proposals from external clients; projects allocated to teams of 3-5 students who negotiate terms of reference, research, produce a report and present to the client.</t>
        </is>
      </c>
      <c r="K69" s="77" t="inlineStr">
        <is>
          <t>School of Geographical Sciences</t>
        </is>
      </c>
      <c r="L69" s="77" t="inlineStr">
        <is>
          <t>Geographical Sciences MSc programmes</t>
        </is>
      </c>
      <c r="M69" s="77" t="inlineStr">
        <is>
          <t>Science</t>
        </is>
      </c>
      <c r="N69" s="77" t="inlineStr">
        <is>
          <t>Postgraduate taught</t>
        </is>
      </c>
      <c r="O69" s="77" t="inlineStr"/>
      <c r="P69" s="77" t="inlineStr"/>
      <c r="Q69" s="77" t="inlineStr">
        <is>
          <t>Unclear</t>
        </is>
      </c>
      <c r="R69" s="77" t="inlineStr">
        <is>
          <t>Curricular</t>
        </is>
      </c>
      <c r="S69" s="77" t="inlineStr">
        <is>
          <t>20 credits, TB2 (2020/21 listing)</t>
        </is>
      </c>
      <c r="T69" s="77" t="inlineStr">
        <is>
          <t>Teaching Block 2</t>
        </is>
      </c>
      <c r="U69" s="77" t="inlineStr"/>
      <c r="V69" s="77" t="inlineStr">
        <is>
          <t>Yes</t>
        </is>
      </c>
      <c r="W69" s="77" t="inlineStr">
        <is>
          <t>Report and final presentation to clients (source 1).</t>
        </is>
      </c>
      <c r="X69" s="77" t="inlineStr">
        <is>
          <t>Yes</t>
        </is>
      </c>
      <c r="Y69" s="77" t="inlineStr">
        <is>
          <t>Teams of 3-5 students allocated by preference (source 1).</t>
        </is>
      </c>
      <c r="Z69" s="77" t="inlineStr">
        <is>
          <t>Yes</t>
        </is>
      </c>
      <c r="AA69" s="77" t="inlineStr">
        <is>
          <t>Unit director collects proposals from external clients; students present to their clients (source 1).</t>
        </is>
      </c>
      <c r="AB69" s="77" t="inlineStr">
        <is>
          <t>Unclear</t>
        </is>
      </c>
      <c r="AC69" s="77" t="inlineStr">
        <is>
          <t>Client proposes project and receives report/presentation.</t>
        </is>
      </c>
      <c r="AD69" s="77" t="inlineStr"/>
      <c r="AE69" s="77" t="inlineStr"/>
      <c r="AF69" s="77">
        <f>IF(OR(V69="No",X69="No",Z69="No"),"Outside strict definition",IF(AND(V69="Yes",X69="Yes",Z69="Yes"),"Meets all three","Potentially relevant; evidence incomplete"))</f>
        <v/>
      </c>
      <c r="AG69" s="77" t="inlineStr">
        <is>
          <t>Current status unclear</t>
        </is>
      </c>
      <c r="AH69" s="77" t="inlineStr">
        <is>
          <t>2020/21</t>
        </is>
      </c>
      <c r="AI69" s="77" t="inlineStr">
        <is>
          <t>Yes</t>
        </is>
      </c>
      <c r="AJ69" s="77">
        <f>IF(AND(AI69="Yes",AF69="Meets all three",AG69="Current delivery confirmed"),"Yes","No")</f>
        <v/>
      </c>
      <c r="AK69" s="77" t="inlineStr"/>
      <c r="AL69" s="77" t="inlineStr">
        <is>
          <t>RG02-S12-R1</t>
        </is>
      </c>
      <c r="AM69" s="77" t="inlineStr">
        <is>
          <t>Only description is on a catalogue page labelled 2037/38 (unreliable); the unit is absent from the 2025/26 MSc Human Geography listing found. Delivery in 2025/26 not confirmed; may have been replaced by GEOGM0072. Partner sector not stated.</t>
        </is>
      </c>
      <c r="AN69" s="77" t="inlineStr"/>
      <c r="AO69" s="77" t="inlineStr">
        <is>
          <t>UK</t>
        </is>
      </c>
      <c r="AP69" s="77" t="inlineStr">
        <is>
          <t>UK – Russell Group</t>
        </is>
      </c>
      <c r="AQ69" s="77" t="inlineStr">
        <is>
          <t>~1 term</t>
        </is>
      </c>
      <c r="AR69" s="77" t="inlineStr">
        <is>
          <t>All/standard</t>
        </is>
      </c>
      <c r="AS69" s="77" t="inlineStr"/>
    </row>
    <row r="70">
      <c r="A70" s="77" t="inlineStr">
        <is>
          <t>RG02</t>
        </is>
      </c>
      <c r="B70" s="77" t="inlineStr">
        <is>
          <t>Bristol</t>
        </is>
      </c>
      <c r="C70" s="77" t="inlineStr">
        <is>
          <t>Programme/course</t>
        </is>
      </c>
      <c r="D70" s="77" t="inlineStr">
        <is>
          <t>RG02-S13</t>
        </is>
      </c>
      <c r="E70" s="77" t="inlineStr"/>
      <c r="F70" s="77" t="inlineStr">
        <is>
          <t>No</t>
        </is>
      </c>
      <c r="G70" s="79" t="inlineStr">
        <is>
          <t>Policy and Management Consultancy</t>
        </is>
      </c>
      <c r="H70" s="77" t="inlineStr">
        <is>
          <t>Policy and Management Consultancy</t>
        </is>
      </c>
      <c r="I70" s="77" t="inlineStr">
        <is>
          <t>GEOGM0072</t>
        </is>
      </c>
      <c r="J70" s="77" t="inlineStr">
        <is>
          <t>Optional 20-credit TB2 Masters unit built around responding to a client brief (problem framing and analysis tools). Group structure and client type not retrieved.</t>
        </is>
      </c>
      <c r="K70" s="77" t="inlineStr">
        <is>
          <t>School of Geographical Sciences</t>
        </is>
      </c>
      <c r="L70" s="77" t="inlineStr">
        <is>
          <t>MSc Human Geography: Society and Space (listed optional 2025/26)</t>
        </is>
      </c>
      <c r="M70" s="77" t="inlineStr">
        <is>
          <t>Science; Arts/humanities/social sciences</t>
        </is>
      </c>
      <c r="N70" s="77" t="inlineStr">
        <is>
          <t>Postgraduate taught</t>
        </is>
      </c>
      <c r="O70" s="77" t="inlineStr"/>
      <c r="P70" s="77" t="inlineStr"/>
      <c r="Q70" s="77" t="inlineStr">
        <is>
          <t>Optional/elective</t>
        </is>
      </c>
      <c r="R70" s="77" t="inlineStr">
        <is>
          <t>Curricular</t>
        </is>
      </c>
      <c r="S70" s="77" t="inlineStr">
        <is>
          <t>20 credits, TB2</t>
        </is>
      </c>
      <c r="T70" s="77" t="inlineStr"/>
      <c r="U70" s="77" t="inlineStr"/>
      <c r="V70" s="77" t="inlineStr">
        <is>
          <t>Unclear</t>
        </is>
      </c>
      <c r="W70" s="77" t="inlineStr">
        <is>
          <t>Objectives refer to 'a client brief' (source 1, year-labelled 2037/38).</t>
        </is>
      </c>
      <c r="X70" s="77" t="inlineStr">
        <is>
          <t>Unclear</t>
        </is>
      </c>
      <c r="Y70" s="77" t="inlineStr">
        <is>
          <t>Not retrieved. The MSc Environmental Policy and Management page refers to an 'extended team-based project' for partner organisations without naming the unit.</t>
        </is>
      </c>
      <c r="Z70" s="77" t="inlineStr">
        <is>
          <t>Unclear</t>
        </is>
      </c>
      <c r="AA70" s="77" t="inlineStr">
        <is>
          <t>Client mentioned but not identified as external.</t>
        </is>
      </c>
      <c r="AB70" s="77" t="inlineStr">
        <is>
          <t>Unclear</t>
        </is>
      </c>
      <c r="AC70" s="77" t="inlineStr"/>
      <c r="AD70" s="77" t="inlineStr"/>
      <c r="AE70" s="77" t="inlineStr"/>
      <c r="AF70" s="77">
        <f>IF(OR(V70="No",X70="No",Z70="No"),"Outside strict definition",IF(AND(V70="Yes",X70="Yes",Z70="Yes"),"Meets all three","Potentially relevant; evidence incomplete"))</f>
        <v/>
      </c>
      <c r="AG70" s="77" t="inlineStr">
        <is>
          <t>Current status unclear</t>
        </is>
      </c>
      <c r="AH70" s="77" t="inlineStr">
        <is>
          <t>2025/26 (listing only)</t>
        </is>
      </c>
      <c r="AI70" s="77" t="inlineStr">
        <is>
          <t>Yes</t>
        </is>
      </c>
      <c r="AJ70" s="77">
        <f>IF(AND(AI70="Yes",AF70="Meets all three",AG70="Current delivery confirmed"),"Yes","No")</f>
        <v/>
      </c>
      <c r="AK70" s="77" t="inlineStr"/>
      <c r="AL70" s="77" t="inlineStr">
        <is>
          <t>RG02-S13-R1; RG02-S13-R2</t>
        </is>
      </c>
      <c r="AM70" s="77" t="inlineStr">
        <is>
          <t>Need actual unit description: team vs individual, external client identity.</t>
        </is>
      </c>
      <c r="AN70" s="77" t="inlineStr"/>
      <c r="AO70" s="77" t="inlineStr">
        <is>
          <t>UK</t>
        </is>
      </c>
      <c r="AP70" s="77" t="inlineStr">
        <is>
          <t>UK – Russell Group</t>
        </is>
      </c>
      <c r="AQ70" s="77" t="inlineStr">
        <is>
          <t>~1 term</t>
        </is>
      </c>
      <c r="AR70" s="77" t="inlineStr">
        <is>
          <t>Unclear</t>
        </is>
      </c>
      <c r="AS70" s="77" t="inlineStr"/>
    </row>
    <row r="71">
      <c r="A71" s="77" t="inlineStr">
        <is>
          <t>RG02</t>
        </is>
      </c>
      <c r="B71" s="77" t="inlineStr">
        <is>
          <t>Bristol</t>
        </is>
      </c>
      <c r="C71" s="77" t="inlineStr">
        <is>
          <t>Faculty/school</t>
        </is>
      </c>
      <c r="D71" s="77" t="inlineStr">
        <is>
          <t>RG02-S14</t>
        </is>
      </c>
      <c r="E71" s="77" t="inlineStr"/>
      <c r="F71" s="77" t="inlineStr">
        <is>
          <t>No</t>
        </is>
      </c>
      <c r="G71" s="79" t="inlineStr">
        <is>
          <t>Professional Liaison Network - live briefs and group consultancy</t>
        </is>
      </c>
      <c r="H71" s="77" t="inlineStr">
        <is>
          <t>PLN live briefs / group consultancy</t>
        </is>
      </c>
      <c r="I71" s="77" t="inlineStr"/>
      <c r="J71"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71" s="77" t="inlineStr">
        <is>
          <t>Faculty of Arts, Law and Social Sciences - Professional Liaison Network</t>
        </is>
      </c>
      <c r="L71" s="77" t="inlineStr">
        <is>
          <t>Faculty of Arts, Law and Social Sciences students (projects open to UG and PG across faculty)</t>
        </is>
      </c>
      <c r="M71" s="77" t="inlineStr">
        <is>
          <t>Business/management; Arts/humanities/social sciences; Other (law, health, design, architecture…)</t>
        </is>
      </c>
      <c r="N71" s="77" t="inlineStr">
        <is>
          <t>Mixed</t>
        </is>
      </c>
      <c r="O71" s="77" t="inlineStr"/>
      <c r="P71" s="77" t="inlineStr"/>
      <c r="Q71" s="77" t="inlineStr">
        <is>
          <t>Unclear</t>
        </is>
      </c>
      <c r="R71" s="77" t="inlineStr">
        <is>
          <t>Unclear</t>
        </is>
      </c>
      <c r="S71" s="77" t="inlineStr"/>
      <c r="T71" s="77" t="inlineStr"/>
      <c r="U71" s="77" t="inlineStr"/>
      <c r="V71" s="77" t="inlineStr">
        <is>
          <t>Unclear</t>
        </is>
      </c>
      <c r="W71" s="77" t="inlineStr">
        <is>
          <t>Challenge-based but outputs and bounded brief not described (source 1).</t>
        </is>
      </c>
      <c r="X71" s="77" t="inlineStr">
        <is>
          <t>Yes</t>
        </is>
      </c>
      <c r="Y71" s="77" t="inlineStr">
        <is>
          <t>'A large group of students' (live briefs); 'a small team of students' (group consultancy) (source 1).</t>
        </is>
      </c>
      <c r="Z71" s="77" t="inlineStr">
        <is>
          <t>Yes</t>
        </is>
      </c>
      <c r="AA71" s="77" t="inlineStr">
        <is>
          <t>Organisation brings the challenge and works with the students (source 1); a 2024 blog describes a PLN project with Transform Drug Policy Foundation (source 2).</t>
        </is>
      </c>
      <c r="AB71" s="77" t="inlineStr">
        <is>
          <t>Mixed</t>
        </is>
      </c>
      <c r="AC71" s="77" t="inlineStr">
        <is>
          <t>Organisation supplies challenge; details of feedback/assessment not retrieved.</t>
        </is>
      </c>
      <c r="AD71" s="77" t="inlineStr">
        <is>
          <t>Transform Drug Policy Foundation; Bristol Energy Network (blog posts 2024)</t>
        </is>
      </c>
      <c r="AE71" s="77" t="inlineStr"/>
      <c r="AF71" s="77">
        <f>IF(OR(V71="No",X71="No",Z71="No"),"Outside strict definition",IF(AND(V71="Yes",X71="Yes",Z71="Yes"),"Meets all three","Potentially relevant; evidence incomplete"))</f>
        <v/>
      </c>
      <c r="AG71" s="77" t="inlineStr">
        <is>
          <t>Current status unclear</t>
        </is>
      </c>
      <c r="AH71" s="77" t="inlineStr">
        <is>
          <t>2024</t>
        </is>
      </c>
      <c r="AI71" s="77" t="inlineStr">
        <is>
          <t>Yes</t>
        </is>
      </c>
      <c r="AJ71" s="77">
        <f>IF(AND(AI71="Yes",AF71="Meets all three",AG71="Current delivery confirmed"),"Yes","No")</f>
        <v/>
      </c>
      <c r="AK71" s="77" t="inlineStr"/>
      <c r="AL71" s="77" t="inlineStr">
        <is>
          <t>RG02-S14-R1; RG02-S14-R2</t>
        </is>
      </c>
      <c r="AM71" s="77" t="inlineStr">
        <is>
          <t>Whether live briefs are credit-bearing, which units deliver them, timing, volume and recent cohorts not found. May overlap with S6 (Management Consultancy) and other unit-based routes.</t>
        </is>
      </c>
      <c r="AN71" s="77" t="inlineStr"/>
      <c r="AO71" s="77" t="inlineStr">
        <is>
          <t>UK</t>
        </is>
      </c>
      <c r="AP71" s="77" t="inlineStr">
        <is>
          <t>UK – Russell Group</t>
        </is>
      </c>
      <c r="AQ71" s="77" t="inlineStr">
        <is>
          <t>Unclear</t>
        </is>
      </c>
      <c r="AR71" s="77" t="inlineStr">
        <is>
          <t>All/standard</t>
        </is>
      </c>
      <c r="AS71" s="77" t="inlineStr"/>
    </row>
    <row r="72">
      <c r="A72" s="77" t="inlineStr">
        <is>
          <t>RG02</t>
        </is>
      </c>
      <c r="B72" s="77" t="inlineStr">
        <is>
          <t>Bristol</t>
        </is>
      </c>
      <c r="C72" s="77" t="inlineStr">
        <is>
          <t>Unclear</t>
        </is>
      </c>
      <c r="D72" s="77" t="inlineStr">
        <is>
          <t>RG02-S15</t>
        </is>
      </c>
      <c r="E72" s="77" t="inlineStr"/>
      <c r="F72" s="77" t="inlineStr">
        <is>
          <t>No</t>
        </is>
      </c>
      <c r="G72" s="79" t="inlineStr">
        <is>
          <t>City Challenges (Careers Service)</t>
        </is>
      </c>
      <c r="H72" s="77" t="inlineStr">
        <is>
          <t>City Challenges</t>
        </is>
      </c>
      <c r="I72" s="77" t="inlineStr"/>
      <c r="J72" s="77" t="inlineStr">
        <is>
          <t>Afternoon challenge events in which small student teams tackle a brief set by a local charity or social enterprise and pitch ideas back to the host organisation (min 3.5 hours towards the Bristol PLUS Award).</t>
        </is>
      </c>
      <c r="K72" s="77" t="inlineStr">
        <is>
          <t>Careers Service / Bristol Futures</t>
        </is>
      </c>
      <c r="L72" s="77" t="inlineStr">
        <is>
          <t>Not stated</t>
        </is>
      </c>
      <c r="M72" s="77" t="inlineStr">
        <is>
          <t>Central provision</t>
        </is>
      </c>
      <c r="N72" s="77" t="inlineStr">
        <is>
          <t>Unclear</t>
        </is>
      </c>
      <c r="O72" s="77" t="inlineStr"/>
      <c r="P72" s="77" t="inlineStr"/>
      <c r="Q72" s="77" t="inlineStr">
        <is>
          <t>Optional/elective</t>
        </is>
      </c>
      <c r="R72" s="77" t="inlineStr">
        <is>
          <t>Extracurricular</t>
        </is>
      </c>
      <c r="S72" s="77" t="inlineStr">
        <is>
          <t>No credit; counts towards Bristol PLUS Award</t>
        </is>
      </c>
      <c r="T72" s="77" t="inlineStr">
        <is>
          <t>One afternoon (3.5+ hours)</t>
        </is>
      </c>
      <c r="U72" s="77" t="inlineStr">
        <is>
          <t>In-person afternoon challenge, pitch to host</t>
        </is>
      </c>
      <c r="V72" s="77" t="inlineStr">
        <is>
          <t>Yes</t>
        </is>
      </c>
      <c r="W72" s="77" t="inlineStr">
        <is>
          <t>Teams work a charity-set problem and present ideas to the charity (source 1) - very short.</t>
        </is>
      </c>
      <c r="X72" s="77" t="inlineStr">
        <is>
          <t>Yes</t>
        </is>
      </c>
      <c r="Y72" s="77" t="inlineStr">
        <is>
          <t>Small student teams (source 1).</t>
        </is>
      </c>
      <c r="Z72" s="77" t="inlineStr">
        <is>
          <t>Yes</t>
        </is>
      </c>
      <c r="AA72" s="77" t="inlineStr">
        <is>
          <t>Host charity/social enterprise introduces the question and receives the pitches (source 1).</t>
        </is>
      </c>
      <c r="AB72" s="77" t="inlineStr">
        <is>
          <t>Charity/community</t>
        </is>
      </c>
      <c r="AC72" s="77" t="inlineStr">
        <is>
          <t>Sets challenge and receives pitches.</t>
        </is>
      </c>
      <c r="AD72" s="77" t="inlineStr">
        <is>
          <t>Past hosts: Brigstowe, Talk Club, St Werburgh's City Farm, Square Food Foundation, SolidariTee, The MoSAIC, Not Impossible, 91 Ways, Changes Bristol, Streams Learning Hub (Careers blog, 2022-2025)</t>
        </is>
      </c>
      <c r="AE72" s="77" t="inlineStr">
        <is>
          <t>Pitched ideas to host organisation</t>
        </is>
      </c>
      <c r="AF72" s="77">
        <f>IF(OR(V72="No",X72="No",Z72="No"),"Outside strict definition",IF(AND(V72="Yes",X72="Yes",Z72="Yes"),"Meets all three","Potentially relevant; evidence incomplete"))</f>
        <v/>
      </c>
      <c r="AG72" s="77" t="inlineStr">
        <is>
          <t>Current status unclear</t>
        </is>
      </c>
      <c r="AH72" s="77" t="inlineStr">
        <is>
          <t>2024/25 (Feb 2025 blog)</t>
        </is>
      </c>
      <c r="AI72" s="77" t="inlineStr">
        <is>
          <t>Yes</t>
        </is>
      </c>
      <c r="AJ72" s="77">
        <f>IF(AND(AI72="Yes",AF72="Meets all three",AG72="Current delivery confirmed"),"Yes","No")</f>
        <v/>
      </c>
      <c r="AK72" s="77" t="inlineStr"/>
      <c r="AL72" s="77" t="inlineStr">
        <is>
          <t>RG02-S15-R1</t>
        </is>
      </c>
      <c r="AM72" s="77" t="inlineStr">
        <is>
          <t>No 2025/26 or 2026/27 event evidenced; eligibility (university-wide?) not stated; substantiveness doubtful given one-afternoon format.</t>
        </is>
      </c>
      <c r="AN72" s="77" t="inlineStr"/>
      <c r="AO72" s="77" t="inlineStr">
        <is>
          <t>UK</t>
        </is>
      </c>
      <c r="AP72" s="77" t="inlineStr">
        <is>
          <t>UK – Russell Group</t>
        </is>
      </c>
      <c r="AQ72" s="77" t="inlineStr">
        <is>
          <t>&lt;1 week</t>
        </is>
      </c>
      <c r="AR72" s="77" t="inlineStr">
        <is>
          <t>All/standard</t>
        </is>
      </c>
      <c r="AS72" s="77" t="inlineStr"/>
    </row>
    <row r="73">
      <c r="A73" s="77" t="inlineStr">
        <is>
          <t>RG02</t>
        </is>
      </c>
      <c r="B73" s="77" t="inlineStr">
        <is>
          <t>Bristol</t>
        </is>
      </c>
      <c r="C73" s="77" t="inlineStr">
        <is>
          <t>Faculty/school</t>
        </is>
      </c>
      <c r="D73" s="77" t="inlineStr">
        <is>
          <t>RG02-S16</t>
        </is>
      </c>
      <c r="E73" s="77" t="inlineStr"/>
      <c r="F73" s="77" t="inlineStr">
        <is>
          <t>No</t>
        </is>
      </c>
      <c r="G73" s="79" t="inlineStr">
        <is>
          <t>Human Rights Law Clinic (Human Rights Implementation Centre)</t>
        </is>
      </c>
      <c r="H73" s="77" t="inlineStr">
        <is>
          <t>Human Rights Law Clinic</t>
        </is>
      </c>
      <c r="I73" s="77" t="inlineStr"/>
      <c r="J73"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73" s="77" t="inlineStr">
        <is>
          <t>Bristol Law School, Human Rights Implementation Centre</t>
        </is>
      </c>
      <c r="L73" s="77" t="inlineStr">
        <is>
          <t>Law School students (UG year 2+ and PG) who have taken or are taking a human rights/international law module</t>
        </is>
      </c>
      <c r="M73" s="77" t="inlineStr">
        <is>
          <t>Other (law, health, design, architecture…)</t>
        </is>
      </c>
      <c r="N73" s="77" t="inlineStr">
        <is>
          <t>Mixed</t>
        </is>
      </c>
      <c r="O73" s="77" t="inlineStr">
        <is>
          <t>UG year 2 onwards, PG</t>
        </is>
      </c>
      <c r="P73" s="77" t="inlineStr">
        <is>
          <t>Registered in the Law School; application with personal statement (2025/26 deadline 15 Nov 2025).</t>
        </is>
      </c>
      <c r="Q73" s="77" t="inlineStr">
        <is>
          <t>Selective/competitive</t>
        </is>
      </c>
      <c r="R73" s="77" t="inlineStr">
        <is>
          <t>Extracurricular</t>
        </is>
      </c>
      <c r="S73" s="77" t="inlineStr">
        <is>
          <t>Not credit-bearing as stated</t>
        </is>
      </c>
      <c r="T73" s="77" t="inlineStr">
        <is>
          <t>Academic year</t>
        </is>
      </c>
      <c r="U73" s="77" t="inlineStr">
        <is>
          <t>Student-led teams working to partner briefs</t>
        </is>
      </c>
      <c r="V73" s="77" t="inlineStr">
        <is>
          <t>Yes</t>
        </is>
      </c>
      <c r="W73" s="77" t="inlineStr">
        <is>
          <t>Comprehensive legal research meeting partner project briefs; report by end of year (source 1).</t>
        </is>
      </c>
      <c r="X73" s="77" t="inlineStr">
        <is>
          <t>Yes</t>
        </is>
      </c>
      <c r="Y73" s="77" t="inlineStr">
        <is>
          <t>'Students work in teams'; student team leaders (source 1).</t>
        </is>
      </c>
      <c r="Z73" s="77" t="inlineStr">
        <is>
          <t>Yes</t>
        </is>
      </c>
      <c r="AA73" s="77" t="inlineStr">
        <is>
          <t>Partners set initial project briefs and receive reports feeding ongoing litigation/policy drafting (source 1).</t>
        </is>
      </c>
      <c r="AB73" s="77" t="inlineStr">
        <is>
          <t>Unclear</t>
        </is>
      </c>
      <c r="AC73" s="77" t="inlineStr">
        <is>
          <t>Partner organisations set project brief and receive research report.</t>
        </is>
      </c>
      <c r="AD73" s="77" t="inlineStr">
        <is>
          <t>Past project topics: legal gender recognition, Libya litigation support, flag state research, torture prevention (partners not named in extract)</t>
        </is>
      </c>
      <c r="AE73" s="77" t="inlineStr">
        <is>
          <t>Legal research report for partner</t>
        </is>
      </c>
      <c r="AF73" s="77">
        <f>IF(OR(V73="No",X73="No",Z73="No"),"Outside strict definition",IF(AND(V73="Yes",X73="Yes",Z73="Yes"),"Meets all three","Potentially relevant; evidence incomplete"))</f>
        <v/>
      </c>
      <c r="AG73" s="77" t="inlineStr">
        <is>
          <t>Current delivery confirmed</t>
        </is>
      </c>
      <c r="AH73" s="77" t="inlineStr">
        <is>
          <t>2025/26</t>
        </is>
      </c>
      <c r="AI73" s="77" t="inlineStr">
        <is>
          <t>Yes</t>
        </is>
      </c>
      <c r="AJ73" s="77">
        <f>IF(AND(AI73="Yes",AF73="Meets all three",AG73="Current delivery confirmed"),"Yes","No")</f>
        <v/>
      </c>
      <c r="AK73" s="77" t="inlineStr">
        <is>
          <t>About 70 members appointed each year (undated clinic page)</t>
        </is>
      </c>
      <c r="AL73" s="77" t="inlineStr">
        <is>
          <t>RG02-S16-R1</t>
        </is>
      </c>
      <c r="AM73" s="77" t="inlineStr">
        <is>
          <t>Partner sector (NGO/charity/public) not specified in extract; 2025/26 partner list not retrieved; no credit.</t>
        </is>
      </c>
      <c r="AN73" s="77" t="inlineStr"/>
      <c r="AO73" s="77" t="inlineStr">
        <is>
          <t>UK</t>
        </is>
      </c>
      <c r="AP73" s="77" t="inlineStr">
        <is>
          <t>UK – Russell Group</t>
        </is>
      </c>
      <c r="AQ73" s="77" t="inlineStr">
        <is>
          <t>&gt;1 term</t>
        </is>
      </c>
      <c r="AR73" s="77" t="inlineStr">
        <is>
          <t>All/standard</t>
        </is>
      </c>
      <c r="AS73" s="77" t="inlineStr"/>
    </row>
    <row r="74">
      <c r="A74" s="77" t="inlineStr">
        <is>
          <t>RG02</t>
        </is>
      </c>
      <c r="B74" s="77" t="inlineStr">
        <is>
          <t>Bristol</t>
        </is>
      </c>
      <c r="C74" s="77" t="inlineStr">
        <is>
          <t>Programme/course</t>
        </is>
      </c>
      <c r="D74" s="77" t="inlineStr">
        <is>
          <t>RG02-S17</t>
        </is>
      </c>
      <c r="E74" s="77" t="inlineStr"/>
      <c r="F74" s="77" t="inlineStr">
        <is>
          <t>No</t>
        </is>
      </c>
      <c r="G74" s="79" t="inlineStr">
        <is>
          <t>Design Engineering / Engineering Design - industry group design projects</t>
        </is>
      </c>
      <c r="H74" s="77" t="inlineStr">
        <is>
          <t>Design Engineering group design project with industry</t>
        </is>
      </c>
      <c r="I74" s="77" t="inlineStr"/>
      <c r="J74"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74" s="77" t="inlineStr">
        <is>
          <t>School of Civil, Aerospace and Design Engineering</t>
        </is>
      </c>
      <c r="L74" s="77" t="inlineStr">
        <is>
          <t>BEng/MEng Design Engineering; MEng Engineering Design</t>
        </is>
      </c>
      <c r="M74" s="77" t="inlineStr">
        <is>
          <t>Engineering/computing</t>
        </is>
      </c>
      <c r="N74" s="77" t="inlineStr">
        <is>
          <t>Undergraduate</t>
        </is>
      </c>
      <c r="O74" s="77" t="inlineStr">
        <is>
          <t>Years 3-5</t>
        </is>
      </c>
      <c r="P74" s="77" t="inlineStr"/>
      <c r="Q74" s="77" t="inlineStr">
        <is>
          <t>Compulsory within specified programmes</t>
        </is>
      </c>
      <c r="R74" s="77" t="inlineStr">
        <is>
          <t>Curricular</t>
        </is>
      </c>
      <c r="S74" s="77" t="inlineStr">
        <is>
          <t>Not retrieved (a 2018/19 spec mentions 40-credit Design Project 4)</t>
        </is>
      </c>
      <c r="T74" s="77" t="inlineStr"/>
      <c r="U74" s="77" t="inlineStr"/>
      <c r="V74" s="77" t="inlineStr">
        <is>
          <t>Yes</t>
        </is>
      </c>
      <c r="W74" s="77" t="inlineStr">
        <is>
          <t>Major group design project (source 1).</t>
        </is>
      </c>
      <c r="X74" s="77" t="inlineStr">
        <is>
          <t>Yes</t>
        </is>
      </c>
      <c r="Y74" s="77" t="inlineStr">
        <is>
          <t>'Group-based design project' (source 1).</t>
        </is>
      </c>
      <c r="Z74" s="77" t="inlineStr">
        <is>
          <t>Unclear</t>
        </is>
      </c>
      <c r="AA74" s="77" t="inlineStr">
        <is>
          <t>'In partnership with industry' / 'conducted with one of our industrial partners' - brief-setting, supervision or feedback roles not documented (sources 1, 2).</t>
        </is>
      </c>
      <c r="AB74" s="77" t="inlineStr">
        <is>
          <t>Business/commercial</t>
        </is>
      </c>
      <c r="AC74" s="77" t="inlineStr"/>
      <c r="AD74" s="77" t="inlineStr"/>
      <c r="AE74" s="77" t="inlineStr"/>
      <c r="AF74" s="77">
        <f>IF(OR(V74="No",X74="No",Z74="No"),"Outside strict definition",IF(AND(V74="Yes",X74="Yes",Z74="Yes"),"Meets all three","Potentially relevant; evidence incomplete"))</f>
        <v/>
      </c>
      <c r="AG74" s="77" t="inlineStr">
        <is>
          <t>Current status unclear</t>
        </is>
      </c>
      <c r="AH74" s="77" t="inlineStr">
        <is>
          <t>2026/27 entry (marketing pages)</t>
        </is>
      </c>
      <c r="AI74" s="77" t="inlineStr">
        <is>
          <t>Yes</t>
        </is>
      </c>
      <c r="AJ74" s="77">
        <f>IF(AND(AI74="Yes",AF74="Meets all three",AG74="Current delivery confirmed"),"Yes","No")</f>
        <v/>
      </c>
      <c r="AK74" s="77" t="inlineStr"/>
      <c r="AL74" s="77" t="inlineStr">
        <is>
          <t>RG02-S17-R1; RG02-S17-R2</t>
        </is>
      </c>
      <c r="AM74" s="77" t="inlineStr">
        <is>
          <t>No unit-level entry identifying how companies participate; programme pages are marketing text. Could not link to the ILO or to a dated unit entry.</t>
        </is>
      </c>
      <c r="AN74" s="77" t="inlineStr"/>
      <c r="AO74" s="77" t="inlineStr">
        <is>
          <t>UK</t>
        </is>
      </c>
      <c r="AP74" s="77" t="inlineStr">
        <is>
          <t>UK – Russell Group</t>
        </is>
      </c>
      <c r="AQ74" s="77" t="inlineStr">
        <is>
          <t>&gt;1 term</t>
        </is>
      </c>
      <c r="AR74" s="77" t="inlineStr">
        <is>
          <t>Unclear</t>
        </is>
      </c>
      <c r="AS74" s="77" t="inlineStr"/>
    </row>
    <row r="75">
      <c r="A75" s="77" t="inlineStr">
        <is>
          <t>RG03</t>
        </is>
      </c>
      <c r="B75" s="77" t="inlineStr">
        <is>
          <t>Cambridge</t>
        </is>
      </c>
      <c r="C75" s="77" t="inlineStr">
        <is>
          <t>Programme/course</t>
        </is>
      </c>
      <c r="D75" s="77" t="inlineStr">
        <is>
          <t>RG03-S01</t>
        </is>
      </c>
      <c r="E75" s="77" t="inlineStr"/>
      <c r="F75" s="77" t="inlineStr">
        <is>
          <t>No</t>
        </is>
      </c>
      <c r="G75" s="79" t="inlineStr">
        <is>
          <t>MBA Global Consulting Project (GCP)</t>
        </is>
      </c>
      <c r="H75" s="77" t="inlineStr">
        <is>
          <t>Cambridge MBA Global Consulting Project</t>
        </is>
      </c>
      <c r="I75" s="77" t="inlineStr"/>
      <c r="J75"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75" s="77" t="inlineStr">
        <is>
          <t>Cambridge Judge Business School</t>
        </is>
      </c>
      <c r="L75" s="77" t="inlineStr">
        <is>
          <t>Cambridge MBA</t>
        </is>
      </c>
      <c r="M75" s="77" t="inlineStr">
        <is>
          <t>Business/management</t>
        </is>
      </c>
      <c r="N75" s="77" t="inlineStr">
        <is>
          <t>Postgraduate taught</t>
        </is>
      </c>
      <c r="O75" s="77" t="inlineStr">
        <is>
          <t>MBA (Easter term)</t>
        </is>
      </c>
      <c r="P75" s="77" t="inlineStr"/>
      <c r="Q75" s="77" t="inlineStr">
        <is>
          <t>Compulsory within specified programmes</t>
        </is>
      </c>
      <c r="R75" s="77" t="inlineStr">
        <is>
          <t>Curricular</t>
        </is>
      </c>
      <c r="S75" s="77" t="inlineStr">
        <is>
          <t>Described as the culmination of the Management Praxis II core course; credit/weighting not retrieved</t>
        </is>
      </c>
      <c r="T75" s="77" t="inlineStr">
        <is>
          <t>~4 weeks full-time (16 Mar-17 Apr 2026; next mid-Mar to mid-Apr 2027)</t>
        </is>
      </c>
      <c r="U75" s="77" t="inlineStr">
        <is>
          <t>Client-site and remote consulting teams with academic supervisor</t>
        </is>
      </c>
      <c r="V75" s="77" t="inlineStr">
        <is>
          <t>Yes</t>
        </is>
      </c>
      <c r="W75" s="77" t="inlineStr">
        <is>
          <t>Host organisation identifies a management issue; teams deliver analysis/recommendations (sources 1,2).</t>
        </is>
      </c>
      <c r="X75" s="77" t="inlineStr">
        <is>
          <t>Yes</t>
        </is>
      </c>
      <c r="Y75" s="77" t="inlineStr">
        <is>
          <t>Teams of 4-5 MBAs (sources 1,2).</t>
        </is>
      </c>
      <c r="Z75" s="77" t="inlineStr">
        <is>
          <t>Yes</t>
        </is>
      </c>
      <c r="AA75" s="77" t="inlineStr">
        <is>
          <t>Host organisation (commercial, public sector or not-for-profit) sets the issue, names a sponsor and second contact, pays project expenses; clients include WHO, Uber, IBM, Patagonia, World Bank (sources 1,3).</t>
        </is>
      </c>
      <c r="AB75" s="77" t="inlineStr">
        <is>
          <t>Mixed</t>
        </is>
      </c>
      <c r="AC75" s="77" t="inlineStr">
        <is>
          <t>Commissioning client/host; supplies brief, sponsor contact, receives outputs</t>
        </is>
      </c>
      <c r="AD75" s="77" t="inlineStr">
        <is>
          <t>WHO, Uber EMEA, World Bank Group, IBM, Patagonia (various years, per JBS pages/news)</t>
        </is>
      </c>
      <c r="AE75" s="77" t="inlineStr">
        <is>
          <t>Consulting recommendations/report and client presentation</t>
        </is>
      </c>
      <c r="AF75" s="77">
        <f>IF(OR(V75="No",X75="No",Z75="No"),"Outside strict definition",IF(AND(V75="Yes",X75="Yes",Z75="Yes"),"Meets all three","Potentially relevant; evidence incomplete"))</f>
        <v/>
      </c>
      <c r="AG75" s="77" t="inlineStr">
        <is>
          <t>Current delivery confirmed</t>
        </is>
      </c>
      <c r="AH75" s="77" t="inlineStr">
        <is>
          <t>2026 (ran 16 Mar-17 Apr 2026; 2027 proposal call open)</t>
        </is>
      </c>
      <c r="AI75" s="77" t="inlineStr">
        <is>
          <t>Yes</t>
        </is>
      </c>
      <c r="AJ75" s="77">
        <f>IF(AND(AI75="Yes",AF75="Meets all three",AG75="Current delivery confirmed"),"Yes","No")</f>
        <v/>
      </c>
      <c r="AK75" s="77" t="inlineStr"/>
      <c r="AL75" s="77" t="inlineStr">
        <is>
          <t>RG03-S01-R1; RG03-S01-R2; RG03-S01-R3; RG03-S01-R4</t>
        </is>
      </c>
      <c r="AM75" s="77" t="inlineStr">
        <is>
          <t>Compulsory status inferred from 'culmination of the core course' wording; not stated as 'compulsory' in retrieved extracts. Credit weighting not retrieved. Team-size wording varies (4-5; briefing note up to 6).</t>
        </is>
      </c>
      <c r="AN75" s="77" t="inlineStr">
        <is>
          <t>Cambridge Venture Project / Global Consulting Project</t>
        </is>
      </c>
      <c r="AO75" s="77" t="inlineStr">
        <is>
          <t>UK</t>
        </is>
      </c>
      <c r="AP75" s="77" t="inlineStr">
        <is>
          <t>UK – Russell Group</t>
        </is>
      </c>
      <c r="AQ75" s="77" t="inlineStr">
        <is>
          <t>1–4 weeks</t>
        </is>
      </c>
      <c r="AR75" s="77" t="inlineStr">
        <is>
          <t>All/standard</t>
        </is>
      </c>
      <c r="AS75" s="77" t="inlineStr"/>
    </row>
    <row r="76">
      <c r="A76" s="77" t="inlineStr">
        <is>
          <t>RG03</t>
        </is>
      </c>
      <c r="B76" s="77" t="inlineStr">
        <is>
          <t>Cambridge</t>
        </is>
      </c>
      <c r="C76" s="77" t="inlineStr">
        <is>
          <t>Programme/course</t>
        </is>
      </c>
      <c r="D76" s="77" t="inlineStr">
        <is>
          <t>RG03-S02</t>
        </is>
      </c>
      <c r="E76" s="77" t="inlineStr"/>
      <c r="F76" s="77" t="inlineStr">
        <is>
          <t>No</t>
        </is>
      </c>
      <c r="G76" s="79" t="inlineStr">
        <is>
          <t>MBA Cambridge Venture Project (CVP)</t>
        </is>
      </c>
      <c r="H76" s="77" t="inlineStr">
        <is>
          <t>Cambridge MBA Cambridge Venture Project</t>
        </is>
      </c>
      <c r="I76" s="77" t="inlineStr"/>
      <c r="J76" s="77" t="inlineStr">
        <is>
          <t>Teams of about 5-6 MBA students work part-time over six weeks in the first term on a market analysis/research question for a local or UK-based business, with a mentor, and present to the client at the Business School.</t>
        </is>
      </c>
      <c r="K76" s="77" t="inlineStr">
        <is>
          <t>Cambridge Judge Business School</t>
        </is>
      </c>
      <c r="L76" s="77" t="inlineStr">
        <is>
          <t>Cambridge MBA</t>
        </is>
      </c>
      <c r="M76" s="77" t="inlineStr">
        <is>
          <t>Business/management</t>
        </is>
      </c>
      <c r="N76" s="77" t="inlineStr">
        <is>
          <t>Postgraduate taught</t>
        </is>
      </c>
      <c r="O76" s="77" t="inlineStr">
        <is>
          <t>MBA (Michaelmas term)</t>
        </is>
      </c>
      <c r="P76" s="77" t="inlineStr"/>
      <c r="Q76" s="77" t="inlineStr">
        <is>
          <t>Compulsory within specified programmes</t>
        </is>
      </c>
      <c r="R76" s="77" t="inlineStr">
        <is>
          <t>Curricular</t>
        </is>
      </c>
      <c r="S76" s="77" t="inlineStr">
        <is>
          <t>Runs alongside the Management Praxis core course; credit not retrieved</t>
        </is>
      </c>
      <c r="T76" s="77" t="inlineStr">
        <is>
          <t>~6 weeks part-time (1 Oct to w/c 30 Nov 2026)</t>
        </is>
      </c>
      <c r="U76" s="77" t="inlineStr">
        <is>
          <t>Part-time team project with local client; final presentation at Judge</t>
        </is>
      </c>
      <c r="V76" s="77" t="inlineStr">
        <is>
          <t>Yes</t>
        </is>
      </c>
      <c r="W76" s="77" t="inlineStr">
        <is>
          <t>Market analysis/research engagement for a client (sources 1,2).</t>
        </is>
      </c>
      <c r="X76" s="77" t="inlineStr">
        <is>
          <t>Yes</t>
        </is>
      </c>
      <c r="Y76" s="77" t="inlineStr">
        <is>
          <t>Teams of 4-6 (5-6 on programme page) (sources 1,2).</t>
        </is>
      </c>
      <c r="Z76" s="77" t="inlineStr">
        <is>
          <t>Yes</t>
        </is>
      </c>
      <c r="AA76" s="77" t="inlineStr">
        <is>
          <t>Client business proposes the project, names a sponsor and second contact, must attend the final presentation; IP rests with client (source 3, 2024 briefing notes).</t>
        </is>
      </c>
      <c r="AB76" s="77" t="inlineStr">
        <is>
          <t>Business/commercial</t>
        </is>
      </c>
      <c r="AC76" s="77" t="inlineStr">
        <is>
          <t>Client: supplies brief, weekly meetings, attends final presentation; covers expenses</t>
        </is>
      </c>
      <c r="AD76" s="77" t="inlineStr">
        <is>
          <t>British Antarctic Survey, Riverlane, Legatics (listed as previous partners on current page)</t>
        </is>
      </c>
      <c r="AE76" s="77" t="inlineStr">
        <is>
          <t>Market research/analysis report and client presentation</t>
        </is>
      </c>
      <c r="AF76" s="77">
        <f>IF(OR(V76="No",X76="No",Z76="No"),"Outside strict definition",IF(AND(V76="Yes",X76="Yes",Z76="Yes"),"Meets all three","Potentially relevant; evidence incomplete"))</f>
        <v/>
      </c>
      <c r="AG76" s="77" t="inlineStr">
        <is>
          <t>Current delivery confirmed</t>
        </is>
      </c>
      <c r="AH76" s="77" t="inlineStr">
        <is>
          <t>2026/27 (proposals due 4 Sep 2026; project from 1 Oct 2026)</t>
        </is>
      </c>
      <c r="AI76" s="77" t="inlineStr">
        <is>
          <t>Yes</t>
        </is>
      </c>
      <c r="AJ76" s="77">
        <f>IF(AND(AI76="Yes",AF76="Meets all three",AG76="Current delivery confirmed"),"Yes","No")</f>
        <v/>
      </c>
      <c r="AK76" s="77" t="inlineStr"/>
      <c r="AL76" s="77" t="inlineStr">
        <is>
          <t>RG03-S02-R1; RG03-S02-R2; RG03-S02-R3</t>
        </is>
      </c>
      <c r="AM76" s="77" t="inlineStr">
        <is>
          <t>Compulsory status inferred from core-course integration; credit not retrieved. Some clients are charities/public bodies (British Antarctic Survey) so partner type may be Mixed.</t>
        </is>
      </c>
      <c r="AN76" s="77" t="inlineStr">
        <is>
          <t>Cambridge Venture Project / Global Consulting Project</t>
        </is>
      </c>
      <c r="AO76" s="77" t="inlineStr">
        <is>
          <t>UK</t>
        </is>
      </c>
      <c r="AP76" s="77" t="inlineStr">
        <is>
          <t>UK – Russell Group</t>
        </is>
      </c>
      <c r="AQ76" s="77" t="inlineStr">
        <is>
          <t>~1 term/semester</t>
        </is>
      </c>
      <c r="AR76" s="77" t="inlineStr">
        <is>
          <t>All/standard</t>
        </is>
      </c>
      <c r="AS76" s="77" t="inlineStr"/>
    </row>
    <row r="77">
      <c r="A77" s="77" t="inlineStr">
        <is>
          <t>RG03</t>
        </is>
      </c>
      <c r="B77" s="77" t="inlineStr">
        <is>
          <t>Cambridge</t>
        </is>
      </c>
      <c r="C77" s="77" t="inlineStr">
        <is>
          <t>Programme/course</t>
        </is>
      </c>
      <c r="D77" s="77" t="inlineStr">
        <is>
          <t>RG03-S03</t>
        </is>
      </c>
      <c r="E77" s="77" t="inlineStr"/>
      <c r="F77" s="77" t="inlineStr">
        <is>
          <t>No</t>
        </is>
      </c>
      <c r="G77" s="79" t="inlineStr">
        <is>
          <t>MFin Group Consulting Project (GCP)</t>
        </is>
      </c>
      <c r="H77" s="77" t="inlineStr">
        <is>
          <t>Master of Finance Group Consulting Project</t>
        </is>
      </c>
      <c r="I77" s="77" t="inlineStr"/>
      <c r="J77" s="77" t="inlineStr">
        <is>
          <t>Teams of 5-6 MFin students work full-time for four weeks (mid-March to mid-April) for a host finance organisation (banks, asset managers, multilateral development banks, DFIs), each with a faculty supervisor and a host manager, ending in a client presentation.</t>
        </is>
      </c>
      <c r="K77" s="77" t="inlineStr">
        <is>
          <t>Cambridge Judge Business School</t>
        </is>
      </c>
      <c r="L77" s="77" t="inlineStr">
        <is>
          <t>Master of Finance</t>
        </is>
      </c>
      <c r="M77" s="77" t="inlineStr">
        <is>
          <t>Business/management</t>
        </is>
      </c>
      <c r="N77" s="77" t="inlineStr">
        <is>
          <t>Postgraduate taught</t>
        </is>
      </c>
      <c r="O77" s="77" t="inlineStr">
        <is>
          <t>MFin (Easter break)</t>
        </is>
      </c>
      <c r="P77" s="77" t="inlineStr"/>
      <c r="Q77" s="77" t="inlineStr">
        <is>
          <t>Compulsory within specified programmes</t>
        </is>
      </c>
      <c r="R77" s="77" t="inlineStr">
        <is>
          <t>Curricular</t>
        </is>
      </c>
      <c r="S77" s="77" t="inlineStr">
        <is>
          <t>Assessed by presentation to the client (per 2026 news); credit not retrieved</t>
        </is>
      </c>
      <c r="T77" s="77" t="inlineStr">
        <is>
          <t>4 weeks full-time (plus pre-planning)</t>
        </is>
      </c>
      <c r="U77" s="77" t="inlineStr">
        <is>
          <t>Client-facing team project</t>
        </is>
      </c>
      <c r="V77" s="77" t="inlineStr">
        <is>
          <t>Yes</t>
        </is>
      </c>
      <c r="W77" s="77" t="inlineStr">
        <is>
          <t>Real business/finance issue with client presentation (sources 1,2).</t>
        </is>
      </c>
      <c r="X77" s="77" t="inlineStr">
        <is>
          <t>Yes</t>
        </is>
      </c>
      <c r="Y77" s="77" t="inlineStr">
        <is>
          <t>Teams of 5-6 (source 1).</t>
        </is>
      </c>
      <c r="Z77" s="77" t="inlineStr">
        <is>
          <t>Yes</t>
        </is>
      </c>
      <c r="AA77" s="77" t="inlineStr">
        <is>
          <t>Host company/organisation proposes the issue, provides a host manager, receives the team's presentation; 2026 teams worked with multilateral development banks, UNEP FI, specialist investment manager and DFI (sources 1,2).</t>
        </is>
      </c>
      <c r="AB77" s="77" t="inlineStr">
        <is>
          <t>Business/commercial</t>
        </is>
      </c>
      <c r="AC77" s="77" t="inlineStr">
        <is>
          <t>Client: sets brief, host manager, receives presentation (some public/multilateral hosts)</t>
        </is>
      </c>
      <c r="AD77" s="77" t="inlineStr">
        <is>
          <t>UN Environment Programme Finance Initiative; multilateral development bank (unnamed) (2026 news)</t>
        </is>
      </c>
      <c r="AE77" s="77" t="inlineStr">
        <is>
          <t>Client report/analysis and presentation</t>
        </is>
      </c>
      <c r="AF77" s="77">
        <f>IF(OR(V77="No",X77="No",Z77="No"),"Outside strict definition",IF(AND(V77="Yes",X77="Yes",Z77="Yes"),"Meets all three","Potentially relevant; evidence incomplete"))</f>
        <v/>
      </c>
      <c r="AG77" s="77" t="inlineStr">
        <is>
          <t>Current delivery confirmed</t>
        </is>
      </c>
      <c r="AH77" s="77" t="inlineStr">
        <is>
          <t>2026 (June 2026 news; 2027 call open)</t>
        </is>
      </c>
      <c r="AI77" s="77" t="inlineStr">
        <is>
          <t>Yes</t>
        </is>
      </c>
      <c r="AJ77" s="77">
        <f>IF(AND(AI77="Yes",AF77="Meets all three",AG77="Current delivery confirmed"),"Yes","No")</f>
        <v/>
      </c>
      <c r="AK77" s="77" t="inlineStr"/>
      <c r="AL77" s="77" t="inlineStr">
        <is>
          <t>RG03-S03-R1; RG03-S03-R2; RG03-S03-R3</t>
        </is>
      </c>
      <c r="AM77" s="77" t="inlineStr">
        <is>
          <t>Compulsory status and credit weighting not directly retrieved (project appears on MFin curriculum 'Projects' page). Partner type includes multilateral/public bodies.</t>
        </is>
      </c>
      <c r="AN77" s="77" t="inlineStr"/>
      <c r="AO77" s="77" t="inlineStr">
        <is>
          <t>UK</t>
        </is>
      </c>
      <c r="AP77" s="77" t="inlineStr">
        <is>
          <t>UK – Russell Group</t>
        </is>
      </c>
      <c r="AQ77" s="77" t="inlineStr">
        <is>
          <t>1–4 weeks</t>
        </is>
      </c>
      <c r="AR77" s="77" t="inlineStr">
        <is>
          <t>All/standard</t>
        </is>
      </c>
      <c r="AS77" s="77" t="inlineStr"/>
    </row>
    <row r="78">
      <c r="A78" s="77" t="inlineStr">
        <is>
          <t>RG03</t>
        </is>
      </c>
      <c r="B78" s="77" t="inlineStr">
        <is>
          <t>Cambridge</t>
        </is>
      </c>
      <c r="C78" s="77" t="inlineStr">
        <is>
          <t>Programme/course</t>
        </is>
      </c>
      <c r="D78" s="77" t="inlineStr">
        <is>
          <t>RG03-S04</t>
        </is>
      </c>
      <c r="E78" s="77" t="inlineStr"/>
      <c r="F78" s="77" t="inlineStr">
        <is>
          <t>No</t>
        </is>
      </c>
      <c r="G78" s="79" t="inlineStr">
        <is>
          <t>MPhil in Management: Management Consulting Project</t>
        </is>
      </c>
      <c r="H78" s="77" t="inlineStr">
        <is>
          <t>MPhil in Management Consulting Project</t>
        </is>
      </c>
      <c r="I78" s="77" t="inlineStr"/>
      <c r="J78" s="77" t="inlineStr">
        <is>
          <t>Teams of 4-5 MPhil in Management students work with a client company for about six weeks (roughly three weeks full-time), 29 Apr-7 Jun 2027, on a real management challenge, with written report and oral presentation to the client.</t>
        </is>
      </c>
      <c r="K78" s="77" t="inlineStr">
        <is>
          <t>Cambridge Judge Business School</t>
        </is>
      </c>
      <c r="L78" s="77" t="inlineStr">
        <is>
          <t>MPhil in Management</t>
        </is>
      </c>
      <c r="M78" s="77" t="inlineStr">
        <is>
          <t>Business/management</t>
        </is>
      </c>
      <c r="N78" s="77" t="inlineStr">
        <is>
          <t>Postgraduate taught</t>
        </is>
      </c>
      <c r="O78" s="77" t="inlineStr">
        <is>
          <t>MPhil (Easter term)</t>
        </is>
      </c>
      <c r="P78" s="77" t="inlineStr"/>
      <c r="Q78" s="77" t="inlineStr">
        <is>
          <t>Compulsory within specified programmes</t>
        </is>
      </c>
      <c r="R78" s="77" t="inlineStr">
        <is>
          <t>Curricular</t>
        </is>
      </c>
      <c r="S78" s="77" t="inlineStr">
        <is>
          <t>Report and presentation; programme page indicates project assessed separately from exam components (weighting not retrieved)</t>
        </is>
      </c>
      <c r="T78" s="77" t="inlineStr">
        <is>
          <t>~6 weeks (c.3 weeks full-time)</t>
        </is>
      </c>
      <c r="U78" s="77" t="inlineStr">
        <is>
          <t>Client-company team project</t>
        </is>
      </c>
      <c r="V78" s="77" t="inlineStr">
        <is>
          <t>Yes</t>
        </is>
      </c>
      <c r="W78" s="77" t="inlineStr">
        <is>
          <t>Company's real-world challenges; report and presentation (sources 1,2).</t>
        </is>
      </c>
      <c r="X78" s="77" t="inlineStr">
        <is>
          <t>Yes</t>
        </is>
      </c>
      <c r="Y78" s="77" t="inlineStr">
        <is>
          <t>Teams of 4-5 (source 1).</t>
        </is>
      </c>
      <c r="Z78" s="77" t="inlineStr">
        <is>
          <t>Yes</t>
        </is>
      </c>
      <c r="AA78" s="77" t="inlineStr">
        <is>
          <t>Client company supplies the challenge and receives report/presentation; proposal call open to organisations (source 1).</t>
        </is>
      </c>
      <c r="AB78" s="77" t="inlineStr">
        <is>
          <t>Business/commercial</t>
        </is>
      </c>
      <c r="AC78" s="77" t="inlineStr">
        <is>
          <t>Client: supplies challenge, receives outputs</t>
        </is>
      </c>
      <c r="AD78" s="77" t="inlineStr"/>
      <c r="AE78" s="77" t="inlineStr">
        <is>
          <t>Written report and oral presentation to client</t>
        </is>
      </c>
      <c r="AF78" s="77">
        <f>IF(OR(V78="No",X78="No",Z78="No"),"Outside strict definition",IF(AND(V78="Yes",X78="Yes",Z78="Yes"),"Meets all three","Potentially relevant; evidence incomplete"))</f>
        <v/>
      </c>
      <c r="AG78" s="77" t="inlineStr">
        <is>
          <t>Current delivery confirmed</t>
        </is>
      </c>
      <c r="AH78" s="77" t="inlineStr">
        <is>
          <t>2026/27 (proposal deadline 11 Feb 2027; project 29 Apr-7 Jun 2027)</t>
        </is>
      </c>
      <c r="AI78" s="77" t="inlineStr">
        <is>
          <t>Yes</t>
        </is>
      </c>
      <c r="AJ78" s="77">
        <f>IF(AND(AI78="Yes",AF78="Meets all three",AG78="Current delivery confirmed"),"Yes","No")</f>
        <v/>
      </c>
      <c r="AK78" s="77" t="inlineStr"/>
      <c r="AL78" s="77" t="inlineStr">
        <is>
          <t>RG03-S04-R1; RG03-S04-R2</t>
        </is>
      </c>
      <c r="AM78" s="77" t="inlineStr">
        <is>
          <t>Evidence is a forward application call for 2027 (2026/27 academic year); no cohort report retrieved. Compulsory status inferred from curriculum page.</t>
        </is>
      </c>
      <c r="AN78" s="77" t="inlineStr"/>
      <c r="AO78" s="77" t="inlineStr">
        <is>
          <t>UK</t>
        </is>
      </c>
      <c r="AP78" s="77" t="inlineStr">
        <is>
          <t>UK – Russell Group</t>
        </is>
      </c>
      <c r="AQ78" s="77" t="inlineStr">
        <is>
          <t>~1 term/semester</t>
        </is>
      </c>
      <c r="AR78" s="77" t="inlineStr">
        <is>
          <t>All/standard</t>
        </is>
      </c>
      <c r="AS78" s="77" t="inlineStr"/>
    </row>
    <row r="79">
      <c r="A79" s="77" t="inlineStr">
        <is>
          <t>RG03</t>
        </is>
      </c>
      <c r="B79" s="77" t="inlineStr">
        <is>
          <t>Cambridge</t>
        </is>
      </c>
      <c r="C79" s="77" t="inlineStr">
        <is>
          <t>Programme/course</t>
        </is>
      </c>
      <c r="D79" s="77" t="inlineStr">
        <is>
          <t>RG03-S05</t>
        </is>
      </c>
      <c r="E79" s="77" t="inlineStr"/>
      <c r="F79" s="77" t="inlineStr">
        <is>
          <t>No</t>
        </is>
      </c>
      <c r="G79" s="79" t="inlineStr">
        <is>
          <t>Management Studies Tripos (MST) consulting project</t>
        </is>
      </c>
      <c r="H79" s="77" t="inlineStr">
        <is>
          <t>MST consulting project</t>
        </is>
      </c>
      <c r="I79" s="77" t="inlineStr"/>
      <c r="J79" s="77" t="inlineStr">
        <is>
          <t>Undergraduate teams of 3-4 spend four weeks full-time in Easter term on a real management problem identified by an external organisation, agreeing terms of reference, delivering a presentation and an academic report under a University supervisor.</t>
        </is>
      </c>
      <c r="K79" s="77" t="inlineStr">
        <is>
          <t>Cambridge Judge Business School</t>
        </is>
      </c>
      <c r="L79" s="77" t="inlineStr">
        <is>
          <t>Management Studies Tripos</t>
        </is>
      </c>
      <c r="M79" s="77" t="inlineStr">
        <is>
          <t>Business/management</t>
        </is>
      </c>
      <c r="N79" s="77" t="inlineStr">
        <is>
          <t>Undergraduate</t>
        </is>
      </c>
      <c r="O79" s="77" t="inlineStr">
        <is>
          <t>MST (final-year Tripos)</t>
        </is>
      </c>
      <c r="P79" s="77" t="inlineStr"/>
      <c r="Q79" s="77" t="inlineStr">
        <is>
          <t>Compulsory within specified programmes</t>
        </is>
      </c>
      <c r="R79" s="77" t="inlineStr">
        <is>
          <t>Curricular</t>
        </is>
      </c>
      <c r="S79" s="77" t="inlineStr">
        <is>
          <t>Terms of reference, presentation and academic report; weighting not retrieved</t>
        </is>
      </c>
      <c r="T79" s="77" t="inlineStr">
        <is>
          <t>4 weeks full-time (10 May-4 Jun 2027 next cycle)</t>
        </is>
      </c>
      <c r="U79" s="77" t="inlineStr">
        <is>
          <t>Client placement/team project</t>
        </is>
      </c>
      <c r="V79" s="77" t="inlineStr">
        <is>
          <t>Yes</t>
        </is>
      </c>
      <c r="W79" s="77" t="inlineStr">
        <is>
          <t>Real management problem; terms of reference, report, presentation (sources 1,2).</t>
        </is>
      </c>
      <c r="X79" s="77" t="inlineStr">
        <is>
          <t>Yes</t>
        </is>
      </c>
      <c r="Y79" s="77" t="inlineStr">
        <is>
          <t>Teams of 3-4 (sources 1,2).</t>
        </is>
      </c>
      <c r="Z79" s="77" t="inlineStr">
        <is>
          <t>Yes</t>
        </is>
      </c>
      <c r="AA79" s="77" t="inlineStr">
        <is>
          <t>External organisation identifies the problem and hosts the team; any sector within commuting distance; past partners include Cambridge City Council, BT, Procter &amp; Gamble, DfE (sources 1,2).</t>
        </is>
      </c>
      <c r="AB79" s="77" t="inlineStr">
        <is>
          <t>Mixed</t>
        </is>
      </c>
      <c r="AC79" s="77" t="inlineStr">
        <is>
          <t>Client/host: identifies problem, hosts team, receives outputs</t>
        </is>
      </c>
      <c r="AD79" s="77" t="inlineStr">
        <is>
          <t>Cambridge City Council, BT, Procter and Gamble, Department for Education (per project-partners listing; years not dated)</t>
        </is>
      </c>
      <c r="AE79" s="77" t="inlineStr">
        <is>
          <t>Academic report, presentation and agreed terms of reference</t>
        </is>
      </c>
      <c r="AF79" s="77">
        <f>IF(OR(V79="No",X79="No",Z79="No"),"Outside strict definition",IF(AND(V79="Yes",X79="Yes",Z79="Yes"),"Meets all three","Potentially relevant; evidence incomplete"))</f>
        <v/>
      </c>
      <c r="AG79" s="77" t="inlineStr">
        <is>
          <t>Current delivery confirmed</t>
        </is>
      </c>
      <c r="AH79" s="77" t="inlineStr">
        <is>
          <t>2026/27 (proposal deadline 18 Jan 2027; project 10 May-4 Jun 2027)</t>
        </is>
      </c>
      <c r="AI79" s="77" t="inlineStr">
        <is>
          <t>Yes</t>
        </is>
      </c>
      <c r="AJ79" s="77">
        <f>IF(AND(AI79="Yes",AF79="Meets all three",AG79="Current delivery confirmed"),"Yes","No")</f>
        <v/>
      </c>
      <c r="AK79" s="77" t="inlineStr"/>
      <c r="AL79" s="77" t="inlineStr">
        <is>
          <t>RG03-S05-R1; RG03-S05-R2; RG03-S05-R3</t>
        </is>
      </c>
      <c r="AM79" s="77" t="inlineStr">
        <is>
          <t>Evidence is a forward application call; compulsory status inferred (page speaks of students' 'final project'). Weighting not retrieved.</t>
        </is>
      </c>
      <c r="AN79" s="77" t="inlineStr"/>
      <c r="AO79" s="77" t="inlineStr">
        <is>
          <t>UK</t>
        </is>
      </c>
      <c r="AP79" s="77" t="inlineStr">
        <is>
          <t>UK – Russell Group</t>
        </is>
      </c>
      <c r="AQ79" s="77" t="inlineStr">
        <is>
          <t>1–4 weeks</t>
        </is>
      </c>
      <c r="AR79" s="77" t="inlineStr">
        <is>
          <t>All/standard</t>
        </is>
      </c>
      <c r="AS79" s="77" t="inlineStr"/>
    </row>
    <row r="80">
      <c r="A80" s="77" t="inlineStr">
        <is>
          <t>RG03</t>
        </is>
      </c>
      <c r="B80" s="77" t="inlineStr">
        <is>
          <t>Cambridge</t>
        </is>
      </c>
      <c r="C80" s="77" t="inlineStr">
        <is>
          <t>Programme/course</t>
        </is>
      </c>
      <c r="D80" s="77" t="inlineStr">
        <is>
          <t>RG03-S06</t>
        </is>
      </c>
      <c r="E80" s="77" t="inlineStr"/>
      <c r="F80" s="77" t="inlineStr">
        <is>
          <t>No</t>
        </is>
      </c>
      <c r="G80" s="79" t="inlineStr">
        <is>
          <t>MPhil in Technology Policy: Final Group Project</t>
        </is>
      </c>
      <c r="H80" s="77" t="inlineStr">
        <is>
          <t>MPhil Technology Policy Final Group Project</t>
        </is>
      </c>
      <c r="I80" s="77" t="inlineStr"/>
      <c r="J80" s="77" t="inlineStr">
        <is>
          <t>Capstone: groups of 3+ students work in Lent/Easter terms (19 Mar-4 Jun 2027) for a public or private technology-intensive client organisation on a technology policy problem; assessed by client presentation and a ~12,000-word report, double-weighted.</t>
        </is>
      </c>
      <c r="K80" s="77" t="inlineStr">
        <is>
          <t>Cambridge Judge Business School (with Centre for Science and Policy)</t>
        </is>
      </c>
      <c r="L80" s="77" t="inlineStr">
        <is>
          <t>MPhil in Technology Policy</t>
        </is>
      </c>
      <c r="M80" s="77" t="inlineStr">
        <is>
          <t>Business/management; Engineering/computing</t>
        </is>
      </c>
      <c r="N80" s="77" t="inlineStr">
        <is>
          <t>Postgraduate taught</t>
        </is>
      </c>
      <c r="O80" s="77" t="inlineStr">
        <is>
          <t>MPhil (Lent/Easter)</t>
        </is>
      </c>
      <c r="P80" s="77" t="inlineStr"/>
      <c r="Q80" s="77" t="inlineStr">
        <is>
          <t>Compulsory within specified programmes</t>
        </is>
      </c>
      <c r="R80" s="77" t="inlineStr">
        <is>
          <t>Curricular</t>
        </is>
      </c>
      <c r="S80" s="77" t="inlineStr">
        <is>
          <t>Double-weighted; client presentation plus ~12,000-word report under faculty supervision</t>
        </is>
      </c>
      <c r="T80" s="77" t="inlineStr">
        <is>
          <t>~11 weeks (19 Mar-4 Jun 2027)</t>
        </is>
      </c>
      <c r="U80" s="77" t="inlineStr">
        <is>
          <t>Team capstone for client organisation</t>
        </is>
      </c>
      <c r="V80" s="77" t="inlineStr">
        <is>
          <t>Yes</t>
        </is>
      </c>
      <c r="W80" s="77" t="inlineStr">
        <is>
          <t>Real technology policy problem; presentation and 12,000-word report (sources 1,2).</t>
        </is>
      </c>
      <c r="X80" s="77" t="inlineStr">
        <is>
          <t>Yes</t>
        </is>
      </c>
      <c r="Y80" s="77" t="inlineStr">
        <is>
          <t>Groups of 3 or more (teams of 3-5) (sources 1,2).</t>
        </is>
      </c>
      <c r="Z80" s="77" t="inlineStr">
        <is>
          <t>Yes</t>
        </is>
      </c>
      <c r="AA80" s="77" t="inlineStr">
        <is>
          <t>Client organisation (commercial, industrial, public or not-for-profit) sets the problem and receives the final presentation; assessment includes presentation to client (sources 1,2).</t>
        </is>
      </c>
      <c r="AB80" s="77" t="inlineStr">
        <is>
          <t>Mixed</t>
        </is>
      </c>
      <c r="AC80" s="77" t="inlineStr">
        <is>
          <t>Client: supplies problem; receives presentation</t>
        </is>
      </c>
      <c r="AD80" s="77" t="inlineStr">
        <is>
          <t>UK Cabinet Office, Ofcom, IBM, Microsoft, AstraZeneca, Rolls-Royce, Arm, Morgan Stanley, European Commission (listed past clients, undated)</t>
        </is>
      </c>
      <c r="AE80" s="77" t="inlineStr">
        <is>
          <t>Client presentation and 12,000-word report</t>
        </is>
      </c>
      <c r="AF80" s="77">
        <f>IF(OR(V80="No",X80="No",Z80="No"),"Outside strict definition",IF(AND(V80="Yes",X80="Yes",Z80="Yes"),"Meets all three","Potentially relevant; evidence incomplete"))</f>
        <v/>
      </c>
      <c r="AG80" s="77" t="inlineStr">
        <is>
          <t>Current delivery confirmed</t>
        </is>
      </c>
      <c r="AH80" s="77" t="inlineStr">
        <is>
          <t>2026/27 (proposal deadline 11 Jan 2027; project 19 Mar-4 Jun 2027)</t>
        </is>
      </c>
      <c r="AI80" s="77" t="inlineStr">
        <is>
          <t>Yes</t>
        </is>
      </c>
      <c r="AJ80" s="77">
        <f>IF(AND(AI80="Yes",AF80="Meets all three",AG80="Current delivery confirmed"),"Yes","No")</f>
        <v/>
      </c>
      <c r="AK80" s="77" t="inlineStr"/>
      <c r="AL80" s="77" t="inlineStr">
        <is>
          <t>RG03-S06-R1; RG03-S06-R2</t>
        </is>
      </c>
      <c r="AM80" s="77" t="inlineStr">
        <is>
          <t>Evidence is a forward application call; no cohort report retrieved.</t>
        </is>
      </c>
      <c r="AN80" s="77" t="inlineStr"/>
      <c r="AO80" s="77" t="inlineStr">
        <is>
          <t>UK</t>
        </is>
      </c>
      <c r="AP80" s="77" t="inlineStr">
        <is>
          <t>UK – Russell Group</t>
        </is>
      </c>
      <c r="AQ80" s="77" t="inlineStr">
        <is>
          <t>~1 term/semester</t>
        </is>
      </c>
      <c r="AR80" s="77" t="inlineStr">
        <is>
          <t>All/standard</t>
        </is>
      </c>
      <c r="AS80" s="77" t="inlineStr"/>
    </row>
    <row r="81">
      <c r="A81" s="77" t="inlineStr">
        <is>
          <t>RG03</t>
        </is>
      </c>
      <c r="B81" s="77" t="inlineStr">
        <is>
          <t>Cambridge</t>
        </is>
      </c>
      <c r="C81" s="77" t="inlineStr">
        <is>
          <t>Programme/course</t>
        </is>
      </c>
      <c r="D81" s="77" t="inlineStr">
        <is>
          <t>RG03-S07</t>
        </is>
      </c>
      <c r="E81" s="77" t="inlineStr"/>
      <c r="F81" s="77" t="inlineStr">
        <is>
          <t>No</t>
        </is>
      </c>
      <c r="G81" s="79" t="inlineStr">
        <is>
          <t>Executive MBA: Team Consulting Project</t>
        </is>
      </c>
      <c r="H81" s="77" t="inlineStr">
        <is>
          <t>Executive MBA Team Consulting Project</t>
        </is>
      </c>
      <c r="I81" s="77" t="inlineStr"/>
      <c r="J81"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81" s="77" t="inlineStr">
        <is>
          <t>Cambridge Judge Business School</t>
        </is>
      </c>
      <c r="L81" s="77" t="inlineStr">
        <is>
          <t>Executive MBA</t>
        </is>
      </c>
      <c r="M81" s="77" t="inlineStr">
        <is>
          <t>Business/management</t>
        </is>
      </c>
      <c r="N81" s="77" t="inlineStr">
        <is>
          <t>Postgraduate taught</t>
        </is>
      </c>
      <c r="O81" s="77" t="inlineStr">
        <is>
          <t>EMBA</t>
        </is>
      </c>
      <c r="P81" s="77" t="inlineStr"/>
      <c r="Q81" s="77" t="inlineStr">
        <is>
          <t>Compulsory within specified programmes</t>
        </is>
      </c>
      <c r="R81" s="77" t="inlineStr">
        <is>
          <t>Curricular</t>
        </is>
      </c>
      <c r="S81" s="77" t="inlineStr">
        <is>
          <t>Core module; weighting not retrieved</t>
        </is>
      </c>
      <c r="T81" s="77" t="inlineStr">
        <is>
          <t>Unclear (sources conflict: one week vs extended period)</t>
        </is>
      </c>
      <c r="U81" s="77" t="inlineStr">
        <is>
          <t>Part-time team consulting</t>
        </is>
      </c>
      <c r="V81" s="77" t="inlineStr">
        <is>
          <t>Yes</t>
        </is>
      </c>
      <c r="W81" s="77" t="inlineStr">
        <is>
          <t>Team Consulting Project for external client; example sustainability accreditation system for Made in Britain (source 1).</t>
        </is>
      </c>
      <c r="X81" s="77" t="inlineStr">
        <is>
          <t>Yes</t>
        </is>
      </c>
      <c r="Y81" s="77" t="inlineStr">
        <is>
          <t>Participants choose their own teams (source 1).</t>
        </is>
      </c>
      <c r="Z81" s="77" t="inlineStr">
        <is>
          <t>Unclear</t>
        </is>
      </c>
      <c r="AA81" s="77" t="inlineStr">
        <is>
          <t>Clients are external, but most are chosen by participants rather than a standard school-sourced client pool; evidence of client role in supervision/feedback not retrieved (source 1).</t>
        </is>
      </c>
      <c r="AB81" s="77" t="inlineStr">
        <is>
          <t>Mixed</t>
        </is>
      </c>
      <c r="AC81" s="77" t="inlineStr">
        <is>
          <t>Client chosen by participants</t>
        </is>
      </c>
      <c r="AD81" s="77" t="inlineStr">
        <is>
          <t>Made in Britain (2019 team), SAMM Teknoloji, Bluetentacles (examples, years undated)</t>
        </is>
      </c>
      <c r="AE81" s="77" t="inlineStr">
        <is>
          <t>Consulting recommendations</t>
        </is>
      </c>
      <c r="AF81" s="77">
        <f>IF(OR(V81="No",X81="No",Z81="No"),"Outside strict definition",IF(AND(V81="Yes",X81="Yes",Z81="Yes"),"Meets all three","Potentially relevant; evidence incomplete"))</f>
        <v/>
      </c>
      <c r="AG81" s="77" t="inlineStr">
        <is>
          <t>Current status unclear</t>
        </is>
      </c>
      <c r="AH81" s="77" t="inlineStr">
        <is>
          <t>undated</t>
        </is>
      </c>
      <c r="AI81" s="77" t="inlineStr">
        <is>
          <t>Yes</t>
        </is>
      </c>
      <c r="AJ81" s="77">
        <f>IF(AND(AI81="Yes",AF81="Meets all three",AG81="Current delivery confirmed"),"Yes","No")</f>
        <v/>
      </c>
      <c r="AK81" s="77" t="inlineStr"/>
      <c r="AL81" s="77" t="inlineStr">
        <is>
          <t>RG03-S07-R1</t>
        </is>
      </c>
      <c r="AM81" s="77" t="inlineStr">
        <is>
          <t>No dated 2025/26 or 2026/27 evidence; duration conflicting; client involvement beyond hosting not documented; C left Unclear.</t>
        </is>
      </c>
      <c r="AN81" s="77" t="inlineStr"/>
      <c r="AO81" s="77" t="inlineStr">
        <is>
          <t>UK</t>
        </is>
      </c>
      <c r="AP81" s="77" t="inlineStr">
        <is>
          <t>UK – Russell Group</t>
        </is>
      </c>
      <c r="AQ81" s="77" t="inlineStr">
        <is>
          <t>Unclear</t>
        </is>
      </c>
      <c r="AR81" s="77" t="inlineStr">
        <is>
          <t>Unclear</t>
        </is>
      </c>
      <c r="AS81" s="77" t="inlineStr"/>
    </row>
    <row r="82">
      <c r="A82" s="77" t="inlineStr">
        <is>
          <t>RG03</t>
        </is>
      </c>
      <c r="B82" s="77" t="inlineStr">
        <is>
          <t>Cambridge</t>
        </is>
      </c>
      <c r="C82" s="77" t="inlineStr">
        <is>
          <t>Programme/course</t>
        </is>
      </c>
      <c r="D82" s="77" t="inlineStr">
        <is>
          <t>RG03-S08</t>
        </is>
      </c>
      <c r="E82" s="77" t="inlineStr"/>
      <c r="F82" s="77" t="inlineStr">
        <is>
          <t>No</t>
        </is>
      </c>
      <c r="G82" s="79" t="inlineStr">
        <is>
          <t>Computer Science Tripos Part IB Group Project</t>
        </is>
      </c>
      <c r="H82" s="77" t="inlineStr">
        <is>
          <t>Part IB Group Projects (Computer Science)</t>
        </is>
      </c>
      <c r="I82" s="77" t="inlineStr"/>
      <c r="J82"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82" s="77" t="inlineStr">
        <is>
          <t>Department of Computer Science and Technology</t>
        </is>
      </c>
      <c r="L82" s="77" t="inlineStr">
        <is>
          <t>Computer Science Tripos Part IB</t>
        </is>
      </c>
      <c r="M82" s="77" t="inlineStr">
        <is>
          <t>Engineering/computing</t>
        </is>
      </c>
      <c r="N82" s="77" t="inlineStr">
        <is>
          <t>Undergraduate</t>
        </is>
      </c>
      <c r="O82" s="77" t="inlineStr">
        <is>
          <t>Second year (Part IB)</t>
        </is>
      </c>
      <c r="P82" s="77" t="inlineStr"/>
      <c r="Q82" s="77" t="inlineStr">
        <is>
          <t>Compulsory within specified programmes</t>
        </is>
      </c>
      <c r="R82" s="77" t="inlineStr">
        <is>
          <t>Curricular</t>
        </is>
      </c>
      <c r="S82" s="77" t="inlineStr">
        <is>
          <t>Ticks (pass/fail) for teamwork, client relationship, technical contribution and group success; Part IB is unclassed but must be passed to progress</t>
        </is>
      </c>
      <c r="T82" s="77" t="inlineStr">
        <is>
          <t>7 weeks (30-60 hours per student)</t>
        </is>
      </c>
      <c r="U82" s="77" t="inlineStr">
        <is>
          <t>Team software/design project with client reviews</t>
        </is>
      </c>
      <c r="V82" s="77" t="inlineStr">
        <is>
          <t>Yes</t>
        </is>
      </c>
      <c r="W82" s="77" t="inlineStr">
        <is>
          <t>Group builds a product from a design brief; report required (sources 1,2).</t>
        </is>
      </c>
      <c r="X82" s="77" t="inlineStr">
        <is>
          <t>Yes</t>
        </is>
      </c>
      <c r="Y82" s="77" t="inlineStr">
        <is>
          <t>Students are assigned to groups; credit depends on effective teamwork and a shared group-success tick (sources 1,2).</t>
        </is>
      </c>
      <c r="Z82" s="77" t="inlineStr">
        <is>
          <t>Yes</t>
        </is>
      </c>
      <c r="AA82"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82" s="77" t="inlineStr">
        <is>
          <t>Mixed</t>
        </is>
      </c>
      <c r="AC82" s="77" t="inlineStr">
        <is>
          <t>Client: supplies design brief, attends review meetings, receives product/presentation</t>
        </is>
      </c>
      <c r="AD82" s="77" t="inlineStr">
        <is>
          <t>Nokia Bell Labs, Bending Spoons, Evinova, INRIA Grenoble, Calero, Alitheia Capital, Cambridge University Library (2026)</t>
        </is>
      </c>
      <c r="AE82" s="77" t="inlineStr">
        <is>
          <t>Software/product prototype, presentation, group and personal reports</t>
        </is>
      </c>
      <c r="AF82" s="77">
        <f>IF(OR(V82="No",X82="No",Z82="No"),"Outside strict definition",IF(AND(V82="Yes",X82="Yes",Z82="Yes"),"Meets all three","Potentially relevant; evidence incomplete"))</f>
        <v/>
      </c>
      <c r="AG82" s="77" t="inlineStr">
        <is>
          <t>Current delivery confirmed</t>
        </is>
      </c>
      <c r="AH82" s="77" t="inlineStr">
        <is>
          <t>2026 (Part IB Group Project Presentations 2026)</t>
        </is>
      </c>
      <c r="AI82" s="77" t="inlineStr">
        <is>
          <t>Yes</t>
        </is>
      </c>
      <c r="AJ82" s="77">
        <f>IF(AND(AI82="Yes",AF82="Meets all three",AG82="Current delivery confirmed"),"Yes","No")</f>
        <v/>
      </c>
      <c r="AK82" s="77" t="inlineStr"/>
      <c r="AL82" s="77" t="inlineStr">
        <is>
          <t>RG03-S08-R1; RG03-S08-R2; RG03-S08-R3; RG03-S08-R4</t>
        </is>
      </c>
      <c r="AM82" s="77" t="inlineStr">
        <is>
          <t>Compulsory status taken from course page wording 'candidates are required to undertake a group design project'. Minor share of internal clients (University Library) noted; the standard is external industry clients.</t>
        </is>
      </c>
      <c r="AN82" s="77" t="inlineStr"/>
      <c r="AO82" s="77" t="inlineStr">
        <is>
          <t>UK</t>
        </is>
      </c>
      <c r="AP82" s="77" t="inlineStr">
        <is>
          <t>UK – Russell Group</t>
        </is>
      </c>
      <c r="AQ82" s="77" t="inlineStr">
        <is>
          <t>~1 term/semester</t>
        </is>
      </c>
      <c r="AR82" s="77" t="inlineStr">
        <is>
          <t>All/standard</t>
        </is>
      </c>
      <c r="AS82" s="77" t="inlineStr"/>
    </row>
    <row r="83">
      <c r="A83" s="77" t="inlineStr">
        <is>
          <t>RG03</t>
        </is>
      </c>
      <c r="B83" s="77" t="inlineStr">
        <is>
          <t>Cambridge</t>
        </is>
      </c>
      <c r="C83" s="77" t="inlineStr">
        <is>
          <t>Programme/course</t>
        </is>
      </c>
      <c r="D83" s="77" t="inlineStr">
        <is>
          <t>RG03-S09</t>
        </is>
      </c>
      <c r="E83" s="77" t="inlineStr"/>
      <c r="F83" s="77" t="inlineStr">
        <is>
          <t>No</t>
        </is>
      </c>
      <c r="G83" s="79" t="inlineStr">
        <is>
          <t>MET IIB Industrial Projects (Manufacturing Engineering Tripos)</t>
        </is>
      </c>
      <c r="H83" s="77" t="inlineStr">
        <is>
          <t>MET IIB two-week and four-week industrial projects</t>
        </is>
      </c>
      <c r="I83" s="77" t="inlineStr"/>
      <c r="J83"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83" s="77" t="inlineStr">
        <is>
          <t>Institute for Manufacturing, Department of Engineering</t>
        </is>
      </c>
      <c r="L83" s="77" t="inlineStr">
        <is>
          <t>Manufacturing Engineering Tripos (MET) Part IIB</t>
        </is>
      </c>
      <c r="M83" s="77" t="inlineStr">
        <is>
          <t>Engineering/computing</t>
        </is>
      </c>
      <c r="N83" s="77" t="inlineStr">
        <is>
          <t>Undergraduate</t>
        </is>
      </c>
      <c r="O83" s="77" t="inlineStr">
        <is>
          <t>Fourth year (MET IIB)</t>
        </is>
      </c>
      <c r="P83" s="77" t="inlineStr"/>
      <c r="Q83" s="77" t="inlineStr">
        <is>
          <t>Compulsory within specified programmes</t>
        </is>
      </c>
      <c r="R83" s="77" t="inlineStr">
        <is>
          <t>Curricular</t>
        </is>
      </c>
      <c r="S83" s="77" t="inlineStr">
        <is>
          <t>Two-week project worth 45 marks; four-week project worth 80 marks</t>
        </is>
      </c>
      <c r="T83" s="77" t="inlineStr">
        <is>
          <t>2 weeks and 4 weeks</t>
        </is>
      </c>
      <c r="U83" s="77" t="inlineStr">
        <is>
          <t>On-site company projects in teams</t>
        </is>
      </c>
      <c r="V83" s="77" t="inlineStr">
        <is>
          <t>Yes</t>
        </is>
      </c>
      <c r="W83" s="77" t="inlineStr">
        <is>
          <t>Real company problem; e.g. automation feasibility study at MK Electric (source 1).</t>
        </is>
      </c>
      <c r="X83" s="77" t="inlineStr">
        <is>
          <t>Yes</t>
        </is>
      </c>
      <c r="Y83" s="77" t="inlineStr">
        <is>
          <t>Groups of between two and four (source 1).</t>
        </is>
      </c>
      <c r="Z83" s="77" t="inlineStr">
        <is>
          <t>Yes</t>
        </is>
      </c>
      <c r="AA83" s="77" t="inlineStr">
        <is>
          <t>Student groups work in a company with a company supervisor; companies write briefs with IfM staff; examples MK Electric, Rolls-Royce Bristol, Jaguar Land Rover, Siemens (sources 1,2).</t>
        </is>
      </c>
      <c r="AB83" s="77" t="inlineStr">
        <is>
          <t>Business/commercial</t>
        </is>
      </c>
      <c r="AC83" s="77" t="inlineStr">
        <is>
          <t>Host/client: sets brief, supervises on site, receives report</t>
        </is>
      </c>
      <c r="AD83" s="77" t="inlineStr">
        <is>
          <t>MK Electric, Rolls-Royce (Bristol), Jaguar Land Rover, Siemens (undated examples)</t>
        </is>
      </c>
      <c r="AE83" s="77" t="inlineStr">
        <is>
          <t>Company report/presentation</t>
        </is>
      </c>
      <c r="AF83" s="77">
        <f>IF(OR(V83="No",X83="No",Z83="No"),"Outside strict definition",IF(AND(V83="Yes",X83="Yes",Z83="Yes"),"Meets all three","Potentially relevant; evidence incomplete"))</f>
        <v/>
      </c>
      <c r="AG83" s="77" t="inlineStr">
        <is>
          <t>Current status unclear</t>
        </is>
      </c>
      <c r="AH83" s="77" t="inlineStr">
        <is>
          <t>2025 (MET IIB handbook titled 2025; not opened)</t>
        </is>
      </c>
      <c r="AI83" s="77" t="inlineStr">
        <is>
          <t>Yes</t>
        </is>
      </c>
      <c r="AJ83" s="77">
        <f>IF(AND(AI83="Yes",AF83="Meets all three",AG83="Current delivery confirmed"),"Yes","No")</f>
        <v/>
      </c>
      <c r="AK83" s="77" t="inlineStr"/>
      <c r="AL83" s="77" t="inlineStr">
        <is>
          <t>RG03-S09-R1; RG03-S09-R2; RG03-S09-R3</t>
        </is>
      </c>
      <c r="AM83" s="77" t="inlineStr">
        <is>
          <t>Pages undated; a handbook file titled 2025 appeared in results but its content was not retrieved, so current delivery is not confirmed. Mark as likely current pending corroboration.</t>
        </is>
      </c>
      <c r="AN83" s="77" t="inlineStr"/>
      <c r="AO83" s="77" t="inlineStr">
        <is>
          <t>UK</t>
        </is>
      </c>
      <c r="AP83" s="77" t="inlineStr">
        <is>
          <t>UK – Russell Group</t>
        </is>
      </c>
      <c r="AQ83" s="77" t="inlineStr">
        <is>
          <t>1–4 weeks</t>
        </is>
      </c>
      <c r="AR83" s="77" t="inlineStr">
        <is>
          <t>All/standard</t>
        </is>
      </c>
      <c r="AS83" s="77" t="inlineStr"/>
    </row>
    <row r="84">
      <c r="A84" s="77" t="inlineStr">
        <is>
          <t>RG03</t>
        </is>
      </c>
      <c r="B84" s="77" t="inlineStr">
        <is>
          <t>Cambridge</t>
        </is>
      </c>
      <c r="C84" s="77" t="inlineStr">
        <is>
          <t>Programme/course</t>
        </is>
      </c>
      <c r="D84" s="77" t="inlineStr">
        <is>
          <t>RG03-S10</t>
        </is>
      </c>
      <c r="E84" s="77" t="inlineStr"/>
      <c r="F84" s="77" t="inlineStr">
        <is>
          <t>No</t>
        </is>
      </c>
      <c r="G84" s="79" t="inlineStr">
        <is>
          <t>ISMM MPhil Industrial Projects (IfM)</t>
        </is>
      </c>
      <c r="H84" s="77" t="inlineStr">
        <is>
          <t>Industrial Systems, Manufacture and Management MPhil industry projects</t>
        </is>
      </c>
      <c r="I84" s="77" t="inlineStr"/>
      <c r="J84"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84" s="77" t="inlineStr">
        <is>
          <t>Institute for Manufacturing, Department of Engineering</t>
        </is>
      </c>
      <c r="L84" s="77" t="inlineStr">
        <is>
          <t>MPhil in Industrial Systems, Manufacture and Management</t>
        </is>
      </c>
      <c r="M84" s="77" t="inlineStr">
        <is>
          <t>Engineering/computing</t>
        </is>
      </c>
      <c r="N84" s="77" t="inlineStr">
        <is>
          <t>Postgraduate taught</t>
        </is>
      </c>
      <c r="O84" s="77" t="inlineStr">
        <is>
          <t>ISMM MPhil</t>
        </is>
      </c>
      <c r="P84" s="77" t="inlineStr"/>
      <c r="Q84" s="77" t="inlineStr">
        <is>
          <t>Compulsory within specified programmes</t>
        </is>
      </c>
      <c r="R84" s="77" t="inlineStr">
        <is>
          <t>Curricular</t>
        </is>
      </c>
      <c r="S84" s="77" t="inlineStr">
        <is>
          <t>Not retrieved</t>
        </is>
      </c>
      <c r="T84" s="77" t="inlineStr">
        <is>
          <t>Periods of several weeks (P1, P2 Dec-Jan; P3 Jan-Mar)</t>
        </is>
      </c>
      <c r="U84" s="77" t="inlineStr">
        <is>
          <t>On-site company projects, pairs for P1/P2</t>
        </is>
      </c>
      <c r="V84" s="77" t="inlineStr">
        <is>
          <t>Yes</t>
        </is>
      </c>
      <c r="W84" s="77" t="inlineStr">
        <is>
          <t>Organisational challenge addressed and full report presented to company management (source 1).</t>
        </is>
      </c>
      <c r="X84" s="77" t="inlineStr">
        <is>
          <t>Yes</t>
        </is>
      </c>
      <c r="Y84" s="77" t="inlineStr">
        <is>
          <t>P1 and P2 are two students per project (pair); P3 entrepreneurship projects team size not retrieved (source 1).</t>
        </is>
      </c>
      <c r="Z84" s="77" t="inlineStr">
        <is>
          <t>Yes</t>
        </is>
      </c>
      <c r="AA84" s="77" t="inlineStr">
        <is>
          <t>Companies write the brief with IfM staff and receive the report presentation (source 1).</t>
        </is>
      </c>
      <c r="AB84" s="77" t="inlineStr">
        <is>
          <t>Business/commercial</t>
        </is>
      </c>
      <c r="AC84" s="77" t="inlineStr">
        <is>
          <t>Host/client: brief, site, receives report</t>
        </is>
      </c>
      <c r="AD84" s="77" t="inlineStr"/>
      <c r="AE84" s="77" t="inlineStr">
        <is>
          <t>Company report/presentation</t>
        </is>
      </c>
      <c r="AF84" s="77">
        <f>IF(OR(V84="No",X84="No",Z84="No"),"Outside strict definition",IF(AND(V84="Yes",X84="Yes",Z84="Yes"),"Meets all three","Potentially relevant; evidence incomplete"))</f>
        <v/>
      </c>
      <c r="AG84" s="77" t="inlineStr">
        <is>
          <t>Current status unclear</t>
        </is>
      </c>
      <c r="AH84" s="77" t="inlineStr">
        <is>
          <t>undated (ISMM dissertation pages from 2017)</t>
        </is>
      </c>
      <c r="AI84" s="77" t="inlineStr">
        <is>
          <t>Yes</t>
        </is>
      </c>
      <c r="AJ84" s="77">
        <f>IF(AND(AI84="Yes",AF84="Meets all three",AG84="Current delivery confirmed"),"Yes","No")</f>
        <v/>
      </c>
      <c r="AK84" s="77" t="inlineStr"/>
      <c r="AL84" s="77" t="inlineStr">
        <is>
          <t>RG03-S10-R1; RG03-S10-R2</t>
        </is>
      </c>
      <c r="AM84" s="77" t="inlineStr">
        <is>
          <t>Page undated; project calendar needs confirmation from IfM; individual vs team split noted ('individually or in teams'); pair evidence only for P1/P2.</t>
        </is>
      </c>
      <c r="AN84" s="77" t="inlineStr"/>
      <c r="AO84" s="77" t="inlineStr">
        <is>
          <t>UK</t>
        </is>
      </c>
      <c r="AP84" s="77" t="inlineStr">
        <is>
          <t>UK – Russell Group</t>
        </is>
      </c>
      <c r="AQ84" s="77" t="inlineStr">
        <is>
          <t>1–4 weeks</t>
        </is>
      </c>
      <c r="AR84" s="77" t="inlineStr">
        <is>
          <t>All/standard</t>
        </is>
      </c>
      <c r="AS84" s="77" t="inlineStr"/>
    </row>
    <row r="85">
      <c r="A85" s="77" t="inlineStr">
        <is>
          <t>RG03</t>
        </is>
      </c>
      <c r="B85" s="77" t="inlineStr">
        <is>
          <t>Cambridge</t>
        </is>
      </c>
      <c r="C85" s="77" t="inlineStr">
        <is>
          <t>Programme/course</t>
        </is>
      </c>
      <c r="D85" s="77" t="inlineStr">
        <is>
          <t>RG03-S11</t>
        </is>
      </c>
      <c r="E85" s="77" t="inlineStr"/>
      <c r="F85" s="77" t="inlineStr">
        <is>
          <t>No</t>
        </is>
      </c>
      <c r="G85" s="79" t="inlineStr">
        <is>
          <t>MPhil in Engineering for Sustainable Development: Client Project (ESD-CP)</t>
        </is>
      </c>
      <c r="H85" s="77" t="inlineStr">
        <is>
          <t>ESD MPhil Client Project</t>
        </is>
      </c>
      <c r="I85" s="77" t="inlineStr"/>
      <c r="J85"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85" s="77" t="inlineStr">
        <is>
          <t>Centre for Sustainable Development, Department of Engineering</t>
        </is>
      </c>
      <c r="L85" s="77" t="inlineStr">
        <is>
          <t>MPhil in Engineering for Sustainable Development</t>
        </is>
      </c>
      <c r="M85" s="77" t="inlineStr">
        <is>
          <t>Engineering/computing</t>
        </is>
      </c>
      <c r="N85" s="77" t="inlineStr">
        <is>
          <t>Postgraduate taught</t>
        </is>
      </c>
      <c r="O85" s="77" t="inlineStr">
        <is>
          <t>MPhil (Lent term)</t>
        </is>
      </c>
      <c r="P85" s="77" t="inlineStr"/>
      <c r="Q85" s="77" t="inlineStr">
        <is>
          <t>Compulsory within specified programmes</t>
        </is>
      </c>
      <c r="R85" s="77" t="inlineStr">
        <is>
          <t>Curricular</t>
        </is>
      </c>
      <c r="S85" s="77" t="inlineStr">
        <is>
          <t>One module equivalent; written work and group presentation to client</t>
        </is>
      </c>
      <c r="T85" s="77" t="inlineStr">
        <is>
          <t>Lent term (Jan-Mar), alongside other teaching</t>
        </is>
      </c>
      <c r="U85" s="77" t="inlineStr">
        <is>
          <t>Team client project</t>
        </is>
      </c>
      <c r="V85" s="77" t="inlineStr">
        <is>
          <t>Yes</t>
        </is>
      </c>
      <c r="W85" s="77" t="inlineStr">
        <is>
          <t>Real-world problem; report and presentation (source 1).</t>
        </is>
      </c>
      <c r="X85" s="77" t="inlineStr">
        <is>
          <t>Yes</t>
        </is>
      </c>
      <c r="Y85" s="77" t="inlineStr">
        <is>
          <t>Team-based Client Project (source 1).</t>
        </is>
      </c>
      <c r="Z85" s="77" t="inlineStr">
        <is>
          <t>Yes</t>
        </is>
      </c>
      <c r="AA85" s="77" t="inlineStr">
        <is>
          <t>External client sets problem and receives presentation; client types listed (source 1).</t>
        </is>
      </c>
      <c r="AB85" s="77" t="inlineStr">
        <is>
          <t>Mixed</t>
        </is>
      </c>
      <c r="AC85" s="77" t="inlineStr">
        <is>
          <t>Client</t>
        </is>
      </c>
      <c r="AD85" s="77" t="inlineStr"/>
      <c r="AE85" s="77" t="inlineStr">
        <is>
          <t>Written report and presentation</t>
        </is>
      </c>
      <c r="AF85" s="77">
        <f>IF(OR(V85="No",X85="No",Z85="No"),"Outside strict definition",IF(AND(V85="Yes",X85="Yes",Z85="Yes"),"Meets all three","Potentially relevant; evidence incomplete"))</f>
        <v/>
      </c>
      <c r="AG85" s="77" t="inlineStr">
        <is>
          <t>Current status unclear</t>
        </is>
      </c>
      <c r="AH85" s="77" t="inlineStr">
        <is>
          <t>undated</t>
        </is>
      </c>
      <c r="AI85" s="77" t="inlineStr">
        <is>
          <t>Yes</t>
        </is>
      </c>
      <c r="AJ85" s="77">
        <f>IF(AND(AI85="Yes",AF85="Meets all three",AG85="Current delivery confirmed"),"Yes","No")</f>
        <v/>
      </c>
      <c r="AK85" s="77" t="inlineStr"/>
      <c r="AL85" s="77" t="inlineStr">
        <is>
          <t>RG03-S11-R1; RG03-S11-R2</t>
        </is>
      </c>
      <c r="AM85" s="77" t="inlineStr">
        <is>
          <t>No dated cohort or 2025/26-2026/27 listing retrieved.</t>
        </is>
      </c>
      <c r="AN85" s="77" t="inlineStr"/>
      <c r="AO85" s="77" t="inlineStr">
        <is>
          <t>UK</t>
        </is>
      </c>
      <c r="AP85" s="77" t="inlineStr">
        <is>
          <t>UK – Russell Group</t>
        </is>
      </c>
      <c r="AQ85" s="77" t="inlineStr">
        <is>
          <t>~1 term/semester</t>
        </is>
      </c>
      <c r="AR85" s="77" t="inlineStr">
        <is>
          <t>All/standard</t>
        </is>
      </c>
      <c r="AS85" s="77" t="inlineStr"/>
    </row>
    <row r="86">
      <c r="A86" s="77" t="inlineStr">
        <is>
          <t>RG03</t>
        </is>
      </c>
      <c r="B86" s="77" t="inlineStr">
        <is>
          <t>Cambridge</t>
        </is>
      </c>
      <c r="C86" s="77" t="inlineStr">
        <is>
          <t>Programme/course</t>
        </is>
      </c>
      <c r="D86" s="77" t="inlineStr">
        <is>
          <t>RG03-S12</t>
        </is>
      </c>
      <c r="E86" s="77" t="inlineStr"/>
      <c r="F86" s="77" t="inlineStr">
        <is>
          <t>No</t>
        </is>
      </c>
      <c r="G86" s="79" t="inlineStr">
        <is>
          <t>MPhil in Bioscience Enterprise: team consulting project</t>
        </is>
      </c>
      <c r="H86" s="77" t="inlineStr">
        <is>
          <t>MBE consulting project</t>
        </is>
      </c>
      <c r="I86" s="77" t="inlineStr"/>
      <c r="J86"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86" s="77" t="inlineStr">
        <is>
          <t>Department of Chemical Engineering and Biotechnology (also listed by Department of Medicine)</t>
        </is>
      </c>
      <c r="L86" s="77" t="inlineStr">
        <is>
          <t>MPhil in Bioscience Enterprise</t>
        </is>
      </c>
      <c r="M86" s="77" t="inlineStr">
        <is>
          <t>Science; Engineering/computing</t>
        </is>
      </c>
      <c r="N86" s="77" t="inlineStr">
        <is>
          <t>Postgraduate taught</t>
        </is>
      </c>
      <c r="O86" s="77" t="inlineStr">
        <is>
          <t>MPhil</t>
        </is>
      </c>
      <c r="P86" s="77" t="inlineStr"/>
      <c r="Q86" s="77" t="inlineStr">
        <is>
          <t>Compulsory within specified programmes</t>
        </is>
      </c>
      <c r="R86" s="77" t="inlineStr">
        <is>
          <t>Curricular</t>
        </is>
      </c>
      <c r="S86" s="77" t="inlineStr">
        <is>
          <t>Not retrieved</t>
        </is>
      </c>
      <c r="T86" s="77" t="inlineStr">
        <is>
          <t>Part of a 9-month course with an ~8-week business-oriented research project (consulting project length not retrieved)</t>
        </is>
      </c>
      <c r="U86" s="77" t="inlineStr">
        <is>
          <t>Team consultancy for company</t>
        </is>
      </c>
      <c r="V86" s="77" t="inlineStr">
        <is>
          <t>Yes</t>
        </is>
      </c>
      <c r="W86" s="77" t="inlineStr">
        <is>
          <t>Real commercial question; oral presentation and written report (source 1).</t>
        </is>
      </c>
      <c r="X86" s="77" t="inlineStr">
        <is>
          <t>Yes</t>
        </is>
      </c>
      <c r="Y86" s="77" t="inlineStr">
        <is>
          <t>Students work in teams acting as a consultancy (source 1).</t>
        </is>
      </c>
      <c r="Z86" s="77" t="inlineStr">
        <is>
          <t>Yes</t>
        </is>
      </c>
      <c r="AA86" s="77" t="inlineStr">
        <is>
          <t>Companies submit proposals; deliverables presented to the Company and the Department (source 1).</t>
        </is>
      </c>
      <c r="AB86" s="77" t="inlineStr">
        <is>
          <t>Business/commercial</t>
        </is>
      </c>
      <c r="AC86" s="77" t="inlineStr">
        <is>
          <t>Client: proposes project, receives presentation/report</t>
        </is>
      </c>
      <c r="AD86" s="77" t="inlineStr"/>
      <c r="AE86" s="77" t="inlineStr">
        <is>
          <t>Report and presentation to company</t>
        </is>
      </c>
      <c r="AF86" s="77">
        <f>IF(OR(V86="No",X86="No",Z86="No"),"Outside strict definition",IF(AND(V86="Yes",X86="Yes",Z86="Yes"),"Meets all three","Potentially relevant; evidence incomplete"))</f>
        <v/>
      </c>
      <c r="AG86" s="77" t="inlineStr">
        <is>
          <t>Current status unclear</t>
        </is>
      </c>
      <c r="AH86" s="77" t="inlineStr">
        <is>
          <t>undated</t>
        </is>
      </c>
      <c r="AI86" s="77" t="inlineStr">
        <is>
          <t>Yes</t>
        </is>
      </c>
      <c r="AJ86" s="77">
        <f>IF(AND(AI86="Yes",AF86="Meets all three",AG86="Current delivery confirmed"),"Yes","No")</f>
        <v/>
      </c>
      <c r="AK86" s="77" t="inlineStr"/>
      <c r="AL86" s="77" t="inlineStr">
        <is>
          <t>RG03-S12-R1; RG03-S12-R2</t>
        </is>
      </c>
      <c r="AM86" s="77" t="inlineStr">
        <is>
          <t>CEB page states 'not currently accepting applications'; Department of Medicine lists an October 2027 start; no dated cohort evidence. Consulting project duration unknown.</t>
        </is>
      </c>
      <c r="AN86" s="77" t="inlineStr"/>
      <c r="AO86" s="77" t="inlineStr">
        <is>
          <t>UK</t>
        </is>
      </c>
      <c r="AP86" s="77" t="inlineStr">
        <is>
          <t>UK – Russell Group</t>
        </is>
      </c>
      <c r="AQ86" s="77" t="inlineStr">
        <is>
          <t>Unclear</t>
        </is>
      </c>
      <c r="AR86" s="77" t="inlineStr">
        <is>
          <t>All/standard</t>
        </is>
      </c>
      <c r="AS86" s="77" t="inlineStr"/>
    </row>
    <row r="87">
      <c r="A87" s="77" t="inlineStr">
        <is>
          <t>RG03</t>
        </is>
      </c>
      <c r="B87" s="77" t="inlineStr">
        <is>
          <t>Cambridge</t>
        </is>
      </c>
      <c r="C87" s="77" t="inlineStr">
        <is>
          <t>Programme/course</t>
        </is>
      </c>
      <c r="D87" s="77" t="inlineStr">
        <is>
          <t>RG03-S13</t>
        </is>
      </c>
      <c r="E87" s="77" t="inlineStr"/>
      <c r="F87" s="77" t="inlineStr">
        <is>
          <t>No</t>
        </is>
      </c>
      <c r="G87" s="79" t="inlineStr">
        <is>
          <t>MPhil in Public Policy: Policy Analysis Exercise (PAE)</t>
        </is>
      </c>
      <c r="H87" s="77" t="inlineStr">
        <is>
          <t>Bennett School Policy Analysis Exercise</t>
        </is>
      </c>
      <c r="I87" s="77" t="inlineStr"/>
      <c r="J87" s="77" t="inlineStr">
        <is>
          <t>A five-day group exercise late in Easter term, delivered with a government department or international organisation on a current 'live' topic: the client sets the question, teams produce a 12-page report and presentation to the client. Not assessed.</t>
        </is>
      </c>
      <c r="K87" s="77" t="inlineStr">
        <is>
          <t>Bennett School of Public Policy</t>
        </is>
      </c>
      <c r="L87" s="77" t="inlineStr">
        <is>
          <t>MPhil in Public Policy</t>
        </is>
      </c>
      <c r="M87" s="77" t="inlineStr">
        <is>
          <t>Arts/humanities/social sciences</t>
        </is>
      </c>
      <c r="N87" s="77" t="inlineStr">
        <is>
          <t>Postgraduate taught</t>
        </is>
      </c>
      <c r="O87" s="77" t="inlineStr">
        <is>
          <t>MPhil (Easter term)</t>
        </is>
      </c>
      <c r="P87" s="77" t="inlineStr"/>
      <c r="Q87" s="77" t="inlineStr">
        <is>
          <t>Compulsory within specified programmes</t>
        </is>
      </c>
      <c r="R87" s="77" t="inlineStr">
        <is>
          <t>Curricular</t>
        </is>
      </c>
      <c r="S87" s="77" t="inlineStr">
        <is>
          <t>Not assessed</t>
        </is>
      </c>
      <c r="T87" s="77" t="inlineStr">
        <is>
          <t>5 days</t>
        </is>
      </c>
      <c r="U87" s="77" t="inlineStr">
        <is>
          <t>Intensive group simulation exercise with client briefing</t>
        </is>
      </c>
      <c r="V87" s="77" t="inlineStr">
        <is>
          <t>Yes</t>
        </is>
      </c>
      <c r="W87" s="77" t="inlineStr">
        <is>
          <t>Client-set policy question; 12-page report and presentation (source 1). Bounded 5-day output.</t>
        </is>
      </c>
      <c r="X87" s="77" t="inlineStr">
        <is>
          <t>Yes</t>
        </is>
      </c>
      <c r="Y87" s="77" t="inlineStr">
        <is>
          <t>Students are split into teams (source 1).</t>
        </is>
      </c>
      <c r="Z87" s="77" t="inlineStr">
        <is>
          <t>Yes</t>
        </is>
      </c>
      <c r="AA87" s="77" t="inlineStr">
        <is>
          <t>Client (UNDP, OECD, World Bank in past years) opens with a briefing setting the problem and receives each team's presentation (source 1). Page labels it a 'simulation exercise'; the clients are real organisations.</t>
        </is>
      </c>
      <c r="AB87" s="77" t="inlineStr">
        <is>
          <t>Public sector</t>
        </is>
      </c>
      <c r="AC87" s="77" t="inlineStr">
        <is>
          <t>Client: sets question, receives presentation</t>
        </is>
      </c>
      <c r="AD87" s="77" t="inlineStr">
        <is>
          <t>UNDP (Jordan refugee integration), OECD (climate action), World Bank (business dynamism) - past years, undated</t>
        </is>
      </c>
      <c r="AE87" s="77" t="inlineStr">
        <is>
          <t>12-page report and presentation to the client</t>
        </is>
      </c>
      <c r="AF87" s="77">
        <f>IF(OR(V87="No",X87="No",Z87="No"),"Outside strict definition",IF(AND(V87="Yes",X87="Yes",Z87="Yes"),"Meets all three","Potentially relevant; evidence incomplete"))</f>
        <v/>
      </c>
      <c r="AG87" s="77" t="inlineStr">
        <is>
          <t>Current status unclear</t>
        </is>
      </c>
      <c r="AH87" s="77" t="inlineStr">
        <is>
          <t>undated</t>
        </is>
      </c>
      <c r="AI87" s="77" t="inlineStr">
        <is>
          <t>Yes</t>
        </is>
      </c>
      <c r="AJ87" s="77">
        <f>IF(AND(AI87="Yes",AF87="Meets all three",AG87="Current delivery confirmed"),"Yes","No")</f>
        <v/>
      </c>
      <c r="AK87" s="77" t="inlineStr"/>
      <c r="AL87" s="77" t="inlineStr">
        <is>
          <t>RG03-S13-R1</t>
        </is>
      </c>
      <c r="AM87" s="77" t="inlineStr">
        <is>
          <t>No dated 2025/26 or 2026/27 client confirmation; described as simulation exercise but with real client organisations; unassessed, 5 days only.</t>
        </is>
      </c>
      <c r="AN87" s="77" t="inlineStr"/>
      <c r="AO87" s="77" t="inlineStr">
        <is>
          <t>UK</t>
        </is>
      </c>
      <c r="AP87" s="77" t="inlineStr">
        <is>
          <t>UK – Russell Group</t>
        </is>
      </c>
      <c r="AQ87" s="77" t="inlineStr">
        <is>
          <t>&lt;1 week</t>
        </is>
      </c>
      <c r="AR87" s="77" t="inlineStr">
        <is>
          <t>Unclear</t>
        </is>
      </c>
      <c r="AS87" s="77" t="inlineStr"/>
    </row>
    <row r="88">
      <c r="A88" s="77" t="inlineStr">
        <is>
          <t>RG03</t>
        </is>
      </c>
      <c r="B88" s="77" t="inlineStr">
        <is>
          <t>Cambridge</t>
        </is>
      </c>
      <c r="C88" s="77" t="inlineStr">
        <is>
          <t>Programme/course</t>
        </is>
      </c>
      <c r="D88" s="77" t="inlineStr">
        <is>
          <t>RG03-S14</t>
        </is>
      </c>
      <c r="E88" s="77" t="inlineStr"/>
      <c r="F88" s="77" t="inlineStr">
        <is>
          <t>No</t>
        </is>
      </c>
      <c r="G88" s="79" t="inlineStr">
        <is>
          <t>MPhil in Conservation Leadership: group consultancy project</t>
        </is>
      </c>
      <c r="H88" s="77" t="inlineStr">
        <is>
          <t>Conservation Leadership group consultancy (CL6/CL104 Innovation for Conservation Leadership)</t>
        </is>
      </c>
      <c r="I88" s="77" t="inlineStr"/>
      <c r="J88" s="77" t="inlineStr">
        <is>
          <t>MPhil students complete an intensive group consultancy project with one of the Cambridge Conservation Initiative partner organisations (e.g. BTO, BirdLife, IUCN, FFI, UNEP-WCMC), alongside a separate individual placement.</t>
        </is>
      </c>
      <c r="K88" s="77" t="inlineStr">
        <is>
          <t>Department of Geography (Masters in Conservation Leadership, with Cambridge Conservation Initiative)</t>
        </is>
      </c>
      <c r="L88" s="77" t="inlineStr">
        <is>
          <t>MPhil in Conservation Leadership</t>
        </is>
      </c>
      <c r="M88" s="77" t="inlineStr">
        <is>
          <t>Science; Arts/humanities/social sciences</t>
        </is>
      </c>
      <c r="N88" s="77" t="inlineStr">
        <is>
          <t>Postgraduate taught</t>
        </is>
      </c>
      <c r="O88" s="77" t="inlineStr">
        <is>
          <t>MPhil</t>
        </is>
      </c>
      <c r="P88" s="77" t="inlineStr"/>
      <c r="Q88" s="77" t="inlineStr">
        <is>
          <t>Compulsory within specified programmes</t>
        </is>
      </c>
      <c r="R88" s="77" t="inlineStr">
        <is>
          <t>Curricular</t>
        </is>
      </c>
      <c r="S88" s="77" t="inlineStr">
        <is>
          <t>Within module CL6/CL104; not retrieved</t>
        </is>
      </c>
      <c r="T88" s="77" t="inlineStr">
        <is>
          <t>Intensive (length not retrieved)</t>
        </is>
      </c>
      <c r="U88" s="77" t="inlineStr">
        <is>
          <t>Group consultancy with conservation organisation</t>
        </is>
      </c>
      <c r="V88" s="77" t="inlineStr">
        <is>
          <t>Yes</t>
        </is>
      </c>
      <c r="W88" s="77" t="inlineStr">
        <is>
          <t>Consultancy project undertaken with a CCI partner (source 1).</t>
        </is>
      </c>
      <c r="X88" s="77" t="inlineStr">
        <is>
          <t>Yes</t>
        </is>
      </c>
      <c r="Y88" s="77" t="inlineStr">
        <is>
          <t>Described as a group consultancy project (sources 1,2).</t>
        </is>
      </c>
      <c r="Z88" s="77" t="inlineStr">
        <is>
          <t>Yes</t>
        </is>
      </c>
      <c r="AA88" s="77" t="inlineStr">
        <is>
          <t>Each consultancy is undertaken with a CCI partner organisation; BTO regularly hosts consultancy projects (sources 1,2). CCI includes some University bodies; external NGOs named.</t>
        </is>
      </c>
      <c r="AB88" s="77" t="inlineStr">
        <is>
          <t>Charity/community</t>
        </is>
      </c>
      <c r="AC88" s="77" t="inlineStr">
        <is>
          <t>Host/client organisation</t>
        </is>
      </c>
      <c r="AD88" s="77" t="inlineStr">
        <is>
          <t>British Trust for Ornithology, BirdLife International, IUCN, Fauna &amp; Flora, UNEP-WCMC (CCI partners per programme news; years undated)</t>
        </is>
      </c>
      <c r="AE88" s="77" t="inlineStr">
        <is>
          <t>Consultancy output for partner (not detailed)</t>
        </is>
      </c>
      <c r="AF88" s="77">
        <f>IF(OR(V88="No",X88="No",Z88="No"),"Outside strict definition",IF(AND(V88="Yes",X88="Yes",Z88="Yes"),"Meets all three","Potentially relevant; evidence incomplete"))</f>
        <v/>
      </c>
      <c r="AG88" s="77" t="inlineStr">
        <is>
          <t>Current status unclear</t>
        </is>
      </c>
      <c r="AH88" s="77" t="inlineStr">
        <is>
          <t>2025 (individual placement list; group consultancy undated)</t>
        </is>
      </c>
      <c r="AI88" s="77" t="inlineStr">
        <is>
          <t>Yes</t>
        </is>
      </c>
      <c r="AJ88" s="77">
        <f>IF(AND(AI88="Yes",AF88="Meets all three",AG88="Current delivery confirmed"),"Yes","No")</f>
        <v/>
      </c>
      <c r="AK88" s="77" t="inlineStr"/>
      <c r="AL88" s="77" t="inlineStr">
        <is>
          <t>RG03-S14-R1; RG03-S14-R2</t>
        </is>
      </c>
      <c r="AM88" s="77" t="inlineStr">
        <is>
          <t>No dated cohort listing of group consultancy projects; deliverable and duration not retrieved; CCI partner list includes some University bodies.</t>
        </is>
      </c>
      <c r="AN88" s="77" t="inlineStr"/>
      <c r="AO88" s="77" t="inlineStr">
        <is>
          <t>UK</t>
        </is>
      </c>
      <c r="AP88" s="77" t="inlineStr">
        <is>
          <t>UK – Russell Group</t>
        </is>
      </c>
      <c r="AQ88" s="77" t="inlineStr">
        <is>
          <t>Unclear</t>
        </is>
      </c>
      <c r="AR88" s="77" t="inlineStr">
        <is>
          <t>All/standard</t>
        </is>
      </c>
      <c r="AS88" s="77" t="inlineStr"/>
    </row>
    <row r="89">
      <c r="A89" s="77" t="inlineStr">
        <is>
          <t>RG03</t>
        </is>
      </c>
      <c r="B89" s="77" t="inlineStr">
        <is>
          <t>Cambridge</t>
        </is>
      </c>
      <c r="C89" s="77" t="inlineStr">
        <is>
          <t>University-wide</t>
        </is>
      </c>
      <c r="D89" s="77" t="inlineStr">
        <is>
          <t>RG03-S15</t>
        </is>
      </c>
      <c r="E89" s="77" t="inlineStr"/>
      <c r="F89" s="77" t="inlineStr">
        <is>
          <t>No</t>
        </is>
      </c>
      <c r="G89" s="79" t="inlineStr">
        <is>
          <t>Innovation / Climate i-Teams</t>
        </is>
      </c>
      <c r="H89" s="77" t="inlineStr">
        <is>
          <t>i-Teams (Innovation, Development, Medical, Social and Climate streams)</t>
        </is>
      </c>
      <c r="I89" s="77" t="inlineStr"/>
      <c r="J89"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89" s="77" t="inlineStr">
        <is>
          <t>Innovation / IE Cambridge (i-Teams programme, hosted at IfM)</t>
        </is>
      </c>
      <c r="L89" s="77" t="inlineStr">
        <is>
          <t>Calls say any department; students (UG/PG), PhD, postdocs, staff; Climate i-Teams aimed at postgraduates and early-career researchers</t>
        </is>
      </c>
      <c r="M89" s="77" t="inlineStr">
        <is>
          <t>Central provision</t>
        </is>
      </c>
      <c r="N89" s="77" t="inlineStr">
        <is>
          <t>Mixed</t>
        </is>
      </c>
      <c r="O89" s="77" t="inlineStr">
        <is>
          <t>Mixed</t>
        </is>
      </c>
      <c r="P89" s="77" t="inlineStr"/>
      <c r="Q89" s="77" t="inlineStr">
        <is>
          <t>Selective/competitive</t>
        </is>
      </c>
      <c r="R89" s="77" t="inlineStr">
        <is>
          <t>Extracurricular</t>
        </is>
      </c>
      <c r="S89" s="77" t="inlineStr">
        <is>
          <t>No credit evidenced</t>
        </is>
      </c>
      <c r="T89" s="77" t="inlineStr">
        <is>
          <t>One term (Michaelmas 2026: 5 Oct to 10 Dec presentations)</t>
        </is>
      </c>
      <c r="U89" s="77" t="inlineStr">
        <is>
          <t>Weekly Monday evening workshops plus team project</t>
        </is>
      </c>
      <c r="V89" s="77" t="inlineStr">
        <is>
          <t>Yes</t>
        </is>
      </c>
      <c r="W89" s="77" t="inlineStr">
        <is>
          <t>Teams investigate market potential and routes to impact for a real invention; final recommendations presented (sources 1,2).</t>
        </is>
      </c>
      <c r="X89" s="77" t="inlineStr">
        <is>
          <t>Yes</t>
        </is>
      </c>
      <c r="Y89" s="77" t="inlineStr">
        <is>
          <t>Multidisciplinary teams of up to ~7 (sources 1,2).</t>
        </is>
      </c>
      <c r="Z89" s="77" t="inlineStr">
        <is>
          <t>Unclear</t>
        </is>
      </c>
      <c r="AA89" s="77" t="inlineStr">
        <is>
          <t>The 'client' is the Cambridge research lab/inventor (internal); external industry experts are interviewed for feedback and local business mentors guide teams, but no external organisation commissions the work or receives the output (sources 1,2).</t>
        </is>
      </c>
      <c r="AB89" s="77" t="inlineStr">
        <is>
          <t>Other</t>
        </is>
      </c>
      <c r="AC89" s="77" t="inlineStr">
        <is>
          <t>Internal university research groups supply the technology; individual industry experts/mentors give feedback</t>
        </is>
      </c>
      <c r="AD89" s="77" t="inlineStr"/>
      <c r="AE89" s="77" t="inlineStr">
        <is>
          <t>Commercialisation recommendations presented to the researchers/panel</t>
        </is>
      </c>
      <c r="AF89" s="77">
        <f>IF(OR(V89="No",X89="No",Z89="No"),"Outside strict definition",IF(AND(V89="Yes",X89="Yes",Z89="Yes"),"Meets all three","Potentially relevant; evidence incomplete"))</f>
        <v/>
      </c>
      <c r="AG89" s="77" t="inlineStr">
        <is>
          <t>Current delivery confirmed</t>
        </is>
      </c>
      <c r="AH89" s="77" t="inlineStr">
        <is>
          <t>2026/27 (Climate i-Teams Michaelmas 2026)</t>
        </is>
      </c>
      <c r="AI89" s="77" t="inlineStr">
        <is>
          <t>Yes</t>
        </is>
      </c>
      <c r="AJ89" s="77">
        <f>IF(AND(AI89="Yes",AF89="Meets all three",AG89="Current delivery confirmed"),"Yes","No")</f>
        <v/>
      </c>
      <c r="AK89" s="77" t="inlineStr"/>
      <c r="AL89" s="77" t="inlineStr">
        <is>
          <t>RG03-S15-R1; RG03-S15-R2; RG03-S15-R3</t>
        </is>
      </c>
      <c r="AM89" s="77" t="inlineStr">
        <is>
          <t>C not met on current evidence (internal client; industry input is expert interviews/mentoring); 'any department' wording is from calls of varying age and stream; no participant numbers retrieved.</t>
        </is>
      </c>
      <c r="AN89" s="77" t="inlineStr">
        <is>
          <t>Innovation / Climate i-Teams</t>
        </is>
      </c>
      <c r="AO89" s="77" t="inlineStr">
        <is>
          <t>UK</t>
        </is>
      </c>
      <c r="AP89" s="77" t="inlineStr">
        <is>
          <t>UK – Russell Group</t>
        </is>
      </c>
      <c r="AQ89" s="77" t="inlineStr">
        <is>
          <t>~1 term/semester</t>
        </is>
      </c>
      <c r="AR89" s="77" t="inlineStr">
        <is>
          <t>Unclear</t>
        </is>
      </c>
      <c r="AS89" s="77" t="inlineStr"/>
    </row>
    <row r="90">
      <c r="A90" s="77" t="inlineStr">
        <is>
          <t>RG04</t>
        </is>
      </c>
      <c r="B90" s="77" t="inlineStr">
        <is>
          <t>Cardiff</t>
        </is>
      </c>
      <c r="C90" s="77" t="inlineStr">
        <is>
          <t>Programme/course</t>
        </is>
      </c>
      <c r="D90" s="77" t="inlineStr">
        <is>
          <t>RG04-S01</t>
        </is>
      </c>
      <c r="E90" s="77" t="inlineStr"/>
      <c r="F90" s="77" t="inlineStr">
        <is>
          <t>No</t>
        </is>
      </c>
      <c r="G90" s="79" t="inlineStr">
        <is>
          <t>BSc Applied Software Engineering: client-based team projects (National Software Academy)</t>
        </is>
      </c>
      <c r="H90" s="77" t="inlineStr">
        <is>
          <t>Applied Software Engineering client team projects</t>
        </is>
      </c>
      <c r="I90" s="77" t="inlineStr"/>
      <c r="J90"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90" s="77" t="inlineStr">
        <is>
          <t>National Software Academy, School of Computer Science and Informatics</t>
        </is>
      </c>
      <c r="L90" s="77" t="inlineStr">
        <is>
          <t>BSc Applied Software Engineering</t>
        </is>
      </c>
      <c r="M90" s="77" t="inlineStr">
        <is>
          <t>Engineering/computing</t>
        </is>
      </c>
      <c r="N90" s="77" t="inlineStr">
        <is>
          <t>Undergraduate</t>
        </is>
      </c>
      <c r="O90" s="77" t="inlineStr">
        <is>
          <t>Years 1-3 (client projects recur across the degree)</t>
        </is>
      </c>
      <c r="P90" s="77" t="inlineStr">
        <is>
          <t>Students on BSc Applied Software Engineering only</t>
        </is>
      </c>
      <c r="Q90" s="77" t="inlineStr">
        <is>
          <t>Compulsory within specified programmes</t>
        </is>
      </c>
      <c r="R90" s="77" t="inlineStr">
        <is>
          <t>Curricular</t>
        </is>
      </c>
      <c r="S90" s="77" t="inlineStr">
        <is>
          <t>Embedded group project modules; credit per module not retrieved</t>
        </is>
      </c>
      <c r="T90" s="77" t="inlineStr">
        <is>
          <t>Most client projects run about four weeks; final-year Large Team Project reported as about 10 weeks</t>
        </is>
      </c>
      <c r="U90" s="77" t="inlineStr">
        <is>
          <t>In person, at the National Software Academy</t>
        </is>
      </c>
      <c r="V90" s="77" t="inlineStr">
        <is>
          <t>Yes</t>
        </is>
      </c>
      <c r="W90" s="77" t="inlineStr">
        <is>
          <t>Teams develop software projects for real clients and build a minimum viable product from a client's business problem [1][2].</t>
        </is>
      </c>
      <c r="X90" s="77" t="inlineStr">
        <is>
          <t>Yes</t>
        </is>
      </c>
      <c r="Y90" s="77" t="inlineStr">
        <is>
          <t>'your team will meet with your clients every two weeks' [1]; live client projects are team-based [1][2].</t>
        </is>
      </c>
      <c r="Z90" s="77" t="inlineStr">
        <is>
          <t>Yes</t>
        </is>
      </c>
      <c r="AA90" s="77" t="inlineStr">
        <is>
          <t>Clients from the private, public and third sectors pose the business problem and meet teams fortnightly [1]; partners 'can provide live client projects' conceived from a business problem [2].</t>
        </is>
      </c>
      <c r="AB90" s="77" t="inlineStr">
        <is>
          <t>Mixed</t>
        </is>
      </c>
      <c r="AC90" s="77" t="inlineStr">
        <is>
          <t>Client sets the business problem, meets the team fortnightly and receives the software output</t>
        </is>
      </c>
      <c r="AD90" s="77" t="inlineStr">
        <is>
          <t>Natural Resources Wales (fly-tipping reporting tool) and BT Group (configuration system) named as past client projects in NSA search results (undated; page attribution within the NSA site not certain)</t>
        </is>
      </c>
      <c r="AE90" s="77" t="inlineStr">
        <is>
          <t>Working software / minimum viable product for the client</t>
        </is>
      </c>
      <c r="AF90" s="77">
        <f>IF(OR(V90="No",X90="No",Z90="No"),"Outside strict definition",IF(AND(V90="Yes",X90="Yes",Z90="Yes"),"Meets all three","Potentially relevant; evidence incomplete"))</f>
        <v/>
      </c>
      <c r="AG90" s="77" t="inlineStr">
        <is>
          <t>Current delivery confirmed</t>
        </is>
      </c>
      <c r="AH90" s="77" t="inlineStr">
        <is>
          <t>2026/27</t>
        </is>
      </c>
      <c r="AI90" s="77" t="inlineStr">
        <is>
          <t>Yes</t>
        </is>
      </c>
      <c r="AJ90" s="77">
        <f>IF(AND(AI90="Yes",AF90="Meets all three",AG90="Current delivery confirmed"),"Yes","No")</f>
        <v/>
      </c>
      <c r="AK90" s="77" t="inlineStr"/>
      <c r="AL90" s="77" t="inlineStr">
        <is>
          <t>RG04-S01-R1; RG04-S01-R2; RG04-S01-R3</t>
        </is>
      </c>
      <c r="AM90" s="77" t="inlineStr">
        <is>
          <t>Module codes and credits for each client project not retrieved. Current delivery rests on the 2026-entry course page [3] corroborating the un-yeared course page [1]. The 10-week Large Team Project duration comes from a search summary.</t>
        </is>
      </c>
      <c r="AN90" s="77" t="inlineStr"/>
      <c r="AO90" s="77" t="inlineStr">
        <is>
          <t>UK</t>
        </is>
      </c>
      <c r="AP90" s="77" t="inlineStr">
        <is>
          <t>UK – Russell Group</t>
        </is>
      </c>
      <c r="AQ90" s="77" t="inlineStr">
        <is>
          <t>1–4 weeks</t>
        </is>
      </c>
      <c r="AR90" s="77" t="inlineStr">
        <is>
          <t>All/standard</t>
        </is>
      </c>
      <c r="AS90" s="77" t="inlineStr"/>
    </row>
    <row r="91">
      <c r="A91" s="77" t="inlineStr">
        <is>
          <t>RG04</t>
        </is>
      </c>
      <c r="B91" s="77" t="inlineStr">
        <is>
          <t>Cardiff</t>
        </is>
      </c>
      <c r="C91" s="77" t="inlineStr">
        <is>
          <t>Programme/course</t>
        </is>
      </c>
      <c r="D91" s="77" t="inlineStr">
        <is>
          <t>RG04-S02</t>
        </is>
      </c>
      <c r="E91" s="77" t="inlineStr"/>
      <c r="F91" s="77" t="inlineStr">
        <is>
          <t>No</t>
        </is>
      </c>
      <c r="G91" s="79" t="inlineStr">
        <is>
          <t>The New Venture Plan</t>
        </is>
      </c>
      <c r="H91" s="77" t="inlineStr">
        <is>
          <t>The New Venture Plan (MSc Strategic Entrepreneurship and Innovation)</t>
        </is>
      </c>
      <c r="I91" s="77" t="inlineStr">
        <is>
          <t>BST413</t>
        </is>
      </c>
      <c r="J91"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91" s="77" t="inlineStr">
        <is>
          <t>Cardiff Business School</t>
        </is>
      </c>
      <c r="L91" s="77" t="inlineStr">
        <is>
          <t>MSc Strategic Entrepreneurship and Innovation</t>
        </is>
      </c>
      <c r="M91" s="77" t="inlineStr">
        <is>
          <t>Business/management</t>
        </is>
      </c>
      <c r="N91" s="77" t="inlineStr">
        <is>
          <t>Postgraduate taught</t>
        </is>
      </c>
      <c r="O91" s="77" t="inlineStr">
        <is>
          <t>Final (summer) stage of one-year MSc</t>
        </is>
      </c>
      <c r="P91" s="77" t="inlineStr">
        <is>
          <t>Programme students who complete the taught stage; alternative to dissertation</t>
        </is>
      </c>
      <c r="Q91" s="77" t="inlineStr">
        <is>
          <t>Optional/elective</t>
        </is>
      </c>
      <c r="R91" s="77" t="inlineStr">
        <is>
          <t>Curricular</t>
        </is>
      </c>
      <c r="S91" s="77" t="inlineStr">
        <is>
          <t>40 credits (BST413); professional reports, investor pitches, group presentations</t>
        </is>
      </c>
      <c r="T91" s="77" t="inlineStr">
        <is>
          <t>Summer project stage (length not stated)</t>
        </is>
      </c>
      <c r="U91" s="77" t="inlineStr">
        <is>
          <t>In person with client</t>
        </is>
      </c>
      <c r="V91" s="77" t="inlineStr">
        <is>
          <t>Yes</t>
        </is>
      </c>
      <c r="W91" s="77" t="inlineStr">
        <is>
          <t>Client brief with specific objectives; deliver practical recommendations, reports and pitches [1].</t>
        </is>
      </c>
      <c r="X91" s="77" t="inlineStr">
        <is>
          <t>Yes</t>
        </is>
      </c>
      <c r="Y91" s="77" t="inlineStr">
        <is>
          <t>'a group-based project in collaboration with a real company' [1].</t>
        </is>
      </c>
      <c r="Z91" s="77" t="inlineStr">
        <is>
          <t>Yes</t>
        </is>
      </c>
      <c r="AA91" s="77" t="inlineStr">
        <is>
          <t>Each group is 'assigned a client, who'll provide a brief outlining specific objectives and expectations'; industry professionals sometimes attend presentations [1].</t>
        </is>
      </c>
      <c r="AB91" s="77" t="inlineStr">
        <is>
          <t>Business/commercial</t>
        </is>
      </c>
      <c r="AC91" s="77" t="inlineStr">
        <is>
          <t>Client company sets brief and receives recommendations; industry professionals sometimes attend presentations</t>
        </is>
      </c>
      <c r="AD91" s="77" t="inlineStr"/>
      <c r="AE91" s="77" t="inlineStr">
        <is>
          <t>Professional report, investor pitch and group presentation of recommendations</t>
        </is>
      </c>
      <c r="AF91" s="77">
        <f>IF(OR(V91="No",X91="No",Z91="No"),"Outside strict definition",IF(AND(V91="Yes",X91="Yes",Z91="Yes"),"Meets all three","Potentially relevant; evidence incomplete"))</f>
        <v/>
      </c>
      <c r="AG91" s="77" t="inlineStr">
        <is>
          <t>Current status unclear</t>
        </is>
      </c>
      <c r="AH91" s="77" t="inlineStr"/>
      <c r="AI91" s="77" t="inlineStr">
        <is>
          <t>Yes</t>
        </is>
      </c>
      <c r="AJ91" s="77">
        <f>IF(AND(AI91="Yes",AF91="Meets all three",AG91="Current delivery confirmed"),"Yes","No")</f>
        <v/>
      </c>
      <c r="AK91" s="77" t="inlineStr"/>
      <c r="AL91" s="77" t="inlineStr">
        <is>
          <t>RG04-S02-R1</t>
        </is>
      </c>
      <c r="AM91"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91" s="77" t="inlineStr"/>
      <c r="AO91" s="77" t="inlineStr">
        <is>
          <t>UK</t>
        </is>
      </c>
      <c r="AP91" s="77" t="inlineStr">
        <is>
          <t>UK – Russell Group</t>
        </is>
      </c>
      <c r="AQ91" s="77" t="inlineStr">
        <is>
          <t>Unclear</t>
        </is>
      </c>
      <c r="AR91" s="77" t="inlineStr">
        <is>
          <t>All/standard</t>
        </is>
      </c>
      <c r="AS91" s="77" t="inlineStr"/>
    </row>
    <row r="92">
      <c r="A92" s="77" t="inlineStr">
        <is>
          <t>RG04</t>
        </is>
      </c>
      <c r="B92" s="77" t="inlineStr">
        <is>
          <t>Cardiff</t>
        </is>
      </c>
      <c r="C92" s="77" t="inlineStr">
        <is>
          <t>Programme/course</t>
        </is>
      </c>
      <c r="D92" s="77" t="inlineStr">
        <is>
          <t>RG04-S03</t>
        </is>
      </c>
      <c r="E92" s="77" t="inlineStr"/>
      <c r="F92" s="77" t="inlineStr">
        <is>
          <t>No</t>
        </is>
      </c>
      <c r="G92" s="79" t="inlineStr">
        <is>
          <t>Cardiff MBA Management Consultancy elective (charity consultancy with PA Consulting)</t>
        </is>
      </c>
      <c r="H92" s="77" t="inlineStr">
        <is>
          <t>MBA Management Consultancy elective</t>
        </is>
      </c>
      <c r="I92" s="77" t="inlineStr"/>
      <c r="J92"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92" s="77" t="inlineStr">
        <is>
          <t>Cardiff Business School (MBA)</t>
        </is>
      </c>
      <c r="L92" s="77" t="inlineStr">
        <is>
          <t>Cardiff MBA</t>
        </is>
      </c>
      <c r="M92" s="77" t="inlineStr">
        <is>
          <t>Business/management</t>
        </is>
      </c>
      <c r="N92" s="77" t="inlineStr">
        <is>
          <t>Postgraduate taught</t>
        </is>
      </c>
      <c r="O92" s="77" t="inlineStr">
        <is>
          <t>MBA</t>
        </is>
      </c>
      <c r="P92" s="77" t="inlineStr">
        <is>
          <t>MBA students choosing the elective</t>
        </is>
      </c>
      <c r="Q92" s="77" t="inlineStr">
        <is>
          <t>Optional/elective</t>
        </is>
      </c>
      <c r="R92" s="77" t="inlineStr">
        <is>
          <t>Curricular</t>
        </is>
      </c>
      <c r="S92" s="77" t="inlineStr">
        <is>
          <t>Elective module; report and presentation to the charity plus individual ethics essay (credit not retrieved)</t>
        </is>
      </c>
      <c r="T92" s="77" t="inlineStr">
        <is>
          <t>About four weeks in one news report; eight weeks in another summary</t>
        </is>
      </c>
      <c r="U92" s="77" t="inlineStr">
        <is>
          <t>In person with charity clients</t>
        </is>
      </c>
      <c r="V92" s="77" t="inlineStr">
        <is>
          <t>Yes</t>
        </is>
      </c>
      <c r="W92" s="77" t="inlineStr">
        <is>
          <t>Teams agree and carry out a project on charities' strategic and management challenges and develop business ideas the charities' management teams can implement [1][2].</t>
        </is>
      </c>
      <c r="X92" s="77" t="inlineStr">
        <is>
          <t>Yes</t>
        </is>
      </c>
      <c r="Y92" s="77" t="inlineStr">
        <is>
          <t>'teams worked with their assigned charities' [1][2].</t>
        </is>
      </c>
      <c r="Z92" s="77" t="inlineStr">
        <is>
          <t>Yes</t>
        </is>
      </c>
      <c r="AA92" s="77" t="inlineStr">
        <is>
          <t>Charities are the clients: they brief the teams through interviews and receive the report and presentation. PA Consulting co-designed the elective and coached the students [1][2].</t>
        </is>
      </c>
      <c r="AB92" s="77" t="inlineStr">
        <is>
          <t>Charity/community</t>
        </is>
      </c>
      <c r="AC92" s="77" t="inlineStr">
        <is>
          <t>Charity clients set problems and receive outputs; PA Consulting (business) coaches students</t>
        </is>
      </c>
      <c r="AD92" s="77" t="inlineStr">
        <is>
          <t>Tenovus Cancer Care, Cardiff City Foundation, WCVA, Groundwork (undated news); PA Consulting</t>
        </is>
      </c>
      <c r="AE92" s="77" t="inlineStr">
        <is>
          <t>Consultancy report and presentation to charity</t>
        </is>
      </c>
      <c r="AF92" s="77">
        <f>IF(OR(V92="No",X92="No",Z92="No"),"Outside strict definition",IF(AND(V92="Yes",X92="Yes",Z92="Yes"),"Meets all three","Potentially relevant; evidence incomplete"))</f>
        <v/>
      </c>
      <c r="AG92" s="77" t="inlineStr">
        <is>
          <t>Current status unclear</t>
        </is>
      </c>
      <c r="AH92" s="77" t="inlineStr"/>
      <c r="AI92" s="77" t="inlineStr">
        <is>
          <t>Yes</t>
        </is>
      </c>
      <c r="AJ92" s="77">
        <f>IF(AND(AI92="Yes",AF92="Meets all three",AG92="Current delivery confirmed"),"Yes","No")</f>
        <v/>
      </c>
      <c r="AK92" s="77" t="inlineStr"/>
      <c r="AL92" s="77" t="inlineStr">
        <is>
          <t>RG04-S03-R1; RG04-S03-R2</t>
        </is>
      </c>
      <c r="AM92" s="77" t="inlineStr">
        <is>
          <t>Both news items are undated and appear older (low news IDs). The duration differs between sources (4 vs 8 weeks). No current-year evidence was found.</t>
        </is>
      </c>
      <c r="AN92" s="77" t="inlineStr"/>
      <c r="AO92" s="77" t="inlineStr">
        <is>
          <t>UK</t>
        </is>
      </c>
      <c r="AP92" s="77" t="inlineStr">
        <is>
          <t>UK – Russell Group</t>
        </is>
      </c>
      <c r="AQ92" s="77" t="inlineStr">
        <is>
          <t>1–4 weeks</t>
        </is>
      </c>
      <c r="AR92" s="77" t="inlineStr">
        <is>
          <t>All/standard</t>
        </is>
      </c>
      <c r="AS92" s="77" t="inlineStr"/>
    </row>
    <row r="93">
      <c r="A93" s="77" t="inlineStr">
        <is>
          <t>RG04</t>
        </is>
      </c>
      <c r="B93" s="77" t="inlineStr">
        <is>
          <t>Cardiff</t>
        </is>
      </c>
      <c r="C93" s="77" t="inlineStr">
        <is>
          <t>Programme/course</t>
        </is>
      </c>
      <c r="D93" s="77" t="inlineStr">
        <is>
          <t>RG04-S04</t>
        </is>
      </c>
      <c r="E93" s="77" t="inlineStr"/>
      <c r="F93" s="77" t="inlineStr">
        <is>
          <t>No</t>
        </is>
      </c>
      <c r="G93" s="79" t="inlineStr">
        <is>
          <t>Cardiff MBA live project / Accelerator Project</t>
        </is>
      </c>
      <c r="H93" s="77" t="inlineStr">
        <is>
          <t>MBA live consultancy project</t>
        </is>
      </c>
      <c r="I93" s="77" t="inlineStr"/>
      <c r="J93"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93" s="77" t="inlineStr">
        <is>
          <t>Cardiff Business School</t>
        </is>
      </c>
      <c r="L93" s="77" t="inlineStr">
        <is>
          <t>Cardiff MBA (part-time route evidenced)</t>
        </is>
      </c>
      <c r="M93" s="77" t="inlineStr">
        <is>
          <t>Business/management</t>
        </is>
      </c>
      <c r="N93" s="77" t="inlineStr">
        <is>
          <t>Postgraduate taught</t>
        </is>
      </c>
      <c r="O93" s="77" t="inlineStr">
        <is>
          <t>Final stage</t>
        </is>
      </c>
      <c r="P93" s="77" t="inlineStr">
        <is>
          <t>MBA students</t>
        </is>
      </c>
      <c r="Q93" s="77" t="inlineStr">
        <is>
          <t>Compulsory within specified programmes</t>
        </is>
      </c>
      <c r="R93" s="77" t="inlineStr">
        <is>
          <t>Curricular</t>
        </is>
      </c>
      <c r="S93" s="77" t="inlineStr">
        <is>
          <t>Not retrieved</t>
        </is>
      </c>
      <c r="T93" s="77" t="inlineStr">
        <is>
          <t>Summer period</t>
        </is>
      </c>
      <c r="U93" s="77" t="inlineStr">
        <is>
          <t>Consultancy with partner company</t>
        </is>
      </c>
      <c r="V93" s="77" t="inlineStr">
        <is>
          <t>Yes</t>
        </is>
      </c>
      <c r="W93" s="77" t="inlineStr">
        <is>
          <t>Students deliver 'a report addressing a specific challenge identified by the partnering company' [1].</t>
        </is>
      </c>
      <c r="X93" s="77" t="inlineStr">
        <is>
          <t>Unclear</t>
        </is>
      </c>
      <c r="Y93" s="77" t="inlineStr">
        <is>
          <t>Phrased as 'each student participates in a real-world live project' [1]; team structure not evidenced.</t>
        </is>
      </c>
      <c r="Z93" s="77" t="inlineStr">
        <is>
          <t>Yes</t>
        </is>
      </c>
      <c r="AA93" s="77" t="inlineStr">
        <is>
          <t>The partnering company identifies the challenge and receives the consultancy report [1]; the work is described as being 'in partnership with a corporate client' [2].</t>
        </is>
      </c>
      <c r="AB93" s="77" t="inlineStr">
        <is>
          <t>Mixed</t>
        </is>
      </c>
      <c r="AC93" s="77" t="inlineStr">
        <is>
          <t>Corporate client sets the strategic issue and receives the report</t>
        </is>
      </c>
      <c r="AD93" s="77" t="inlineStr">
        <is>
          <t>Sectors only (airline, healthcare, start-up, government, banking); no names</t>
        </is>
      </c>
      <c r="AE93" s="77" t="inlineStr">
        <is>
          <t>Consultancy report</t>
        </is>
      </c>
      <c r="AF93" s="77">
        <f>IF(OR(V93="No",X93="No",Z93="No"),"Outside strict definition",IF(AND(V93="Yes",X93="Yes",Z93="Yes"),"Meets all three","Potentially relevant; evidence incomplete"))</f>
        <v/>
      </c>
      <c r="AG93" s="77" t="inlineStr">
        <is>
          <t>Current status unclear</t>
        </is>
      </c>
      <c r="AH93" s="77" t="inlineStr"/>
      <c r="AI93" s="77" t="inlineStr">
        <is>
          <t>Yes</t>
        </is>
      </c>
      <c r="AJ93" s="77">
        <f>IF(AND(AI93="Yes",AF93="Meets all three",AG93="Current delivery confirmed"),"Yes","No")</f>
        <v/>
      </c>
      <c r="AK93" s="77" t="inlineStr"/>
      <c r="AL93" s="77" t="inlineStr">
        <is>
          <t>RG04-S04-R1; RG04-S04-R2</t>
        </is>
      </c>
      <c r="AM93" s="77" t="inlineStr">
        <is>
          <t>Not established whether students work individually or in teams. Pages are undated. Whether the full-time MBA also uses it is unconfirmed.</t>
        </is>
      </c>
      <c r="AN93" s="77" t="inlineStr"/>
      <c r="AO93" s="77" t="inlineStr">
        <is>
          <t>UK</t>
        </is>
      </c>
      <c r="AP93" s="77" t="inlineStr">
        <is>
          <t>UK – Russell Group</t>
        </is>
      </c>
      <c r="AQ93" s="77" t="inlineStr">
        <is>
          <t>Unclear</t>
        </is>
      </c>
      <c r="AR93" s="77" t="inlineStr">
        <is>
          <t>All/standard</t>
        </is>
      </c>
      <c r="AS93" s="77" t="inlineStr"/>
    </row>
    <row r="94">
      <c r="A94" s="77" t="inlineStr">
        <is>
          <t>RG04</t>
        </is>
      </c>
      <c r="B94" s="77" t="inlineStr">
        <is>
          <t>Cardiff</t>
        </is>
      </c>
      <c r="C94" s="77" t="inlineStr">
        <is>
          <t>Programme/course</t>
        </is>
      </c>
      <c r="D94" s="77" t="inlineStr">
        <is>
          <t>RG04-S05</t>
        </is>
      </c>
      <c r="E94" s="77" t="inlineStr"/>
      <c r="F94" s="77" t="inlineStr">
        <is>
          <t>No</t>
        </is>
      </c>
      <c r="G94" s="79" t="inlineStr">
        <is>
          <t>Consultancy Challenge (MSc Business Management)</t>
        </is>
      </c>
      <c r="H94" s="77" t="inlineStr">
        <is>
          <t>Consultancy Challenge</t>
        </is>
      </c>
      <c r="I94" s="77" t="inlineStr">
        <is>
          <t>BST720 (September start); BST740 (January start)</t>
        </is>
      </c>
      <c r="J94"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94" s="77" t="inlineStr">
        <is>
          <t>Cardiff Business School</t>
        </is>
      </c>
      <c r="L94" s="77" t="inlineStr">
        <is>
          <t>MSc Business Management (September and January start)</t>
        </is>
      </c>
      <c r="M94" s="77" t="inlineStr">
        <is>
          <t>Business/management</t>
        </is>
      </c>
      <c r="N94" s="77" t="inlineStr">
        <is>
          <t>Postgraduate taught</t>
        </is>
      </c>
      <c r="O94" s="77" t="inlineStr">
        <is>
          <t>Final stage</t>
        </is>
      </c>
      <c r="P94" s="77" t="inlineStr">
        <is>
          <t>Programme students</t>
        </is>
      </c>
      <c r="Q94" s="77" t="inlineStr">
        <is>
          <t>Compulsory within specified programmes</t>
        </is>
      </c>
      <c r="R94" s="77" t="inlineStr">
        <is>
          <t>Curricular</t>
        </is>
      </c>
      <c r="S94" s="77" t="inlineStr">
        <is>
          <t>60 credits</t>
        </is>
      </c>
      <c r="T94" s="77" t="inlineStr">
        <is>
          <t>Final stage (length not stated)</t>
        </is>
      </c>
      <c r="U94" s="77" t="inlineStr">
        <is>
          <t>Group consultancy</t>
        </is>
      </c>
      <c r="V94" s="77" t="inlineStr">
        <is>
          <t>Yes</t>
        </is>
      </c>
      <c r="W94" s="77" t="inlineStr">
        <is>
          <t>Analyse, diagnose and recommend practical solutions to a business problem [1][2].</t>
        </is>
      </c>
      <c r="X94" s="77" t="inlineStr">
        <is>
          <t>Yes</t>
        </is>
      </c>
      <c r="Y94" s="77" t="inlineStr">
        <is>
          <t>Students 'work in groups' on the problem [1].</t>
        </is>
      </c>
      <c r="Z94" s="77" t="inlineStr">
        <is>
          <t>Unclear</t>
        </is>
      </c>
      <c r="AA94" s="77" t="inlineStr">
        <is>
          <t>Problems 'may' come from charities and not-for-profit organisations [1]; external clients are not documented as the standard source.</t>
        </is>
      </c>
      <c r="AB94" s="77" t="inlineStr">
        <is>
          <t>Unclear</t>
        </is>
      </c>
      <c r="AC94" s="77" t="inlineStr">
        <is>
          <t>Possible charity/not-for-profit problem owners</t>
        </is>
      </c>
      <c r="AD94" s="77" t="inlineStr"/>
      <c r="AE94" s="77" t="inlineStr">
        <is>
          <t>Recommendations on a business problem (format not retrieved)</t>
        </is>
      </c>
      <c r="AF94" s="77">
        <f>IF(OR(V94="No",X94="No",Z94="No"),"Outside strict definition",IF(AND(V94="Yes",X94="Yes",Z94="Yes"),"Meets all three","Potentially relevant; evidence incomplete"))</f>
        <v/>
      </c>
      <c r="AG94" s="77" t="inlineStr">
        <is>
          <t>Current status unclear</t>
        </is>
      </c>
      <c r="AH94" s="77" t="inlineStr"/>
      <c r="AI94" s="77" t="inlineStr">
        <is>
          <t>Yes</t>
        </is>
      </c>
      <c r="AJ94" s="77">
        <f>IF(AND(AI94="Yes",AF94="Meets all three",AG94="Current delivery confirmed"),"Yes","No")</f>
        <v/>
      </c>
      <c r="AK94" s="77" t="inlineStr"/>
      <c r="AL94" s="77" t="inlineStr">
        <is>
          <t>RG04-S05-R1; RG04-S05-R2</t>
        </is>
      </c>
      <c r="AM94"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94" s="77" t="inlineStr"/>
      <c r="AO94" s="77" t="inlineStr">
        <is>
          <t>UK</t>
        </is>
      </c>
      <c r="AP94" s="77" t="inlineStr">
        <is>
          <t>UK – Russell Group</t>
        </is>
      </c>
      <c r="AQ94" s="77" t="inlineStr">
        <is>
          <t>Unclear</t>
        </is>
      </c>
      <c r="AR94" s="77" t="inlineStr">
        <is>
          <t>Some projects</t>
        </is>
      </c>
      <c r="AS94" s="77" t="inlineStr"/>
    </row>
    <row r="95">
      <c r="A95" s="77" t="inlineStr">
        <is>
          <t>RG04</t>
        </is>
      </c>
      <c r="B95" s="77" t="inlineStr">
        <is>
          <t>Cardiff</t>
        </is>
      </c>
      <c r="C95" s="77" t="inlineStr">
        <is>
          <t>Programme/course</t>
        </is>
      </c>
      <c r="D95" s="77" t="inlineStr">
        <is>
          <t>RG04-S06</t>
        </is>
      </c>
      <c r="E95" s="77" t="inlineStr"/>
      <c r="F95" s="77" t="inlineStr">
        <is>
          <t>No</t>
        </is>
      </c>
      <c r="G95" s="79" t="inlineStr">
        <is>
          <t>Computer Science second-year group project</t>
        </is>
      </c>
      <c r="H95" s="77" t="inlineStr">
        <is>
          <t>Year 2 group project (Computer Science)</t>
        </is>
      </c>
      <c r="I95" s="77" t="inlineStr"/>
      <c r="J95"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95" s="77" t="inlineStr">
        <is>
          <t>School of Computer Science and Informatics</t>
        </is>
      </c>
      <c r="L95" s="77" t="inlineStr">
        <is>
          <t>BSc Computer Science and variants (foundation year and Cyber Security pages evidenced)</t>
        </is>
      </c>
      <c r="M95" s="77" t="inlineStr">
        <is>
          <t>Engineering/computing</t>
        </is>
      </c>
      <c r="N95" s="77" t="inlineStr">
        <is>
          <t>Undergraduate</t>
        </is>
      </c>
      <c r="O95" s="77" t="inlineStr">
        <is>
          <t>Year 2</t>
        </is>
      </c>
      <c r="P95" s="77" t="inlineStr">
        <is>
          <t>Computer Science students</t>
        </is>
      </c>
      <c r="Q95" s="77" t="inlineStr">
        <is>
          <t>Compulsory within specified programmes</t>
        </is>
      </c>
      <c r="R95" s="77" t="inlineStr">
        <is>
          <t>Curricular</t>
        </is>
      </c>
      <c r="S95" s="77" t="inlineStr">
        <is>
          <t>Not retrieved</t>
        </is>
      </c>
      <c r="T95" s="77" t="inlineStr">
        <is>
          <t>Not stated</t>
        </is>
      </c>
      <c r="U95" s="77" t="inlineStr">
        <is>
          <t>Team project</t>
        </is>
      </c>
      <c r="V95" s="77" t="inlineStr">
        <is>
          <t>Yes</t>
        </is>
      </c>
      <c r="W95" s="77" t="inlineStr">
        <is>
          <t>Design and implement a solution to a real-world problem [1][2].</t>
        </is>
      </c>
      <c r="X95" s="77" t="inlineStr">
        <is>
          <t>Yes</t>
        </is>
      </c>
      <c r="Y95" s="77" t="inlineStr">
        <is>
          <t>Described as a 'group project' [1] and a 'team project' [2].</t>
        </is>
      </c>
      <c r="Z95" s="77" t="inlineStr">
        <is>
          <t>Unclear</t>
        </is>
      </c>
      <c r="AA95" s="77" t="inlineStr">
        <is>
          <t>'may involve working with clients (either external or internal)' [1]: external clients are optional, not standard.</t>
        </is>
      </c>
      <c r="AB95" s="77" t="inlineStr">
        <is>
          <t>Unclear</t>
        </is>
      </c>
      <c r="AC95" s="77" t="inlineStr">
        <is>
          <t>Possible external or internal client</t>
        </is>
      </c>
      <c r="AD95" s="77" t="inlineStr"/>
      <c r="AE95" s="77" t="inlineStr">
        <is>
          <t>Software solution</t>
        </is>
      </c>
      <c r="AF95" s="77">
        <f>IF(OR(V95="No",X95="No",Z95="No"),"Outside strict definition",IF(AND(V95="Yes",X95="Yes",Z95="Yes"),"Meets all three","Potentially relevant; evidence incomplete"))</f>
        <v/>
      </c>
      <c r="AG95" s="77" t="inlineStr">
        <is>
          <t>Current delivery confirmed</t>
        </is>
      </c>
      <c r="AH95" s="77" t="inlineStr">
        <is>
          <t>2026/27</t>
        </is>
      </c>
      <c r="AI95" s="77" t="inlineStr">
        <is>
          <t>Yes</t>
        </is>
      </c>
      <c r="AJ95" s="77">
        <f>IF(AND(AI95="Yes",AF95="Meets all three",AG95="Current delivery confirmed"),"Yes","No")</f>
        <v/>
      </c>
      <c r="AK95" s="77" t="inlineStr"/>
      <c r="AL95" s="77" t="inlineStr">
        <is>
          <t>RG04-S06-R1; RG04-S06-R2</t>
        </is>
      </c>
      <c r="AM95" s="77" t="inlineStr">
        <is>
          <t>Share of external clients is unknown; module code not retrieved. The MSci CM4301 substantial team project is academically supervised, with no external client evidenced.</t>
        </is>
      </c>
      <c r="AN95" s="77" t="inlineStr"/>
      <c r="AO95" s="77" t="inlineStr">
        <is>
          <t>UK</t>
        </is>
      </c>
      <c r="AP95" s="77" t="inlineStr">
        <is>
          <t>UK – Russell Group</t>
        </is>
      </c>
      <c r="AQ95" s="77" t="inlineStr">
        <is>
          <t>Unclear</t>
        </is>
      </c>
      <c r="AR95" s="77" t="inlineStr">
        <is>
          <t>Some projects</t>
        </is>
      </c>
      <c r="AS95" s="77" t="inlineStr"/>
    </row>
    <row r="96">
      <c r="A96" s="77" t="inlineStr">
        <is>
          <t>RG04</t>
        </is>
      </c>
      <c r="B96" s="77" t="inlineStr">
        <is>
          <t>Cardiff</t>
        </is>
      </c>
      <c r="C96" s="77" t="inlineStr">
        <is>
          <t>Programme/course</t>
        </is>
      </c>
      <c r="D96" s="77" t="inlineStr">
        <is>
          <t>RG04-S07</t>
        </is>
      </c>
      <c r="E96" s="77" t="inlineStr"/>
      <c r="F96" s="77" t="inlineStr">
        <is>
          <t>No</t>
        </is>
      </c>
      <c r="G96" s="79" t="inlineStr">
        <is>
          <t>Live Project (MSc Spatial Planning and Development)</t>
        </is>
      </c>
      <c r="H96" s="77" t="inlineStr">
        <is>
          <t>Live Project</t>
        </is>
      </c>
      <c r="I96" s="77" t="inlineStr">
        <is>
          <t>CPT831</t>
        </is>
      </c>
      <c r="J96" s="77" t="inlineStr">
        <is>
          <t>20-credit module on the RTPI/RICS-accredited MSc Spatial Planning and Development. Students work on live projects with real clients such as a planning authority or agency, with input from practice guest speakers.</t>
        </is>
      </c>
      <c r="K96" s="77" t="inlineStr">
        <is>
          <t>School of Geography and Planning</t>
        </is>
      </c>
      <c r="L96" s="77" t="inlineStr">
        <is>
          <t>MSc Spatial Planning and Development</t>
        </is>
      </c>
      <c r="M96" s="77" t="inlineStr">
        <is>
          <t>Arts/humanities/social sciences</t>
        </is>
      </c>
      <c r="N96" s="77" t="inlineStr">
        <is>
          <t>Postgraduate taught</t>
        </is>
      </c>
      <c r="O96" s="77" t="inlineStr">
        <is>
          <t>One-year MSc</t>
        </is>
      </c>
      <c r="P96" s="77" t="inlineStr">
        <is>
          <t>Programme students</t>
        </is>
      </c>
      <c r="Q96" s="77" t="inlineStr">
        <is>
          <t>Compulsory within specified programmes</t>
        </is>
      </c>
      <c r="R96" s="77" t="inlineStr">
        <is>
          <t>Curricular</t>
        </is>
      </c>
      <c r="S96" s="77" t="inlineStr">
        <is>
          <t>20 credits</t>
        </is>
      </c>
      <c r="T96" s="77" t="inlineStr">
        <is>
          <t>Not stated</t>
        </is>
      </c>
      <c r="U96" s="77" t="inlineStr">
        <is>
          <t>Live project with planning client</t>
        </is>
      </c>
      <c r="V96" s="77" t="inlineStr">
        <is>
          <t>Yes</t>
        </is>
      </c>
      <c r="W96" s="77" t="inlineStr">
        <is>
          <t>Live project for a real client [1].</t>
        </is>
      </c>
      <c r="X96" s="77" t="inlineStr">
        <is>
          <t>Unclear</t>
        </is>
      </c>
      <c r="Y96" s="77" t="inlineStr">
        <is>
          <t>Team structure not evidenced in the retrieved extract.</t>
        </is>
      </c>
      <c r="Z96" s="77" t="inlineStr">
        <is>
          <t>Yes</t>
        </is>
      </c>
      <c r="AA96" s="77" t="inlineStr">
        <is>
          <t>Students 'work with real clients, such as a planning authority or agency' [1].</t>
        </is>
      </c>
      <c r="AB96" s="77" t="inlineStr">
        <is>
          <t>Public sector</t>
        </is>
      </c>
      <c r="AC96" s="77" t="inlineStr">
        <is>
          <t>Client (e.g. planning authority/agency) supplies the live project</t>
        </is>
      </c>
      <c r="AD96" s="77" t="inlineStr"/>
      <c r="AE96" s="77" t="inlineStr">
        <is>
          <t>Not specified</t>
        </is>
      </c>
      <c r="AF96" s="77">
        <f>IF(OR(V96="No",X96="No",Z96="No"),"Outside strict definition",IF(AND(V96="Yes",X96="Yes",Z96="Yes"),"Meets all three","Potentially relevant; evidence incomplete"))</f>
        <v/>
      </c>
      <c r="AG96" s="77" t="inlineStr">
        <is>
          <t>Current delivery confirmed</t>
        </is>
      </c>
      <c r="AH96" s="77" t="inlineStr">
        <is>
          <t>2026/27</t>
        </is>
      </c>
      <c r="AI96" s="77" t="inlineStr">
        <is>
          <t>Yes</t>
        </is>
      </c>
      <c r="AJ96" s="77">
        <f>IF(AND(AI96="Yes",AF96="Meets all three",AG96="Current delivery confirmed"),"Yes","No")</f>
        <v/>
      </c>
      <c r="AK96" s="77" t="inlineStr"/>
      <c r="AL96" s="77" t="inlineStr">
        <is>
          <t>RG04-S07-R1</t>
        </is>
      </c>
      <c r="AM96" s="77" t="inlineStr">
        <is>
          <t>Group working is unconfirmed. Current delivery rests on the course page listing a 28 September 2026 start date alongside CPT831 in the course structure. Whether the module is compulsory is inferred from the course structure listing.</t>
        </is>
      </c>
      <c r="AN96" s="77" t="inlineStr"/>
      <c r="AO96" s="77" t="inlineStr">
        <is>
          <t>UK</t>
        </is>
      </c>
      <c r="AP96" s="77" t="inlineStr">
        <is>
          <t>UK – Russell Group</t>
        </is>
      </c>
      <c r="AQ96" s="77" t="inlineStr">
        <is>
          <t>Unclear</t>
        </is>
      </c>
      <c r="AR96" s="77" t="inlineStr">
        <is>
          <t>All/standard</t>
        </is>
      </c>
      <c r="AS96" s="77" t="inlineStr"/>
    </row>
    <row r="97">
      <c r="A97" s="77" t="inlineStr">
        <is>
          <t>RG04</t>
        </is>
      </c>
      <c r="B97" s="77" t="inlineStr">
        <is>
          <t>Cardiff</t>
        </is>
      </c>
      <c r="C97" s="77" t="inlineStr">
        <is>
          <t>Programme/course</t>
        </is>
      </c>
      <c r="D97" s="77" t="inlineStr">
        <is>
          <t>RG04-S08</t>
        </is>
      </c>
      <c r="E97" s="77" t="inlineStr"/>
      <c r="F97" s="77" t="inlineStr">
        <is>
          <t>No</t>
        </is>
      </c>
      <c r="G97" s="79" t="inlineStr">
        <is>
          <t>Planning, Markets and Land (group consultancy project)</t>
        </is>
      </c>
      <c r="H97" s="77" t="inlineStr">
        <is>
          <t>Planning, Markets and Land</t>
        </is>
      </c>
      <c r="I97" s="77" t="inlineStr">
        <is>
          <t>CP0210</t>
        </is>
      </c>
      <c r="J97" s="77" t="inlineStr">
        <is>
          <t>Undergraduate planning module (legacy 2016/17 catalogue) with a group consultancy project: students work in a multidisciplinary team to solve a real planning problem and interact with real policy makers and practitioners in a live project.</t>
        </is>
      </c>
      <c r="K97" s="77" t="inlineStr">
        <is>
          <t>School of Geography and Planning</t>
        </is>
      </c>
      <c r="L97" s="77" t="inlineStr">
        <is>
          <t>Undergraduate planning programmes</t>
        </is>
      </c>
      <c r="M97" s="77" t="inlineStr">
        <is>
          <t>Arts/humanities/social sciences</t>
        </is>
      </c>
      <c r="N97" s="77" t="inlineStr">
        <is>
          <t>Undergraduate</t>
        </is>
      </c>
      <c r="O97" s="77" t="inlineStr">
        <is>
          <t>Not stated</t>
        </is>
      </c>
      <c r="P97" s="77" t="inlineStr"/>
      <c r="Q97" s="77" t="inlineStr">
        <is>
          <t>Unclear</t>
        </is>
      </c>
      <c r="R97" s="77" t="inlineStr">
        <is>
          <t>Curricular</t>
        </is>
      </c>
      <c r="S97" s="77" t="inlineStr">
        <is>
          <t>Not retrieved</t>
        </is>
      </c>
      <c r="T97" s="77" t="inlineStr">
        <is>
          <t>Not stated</t>
        </is>
      </c>
      <c r="U97" s="77" t="inlineStr">
        <is>
          <t>Group consultancy project</t>
        </is>
      </c>
      <c r="V97" s="77" t="inlineStr">
        <is>
          <t>Yes</t>
        </is>
      </c>
      <c r="W97" s="77" t="inlineStr">
        <is>
          <t>Group consultancy project solving a real planning problem [1].</t>
        </is>
      </c>
      <c r="X97" s="77" t="inlineStr">
        <is>
          <t>Yes</t>
        </is>
      </c>
      <c r="Y97" s="77" t="inlineStr">
        <is>
          <t>Students 'work in a multi-disciplinary team' [1].</t>
        </is>
      </c>
      <c r="Z97" s="77" t="inlineStr">
        <is>
          <t>Unclear</t>
        </is>
      </c>
      <c r="AA97" s="77" t="inlineStr">
        <is>
          <t>Students 'interact with real policy makers and practitioners in a live project' [1]. Not stated that an external organisation commissions the work or receives it.</t>
        </is>
      </c>
      <c r="AB97" s="77" t="inlineStr">
        <is>
          <t>Unclear</t>
        </is>
      </c>
      <c r="AC97" s="77" t="inlineStr">
        <is>
          <t>Practitioners/policy makers interact with students</t>
        </is>
      </c>
      <c r="AD97" s="77" t="inlineStr"/>
      <c r="AE97" s="77" t="inlineStr">
        <is>
          <t>Consultancy output (format not stated)</t>
        </is>
      </c>
      <c r="AF97" s="77">
        <f>IF(OR(V97="No",X97="No",Z97="No"),"Outside strict definition",IF(AND(V97="Yes",X97="Yes",Z97="Yes"),"Meets all three","Potentially relevant; evidence incomplete"))</f>
        <v/>
      </c>
      <c r="AG97" s="77" t="inlineStr">
        <is>
          <t>Historical delivery only</t>
        </is>
      </c>
      <c r="AH97" s="77" t="inlineStr">
        <is>
          <t>2016/17</t>
        </is>
      </c>
      <c r="AI97" s="77" t="inlineStr">
        <is>
          <t>Yes</t>
        </is>
      </c>
      <c r="AJ97" s="77">
        <f>IF(AND(AI97="Yes",AF97="Meets all three",AG97="Current delivery confirmed"),"Yes","No")</f>
        <v/>
      </c>
      <c r="AK97" s="77" t="inlineStr"/>
      <c r="AL97" s="77" t="inlineStr">
        <is>
          <t>RG04-S08-R1</t>
        </is>
      </c>
      <c r="AM97" s="77" t="inlineStr">
        <is>
          <t>Only a 2016/17 legacy catalogue entry was found; whether the module still runs is unknown.</t>
        </is>
      </c>
      <c r="AN97" s="77" t="inlineStr"/>
      <c r="AO97" s="77" t="inlineStr">
        <is>
          <t>UK</t>
        </is>
      </c>
      <c r="AP97" s="77" t="inlineStr">
        <is>
          <t>UK – Russell Group</t>
        </is>
      </c>
      <c r="AQ97" s="77" t="inlineStr">
        <is>
          <t>Unclear</t>
        </is>
      </c>
      <c r="AR97" s="77" t="inlineStr">
        <is>
          <t>Unclear</t>
        </is>
      </c>
      <c r="AS97" s="77" t="inlineStr"/>
    </row>
    <row r="98">
      <c r="A98" s="77" t="inlineStr">
        <is>
          <t>RG04</t>
        </is>
      </c>
      <c r="B98" s="77" t="inlineStr">
        <is>
          <t>Cardiff</t>
        </is>
      </c>
      <c r="C98" s="77" t="inlineStr">
        <is>
          <t>Faculty/school</t>
        </is>
      </c>
      <c r="D98" s="77" t="inlineStr">
        <is>
          <t>RG04-S09</t>
        </is>
      </c>
      <c r="E98" s="77" t="inlineStr"/>
      <c r="F98" s="77" t="inlineStr">
        <is>
          <t>No</t>
        </is>
      </c>
      <c r="G98" s="79" t="inlineStr">
        <is>
          <t>School of Engineering postgraduate group projects (industry)</t>
        </is>
      </c>
      <c r="H98" s="77" t="inlineStr">
        <is>
          <t>Engineering MSc group projects with industry</t>
        </is>
      </c>
      <c r="I98" s="77" t="inlineStr"/>
      <c r="J98"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98" s="77" t="inlineStr">
        <is>
          <t>School of Engineering</t>
        </is>
      </c>
      <c r="L98" s="77" t="inlineStr">
        <is>
          <t>Engineering MSc programmes (unspecified)</t>
        </is>
      </c>
      <c r="M98" s="77" t="inlineStr">
        <is>
          <t>Engineering/computing</t>
        </is>
      </c>
      <c r="N98" s="77" t="inlineStr">
        <is>
          <t>Postgraduate taught</t>
        </is>
      </c>
      <c r="O98" s="77" t="inlineStr">
        <is>
          <t>MSc</t>
        </is>
      </c>
      <c r="P98" s="77" t="inlineStr"/>
      <c r="Q98" s="77" t="inlineStr">
        <is>
          <t>Unclear</t>
        </is>
      </c>
      <c r="R98" s="77" t="inlineStr">
        <is>
          <t>Unclear</t>
        </is>
      </c>
      <c r="S98" s="77" t="inlineStr">
        <is>
          <t>Not retrieved</t>
        </is>
      </c>
      <c r="T98" s="77" t="inlineStr">
        <is>
          <t>'intensive piece of work' (length not stated; 'costs and durations vary')</t>
        </is>
      </c>
      <c r="U98" s="77" t="inlineStr">
        <is>
          <t>Group project</t>
        </is>
      </c>
      <c r="V98" s="77" t="inlineStr">
        <is>
          <t>Yes</t>
        </is>
      </c>
      <c r="W98" s="77" t="inlineStr">
        <is>
          <t>An intensive piece of project work on a defined topic [1].</t>
        </is>
      </c>
      <c r="X98" s="77" t="inlineStr">
        <is>
          <t>Yes</t>
        </is>
      </c>
      <c r="Y98" s="77" t="inlineStr">
        <is>
          <t>'Postgraduate group projects give a group of Masters students...' [1].</t>
        </is>
      </c>
      <c r="Z98" s="77" t="inlineStr">
        <is>
          <t>Unclear</t>
        </is>
      </c>
      <c r="AA98" s="77" t="inlineStr">
        <is>
          <t>Offered on the company-facing page as a way to work with students [1], but the share of group projects with a company partner, and how the company takes part, are not stated.</t>
        </is>
      </c>
      <c r="AB98" s="77" t="inlineStr">
        <is>
          <t>Business/commercial</t>
        </is>
      </c>
      <c r="AC98" s="77" t="inlineStr">
        <is>
          <t>Company may propose a topic or engage (not detailed)</t>
        </is>
      </c>
      <c r="AD98" s="77" t="inlineStr">
        <is>
          <t>British Antarctic Survey (MEng EEE example, undated; public-sector research body)</t>
        </is>
      </c>
      <c r="AE98" s="77" t="inlineStr">
        <is>
          <t>Not stated</t>
        </is>
      </c>
      <c r="AF98" s="77">
        <f>IF(OR(V98="No",X98="No",Z98="No"),"Outside strict definition",IF(AND(V98="Yes",X98="Yes",Z98="Yes"),"Meets all three","Potentially relevant; evidence incomplete"))</f>
        <v/>
      </c>
      <c r="AG98" s="77" t="inlineStr">
        <is>
          <t>Current status unclear</t>
        </is>
      </c>
      <c r="AH98" s="77" t="inlineStr"/>
      <c r="AI98" s="77" t="inlineStr">
        <is>
          <t>Yes</t>
        </is>
      </c>
      <c r="AJ98" s="77">
        <f>IF(AND(AI98="Yes",AF98="Meets all three",AG98="Current delivery confirmed"),"Yes","No")</f>
        <v/>
      </c>
      <c r="AK98" s="77" t="inlineStr"/>
      <c r="AL98" s="77" t="inlineStr">
        <is>
          <t>RG04-S09-R1; RG04-S09-R2</t>
        </is>
      </c>
      <c r="AM98" s="77" t="inlineStr">
        <is>
          <t>Which MSc programmes run these projects, the credit, and how companies take part were not found. The page is undated.</t>
        </is>
      </c>
      <c r="AN98" s="77" t="inlineStr"/>
      <c r="AO98" s="77" t="inlineStr">
        <is>
          <t>UK</t>
        </is>
      </c>
      <c r="AP98" s="77" t="inlineStr">
        <is>
          <t>UK – Russell Group</t>
        </is>
      </c>
      <c r="AQ98" s="77" t="inlineStr">
        <is>
          <t>Unclear</t>
        </is>
      </c>
      <c r="AR98" s="77" t="inlineStr">
        <is>
          <t>Some projects</t>
        </is>
      </c>
      <c r="AS98" s="77" t="inlineStr"/>
    </row>
    <row r="99">
      <c r="A99" s="77" t="inlineStr">
        <is>
          <t>RG04</t>
        </is>
      </c>
      <c r="B99" s="77" t="inlineStr">
        <is>
          <t>Cardiff</t>
        </is>
      </c>
      <c r="C99" s="77" t="inlineStr">
        <is>
          <t>Faculty/school</t>
        </is>
      </c>
      <c r="D99" s="77" t="inlineStr">
        <is>
          <t>RG04-S10</t>
        </is>
      </c>
      <c r="E99" s="77" t="inlineStr"/>
      <c r="F99" s="77" t="inlineStr">
        <is>
          <t>No</t>
        </is>
      </c>
      <c r="G99" s="79" t="inlineStr">
        <is>
          <t>Welsh School of Architecture live projects (MArch 'Design in Practice'; Grangetown/Community Gateway)</t>
        </is>
      </c>
      <c r="H99" s="77" t="inlineStr">
        <is>
          <t>Architecture live projects</t>
        </is>
      </c>
      <c r="I99" s="77" t="inlineStr"/>
      <c r="J99"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99" s="77" t="inlineStr">
        <is>
          <t>Welsh School of Architecture</t>
        </is>
      </c>
      <c r="L99" s="77" t="inlineStr">
        <is>
          <t>MArch (Design in Practice); other UG/PG studios/vertical studios</t>
        </is>
      </c>
      <c r="M99" s="77" t="inlineStr">
        <is>
          <t>Other (law, health, design, architecture…)</t>
        </is>
      </c>
      <c r="N99" s="77" t="inlineStr">
        <is>
          <t>Mixed</t>
        </is>
      </c>
      <c r="O99" s="77" t="inlineStr">
        <is>
          <t>MArch 1 (Design in Practice)</t>
        </is>
      </c>
      <c r="P99" s="77" t="inlineStr">
        <is>
          <t>Architecture students</t>
        </is>
      </c>
      <c r="Q99" s="77" t="inlineStr">
        <is>
          <t>Unclear</t>
        </is>
      </c>
      <c r="R99" s="77" t="inlineStr">
        <is>
          <t>Curricular</t>
        </is>
      </c>
      <c r="S99" s="77" t="inlineStr">
        <is>
          <t>Not retrieved</t>
        </is>
      </c>
      <c r="T99" s="77" t="inlineStr">
        <is>
          <t>Not stated</t>
        </is>
      </c>
      <c r="U99" s="77" t="inlineStr">
        <is>
          <t>Studio-based live projects</t>
        </is>
      </c>
      <c r="V99" s="77" t="inlineStr">
        <is>
          <t>Yes</t>
        </is>
      </c>
      <c r="W99" s="77" t="inlineStr">
        <is>
          <t>Live project design briefs; a pavilion furniture prototype in 2020 [1][2].</t>
        </is>
      </c>
      <c r="X99" s="77" t="inlineStr">
        <is>
          <t>Unclear</t>
        </is>
      </c>
      <c r="Y99" s="77" t="inlineStr">
        <is>
          <t>Practice tutors mentor 'a small group of students' [1], but joint group outputs are not evidenced.</t>
        </is>
      </c>
      <c r="Z99" s="77" t="inlineStr">
        <is>
          <t>Unclear</t>
        </is>
      </c>
      <c r="AA99" s="77" t="inlineStr">
        <is>
          <t>In 2020 the Grange Pavilion community clients gave feedback on the Vertical Studio work [2]. For Design in Practice, briefs are described as live projects but the clients are not named [1].</t>
        </is>
      </c>
      <c r="AB99" s="77" t="inlineStr">
        <is>
          <t>Charity/community</t>
        </is>
      </c>
      <c r="AC99" s="77" t="inlineStr">
        <is>
          <t>Community client (Grange Pavilion) gave feedback in 2020; external practitioners tutor and assess</t>
        </is>
      </c>
      <c r="AD99" s="77" t="inlineStr">
        <is>
          <t>Grange Pavilion / Grangetown community (2020-2022)</t>
        </is>
      </c>
      <c r="AE99" s="77" t="inlineStr">
        <is>
          <t>Design proposals; furniture prototypes (2020)</t>
        </is>
      </c>
      <c r="AF99" s="77">
        <f>IF(OR(V99="No",X99="No",Z99="No"),"Outside strict definition",IF(AND(V99="Yes",X99="Yes",Z99="Yes"),"Meets all three","Potentially relevant; evidence incomplete"))</f>
        <v/>
      </c>
      <c r="AG99" s="77" t="inlineStr">
        <is>
          <t>Current status unclear</t>
        </is>
      </c>
      <c r="AH99" s="77" t="inlineStr">
        <is>
          <t>2020</t>
        </is>
      </c>
      <c r="AI99" s="77" t="inlineStr">
        <is>
          <t>Yes</t>
        </is>
      </c>
      <c r="AJ99" s="77">
        <f>IF(AND(AI99="Yes",AF99="Meets all three",AG99="Current delivery confirmed"),"Yes","No")</f>
        <v/>
      </c>
      <c r="AK99" s="77" t="inlineStr">
        <is>
          <t>Over 400 WSA and Business School students supported the Grange Pavilion through various activities (cumulative; undated news)</t>
        </is>
      </c>
      <c r="AL99" s="77" t="inlineStr">
        <is>
          <t>RG04-S10-R1; RG04-S10-R2; RG04-S10-R3</t>
        </is>
      </c>
      <c r="AM99" s="77" t="inlineStr">
        <is>
          <t>Group structure, client role in Design in Practice and current delivery are unconfirmed. The external practitioner call page is undated.</t>
        </is>
      </c>
      <c r="AN99" s="77" t="inlineStr"/>
      <c r="AO99" s="77" t="inlineStr">
        <is>
          <t>UK</t>
        </is>
      </c>
      <c r="AP99" s="77" t="inlineStr">
        <is>
          <t>UK – Russell Group</t>
        </is>
      </c>
      <c r="AQ99" s="77" t="inlineStr">
        <is>
          <t>Unclear</t>
        </is>
      </c>
      <c r="AR99" s="77" t="inlineStr">
        <is>
          <t>Unclear</t>
        </is>
      </c>
      <c r="AS99" s="77" t="inlineStr"/>
    </row>
    <row r="100">
      <c r="A100" s="77" t="inlineStr">
        <is>
          <t>RG04</t>
        </is>
      </c>
      <c r="B100" s="77" t="inlineStr">
        <is>
          <t>Cardiff</t>
        </is>
      </c>
      <c r="C100" s="77" t="inlineStr">
        <is>
          <t>Unclear</t>
        </is>
      </c>
      <c r="D100" s="77" t="inlineStr">
        <is>
          <t>RG04-S11</t>
        </is>
      </c>
      <c r="E100" s="77" t="inlineStr"/>
      <c r="F100" s="77" t="inlineStr">
        <is>
          <t>No</t>
        </is>
      </c>
      <c r="G100" s="79" t="inlineStr">
        <is>
          <t>Bremen-Cardiff Initiative on Sustainability and Entrepreneurship</t>
        </is>
      </c>
      <c r="H100" s="77" t="inlineStr">
        <is>
          <t>Bremen-Cardiff Sustainability Programme</t>
        </is>
      </c>
      <c r="I100" s="77" t="inlineStr"/>
      <c r="J100"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00" s="77" t="inlineStr">
        <is>
          <t>Enterprise &amp; Start-Up team (Student Futures) with University of Bremen</t>
        </is>
      </c>
      <c r="L100" s="77" t="inlineStr">
        <is>
          <t>Not stated</t>
        </is>
      </c>
      <c r="M100" s="77" t="inlineStr">
        <is>
          <t>Central provision</t>
        </is>
      </c>
      <c r="N100" s="77" t="inlineStr">
        <is>
          <t>Unclear</t>
        </is>
      </c>
      <c r="O100" s="77" t="inlineStr"/>
      <c r="P100" s="77" t="inlineStr">
        <is>
          <t>Selection/application not detailed</t>
        </is>
      </c>
      <c r="Q100" s="77" t="inlineStr">
        <is>
          <t>Selective/competitive</t>
        </is>
      </c>
      <c r="R100" s="77" t="inlineStr">
        <is>
          <t>Extracurricular</t>
        </is>
      </c>
      <c r="S100" s="77" t="inlineStr">
        <is>
          <t>None evidenced</t>
        </is>
      </c>
      <c r="T100" s="77" t="inlineStr">
        <is>
          <t>2 weeks (1 online + 1 in person)</t>
        </is>
      </c>
      <c r="U100" s="77" t="inlineStr">
        <is>
          <t>Blended</t>
        </is>
      </c>
      <c r="V100" s="77" t="inlineStr">
        <is>
          <t>Unclear</t>
        </is>
      </c>
      <c r="W100" s="77" t="inlineStr">
        <is>
          <t>Students 'build a solution to a real-world problem' [1]; the brief and output are not specified.</t>
        </is>
      </c>
      <c r="X100" s="77" t="inlineStr">
        <is>
          <t>Unclear</t>
        </is>
      </c>
      <c r="Y100" s="77" t="inlineStr">
        <is>
          <t>Students from both universities are brought together and there are group sessions [1], but team-based joint outputs are not explicit.</t>
        </is>
      </c>
      <c r="Z100" s="77" t="inlineStr">
        <is>
          <t>Unclear</t>
        </is>
      </c>
      <c r="AA100" s="77" t="inlineStr">
        <is>
          <t>No company or organisation is evidenced as setting the problem or receiving outputs. A separate Bremen summer camp involved companies [1].</t>
        </is>
      </c>
      <c r="AB100" s="77" t="inlineStr">
        <is>
          <t>Unclear</t>
        </is>
      </c>
      <c r="AC100" s="77" t="inlineStr">
        <is>
          <t>Partner university (Bremen) co-delivers; no external client evidenced</t>
        </is>
      </c>
      <c r="AD100" s="77" t="inlineStr">
        <is>
          <t>University of Bremen (academic partner, not a client)</t>
        </is>
      </c>
      <c r="AE100" s="77" t="inlineStr">
        <is>
          <t>Solution/pitch (not specified)</t>
        </is>
      </c>
      <c r="AF100" s="77">
        <f>IF(OR(V100="No",X100="No",Z100="No"),"Outside strict definition",IF(AND(V100="Yes",X100="Yes",Z100="Yes"),"Meets all three","Potentially relevant; evidence incomplete"))</f>
        <v/>
      </c>
      <c r="AG100" s="77" t="inlineStr">
        <is>
          <t>Current status unclear</t>
        </is>
      </c>
      <c r="AH100" s="77" t="inlineStr">
        <is>
          <t>2024/25</t>
        </is>
      </c>
      <c r="AI100" s="77" t="inlineStr">
        <is>
          <t>Yes</t>
        </is>
      </c>
      <c r="AJ100" s="77">
        <f>IF(AND(AI100="Yes",AF100="Meets all three",AG100="Current delivery confirmed"),"Yes","No")</f>
        <v/>
      </c>
      <c r="AK100" s="77" t="inlineStr">
        <is>
          <t>An earlier online iteration had 30 students from both universities (undated news) [2]</t>
        </is>
      </c>
      <c r="AL100" s="77" t="inlineStr">
        <is>
          <t>RG04-S11-R1; RG04-S11-R2; RG04-S11-R3</t>
        </is>
      </c>
      <c r="AM100" s="77" t="inlineStr">
        <is>
          <t>Eligibility, whether teams work for a real organisation, and 2025/26 delivery are unknown. The 2024/25 Student Enterprise annual report lists 'Bremen and Cardiff Sustainability and...' but the extract was truncated.</t>
        </is>
      </c>
      <c r="AN100" s="77" t="inlineStr">
        <is>
          <t>Bremen–Cardiff Sustainability Programme</t>
        </is>
      </c>
      <c r="AO100" s="77" t="inlineStr">
        <is>
          <t>UK</t>
        </is>
      </c>
      <c r="AP100" s="77" t="inlineStr">
        <is>
          <t>UK – Russell Group</t>
        </is>
      </c>
      <c r="AQ100" s="77" t="inlineStr">
        <is>
          <t>1–4 weeks</t>
        </is>
      </c>
      <c r="AR100" s="77" t="inlineStr">
        <is>
          <t>Unclear</t>
        </is>
      </c>
      <c r="AS100" s="77" t="inlineStr"/>
    </row>
    <row r="101">
      <c r="A101" s="77" t="inlineStr">
        <is>
          <t>RG05</t>
        </is>
      </c>
      <c r="B101" s="77" t="inlineStr">
        <is>
          <t>Durham</t>
        </is>
      </c>
      <c r="C101" s="77" t="inlineStr">
        <is>
          <t>Programme/course</t>
        </is>
      </c>
      <c r="D101" s="77" t="inlineStr">
        <is>
          <t>RG05-S01</t>
        </is>
      </c>
      <c r="E101" s="77" t="inlineStr"/>
      <c r="F101" s="77" t="inlineStr">
        <is>
          <t>No</t>
        </is>
      </c>
      <c r="G101" s="79" t="inlineStr">
        <is>
          <t>PHYS3581 Team Project (Level 3 Physics)</t>
        </is>
      </c>
      <c r="H101" s="77" t="inlineStr">
        <is>
          <t>Physics Team Project</t>
        </is>
      </c>
      <c r="I101" s="77" t="inlineStr">
        <is>
          <t>PHYS3581</t>
        </is>
      </c>
      <c r="J101"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01" s="77" t="inlineStr">
        <is>
          <t>Department of Physics</t>
        </is>
      </c>
      <c r="L101" s="77" t="inlineStr">
        <is>
          <t>Level 3 Physics students (module listed as Open, cap 84, prerequisite PHYS2641); F300 course page presents it as one of two practical-module options alongside an extended experimental project; also listed for incoming/exchange students 2026/27.</t>
        </is>
      </c>
      <c r="M101" s="77" t="inlineStr">
        <is>
          <t>Science</t>
        </is>
      </c>
      <c r="N101" s="77" t="inlineStr">
        <is>
          <t>Undergraduate</t>
        </is>
      </c>
      <c r="O101" s="77" t="inlineStr">
        <is>
          <t>Year 3 (Level 3)</t>
        </is>
      </c>
      <c r="P101" s="77" t="inlineStr">
        <is>
          <t>Prerequisite PHYS2641 (Laboratory Skills Electronics); capped at 84 places.</t>
        </is>
      </c>
      <c r="Q101" s="77" t="inlineStr">
        <is>
          <t>Optional/elective</t>
        </is>
      </c>
      <c r="R101" s="77" t="inlineStr">
        <is>
          <t>Curricular</t>
        </is>
      </c>
      <c r="S101" s="77" t="inlineStr">
        <is>
          <t>20 Durham credits (10 ECTS in 2026/27 incoming handbook); short written report and oral presentation (summative).</t>
        </is>
      </c>
      <c r="T101" s="77" t="inlineStr">
        <is>
          <t>9 hours/week for 8 weeks in Michaelmas or Epiphany term</t>
        </is>
      </c>
      <c r="U101" s="77" t="inlineStr">
        <is>
          <t>Department-based lab project with client brief, kick-off meeting and final presentation</t>
        </is>
      </c>
      <c r="V101" s="77" t="inlineStr">
        <is>
          <t>Yes</t>
        </is>
      </c>
      <c r="W101" s="77" t="inlineStr">
        <is>
          <t>Defined client problem with report and presentation outputs (sources 1,2).</t>
        </is>
      </c>
      <c r="X101" s="77" t="inlineStr">
        <is>
          <t>Yes</t>
        </is>
      </c>
      <c r="Y101" s="77" t="inlineStr">
        <is>
          <t>Teams of up to six (4-6) students assembled by the course organiser; joint report and presentation (sources 1,2).</t>
        </is>
      </c>
      <c r="Z101" s="77" t="inlineStr">
        <is>
          <t>Unclear</t>
        </is>
      </c>
      <c r="AA101"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01" s="77" t="inlineStr">
        <is>
          <t>Business/commercial</t>
        </is>
      </c>
      <c r="AC101" s="77" t="inlineStr">
        <is>
          <t>Client: supplies brief, meets team, receives final presentation; internal staff-set projects also exist (share not published).</t>
        </is>
      </c>
      <c r="AD101" s="77" t="inlineStr">
        <is>
          <t>Procter &amp; Gamble, Cottam Brush, Neue Schule, Mantis Vacuum Systems (previous projects page, undated); EDF, Coltraco Ultrasonics, Magnitude Biosciences, Kromek (team project page, undated)</t>
        </is>
      </c>
      <c r="AE101" s="77" t="inlineStr">
        <is>
          <t>Written report and oral presentation / prototype or analysis for the client</t>
        </is>
      </c>
      <c r="AF101" s="77">
        <f>IF(OR(V101="No",X101="No",Z101="No"),"Outside strict definition",IF(AND(V101="Yes",X101="Yes",Z101="Yes"),"Meets all three","Potentially relevant; evidence incomplete"))</f>
        <v/>
      </c>
      <c r="AG101" s="77" t="inlineStr">
        <is>
          <t>Current delivery confirmed</t>
        </is>
      </c>
      <c r="AH101" s="77" t="inlineStr">
        <is>
          <t>2026/27</t>
        </is>
      </c>
      <c r="AI101" s="77" t="inlineStr">
        <is>
          <t>Yes</t>
        </is>
      </c>
      <c r="AJ101" s="77">
        <f>IF(AND(AI101="Yes",AF101="Meets all three",AG101="Current delivery confirmed"),"Yes","No")</f>
        <v/>
      </c>
      <c r="AK101" s="77" t="inlineStr">
        <is>
          <t>Module cap of 84 students (capacity, not participation).</t>
        </is>
      </c>
      <c r="AL101" s="77" t="inlineStr">
        <is>
          <t>RG05-S01-R1; RG05-S01-R2; RG05-S01-R3; RG05-S01-R4; RG05-S01-R5; RG05-S01-R6</t>
        </is>
      </c>
      <c r="AM101"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01" s="77" t="inlineStr"/>
      <c r="AO101" s="77" t="inlineStr">
        <is>
          <t>UK</t>
        </is>
      </c>
      <c r="AP101" s="77" t="inlineStr">
        <is>
          <t>UK – Russell Group</t>
        </is>
      </c>
      <c r="AQ101" s="77" t="inlineStr">
        <is>
          <t>~1 term/semester</t>
        </is>
      </c>
      <c r="AR101" s="77" t="inlineStr">
        <is>
          <t>Some projects</t>
        </is>
      </c>
      <c r="AS101" s="77" t="inlineStr"/>
    </row>
    <row r="102">
      <c r="A102" s="77" t="inlineStr">
        <is>
          <t>RG05</t>
        </is>
      </c>
      <c r="B102" s="77" t="inlineStr">
        <is>
          <t>Durham</t>
        </is>
      </c>
      <c r="C102" s="77" t="inlineStr">
        <is>
          <t>Programme/course</t>
        </is>
      </c>
      <c r="D102" s="77" t="inlineStr">
        <is>
          <t>RG05-S02</t>
        </is>
      </c>
      <c r="E102" s="77" t="inlineStr"/>
      <c r="F102" s="77" t="inlineStr">
        <is>
          <t>No</t>
        </is>
      </c>
      <c r="G102" s="79" t="inlineStr">
        <is>
          <t>COMP2281 Software Engineering (Year 2 team project with external organisation)</t>
        </is>
      </c>
      <c r="H102" s="77" t="inlineStr">
        <is>
          <t>Software Engineering team project</t>
        </is>
      </c>
      <c r="I102" s="77" t="inlineStr">
        <is>
          <t>COMP2281</t>
        </is>
      </c>
      <c r="J102" s="77" t="inlineStr">
        <is>
          <t>Compulsory Level 2 Computer Science module built around a substantial team-based software project developed in partnership with an external organisation, covering the lifecycle from requirements to maintenance, Agile practice and project management.</t>
        </is>
      </c>
      <c r="K102" s="77" t="inlineStr">
        <is>
          <t>Department of Computer Science</t>
        </is>
      </c>
      <c r="L102" s="77" t="inlineStr">
        <is>
          <t>BSc/MEng Computer Science (G400, G406), Artificial Intelligence (G414) and related Computer Science degrees where the Year 2 Software Engineering module is taken.</t>
        </is>
      </c>
      <c r="M102" s="77" t="inlineStr">
        <is>
          <t>Engineering/computing</t>
        </is>
      </c>
      <c r="N102" s="77" t="inlineStr">
        <is>
          <t>Undergraduate</t>
        </is>
      </c>
      <c r="O102" s="77" t="inlineStr">
        <is>
          <t>Year 2</t>
        </is>
      </c>
      <c r="P102" s="77" t="inlineStr">
        <is>
          <t>Students on the specified Computer Science programmes.</t>
        </is>
      </c>
      <c r="Q102" s="77" t="inlineStr">
        <is>
          <t>Compulsory within specified programmes</t>
        </is>
      </c>
      <c r="R102" s="77" t="inlineStr">
        <is>
          <t>Curricular</t>
        </is>
      </c>
      <c r="S102" s="77" t="inlineStr">
        <is>
          <t>20 credits, Level 2; assessment weighting of the team project not found.</t>
        </is>
      </c>
      <c r="T102" s="77" t="inlineStr">
        <is>
          <t>Module-length (assumed academic year/term; not stated in extracts)</t>
        </is>
      </c>
      <c r="U102" s="77" t="inlineStr">
        <is>
          <t>Team software project with external organisation alongside taught content</t>
        </is>
      </c>
      <c r="V102" s="77" t="inlineStr">
        <is>
          <t>Yes</t>
        </is>
      </c>
      <c r="W102" s="77" t="inlineStr">
        <is>
          <t>'substantial team-based software project' (source 2); aim to understand management of 'a significant piece of software' (source 1).</t>
        </is>
      </c>
      <c r="X102" s="77" t="inlineStr">
        <is>
          <t>Yes</t>
        </is>
      </c>
      <c r="Y102" s="77" t="inlineStr">
        <is>
          <t>Team-based project; aims refer to developing software 'within a team environment' (sources 1,2).</t>
        </is>
      </c>
      <c r="Z102" s="77" t="inlineStr">
        <is>
          <t>Yes</t>
        </is>
      </c>
      <c r="AA102" s="77" t="inlineStr">
        <is>
          <t>Programme pages state the project is developed in partnership with, and gives experience working with, an external organisation (sources 2,3). The mechanism (who supplies the brief, who assesses) is not described in the extracts.</t>
        </is>
      </c>
      <c r="AB102" s="77" t="inlineStr">
        <is>
          <t>Unclear</t>
        </is>
      </c>
      <c r="AC102" s="77" t="inlineStr">
        <is>
          <t>External organisation partners on the project; precise role (brief-setting, feedback, assessment) not documented in extracts.</t>
        </is>
      </c>
      <c r="AD102" s="77" t="inlineStr"/>
      <c r="AE102" s="77" t="inlineStr">
        <is>
          <t>Team-built software system</t>
        </is>
      </c>
      <c r="AF102" s="77">
        <f>IF(OR(V102="No",X102="No",Z102="No"),"Outside strict definition",IF(AND(V102="Yes",X102="Yes",Z102="Yes"),"Meets all three","Potentially relevant; evidence incomplete"))</f>
        <v/>
      </c>
      <c r="AG102" s="77" t="inlineStr">
        <is>
          <t>Current delivery confirmed</t>
        </is>
      </c>
      <c r="AH102" s="77" t="inlineStr">
        <is>
          <t>2025/26</t>
        </is>
      </c>
      <c r="AI102" s="77" t="inlineStr">
        <is>
          <t>Yes</t>
        </is>
      </c>
      <c r="AJ102" s="77">
        <f>IF(AND(AI102="Yes",AF102="Meets all three",AG102="Current delivery confirmed"),"Yes","No")</f>
        <v/>
      </c>
      <c r="AK102" s="77" t="inlineStr"/>
      <c r="AL102" s="77" t="inlineStr">
        <is>
          <t>RG05-S02-R1; RG05-S02-R2; RG05-S02-R3</t>
        </is>
      </c>
      <c r="AM102"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02" s="77" t="inlineStr"/>
      <c r="AO102" s="77" t="inlineStr">
        <is>
          <t>UK</t>
        </is>
      </c>
      <c r="AP102" s="77" t="inlineStr">
        <is>
          <t>UK – Russell Group</t>
        </is>
      </c>
      <c r="AQ102" s="77" t="inlineStr">
        <is>
          <t>Unclear</t>
        </is>
      </c>
      <c r="AR102" s="77" t="inlineStr">
        <is>
          <t>All/standard</t>
        </is>
      </c>
      <c r="AS102" s="77" t="inlineStr"/>
    </row>
    <row r="103">
      <c r="A103" s="77" t="inlineStr">
        <is>
          <t>RG05</t>
        </is>
      </c>
      <c r="B103" s="77" t="inlineStr">
        <is>
          <t>Durham</t>
        </is>
      </c>
      <c r="C103" s="77" t="inlineStr">
        <is>
          <t>Programme/course</t>
        </is>
      </c>
      <c r="D103" s="77" t="inlineStr">
        <is>
          <t>RG05-S03</t>
        </is>
      </c>
      <c r="E103" s="77" t="inlineStr"/>
      <c r="F103" s="77" t="inlineStr">
        <is>
          <t>No</t>
        </is>
      </c>
      <c r="G103" s="79" t="inlineStr">
        <is>
          <t>GEOL4091 Earth Sciences into Industry</t>
        </is>
      </c>
      <c r="H103" s="77" t="inlineStr">
        <is>
          <t>Earth Sciences into Industry</t>
        </is>
      </c>
      <c r="I103" s="77" t="inlineStr">
        <is>
          <t>GEOL4091</t>
        </is>
      </c>
      <c r="J103"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03" s="77" t="inlineStr">
        <is>
          <t>Department of Earth Sciences</t>
        </is>
      </c>
      <c r="L103" s="77" t="inlineStr">
        <is>
          <t>Level 4 option for MSci Earth Sciences/geoscience degrees and listed for Natural Sciences students.</t>
        </is>
      </c>
      <c r="M103" s="77" t="inlineStr">
        <is>
          <t>Science</t>
        </is>
      </c>
      <c r="N103" s="77" t="inlineStr">
        <is>
          <t>Undergraduate</t>
        </is>
      </c>
      <c r="O103" s="77" t="inlineStr">
        <is>
          <t>Level 4 (integrated Masters)</t>
        </is>
      </c>
      <c r="P103" s="77" t="inlineStr">
        <is>
          <t>Level 4 Earth Sciences / Natural Sciences students on programmes that list the module.</t>
        </is>
      </c>
      <c r="Q103" s="77" t="inlineStr">
        <is>
          <t>Optional/elective</t>
        </is>
      </c>
      <c r="R103" s="77" t="inlineStr">
        <is>
          <t>Curricular</t>
        </is>
      </c>
      <c r="S103" s="77" t="inlineStr">
        <is>
          <t>20 credits; individual reflective report 20%, group project report 60%, group oral presentation 20%.</t>
        </is>
      </c>
      <c r="T103" s="77" t="inlineStr">
        <is>
          <t>Not stated in extracts</t>
        </is>
      </c>
      <c r="U103" s="77" t="inlineStr">
        <is>
          <t>Client-brief group project with internal mentor; formative and summative assessment</t>
        </is>
      </c>
      <c r="V103" s="77" t="inlineStr">
        <is>
          <t>Yes</t>
        </is>
      </c>
      <c r="W103" s="77" t="inlineStr">
        <is>
          <t>Client-specified problem and deliverables; group report and presentation (source 1).</t>
        </is>
      </c>
      <c r="X103" s="77" t="inlineStr">
        <is>
          <t>Yes</t>
        </is>
      </c>
      <c r="Y103" s="77" t="inlineStr">
        <is>
          <t>'A multi-disciplinary student group'; 60% group project report and 20% group oral presentation (source 1).</t>
        </is>
      </c>
      <c r="Z103" s="77" t="inlineStr">
        <is>
          <t>Yes</t>
        </is>
      </c>
      <c r="AA103" s="77" t="inlineStr">
        <is>
          <t>Client, 'typically an external organisation', identifies the problem and deliverables, and receives the group's presented solution; module aim is working with an industrial client (source 1).</t>
        </is>
      </c>
      <c r="AB103" s="77" t="inlineStr">
        <is>
          <t>Business/commercial</t>
        </is>
      </c>
      <c r="AC103" s="77" t="inlineStr">
        <is>
          <t>Client sets problem and deliverables and receives presentation; internal mentor also supports. 'Typically' external, so some internal clients possible.</t>
        </is>
      </c>
      <c r="AD103" s="77" t="inlineStr"/>
      <c r="AE103" s="77" t="inlineStr">
        <is>
          <t>Group project report and presentation of a solution to the client</t>
        </is>
      </c>
      <c r="AF103" s="77">
        <f>IF(OR(V103="No",X103="No",Z103="No"),"Outside strict definition",IF(AND(V103="Yes",X103="Yes",Z103="Yes"),"Meets all three","Potentially relevant; evidence incomplete"))</f>
        <v/>
      </c>
      <c r="AG103" s="77" t="inlineStr">
        <is>
          <t>Current delivery confirmed</t>
        </is>
      </c>
      <c r="AH103" s="77" t="inlineStr">
        <is>
          <t>2025/26</t>
        </is>
      </c>
      <c r="AI103" s="77" t="inlineStr">
        <is>
          <t>Yes</t>
        </is>
      </c>
      <c r="AJ103" s="77">
        <f>IF(AND(AI103="Yes",AF103="Meets all three",AG103="Current delivery confirmed"),"Yes","No")</f>
        <v/>
      </c>
      <c r="AK103" s="77" t="inlineStr"/>
      <c r="AL103" s="77" t="inlineStr">
        <is>
          <t>RG05-S03-R1; RG05-S03-R2</t>
        </is>
      </c>
      <c r="AM103" s="77" t="inlineStr">
        <is>
          <t>No named 2025/26 clients, project length or enrolment numbers found; share of non-external clients (word 'typically') unknown.</t>
        </is>
      </c>
      <c r="AN103" s="77" t="inlineStr"/>
      <c r="AO103" s="77" t="inlineStr">
        <is>
          <t>UK</t>
        </is>
      </c>
      <c r="AP103" s="77" t="inlineStr">
        <is>
          <t>UK – Russell Group</t>
        </is>
      </c>
      <c r="AQ103" s="77" t="inlineStr">
        <is>
          <t>Unclear</t>
        </is>
      </c>
      <c r="AR103" s="77" t="inlineStr">
        <is>
          <t>All/standard</t>
        </is>
      </c>
      <c r="AS103" s="77" t="inlineStr"/>
    </row>
    <row r="104">
      <c r="A104" s="77" t="inlineStr">
        <is>
          <t>RG05</t>
        </is>
      </c>
      <c r="B104" s="77" t="inlineStr">
        <is>
          <t>Durham</t>
        </is>
      </c>
      <c r="C104" s="77" t="inlineStr">
        <is>
          <t>Unclear</t>
        </is>
      </c>
      <c r="D104" s="77" t="inlineStr">
        <is>
          <t>RG05-S04</t>
        </is>
      </c>
      <c r="E104" s="77" t="inlineStr"/>
      <c r="F104" s="77" t="inlineStr">
        <is>
          <t>No</t>
        </is>
      </c>
      <c r="G104" s="79" t="inlineStr">
        <is>
          <t>Mini Consultancy Competition</t>
        </is>
      </c>
      <c r="H104" s="77" t="inlineStr">
        <is>
          <t>Mini Consultancy Competition</t>
        </is>
      </c>
      <c r="I104" s="77" t="inlineStr"/>
      <c r="J104"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04" s="77" t="inlineStr">
        <is>
          <t>Careers and Enterprise Centre (central)</t>
        </is>
      </c>
      <c r="L104" s="77" t="inlineStr">
        <is>
          <t>Student eligibility and selection rules not found in search (employer page only).</t>
        </is>
      </c>
      <c r="M104" s="77" t="inlineStr">
        <is>
          <t>Central provision</t>
        </is>
      </c>
      <c r="N104" s="77" t="inlineStr">
        <is>
          <t>Unclear</t>
        </is>
      </c>
      <c r="O104" s="77" t="inlineStr">
        <is>
          <t>Unclear</t>
        </is>
      </c>
      <c r="P104" s="77" t="inlineStr">
        <is>
          <t>Employer page refers to 'high-achieving Durham students'; selection process not published in extracts.</t>
        </is>
      </c>
      <c r="Q104" s="77" t="inlineStr">
        <is>
          <t>Selective/competitive</t>
        </is>
      </c>
      <c r="R104" s="77" t="inlineStr">
        <is>
          <t>Extracurricular</t>
        </is>
      </c>
      <c r="S104" s="77" t="inlineStr">
        <is>
          <t>No credit evidenced</t>
        </is>
      </c>
      <c r="T104" s="77" t="inlineStr">
        <is>
          <t>About three weeks</t>
        </is>
      </c>
      <c r="U104" s="77" t="inlineStr">
        <is>
          <t>Employer-supplied challenge; student teams; employer receives three solutions and presentations</t>
        </is>
      </c>
      <c r="V104" s="77" t="inlineStr">
        <is>
          <t>Yes</t>
        </is>
      </c>
      <c r="W104" s="77" t="inlineStr">
        <is>
          <t>Real business issue provided by employer; each team produces a solution and final presentation (source 1).</t>
        </is>
      </c>
      <c r="X104" s="77" t="inlineStr">
        <is>
          <t>Yes</t>
        </is>
      </c>
      <c r="Y104" s="77" t="inlineStr">
        <is>
          <t>'three diverse student consultancy teams' (source 1).</t>
        </is>
      </c>
      <c r="Z104" s="77" t="inlineStr">
        <is>
          <t>Yes</t>
        </is>
      </c>
      <c r="AA104" s="77" t="inlineStr">
        <is>
          <t>Employer supplies the live business issue and receives three distinct solutions and presentations (source 1).</t>
        </is>
      </c>
      <c r="AB104" s="77" t="inlineStr">
        <is>
          <t>Business/commercial</t>
        </is>
      </c>
      <c r="AC104" s="77" t="inlineStr">
        <is>
          <t>Sets the live business issue; receives team solutions and presentations; may assess potential recruits.</t>
        </is>
      </c>
      <c r="AD104" s="77" t="inlineStr"/>
      <c r="AE104" s="77" t="inlineStr">
        <is>
          <t>Three team solutions and final presentations to the employer</t>
        </is>
      </c>
      <c r="AF104" s="77">
        <f>IF(OR(V104="No",X104="No",Z104="No"),"Outside strict definition",IF(AND(V104="Yes",X104="Yes",Z104="Yes"),"Meets all three","Potentially relevant; evidence incomplete"))</f>
        <v/>
      </c>
      <c r="AG104" s="77" t="inlineStr">
        <is>
          <t>Current status unclear</t>
        </is>
      </c>
      <c r="AH104" s="77" t="inlineStr"/>
      <c r="AI104" s="77" t="inlineStr">
        <is>
          <t>Yes</t>
        </is>
      </c>
      <c r="AJ104" s="77">
        <f>IF(AND(AI104="Yes",AF104="Meets all three",AG104="Current delivery confirmed"),"Yes","No")</f>
        <v/>
      </c>
      <c r="AK104" s="77" t="inlineStr"/>
      <c r="AL104" s="77" t="inlineStr">
        <is>
          <t>RG05-S04-R1</t>
        </is>
      </c>
      <c r="AM104"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04" s="77" t="inlineStr">
        <is>
          <t>Mini Consultancy Competition</t>
        </is>
      </c>
      <c r="AO104" s="77" t="inlineStr">
        <is>
          <t>UK</t>
        </is>
      </c>
      <c r="AP104" s="77" t="inlineStr">
        <is>
          <t>UK – Russell Group</t>
        </is>
      </c>
      <c r="AQ104" s="77" t="inlineStr">
        <is>
          <t>1-4 weeks</t>
        </is>
      </c>
      <c r="AR104" s="77" t="inlineStr">
        <is>
          <t>All/standard</t>
        </is>
      </c>
      <c r="AS104" s="77" t="inlineStr"/>
    </row>
    <row r="105">
      <c r="A105" s="77" t="inlineStr">
        <is>
          <t>RG05</t>
        </is>
      </c>
      <c r="B105" s="77" t="inlineStr">
        <is>
          <t>Durham</t>
        </is>
      </c>
      <c r="C105" s="77" t="inlineStr">
        <is>
          <t>Programme/course</t>
        </is>
      </c>
      <c r="D105" s="77" t="inlineStr">
        <is>
          <t>RG05-S05</t>
        </is>
      </c>
      <c r="E105" s="77" t="inlineStr"/>
      <c r="F105" s="77" t="inlineStr">
        <is>
          <t>No</t>
        </is>
      </c>
      <c r="G105" s="79" t="inlineStr">
        <is>
          <t>MSc Business Analytics Project (client-based)</t>
        </is>
      </c>
      <c r="H105" s="77" t="inlineStr">
        <is>
          <t>Business Analytics Projects</t>
        </is>
      </c>
      <c r="I105" s="77" t="inlineStr"/>
      <c r="J105"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05" s="77" t="inlineStr">
        <is>
          <t>Durham University Business School</t>
        </is>
      </c>
      <c r="L105" s="77" t="inlineStr">
        <is>
          <t>MSc Business Analytics (G5K709).</t>
        </is>
      </c>
      <c r="M105" s="77" t="inlineStr">
        <is>
          <t>Business/management</t>
        </is>
      </c>
      <c r="N105" s="77" t="inlineStr">
        <is>
          <t>Postgraduate taught</t>
        </is>
      </c>
      <c r="O105" s="77" t="inlineStr">
        <is>
          <t>Masters</t>
        </is>
      </c>
      <c r="P105" s="77" t="inlineStr">
        <is>
          <t>MSc Business Analytics students.</t>
        </is>
      </c>
      <c r="Q105" s="77" t="inlineStr">
        <is>
          <t>Compulsory within specified programmes</t>
        </is>
      </c>
      <c r="R105" s="77" t="inlineStr">
        <is>
          <t>Curricular</t>
        </is>
      </c>
      <c r="S105" s="77" t="inlineStr">
        <is>
          <t>Project worth about one-third of the degree marks; assessed report plus executive summary.</t>
        </is>
      </c>
      <c r="T105" s="77" t="inlineStr">
        <is>
          <t>Typically Term 3 after taught modules; company page cites a three-month project</t>
        </is>
      </c>
      <c r="U105" s="77" t="inlineStr">
        <is>
          <t>Client-supplied brief and data, short on-site visits, supervised by academic and company supervisors</t>
        </is>
      </c>
      <c r="V105" s="77" t="inlineStr">
        <is>
          <t>Yes</t>
        </is>
      </c>
      <c r="W105" s="77" t="inlineStr">
        <is>
          <t>Live business problem with client data; report and executive summary (sources 1,2).</t>
        </is>
      </c>
      <c r="X105" s="77" t="inlineStr">
        <is>
          <t>Unclear</t>
        </is>
      </c>
      <c r="Y105" s="77" t="inlineStr">
        <is>
          <t>Programme page speaks of collaborating with fellow students and teams, but case studies describe an individual student's project (WoolOvers) and the related module BUSI4M710 is individual; group vs individual route not separable (sources 1,3).</t>
        </is>
      </c>
      <c r="Z105" s="77" t="inlineStr">
        <is>
          <t>Yes</t>
        </is>
      </c>
      <c r="AA105" s="77" t="inlineStr">
        <is>
          <t>Client company supplies the brief and datasets, provides a supervisor, and reviews the executive summary (source 1).</t>
        </is>
      </c>
      <c r="AB105" s="77" t="inlineStr">
        <is>
          <t>Business/commercial</t>
        </is>
      </c>
      <c r="AC105" s="77" t="inlineStr">
        <is>
          <t>Provides brief, data, company supervisor; reviews executive summary.</t>
        </is>
      </c>
      <c r="AD105" s="77" t="inlineStr">
        <is>
          <t>WoolOvers (case study, undated)</t>
        </is>
      </c>
      <c r="AE105" s="77" t="inlineStr">
        <is>
          <t>Project report and client executive summary</t>
        </is>
      </c>
      <c r="AF105" s="77">
        <f>IF(OR(V105="No",X105="No",Z105="No"),"Outside strict definition",IF(AND(V105="Yes",X105="Yes",Z105="Yes"),"Meets all three","Potentially relevant; evidence incomplete"))</f>
        <v/>
      </c>
      <c r="AG105" s="77" t="inlineStr">
        <is>
          <t>Current status unclear</t>
        </is>
      </c>
      <c r="AH105" s="77" t="inlineStr"/>
      <c r="AI105" s="77" t="inlineStr">
        <is>
          <t>Yes</t>
        </is>
      </c>
      <c r="AJ105" s="77">
        <f>IF(AND(AI105="Yes",AF105="Meets all three",AG105="Current delivery confirmed"),"Yes","No")</f>
        <v/>
      </c>
      <c r="AK105" s="77" t="inlineStr">
        <is>
          <t>Company page claims partnerships with over 380 businesses across 68 sectors (whole school, not this scheme).</t>
        </is>
      </c>
      <c r="AL105" s="77" t="inlineStr">
        <is>
          <t>RG05-S05-R1; RG05-S05-R2; RG05-S05-R3; RG05-S05-R4</t>
        </is>
      </c>
      <c r="AM105" s="77" t="inlineStr">
        <is>
          <t>Whether the project is done in teams or individually; no 2025/26 or 2026/27 module availability or dated client cohort found (course page lists September 2026 and 2027 starts; page metadata appeared old).</t>
        </is>
      </c>
      <c r="AN105" s="77" t="inlineStr"/>
      <c r="AO105" s="77" t="inlineStr">
        <is>
          <t>UK</t>
        </is>
      </c>
      <c r="AP105" s="77" t="inlineStr">
        <is>
          <t>UK – Russell Group</t>
        </is>
      </c>
      <c r="AQ105" s="77" t="inlineStr">
        <is>
          <t>~1 term/semester</t>
        </is>
      </c>
      <c r="AR105" s="77" t="inlineStr">
        <is>
          <t>All/standard</t>
        </is>
      </c>
      <c r="AS105" s="77" t="inlineStr"/>
    </row>
    <row r="106">
      <c r="A106" s="77" t="inlineStr">
        <is>
          <t>RG05</t>
        </is>
      </c>
      <c r="B106" s="77" t="inlineStr">
        <is>
          <t>Durham</t>
        </is>
      </c>
      <c r="C106" s="77" t="inlineStr">
        <is>
          <t>Programme/course</t>
        </is>
      </c>
      <c r="D106" s="77" t="inlineStr">
        <is>
          <t>RG05-S06</t>
        </is>
      </c>
      <c r="E106" s="77" t="inlineStr"/>
      <c r="F106" s="77" t="inlineStr">
        <is>
          <t>No</t>
        </is>
      </c>
      <c r="G106" s="79" t="inlineStr">
        <is>
          <t>Industrial Problem Solving (IPS)</t>
        </is>
      </c>
      <c r="H106" s="77" t="inlineStr">
        <is>
          <t>Industrial Problem Solving</t>
        </is>
      </c>
      <c r="I106" s="77" t="inlineStr"/>
      <c r="J106"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06" s="77" t="inlineStr">
        <is>
          <t>Department of Engineering (Industrial Partnership Committee)</t>
        </is>
      </c>
      <c r="L106" s="77" t="inlineStr">
        <is>
          <t>Third-year Engineering students.</t>
        </is>
      </c>
      <c r="M106" s="77" t="inlineStr">
        <is>
          <t>Engineering/computing</t>
        </is>
      </c>
      <c r="N106" s="77" t="inlineStr">
        <is>
          <t>Undergraduate</t>
        </is>
      </c>
      <c r="O106" s="77" t="inlineStr">
        <is>
          <t>Year 3</t>
        </is>
      </c>
      <c r="P106" s="77" t="inlineStr">
        <is>
          <t>Third-year Engineering students</t>
        </is>
      </c>
      <c r="Q106" s="77" t="inlineStr">
        <is>
          <t>Unclear</t>
        </is>
      </c>
      <c r="R106" s="77" t="inlineStr">
        <is>
          <t>Curricular</t>
        </is>
      </c>
      <c r="S106" s="77" t="inlineStr">
        <is>
          <t>University report; credit not found.</t>
        </is>
      </c>
      <c r="T106" s="77" t="inlineStr">
        <is>
          <t>Two weeks (second week on company project)</t>
        </is>
      </c>
      <c r="U106" s="77" t="inlineStr">
        <is>
          <t>Taught week then live company-site project in pairs</t>
        </is>
      </c>
      <c r="V106" s="77" t="inlineStr">
        <is>
          <t>Yes</t>
        </is>
      </c>
      <c r="W106" s="77" t="inlineStr">
        <is>
          <t>'live' company project with presentation and report (source 1).</t>
        </is>
      </c>
      <c r="X106" s="77" t="inlineStr">
        <is>
          <t>Yes</t>
        </is>
      </c>
      <c r="Y106" s="77" t="inlineStr">
        <is>
          <t>Each project carried out by a pair of students (pair counts as group per ruling) (source 1).</t>
        </is>
      </c>
      <c r="Z106" s="77" t="inlineStr">
        <is>
          <t>Yes</t>
        </is>
      </c>
      <c r="AA106" s="77" t="inlineStr">
        <is>
          <t>Local company hosts the project on its premises and receives the presentation (source 1); sessions with Tracerco, Technip, Open Works Engineering listed (source 2).</t>
        </is>
      </c>
      <c r="AB106" s="77" t="inlineStr">
        <is>
          <t>Business/commercial</t>
        </is>
      </c>
      <c r="AC106" s="77" t="inlineStr">
        <is>
          <t>Hosts the live project on site and receives the student presentation.</t>
        </is>
      </c>
      <c r="AD106" s="77" t="inlineStr">
        <is>
          <t>Technip, Tracerco, Open Works Engineering, AVID, Doby Verrolec (IPC news; sessions 2013-2019 and undated 18-27 June entries)</t>
        </is>
      </c>
      <c r="AE106" s="77" t="inlineStr">
        <is>
          <t>Presentation to host company and university report</t>
        </is>
      </c>
      <c r="AF106" s="77">
        <f>IF(OR(V106="No",X106="No",Z106="No"),"Outside strict definition",IF(AND(V106="Yes",X106="Yes",Z106="Yes"),"Meets all three","Potentially relevant; evidence incomplete"))</f>
        <v/>
      </c>
      <c r="AG106" s="77" t="inlineStr">
        <is>
          <t>Historical delivery only</t>
        </is>
      </c>
      <c r="AH106" s="77" t="inlineStr">
        <is>
          <t>2019</t>
        </is>
      </c>
      <c r="AI106" s="77" t="inlineStr">
        <is>
          <t>Yes</t>
        </is>
      </c>
      <c r="AJ106" s="77">
        <f>IF(AND(AI106="Yes",AF106="Meets all three",AG106="Current delivery confirmed"),"Yes","No")</f>
        <v/>
      </c>
      <c r="AK106" s="77" t="inlineStr"/>
      <c r="AL106" s="77" t="inlineStr">
        <is>
          <t>RG05-S06-R1; RG05-S06-R2</t>
        </is>
      </c>
      <c r="AM106" s="77" t="inlineStr">
        <is>
          <t>Sessions listed only for 2013-2019; no evidence it still runs, whether compulsory, or its module code.</t>
        </is>
      </c>
      <c r="AN106" s="77" t="inlineStr"/>
      <c r="AO106" s="77" t="inlineStr">
        <is>
          <t>UK</t>
        </is>
      </c>
      <c r="AP106" s="77" t="inlineStr">
        <is>
          <t>UK – Russell Group</t>
        </is>
      </c>
      <c r="AQ106" s="77" t="inlineStr">
        <is>
          <t>1-4 weeks</t>
        </is>
      </c>
      <c r="AR106" s="77" t="inlineStr">
        <is>
          <t>All/standard</t>
        </is>
      </c>
      <c r="AS106" s="77" t="inlineStr"/>
    </row>
    <row r="107">
      <c r="A107" s="77" t="inlineStr">
        <is>
          <t>RG05</t>
        </is>
      </c>
      <c r="B107" s="77" t="inlineStr">
        <is>
          <t>Durham</t>
        </is>
      </c>
      <c r="C107" s="77" t="inlineStr">
        <is>
          <t>Programme/course</t>
        </is>
      </c>
      <c r="D107" s="77" t="inlineStr">
        <is>
          <t>RG05-S07</t>
        </is>
      </c>
      <c r="E107" s="77" t="inlineStr"/>
      <c r="F107" s="77" t="inlineStr">
        <is>
          <t>No</t>
        </is>
      </c>
      <c r="G107" s="79" t="inlineStr">
        <is>
          <t>Engineering Design (year-long team project, Years 2-3)</t>
        </is>
      </c>
      <c r="H107" s="77" t="inlineStr">
        <is>
          <t>Engineering Design team project</t>
        </is>
      </c>
      <c r="I107" s="77" t="inlineStr"/>
      <c r="J107"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07" s="77" t="inlineStr">
        <is>
          <t>Department of Engineering</t>
        </is>
      </c>
      <c r="L107" s="77" t="inlineStr">
        <is>
          <t>Engineering degrees (General Engineering H100/H103, Mechanical H311/H314 and others).</t>
        </is>
      </c>
      <c r="M107" s="77" t="inlineStr">
        <is>
          <t>Engineering/computing</t>
        </is>
      </c>
      <c r="N107" s="77" t="inlineStr">
        <is>
          <t>Undergraduate</t>
        </is>
      </c>
      <c r="O107" s="77" t="inlineStr">
        <is>
          <t>Years 2-3</t>
        </is>
      </c>
      <c r="P107" s="77" t="inlineStr">
        <is>
          <t>Engineering students</t>
        </is>
      </c>
      <c r="Q107" s="77" t="inlineStr">
        <is>
          <t>Compulsory within specified programmes</t>
        </is>
      </c>
      <c r="R107" s="77" t="inlineStr">
        <is>
          <t>Curricular</t>
        </is>
      </c>
      <c r="S107" s="77" t="inlineStr">
        <is>
          <t>Not found</t>
        </is>
      </c>
      <c r="T107" s="77" t="inlineStr">
        <is>
          <t>Whole academic year</t>
        </is>
      </c>
      <c r="U107" s="77" t="inlineStr">
        <is>
          <t>Year-long team design project with industry professional input</t>
        </is>
      </c>
      <c r="V107" s="77" t="inlineStr">
        <is>
          <t>Yes</t>
        </is>
      </c>
      <c r="W107" s="77" t="inlineStr">
        <is>
          <t>Year-long design project solving defined engineering problems (source 1).</t>
        </is>
      </c>
      <c r="X107" s="77" t="inlineStr">
        <is>
          <t>Yes</t>
        </is>
      </c>
      <c r="Y107" s="77" t="inlineStr">
        <is>
          <t>'students work in teams' (source 1).</t>
        </is>
      </c>
      <c r="Z107" s="77" t="inlineStr">
        <is>
          <t>Unclear</t>
        </is>
      </c>
      <c r="AA107" s="77" t="inlineStr">
        <is>
          <t>Industry professionals/an external industrial engineer support or guide teams (sources 1,2), but whether an external organisation sets the brief or receives the output is not shown; Scalextric example appears department-set.</t>
        </is>
      </c>
      <c r="AB107" s="77" t="inlineStr">
        <is>
          <t>Unclear</t>
        </is>
      </c>
      <c r="AC107" s="77" t="inlineStr">
        <is>
          <t>Professional engineers guide/support teams; organisation not identified.</t>
        </is>
      </c>
      <c r="AD107" s="77" t="inlineStr"/>
      <c r="AE107" s="77" t="inlineStr">
        <is>
          <t>Team design/prototype</t>
        </is>
      </c>
      <c r="AF107" s="77">
        <f>IF(OR(V107="No",X107="No",Z107="No"),"Outside strict definition",IF(AND(V107="Yes",X107="Yes",Z107="Yes"),"Meets all three","Potentially relevant; evidence incomplete"))</f>
        <v/>
      </c>
      <c r="AG107" s="77" t="inlineStr">
        <is>
          <t>Current status unclear</t>
        </is>
      </c>
      <c r="AH107" s="77" t="inlineStr"/>
      <c r="AI107" s="77" t="inlineStr">
        <is>
          <t>Yes</t>
        </is>
      </c>
      <c r="AJ107" s="77">
        <f>IF(AND(AI107="Yes",AF107="Meets all three",AG107="Current delivery confirmed"),"Yes","No")</f>
        <v/>
      </c>
      <c r="AK107" s="77" t="inlineStr"/>
      <c r="AL107" s="77" t="inlineStr">
        <is>
          <t>RG05-S07-R1; RG05-S07-R2</t>
        </is>
      </c>
      <c r="AM107" s="77" t="inlineStr">
        <is>
          <t>Module code, who sets briefs, role of named industry organisations and dated delivery evidence not found.</t>
        </is>
      </c>
      <c r="AN107" s="77" t="inlineStr"/>
      <c r="AO107" s="77" t="inlineStr">
        <is>
          <t>UK</t>
        </is>
      </c>
      <c r="AP107" s="77" t="inlineStr">
        <is>
          <t>UK – Russell Group</t>
        </is>
      </c>
      <c r="AQ107" s="77" t="inlineStr">
        <is>
          <t>&gt;1 term</t>
        </is>
      </c>
      <c r="AR107" s="77" t="inlineStr">
        <is>
          <t>Unclear</t>
        </is>
      </c>
      <c r="AS107" s="77" t="inlineStr"/>
    </row>
    <row r="108">
      <c r="A108" s="77" t="inlineStr">
        <is>
          <t>RG06</t>
        </is>
      </c>
      <c r="B108" s="77" t="inlineStr">
        <is>
          <t>Edinburgh</t>
        </is>
      </c>
      <c r="C108" s="77" t="inlineStr">
        <is>
          <t>Unclear</t>
        </is>
      </c>
      <c r="D108" s="77" t="inlineStr">
        <is>
          <t>RG06-S01</t>
        </is>
      </c>
      <c r="E108" s="77" t="inlineStr"/>
      <c r="F108" s="77" t="inlineStr">
        <is>
          <t>No</t>
        </is>
      </c>
      <c r="G108" s="79" t="inlineStr">
        <is>
          <t>Students as Change Agents (EFIE08003) / EFI Change Agents (EFIE08006)</t>
        </is>
      </c>
      <c r="H108" s="77" t="inlineStr">
        <is>
          <t>Students as Change Agents elective (EFI)</t>
        </is>
      </c>
      <c r="I108" s="77" t="inlineStr">
        <is>
          <t>EFIE08003 / EFIE08006</t>
        </is>
      </c>
      <c r="J108"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08" s="77" t="inlineStr">
        <is>
          <t>Edinburgh Futures Institute</t>
        </is>
      </c>
      <c r="L108"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08" s="77" t="inlineStr">
        <is>
          <t>Central provision; Arts/humanities/social sciences</t>
        </is>
      </c>
      <c r="N108" s="77" t="inlineStr">
        <is>
          <t>Undergraduate</t>
        </is>
      </c>
      <c r="O108" s="77" t="inlineStr">
        <is>
          <t>SCQF level 8 (first/second year per careers page)</t>
        </is>
      </c>
      <c r="P108" s="77" t="inlineStr">
        <is>
          <t>Unclear: university-wide (SV1/SS1 codes and careers page wording) vs Interdisciplinary Futures MA only (2024/25 EFIE08006 page).</t>
        </is>
      </c>
      <c r="Q108" s="77" t="inlineStr">
        <is>
          <t>Optional/elective</t>
        </is>
      </c>
      <c r="R108" s="77" t="inlineStr">
        <is>
          <t>Curricular</t>
        </is>
      </c>
      <c r="S108" s="77" t="inlineStr">
        <is>
          <t>20 SCQF credits; pass/fail; group output (one submission, same result for all) plus individual 1000-word reflection; both must be passed</t>
        </is>
      </c>
      <c r="T108" s="77" t="inlineStr">
        <is>
          <t>Semester 2 / full-year listing (2025/26)</t>
        </is>
      </c>
      <c r="U108" s="77" t="inlineStr">
        <is>
          <t>Interdisciplinary teams with group coaches; partner presents challenge at start</t>
        </is>
      </c>
      <c r="V108" s="77" t="inlineStr">
        <is>
          <t>Yes</t>
        </is>
      </c>
      <c r="W108" s="77" t="inlineStr">
        <is>
          <t>Team explores a partner-proposed challenge and produces outputs and recommendations (src 2, 3).</t>
        </is>
      </c>
      <c r="X108" s="77" t="inlineStr">
        <is>
          <t>Yes</t>
        </is>
      </c>
      <c r="Y108" s="77" t="inlineStr">
        <is>
          <t>'Work in a small team'; one submission for the whole group with the same result for all members (src 2, 3).</t>
        </is>
      </c>
      <c r="Z108" s="77" t="inlineStr">
        <is>
          <t>Yes</t>
        </is>
      </c>
      <c r="AA108"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08" s="77" t="inlineStr">
        <is>
          <t>Mixed</t>
        </is>
      </c>
      <c r="AC108" s="77" t="inlineStr">
        <is>
          <t>Sets the challenge, gives context at start, receives output/presentation</t>
        </is>
      </c>
      <c r="AD108" s="77" t="inlineStr">
        <is>
          <t>Eurowings Discover, Grand Bequest, Everyone's Edinburgh (SACHA programme examples, careers page, undated); 2025/26 challenge on attainment gap for under-12s in Scotland (partner not named in extract)</t>
        </is>
      </c>
      <c r="AE108" s="77" t="inlineStr">
        <is>
          <t>Team report/process map/prototype with implementation plan presented to partner; individual reflection</t>
        </is>
      </c>
      <c r="AF108" s="77">
        <f>IF(OR(V108="No",X108="No",Z108="No"),"Outside strict definition",IF(AND(V108="Yes",X108="Yes",Z108="Yes"),"Meets all three","Potentially relevant; evidence incomplete"))</f>
        <v/>
      </c>
      <c r="AG108" s="77" t="inlineStr">
        <is>
          <t>Current delivery confirmed</t>
        </is>
      </c>
      <c r="AH108" s="77" t="inlineStr">
        <is>
          <t>2025/26</t>
        </is>
      </c>
      <c r="AI108" s="77" t="inlineStr">
        <is>
          <t>Yes</t>
        </is>
      </c>
      <c r="AJ108" s="77">
        <f>IF(AND(AI108="Yes",AF108="Meets all three",AG108="Current delivery confirmed"),"Yes","No")</f>
        <v/>
      </c>
      <c r="AK108" s="77" t="inlineStr"/>
      <c r="AL108" s="77" t="inlineStr">
        <is>
          <t>RG06-S01-R1; RG06-S01-R2; RG06-S01-R3; RG06-S01-R4; RG06-S01-R5</t>
        </is>
      </c>
      <c r="AM108" s="77" t="inlineStr">
        <is>
          <t>University-wide eligibility vs MA Interdisciplinary Futures-only is unresolved (search summaries; EFIE08003 and EFIE08006 may be the same course renamed). Participant numbers not found.</t>
        </is>
      </c>
      <c r="AN108" s="77" t="inlineStr">
        <is>
          <t>Students as Change Agents (SACHA) elective</t>
        </is>
      </c>
      <c r="AO108" s="77" t="inlineStr">
        <is>
          <t>UK</t>
        </is>
      </c>
      <c r="AP108" s="77" t="inlineStr">
        <is>
          <t>UK – Russell Group</t>
        </is>
      </c>
      <c r="AQ108" s="77" t="inlineStr">
        <is>
          <t>~1 term/semester</t>
        </is>
      </c>
      <c r="AR108" s="77" t="inlineStr">
        <is>
          <t>All/standard</t>
        </is>
      </c>
      <c r="AS108" s="77" t="inlineStr"/>
    </row>
    <row r="109">
      <c r="A109" s="77" t="inlineStr">
        <is>
          <t>RG06</t>
        </is>
      </c>
      <c r="B109" s="77" t="inlineStr">
        <is>
          <t>Edinburgh</t>
        </is>
      </c>
      <c r="C109" s="77" t="inlineStr">
        <is>
          <t>University-wide</t>
        </is>
      </c>
      <c r="D109" s="77" t="inlineStr">
        <is>
          <t>RG06-S02</t>
        </is>
      </c>
      <c r="E109" s="77" t="inlineStr"/>
      <c r="F109" s="77" t="inlineStr">
        <is>
          <t>No</t>
        </is>
      </c>
      <c r="G109" s="79" t="inlineStr">
        <is>
          <t>Students as Change Agents: Careers Service co-curricular route</t>
        </is>
      </c>
      <c r="H109" s="77" t="inlineStr">
        <is>
          <t>SACHA co-curricular (non-credit) programme</t>
        </is>
      </c>
      <c r="I109" s="77" t="inlineStr"/>
      <c r="J109"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09" s="77" t="inlineStr">
        <is>
          <t>Careers Service</t>
        </is>
      </c>
      <c r="L109" s="77" t="inlineStr">
        <is>
          <t>Former optional co-curricular participants (legacy row)</t>
        </is>
      </c>
      <c r="M109" s="77" t="inlineStr">
        <is>
          <t>Central provision</t>
        </is>
      </c>
      <c r="N109" s="77" t="inlineStr">
        <is>
          <t>Undergraduate</t>
        </is>
      </c>
      <c r="O109" s="77" t="inlineStr">
        <is>
          <t>1st/2nd year (legacy)</t>
        </is>
      </c>
      <c r="P109" s="77" t="inlineStr">
        <is>
          <t>Not currently open (paused)</t>
        </is>
      </c>
      <c r="Q109" s="77" t="inlineStr">
        <is>
          <t>Optional/elective</t>
        </is>
      </c>
      <c r="R109" s="77" t="inlineStr">
        <is>
          <t>Extracurricular</t>
        </is>
      </c>
      <c r="S109" s="77" t="inlineStr">
        <is>
          <t>Non-credit; digital badge; option of Edinburgh Award or SLICC</t>
        </is>
      </c>
      <c r="T109" s="77" t="inlineStr">
        <is>
          <t>Unclear</t>
        </is>
      </c>
      <c r="U109" s="77" t="inlineStr">
        <is>
          <t>Interdisciplinary groups with partner challenges</t>
        </is>
      </c>
      <c r="V109" s="77" t="inlineStr">
        <is>
          <t>Yes</t>
        </is>
      </c>
      <c r="W109" s="77" t="inlineStr">
        <is>
          <t>Groups 'tackle real-world challenges' (src 1).</t>
        </is>
      </c>
      <c r="X109" s="77" t="inlineStr">
        <is>
          <t>Yes</t>
        </is>
      </c>
      <c r="Y109" s="77" t="inlineStr">
        <is>
          <t>'Worked in interdisciplinary groups' (src 1).</t>
        </is>
      </c>
      <c r="Z109" s="77" t="inlineStr">
        <is>
          <t>Yes</t>
        </is>
      </c>
      <c r="AA109" s="77" t="inlineStr">
        <is>
          <t>Challenges 'posed by organisations from the non-profit, public and private sectors' (src 1).</t>
        </is>
      </c>
      <c r="AB109" s="77" t="inlineStr">
        <is>
          <t>Mixed</t>
        </is>
      </c>
      <c r="AC109" s="77" t="inlineStr">
        <is>
          <t>Pose the challenge</t>
        </is>
      </c>
      <c r="AD109" s="77" t="inlineStr">
        <is>
          <t>Eurowings Discover, Grand Bequest, Everyone's Edinburgh (undated)</t>
        </is>
      </c>
      <c r="AE109" s="77" t="inlineStr">
        <is>
          <t>Challenge recommendations (format not stated)</t>
        </is>
      </c>
      <c r="AF109" s="77">
        <f>IF(OR(V109="No",X109="No",Z109="No"),"Outside strict definition",IF(AND(V109="Yes",X109="Yes",Z109="Yes"),"Meets all three","Potentially relevant; evidence incomplete"))</f>
        <v/>
      </c>
      <c r="AG109" s="77" t="inlineStr">
        <is>
          <t>Paused/discontinued</t>
        </is>
      </c>
      <c r="AH109" s="77" t="inlineStr"/>
      <c r="AI109" s="77" t="inlineStr">
        <is>
          <t>Yes</t>
        </is>
      </c>
      <c r="AJ109" s="77">
        <f>IF(AND(AI109="Yes",AF109="Meets all three",AG109="Current delivery confirmed"),"Yes","No")</f>
        <v/>
      </c>
      <c r="AK109" s="77" t="inlineStr"/>
      <c r="AL109" s="77" t="inlineStr">
        <is>
          <t>RG06-S02-R1</t>
        </is>
      </c>
      <c r="AM109" s="77" t="inlineStr">
        <is>
          <t>Date of pause and earlier cohort sizes not stated; page is undated.</t>
        </is>
      </c>
      <c r="AN109" s="77" t="inlineStr">
        <is>
          <t>Students as Change Agents: careers co-curricular route</t>
        </is>
      </c>
      <c r="AO109" s="77" t="inlineStr">
        <is>
          <t>UK</t>
        </is>
      </c>
      <c r="AP109" s="77" t="inlineStr">
        <is>
          <t>UK – Russell Group</t>
        </is>
      </c>
      <c r="AQ109" s="77" t="inlineStr">
        <is>
          <t>Unclear</t>
        </is>
      </c>
      <c r="AR109" s="77" t="inlineStr">
        <is>
          <t>All/standard</t>
        </is>
      </c>
      <c r="AS109" s="77" t="inlineStr"/>
    </row>
    <row r="110">
      <c r="A110" s="77" t="inlineStr">
        <is>
          <t>RG06</t>
        </is>
      </c>
      <c r="B110" s="77" t="inlineStr">
        <is>
          <t>Edinburgh</t>
        </is>
      </c>
      <c r="C110" s="77" t="inlineStr">
        <is>
          <t>Programme/course</t>
        </is>
      </c>
      <c r="D110" s="77" t="inlineStr">
        <is>
          <t>RG06-S03</t>
        </is>
      </c>
      <c r="E110" s="77" t="inlineStr"/>
      <c r="F110" s="77" t="inlineStr">
        <is>
          <t>No</t>
        </is>
      </c>
      <c r="G110" s="79" t="inlineStr">
        <is>
          <t>Management Consultancy in Practice: Innovation and Entrepreneurship (MSc Entrepreneurship and Innovation)</t>
        </is>
      </c>
      <c r="H110" s="77" t="inlineStr">
        <is>
          <t>Management Consultancy in Practice (MSc E&amp;I)</t>
        </is>
      </c>
      <c r="I110" s="77" t="inlineStr">
        <is>
          <t>CMSE11519 (2021/22) / CMSE11547 (2022/23 programme table)</t>
        </is>
      </c>
      <c r="J110"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10" s="77" t="inlineStr">
        <is>
          <t>University of Edinburgh Business School</t>
        </is>
      </c>
      <c r="L110" s="77" t="inlineStr">
        <is>
          <t>MSc Entrepreneurship and Innovation</t>
        </is>
      </c>
      <c r="M110" s="77" t="inlineStr">
        <is>
          <t>Business/management</t>
        </is>
      </c>
      <c r="N110" s="77" t="inlineStr">
        <is>
          <t>Postgraduate taught</t>
        </is>
      </c>
      <c r="O110" s="77" t="inlineStr">
        <is>
          <t>MSc</t>
        </is>
      </c>
      <c r="P110" s="77" t="inlineStr">
        <is>
          <t>Programme students</t>
        </is>
      </c>
      <c r="Q110" s="77" t="inlineStr">
        <is>
          <t>Compulsory within specified programmes</t>
        </is>
      </c>
      <c r="R110" s="77" t="inlineStr">
        <is>
          <t>Curricular</t>
        </is>
      </c>
      <c r="S110" s="77" t="inlineStr">
        <is>
          <t>15 credits (2021/22) / 20 credits (2022/23 table); 100% coursework: 70% group, 30% individual (2021/22)</t>
        </is>
      </c>
      <c r="T110" s="77" t="inlineStr">
        <is>
          <t>January to March</t>
        </is>
      </c>
      <c r="U110" s="77" t="inlineStr">
        <is>
          <t>Team consultancy, supported by teaching team; clients attend scoping and final presentation</t>
        </is>
      </c>
      <c r="V110" s="77" t="inlineStr">
        <is>
          <t>Yes</t>
        </is>
      </c>
      <c r="W110" s="77" t="inlineStr">
        <is>
          <t>Live challenge; report, strategic options, recommendations (src 1, 2).</t>
        </is>
      </c>
      <c r="X110" s="77" t="inlineStr">
        <is>
          <t>Yes</t>
        </is>
      </c>
      <c r="Y110" s="77" t="inlineStr">
        <is>
          <t>Teams normally four; 70% group coursework (src 1, 2).</t>
        </is>
      </c>
      <c r="Z110" s="77" t="inlineStr">
        <is>
          <t>Yes</t>
        </is>
      </c>
      <c r="AA110" s="77" t="inlineStr">
        <is>
          <t>Clients propose challenge (deadline 1 October), nominate contact, attend scoping meeting and final presentation and give feedback; free to clients (src 1). Catalogue: real clients from private, public and non-profit sectors (src 2).</t>
        </is>
      </c>
      <c r="AB110" s="77" t="inlineStr">
        <is>
          <t>Mixed</t>
        </is>
      </c>
      <c r="AC110" s="77" t="inlineStr">
        <is>
          <t>Commission the challenge, attend scoping and final presentation, give feedback</t>
        </is>
      </c>
      <c r="AD110" s="77" t="inlineStr">
        <is>
          <t>Page describes past clients generically (an investment management firm, a specialist food producer, a public-sector body); no names</t>
        </is>
      </c>
      <c r="AE110" s="77" t="inlineStr">
        <is>
          <t>Consultancy report, strategic options evaluation, recommendations, client presentation</t>
        </is>
      </c>
      <c r="AF110" s="77">
        <f>IF(OR(V110="No",X110="No",Z110="No"),"Outside strict definition",IF(AND(V110="Yes",X110="Yes",Z110="Yes"),"Meets all three","Potentially relevant; evidence incomplete"))</f>
        <v/>
      </c>
      <c r="AG110" s="77" t="inlineStr">
        <is>
          <t>Current status unclear</t>
        </is>
      </c>
      <c r="AH110" s="77" t="inlineStr"/>
      <c r="AI110" s="77" t="inlineStr">
        <is>
          <t>Yes</t>
        </is>
      </c>
      <c r="AJ110" s="77">
        <f>IF(AND(AI110="Yes",AF110="Meets all three",AG110="Current delivery confirmed"),"Yes","No")</f>
        <v/>
      </c>
      <c r="AK110" s="77" t="inlineStr"/>
      <c r="AL110" s="77" t="inlineStr">
        <is>
          <t>RG06-S03-R1; RG06-S03-R2; RG06-S03-R3</t>
        </is>
      </c>
      <c r="AM110" s="77" t="inlineStr">
        <is>
          <t>Business School page undated; catalogue entries 2021/22 and 2022/23 only; no 2025/26 or 2026/27 course entry found. Page inconsistent on start-up age criteria (18 months vs 5 years or younger). Course code/credit differ across sources.</t>
        </is>
      </c>
      <c r="AN110" s="77" t="inlineStr"/>
      <c r="AO110" s="77" t="inlineStr">
        <is>
          <t>UK</t>
        </is>
      </c>
      <c r="AP110" s="77" t="inlineStr">
        <is>
          <t>UK – Russell Group</t>
        </is>
      </c>
      <c r="AQ110" s="77" t="inlineStr">
        <is>
          <t>~1 term/semester</t>
        </is>
      </c>
      <c r="AR110" s="77" t="inlineStr">
        <is>
          <t>All/standard</t>
        </is>
      </c>
      <c r="AS110" s="77" t="inlineStr"/>
    </row>
    <row r="111">
      <c r="A111" s="77" t="inlineStr">
        <is>
          <t>RG06</t>
        </is>
      </c>
      <c r="B111" s="77" t="inlineStr">
        <is>
          <t>Edinburgh</t>
        </is>
      </c>
      <c r="C111" s="77" t="inlineStr">
        <is>
          <t>Programme/course</t>
        </is>
      </c>
      <c r="D111" s="77" t="inlineStr">
        <is>
          <t>RG06-S04</t>
        </is>
      </c>
      <c r="E111" s="77" t="inlineStr"/>
      <c r="F111" s="77" t="inlineStr">
        <is>
          <t>No</t>
        </is>
      </c>
      <c r="G111" s="79" t="inlineStr">
        <is>
          <t>Sustainable Business Consultancy Projects (MSc Global Strategy and Sustainability)</t>
        </is>
      </c>
      <c r="H111" s="77" t="inlineStr">
        <is>
          <t>Sustainable Business Consultancy Project</t>
        </is>
      </c>
      <c r="I111" s="77" t="inlineStr">
        <is>
          <t>CMSE11573</t>
        </is>
      </c>
      <c r="J111"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11" s="77" t="inlineStr">
        <is>
          <t>University of Edinburgh Business School</t>
        </is>
      </c>
      <c r="L111" s="77" t="inlineStr">
        <is>
          <t>MSc Global Strategy and Sustainability (core/option status not confirmed)</t>
        </is>
      </c>
      <c r="M111" s="77" t="inlineStr">
        <is>
          <t>Business/management</t>
        </is>
      </c>
      <c r="N111" s="77" t="inlineStr">
        <is>
          <t>Postgraduate taught</t>
        </is>
      </c>
      <c r="O111" s="77" t="inlineStr">
        <is>
          <t>MSc</t>
        </is>
      </c>
      <c r="P111" s="77" t="inlineStr">
        <is>
          <t>Programme students</t>
        </is>
      </c>
      <c r="Q111" s="77" t="inlineStr">
        <is>
          <t>Unclear</t>
        </is>
      </c>
      <c r="R111" s="77" t="inlineStr">
        <is>
          <t>Curricular</t>
        </is>
      </c>
      <c r="S111" s="77" t="inlineStr">
        <is>
          <t>Coursework (group); credit not captured</t>
        </is>
      </c>
      <c r="T111" s="77" t="inlineStr">
        <is>
          <t>Ten weeks, January-March</t>
        </is>
      </c>
      <c r="U111" s="77" t="inlineStr">
        <is>
          <t>Team consultancy</t>
        </is>
      </c>
      <c r="V111" s="77" t="inlineStr">
        <is>
          <t>Yes</t>
        </is>
      </c>
      <c r="W111" s="77" t="inlineStr">
        <is>
          <t>Real challenge; research, recommendations, report and presentation (src 1).</t>
        </is>
      </c>
      <c r="X111" s="77" t="inlineStr">
        <is>
          <t>Yes</t>
        </is>
      </c>
      <c r="Y111" s="77" t="inlineStr">
        <is>
          <t>Teams of 5-6 (src 1); catalogue refers to groups (src 2).</t>
        </is>
      </c>
      <c r="Z111" s="77" t="inlineStr">
        <is>
          <t>Yes</t>
        </is>
      </c>
      <c r="AA111" s="77" t="inlineStr">
        <is>
          <t>Client from private or public sector supplies the challenge and receives written report and oral presentation; no fee (src 1).</t>
        </is>
      </c>
      <c r="AB111" s="77" t="inlineStr">
        <is>
          <t>Mixed</t>
        </is>
      </c>
      <c r="AC111" s="77" t="inlineStr">
        <is>
          <t>Supplies the challenge, receives report and presentation</t>
        </is>
      </c>
      <c r="AD111" s="77" t="inlineStr">
        <is>
          <t>South of Scotland Enterprise (student account, undated)</t>
        </is>
      </c>
      <c r="AE111" s="77" t="inlineStr">
        <is>
          <t>Written report and oral presentation to client</t>
        </is>
      </c>
      <c r="AF111" s="77">
        <f>IF(OR(V111="No",X111="No",Z111="No"),"Outside strict definition",IF(AND(V111="Yes",X111="Yes",Z111="Yes"),"Meets all three","Potentially relevant; evidence incomplete"))</f>
        <v/>
      </c>
      <c r="AG111" s="77" t="inlineStr">
        <is>
          <t>Current delivery confirmed</t>
        </is>
      </c>
      <c r="AH111" s="77" t="inlineStr">
        <is>
          <t>2026/27</t>
        </is>
      </c>
      <c r="AI111" s="77" t="inlineStr">
        <is>
          <t>Yes</t>
        </is>
      </c>
      <c r="AJ111" s="77">
        <f>IF(AND(AI111="Yes",AF111="Meets all three",AG111="Current delivery confirmed"),"Yes","No")</f>
        <v/>
      </c>
      <c r="AK111" s="77" t="inlineStr"/>
      <c r="AL111" s="77" t="inlineStr">
        <is>
          <t>RG06-S04-R1; RG06-S04-R2</t>
        </is>
      </c>
      <c r="AM111" s="77" t="inlineStr">
        <is>
          <t>Whether compulsory or optional not established; credit weighting not captured.</t>
        </is>
      </c>
      <c r="AN111" s="77" t="inlineStr"/>
      <c r="AO111" s="77" t="inlineStr">
        <is>
          <t>UK</t>
        </is>
      </c>
      <c r="AP111" s="77" t="inlineStr">
        <is>
          <t>UK – Russell Group</t>
        </is>
      </c>
      <c r="AQ111" s="77" t="inlineStr">
        <is>
          <t>~1 term/semester</t>
        </is>
      </c>
      <c r="AR111" s="77" t="inlineStr">
        <is>
          <t>All/standard</t>
        </is>
      </c>
      <c r="AS111" s="77" t="inlineStr"/>
    </row>
    <row r="112">
      <c r="A112" s="77" t="inlineStr">
        <is>
          <t>RG06</t>
        </is>
      </c>
      <c r="B112" s="77" t="inlineStr">
        <is>
          <t>Edinburgh</t>
        </is>
      </c>
      <c r="C112" s="77" t="inlineStr">
        <is>
          <t>Programme/course</t>
        </is>
      </c>
      <c r="D112" s="77" t="inlineStr">
        <is>
          <t>RG06-S05</t>
        </is>
      </c>
      <c r="E112" s="77" t="inlineStr"/>
      <c r="F112" s="77" t="inlineStr">
        <is>
          <t>No</t>
        </is>
      </c>
      <c r="G112" s="79" t="inlineStr">
        <is>
          <t>Climate Change Consulting Project (MSc Climate Change Finance and Investment)</t>
        </is>
      </c>
      <c r="H112" s="77" t="inlineStr">
        <is>
          <t>Climate Change Consulting Project</t>
        </is>
      </c>
      <c r="I112" s="77" t="inlineStr">
        <is>
          <t>CMSE11518</t>
        </is>
      </c>
      <c r="J112"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12" s="77" t="inlineStr">
        <is>
          <t>University of Edinburgh Business School</t>
        </is>
      </c>
      <c r="L112" s="77" t="inlineStr">
        <is>
          <t>MSc Climate Change Finance and Investment</t>
        </is>
      </c>
      <c r="M112" s="77" t="inlineStr">
        <is>
          <t>Business/management</t>
        </is>
      </c>
      <c r="N112" s="77" t="inlineStr">
        <is>
          <t>Postgraduate taught</t>
        </is>
      </c>
      <c r="O112" s="77" t="inlineStr">
        <is>
          <t>MSc</t>
        </is>
      </c>
      <c r="P112" s="77" t="inlineStr">
        <is>
          <t>Programme students</t>
        </is>
      </c>
      <c r="Q112" s="77" t="inlineStr">
        <is>
          <t>Compulsory within specified programmes</t>
        </is>
      </c>
      <c r="R112" s="77" t="inlineStr">
        <is>
          <t>Curricular</t>
        </is>
      </c>
      <c r="S112" s="77" t="inlineStr">
        <is>
          <t>20 credits (2023/24 programme table)</t>
        </is>
      </c>
      <c r="T112" s="77" t="inlineStr">
        <is>
          <t>Semester 2 (main work January-March)</t>
        </is>
      </c>
      <c r="U112" s="77" t="inlineStr">
        <is>
          <t>Team consultancy</t>
        </is>
      </c>
      <c r="V112" s="77" t="inlineStr">
        <is>
          <t>Yes</t>
        </is>
      </c>
      <c r="W112" s="77" t="inlineStr">
        <is>
          <t>Client climate challenge; report and presentation (src 1).</t>
        </is>
      </c>
      <c r="X112" s="77" t="inlineStr">
        <is>
          <t>Yes</t>
        </is>
      </c>
      <c r="Y112" s="77" t="inlineStr">
        <is>
          <t>Groups of five to six (src 1).</t>
        </is>
      </c>
      <c r="Z112" s="77" t="inlineStr">
        <is>
          <t>Yes</t>
        </is>
      </c>
      <c r="AA112" s="77" t="inlineStr">
        <is>
          <t>Clients (private or public) submit proposals, receive report and presentation; unpaid (src 1).</t>
        </is>
      </c>
      <c r="AB112" s="77" t="inlineStr">
        <is>
          <t>Mixed</t>
        </is>
      </c>
      <c r="AC112" s="77" t="inlineStr">
        <is>
          <t>Provide challenge, receive report/presentation</t>
        </is>
      </c>
      <c r="AD112" s="77" t="inlineStr"/>
      <c r="AE112" s="77" t="inlineStr">
        <is>
          <t>Consulting report and oral presentation</t>
        </is>
      </c>
      <c r="AF112" s="77">
        <f>IF(OR(V112="No",X112="No",Z112="No"),"Outside strict definition",IF(AND(V112="Yes",X112="Yes",Z112="Yes"),"Meets all three","Potentially relevant; evidence incomplete"))</f>
        <v/>
      </c>
      <c r="AG112" s="77" t="inlineStr">
        <is>
          <t>Current status unclear</t>
        </is>
      </c>
      <c r="AH112" s="77" t="inlineStr">
        <is>
          <t>2023/24</t>
        </is>
      </c>
      <c r="AI112" s="77" t="inlineStr">
        <is>
          <t>Yes</t>
        </is>
      </c>
      <c r="AJ112" s="77">
        <f>IF(AND(AI112="Yes",AF112="Meets all three",AG112="Current delivery confirmed"),"Yes","No")</f>
        <v/>
      </c>
      <c r="AK112" s="77" t="inlineStr"/>
      <c r="AL112" s="77" t="inlineStr">
        <is>
          <t>RG06-S05-R1; RG06-S05-R2</t>
        </is>
      </c>
      <c r="AM112" s="77" t="inlineStr">
        <is>
          <t>Latest dated evidence is the 2023/24 catalogue/programme table; no 2025/26 or 2026/27 entry found.</t>
        </is>
      </c>
      <c r="AN112" s="77" t="inlineStr"/>
      <c r="AO112" s="77" t="inlineStr">
        <is>
          <t>UK</t>
        </is>
      </c>
      <c r="AP112" s="77" t="inlineStr">
        <is>
          <t>UK – Russell Group</t>
        </is>
      </c>
      <c r="AQ112" s="77" t="inlineStr">
        <is>
          <t>~1 term/semester</t>
        </is>
      </c>
      <c r="AR112" s="77" t="inlineStr">
        <is>
          <t>All/standard</t>
        </is>
      </c>
      <c r="AS112" s="77" t="inlineStr"/>
    </row>
    <row r="113">
      <c r="A113" s="77" t="inlineStr">
        <is>
          <t>RG06</t>
        </is>
      </c>
      <c r="B113" s="77" t="inlineStr">
        <is>
          <t>Edinburgh</t>
        </is>
      </c>
      <c r="C113" s="77" t="inlineStr">
        <is>
          <t>Programme/course</t>
        </is>
      </c>
      <c r="D113" s="77" t="inlineStr">
        <is>
          <t>RG06-S06</t>
        </is>
      </c>
      <c r="E113" s="77" t="inlineStr"/>
      <c r="F113" s="77" t="inlineStr">
        <is>
          <t>No</t>
        </is>
      </c>
      <c r="G113" s="79" t="inlineStr">
        <is>
          <t>Project Management in Business Analysis (MSc Management) consultancy project</t>
        </is>
      </c>
      <c r="H113" s="77" t="inlineStr">
        <is>
          <t>Project Management in Business Analysis Consultancy Project</t>
        </is>
      </c>
      <c r="I113" s="77" t="inlineStr">
        <is>
          <t>CMSE11452</t>
        </is>
      </c>
      <c r="J113"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13" s="77" t="inlineStr">
        <is>
          <t>University of Edinburgh Business School</t>
        </is>
      </c>
      <c r="L113" s="77" t="inlineStr">
        <is>
          <t>MSc Management (Semester 2 option)</t>
        </is>
      </c>
      <c r="M113" s="77" t="inlineStr">
        <is>
          <t>Business/management</t>
        </is>
      </c>
      <c r="N113" s="77" t="inlineStr">
        <is>
          <t>Postgraduate taught</t>
        </is>
      </c>
      <c r="O113" s="77" t="inlineStr">
        <is>
          <t>MSc</t>
        </is>
      </c>
      <c r="P113" s="77" t="inlineStr">
        <is>
          <t>Programme students</t>
        </is>
      </c>
      <c r="Q113" s="77" t="inlineStr">
        <is>
          <t>Optional/elective</t>
        </is>
      </c>
      <c r="R113" s="77" t="inlineStr">
        <is>
          <t>Curricular</t>
        </is>
      </c>
      <c r="S113" s="77" t="inlineStr">
        <is>
          <t>20 credits; 50% group coursework, 50% individual exam (2025/26 entry)</t>
        </is>
      </c>
      <c r="T113" s="77" t="inlineStr">
        <is>
          <t>Semester 2; 6 weeks / ~97 hours (catalogue) vs 10 weeks / up to 72 hours (Business School page)</t>
        </is>
      </c>
      <c r="U113" s="77" t="inlineStr">
        <is>
          <t>Student groups</t>
        </is>
      </c>
      <c r="V113" s="77" t="inlineStr">
        <is>
          <t>Yes</t>
        </is>
      </c>
      <c r="W113" s="77" t="inlineStr">
        <is>
          <t>Small-scale group project (src 2).</t>
        </is>
      </c>
      <c r="X113" s="77" t="inlineStr">
        <is>
          <t>Yes</t>
        </is>
      </c>
      <c r="Y113" s="77" t="inlineStr">
        <is>
          <t>Teams of 4-5; 50% group coursework (src 2).</t>
        </is>
      </c>
      <c r="Z113" s="77" t="inlineStr">
        <is>
          <t>Unclear</t>
        </is>
      </c>
      <c r="AA113" s="77" t="inlineStr">
        <is>
          <t>Business School page says client is a private or public organisation receiving report and presentation (src 1), but the 2025/26 catalogue states topic is open and students may choose their own project and assesses process rather than outcome (src 2).</t>
        </is>
      </c>
      <c r="AB113" s="77" t="inlineStr">
        <is>
          <t>Unclear</t>
        </is>
      </c>
      <c r="AC113" s="77" t="inlineStr">
        <is>
          <t>Unclear</t>
        </is>
      </c>
      <c r="AD113" s="77" t="inlineStr"/>
      <c r="AE113" s="77" t="inlineStr">
        <is>
          <t>Group report and presentation</t>
        </is>
      </c>
      <c r="AF113" s="77">
        <f>IF(OR(V113="No",X113="No",Z113="No"),"Outside strict definition",IF(AND(V113="Yes",X113="Yes",Z113="Yes"),"Meets all three","Potentially relevant; evidence incomplete"))</f>
        <v/>
      </c>
      <c r="AG113" s="77" t="inlineStr">
        <is>
          <t>Current delivery confirmed</t>
        </is>
      </c>
      <c r="AH113" s="77" t="inlineStr">
        <is>
          <t>2025/26</t>
        </is>
      </c>
      <c r="AI113" s="77" t="inlineStr">
        <is>
          <t>Yes</t>
        </is>
      </c>
      <c r="AJ113" s="77">
        <f>IF(AND(AI113="Yes",AF113="Meets all three",AG113="Current delivery confirmed"),"Yes","No")</f>
        <v/>
      </c>
      <c r="AK113" s="77" t="inlineStr"/>
      <c r="AL113" s="77" t="inlineStr">
        <is>
          <t>RG06-S06-R1; RG06-S06-R2</t>
        </is>
      </c>
      <c r="AM113" s="77" t="inlineStr">
        <is>
          <t>Whether external clients are standard in current delivery; sources disagree on duration and design.</t>
        </is>
      </c>
      <c r="AN113" s="77" t="inlineStr"/>
      <c r="AO113" s="77" t="inlineStr">
        <is>
          <t>UK</t>
        </is>
      </c>
      <c r="AP113" s="77" t="inlineStr">
        <is>
          <t>UK – Russell Group</t>
        </is>
      </c>
      <c r="AQ113" s="77" t="inlineStr">
        <is>
          <t>~1 term/semester</t>
        </is>
      </c>
      <c r="AR113" s="77" t="inlineStr">
        <is>
          <t>Unclear</t>
        </is>
      </c>
      <c r="AS113" s="77" t="inlineStr"/>
    </row>
    <row r="114">
      <c r="A114" s="77" t="inlineStr">
        <is>
          <t>RG06</t>
        </is>
      </c>
      <c r="B114" s="77" t="inlineStr">
        <is>
          <t>Edinburgh</t>
        </is>
      </c>
      <c r="C114" s="77" t="inlineStr">
        <is>
          <t>Programme/course</t>
        </is>
      </c>
      <c r="D114" s="77" t="inlineStr">
        <is>
          <t>RG06-S07</t>
        </is>
      </c>
      <c r="E114" s="77" t="inlineStr"/>
      <c r="F114" s="77" t="inlineStr">
        <is>
          <t>No</t>
        </is>
      </c>
      <c r="G114" s="79" t="inlineStr">
        <is>
          <t>Enterprise Consultancy Project (BUST10120), Undergraduate Enterprise Consultancy</t>
        </is>
      </c>
      <c r="H114" s="77" t="inlineStr">
        <is>
          <t>Enterprise Consultancy Project</t>
        </is>
      </c>
      <c r="I114" s="77" t="inlineStr">
        <is>
          <t>BUST10120</t>
        </is>
      </c>
      <c r="J114"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14" s="77" t="inlineStr">
        <is>
          <t>University of Edinburgh Business School</t>
        </is>
      </c>
      <c r="L114" s="77" t="inlineStr">
        <is>
          <t>Final-year Business students with prior innovation/entrepreneurship course passes</t>
        </is>
      </c>
      <c r="M114" s="77" t="inlineStr">
        <is>
          <t>Business/management</t>
        </is>
      </c>
      <c r="N114" s="77" t="inlineStr">
        <is>
          <t>Undergraduate</t>
        </is>
      </c>
      <c r="O114" s="77" t="inlineStr">
        <is>
          <t>Final year</t>
        </is>
      </c>
      <c r="P114" s="77" t="inlineStr">
        <is>
          <t>Requires prior passes in specified innovation/entrepreneurship courses</t>
        </is>
      </c>
      <c r="Q114" s="77" t="inlineStr">
        <is>
          <t>Optional/elective</t>
        </is>
      </c>
      <c r="R114" s="77" t="inlineStr">
        <is>
          <t>Curricular</t>
        </is>
      </c>
      <c r="S114" s="77" t="inlineStr">
        <is>
          <t>20 SCQF credits; 100% coursework incl. 45% group report to the company and 15% presentation to the company</t>
        </is>
      </c>
      <c r="T114" s="77" t="inlineStr">
        <is>
          <t>Semester 2; ~12 weeks</t>
        </is>
      </c>
      <c r="U114" s="77" t="inlineStr">
        <is>
          <t>Team consultancy; client recruited by co-ordinator</t>
        </is>
      </c>
      <c r="V114" s="77" t="inlineStr">
        <is>
          <t>Yes</t>
        </is>
      </c>
      <c r="W114" s="77" t="inlineStr">
        <is>
          <t>Consultancy assignment with interim reports, final report and presentation (src 1).</t>
        </is>
      </c>
      <c r="X114" s="77" t="inlineStr">
        <is>
          <t>Yes</t>
        </is>
      </c>
      <c r="Y114" s="77" t="inlineStr">
        <is>
          <t>Teams of three to six; 45% group report (src 1).</t>
        </is>
      </c>
      <c r="Z114" s="77" t="inlineStr">
        <is>
          <t>Yes</t>
        </is>
      </c>
      <c r="AA114" s="77" t="inlineStr">
        <is>
          <t>Owner-manager of a new local business is the client, agreed brief with co-ordinator; receives final report and presentation (src 1).</t>
        </is>
      </c>
      <c r="AB114" s="77" t="inlineStr">
        <is>
          <t>Business/commercial</t>
        </is>
      </c>
      <c r="AC114" s="77" t="inlineStr">
        <is>
          <t>Client: agrees brief, receives report and presentation</t>
        </is>
      </c>
      <c r="AD114" s="77" t="inlineStr"/>
      <c r="AE114" s="77" t="inlineStr">
        <is>
          <t>Final group report and presentation to company</t>
        </is>
      </c>
      <c r="AF114" s="77">
        <f>IF(OR(V114="No",X114="No",Z114="No"),"Outside strict definition",IF(AND(V114="Yes",X114="Yes",Z114="Yes"),"Meets all three","Potentially relevant; evidence incomplete"))</f>
        <v/>
      </c>
      <c r="AG114" s="77" t="inlineStr">
        <is>
          <t>Current delivery confirmed</t>
        </is>
      </c>
      <c r="AH114" s="77" t="inlineStr">
        <is>
          <t>2025/26</t>
        </is>
      </c>
      <c r="AI114" s="77" t="inlineStr">
        <is>
          <t>Yes</t>
        </is>
      </c>
      <c r="AJ114" s="77">
        <f>IF(AND(AI114="Yes",AF114="Meets all three",AG114="Current delivery confirmed"),"Yes","No")</f>
        <v/>
      </c>
      <c r="AK114" s="77" t="inlineStr"/>
      <c r="AL114" s="77" t="inlineStr">
        <is>
          <t>RG06-S07-R1; RG06-S07-R2</t>
        </is>
      </c>
      <c r="AM114" s="77" t="inlineStr">
        <is>
          <t>Compulsory/optional status in Business degrees not established; client names not published.</t>
        </is>
      </c>
      <c r="AN114" s="77" t="inlineStr"/>
      <c r="AO114" s="77" t="inlineStr">
        <is>
          <t>UK</t>
        </is>
      </c>
      <c r="AP114" s="77" t="inlineStr">
        <is>
          <t>UK – Russell Group</t>
        </is>
      </c>
      <c r="AQ114" s="77" t="inlineStr">
        <is>
          <t>~1 term/semester</t>
        </is>
      </c>
      <c r="AR114" s="77" t="inlineStr">
        <is>
          <t>All/standard</t>
        </is>
      </c>
      <c r="AS114" s="77" t="inlineStr"/>
    </row>
    <row r="115">
      <c r="A115" s="77" t="inlineStr">
        <is>
          <t>RG06</t>
        </is>
      </c>
      <c r="B115" s="77" t="inlineStr">
        <is>
          <t>Edinburgh</t>
        </is>
      </c>
      <c r="C115" s="77" t="inlineStr">
        <is>
          <t>Programme/course</t>
        </is>
      </c>
      <c r="D115" s="77" t="inlineStr">
        <is>
          <t>RG06-S08</t>
        </is>
      </c>
      <c r="E115" s="77" t="inlineStr"/>
      <c r="F115" s="77" t="inlineStr">
        <is>
          <t>No</t>
        </is>
      </c>
      <c r="G115" s="79" t="inlineStr">
        <is>
          <t>MBA Consultancy Project (Consultancy Project (MBA), CMSE11224)</t>
        </is>
      </c>
      <c r="H115" s="77" t="inlineStr">
        <is>
          <t>MBA Consultancy Project</t>
        </is>
      </c>
      <c r="I115" s="77" t="inlineStr">
        <is>
          <t>CMSE11224</t>
        </is>
      </c>
      <c r="J115" s="77" t="inlineStr">
        <is>
          <t>MBA students work in small teams to deliver consultancy on a strategic business issue for an external client, April to June, with report and presentation delivered to the client.</t>
        </is>
      </c>
      <c r="K115" s="77" t="inlineStr">
        <is>
          <t>University of Edinburgh Business School</t>
        </is>
      </c>
      <c r="L115" s="77" t="inlineStr">
        <is>
          <t>MBA</t>
        </is>
      </c>
      <c r="M115" s="77" t="inlineStr">
        <is>
          <t>Business/management</t>
        </is>
      </c>
      <c r="N115" s="77" t="inlineStr">
        <is>
          <t>Postgraduate taught</t>
        </is>
      </c>
      <c r="O115" s="77" t="inlineStr">
        <is>
          <t>MBA</t>
        </is>
      </c>
      <c r="P115" s="77" t="inlineStr">
        <is>
          <t>MBA students</t>
        </is>
      </c>
      <c r="Q115" s="77" t="inlineStr">
        <is>
          <t>Unclear</t>
        </is>
      </c>
      <c r="R115" s="77" t="inlineStr">
        <is>
          <t>Curricular</t>
        </is>
      </c>
      <c r="S115" s="77" t="inlineStr">
        <is>
          <t>Group report and presentation (2016/17 catalogue)</t>
        </is>
      </c>
      <c r="T115" s="77" t="inlineStr">
        <is>
          <t>April-June (Business School page)</t>
        </is>
      </c>
      <c r="U115" s="77" t="inlineStr">
        <is>
          <t>Team consultancy</t>
        </is>
      </c>
      <c r="V115" s="77" t="inlineStr">
        <is>
          <t>Yes</t>
        </is>
      </c>
      <c r="W115" s="77" t="inlineStr">
        <is>
          <t>Strategic business issue; report and presentation to client (src 1, 2).</t>
        </is>
      </c>
      <c r="X115" s="77" t="inlineStr">
        <is>
          <t>Yes</t>
        </is>
      </c>
      <c r="Y115" s="77" t="inlineStr">
        <is>
          <t>'Small teams'; multi-cultural teams; group report/presentation assessment (src 1, 2).</t>
        </is>
      </c>
      <c r="Z115" s="77" t="inlineStr">
        <is>
          <t>Yes</t>
        </is>
      </c>
      <c r="AA115" s="77" t="inlineStr">
        <is>
          <t>Client organisations submit proposals (deadline 31 January) and receive report and presentation (src 1, 2).</t>
        </is>
      </c>
      <c r="AB115" s="77" t="inlineStr">
        <is>
          <t>Unclear</t>
        </is>
      </c>
      <c r="AC115" s="77" t="inlineStr">
        <is>
          <t>Provide strategic issue; receive report/presentation</t>
        </is>
      </c>
      <c r="AD115" s="77" t="inlineStr"/>
      <c r="AE115" s="77" t="inlineStr">
        <is>
          <t>Report and presentation to client</t>
        </is>
      </c>
      <c r="AF115" s="77">
        <f>IF(OR(V115="No",X115="No",Z115="No"),"Outside strict definition",IF(AND(V115="Yes",X115="Yes",Z115="Yes"),"Meets all three","Potentially relevant; evidence incomplete"))</f>
        <v/>
      </c>
      <c r="AG115" s="77" t="inlineStr">
        <is>
          <t>Current status unclear</t>
        </is>
      </c>
      <c r="AH115" s="77" t="inlineStr"/>
      <c r="AI115" s="77" t="inlineStr">
        <is>
          <t>Yes</t>
        </is>
      </c>
      <c r="AJ115" s="77">
        <f>IF(AND(AI115="Yes",AF115="Meets all three",AG115="Current delivery confirmed"),"Yes","No")</f>
        <v/>
      </c>
      <c r="AK115" s="77" t="inlineStr"/>
      <c r="AL115" s="77" t="inlineStr">
        <is>
          <t>RG06-S08-R1; RG06-S08-R2</t>
        </is>
      </c>
      <c r="AM115" s="77" t="inlineStr">
        <is>
          <t>Business School page undated; only a 2016/17 catalogue extract seen (three-week format then); a 'current' catalogue URL appeared but no extract; client sector not stated.</t>
        </is>
      </c>
      <c r="AN115" s="77" t="inlineStr"/>
      <c r="AO115" s="77" t="inlineStr">
        <is>
          <t>UK</t>
        </is>
      </c>
      <c r="AP115" s="77" t="inlineStr">
        <is>
          <t>UK – Russell Group</t>
        </is>
      </c>
      <c r="AQ115" s="77" t="inlineStr">
        <is>
          <t>~1 term/semester</t>
        </is>
      </c>
      <c r="AR115" s="77" t="inlineStr">
        <is>
          <t>All/standard</t>
        </is>
      </c>
      <c r="AS115" s="77" t="inlineStr"/>
    </row>
    <row r="116">
      <c r="A116" s="77" t="inlineStr">
        <is>
          <t>RG06</t>
        </is>
      </c>
      <c r="B116" s="77" t="inlineStr">
        <is>
          <t>Edinburgh</t>
        </is>
      </c>
      <c r="C116" s="77" t="inlineStr">
        <is>
          <t>Programme/course</t>
        </is>
      </c>
      <c r="D116" s="77" t="inlineStr">
        <is>
          <t>RG06-S09</t>
        </is>
      </c>
      <c r="E116" s="77" t="inlineStr"/>
      <c r="F116" s="77" t="inlineStr">
        <is>
          <t>No</t>
        </is>
      </c>
      <c r="G116" s="79" t="inlineStr">
        <is>
          <t>MBA Charity Consultancy Week</t>
        </is>
      </c>
      <c r="H116" s="77" t="inlineStr">
        <is>
          <t>MBA Charity Consultancy Week</t>
        </is>
      </c>
      <c r="I116" s="77" t="inlineStr"/>
      <c r="J116"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16" s="77" t="inlineStr">
        <is>
          <t>University of Edinburgh Business School</t>
        </is>
      </c>
      <c r="L116" s="77" t="inlineStr">
        <is>
          <t>MBA</t>
        </is>
      </c>
      <c r="M116" s="77" t="inlineStr">
        <is>
          <t>Business/management</t>
        </is>
      </c>
      <c r="N116" s="77" t="inlineStr">
        <is>
          <t>Postgraduate taught</t>
        </is>
      </c>
      <c r="O116" s="77" t="inlineStr">
        <is>
          <t>MBA</t>
        </is>
      </c>
      <c r="P116" s="77" t="inlineStr">
        <is>
          <t>MBA students</t>
        </is>
      </c>
      <c r="Q116" s="77" t="inlineStr">
        <is>
          <t>Unclear</t>
        </is>
      </c>
      <c r="R116" s="77" t="inlineStr">
        <is>
          <t>Curricular</t>
        </is>
      </c>
      <c r="S116" s="77" t="inlineStr">
        <is>
          <t>Not stated</t>
        </is>
      </c>
      <c r="T116" s="77" t="inlineStr">
        <is>
          <t>One week (last week of October)</t>
        </is>
      </c>
      <c r="U116" s="77" t="inlineStr">
        <is>
          <t>Intensive team consultancy</t>
        </is>
      </c>
      <c r="V116" s="77" t="inlineStr">
        <is>
          <t>Yes</t>
        </is>
      </c>
      <c r="W116" s="77" t="inlineStr">
        <is>
          <t>Defined charity problem with consultancy report/presentation (src 1).</t>
        </is>
      </c>
      <c r="X116" s="77" t="inlineStr">
        <is>
          <t>Yes</t>
        </is>
      </c>
      <c r="Y116" s="77" t="inlineStr">
        <is>
          <t>'Small groups' on a specific charity (src 1).</t>
        </is>
      </c>
      <c r="Z116" s="77" t="inlineStr">
        <is>
          <t>Yes</t>
        </is>
      </c>
      <c r="AA116" s="77" t="inlineStr">
        <is>
          <t>Charities submit proposals and receive the presentation (src 1).</t>
        </is>
      </c>
      <c r="AB116" s="77" t="inlineStr">
        <is>
          <t>Charity/community</t>
        </is>
      </c>
      <c r="AC116" s="77" t="inlineStr">
        <is>
          <t>Supply problem; receive presentation</t>
        </is>
      </c>
      <c r="AD116" s="77" t="inlineStr"/>
      <c r="AE116" s="77" t="inlineStr">
        <is>
          <t>In-person presentation constituting consultancy report</t>
        </is>
      </c>
      <c r="AF116" s="77">
        <f>IF(OR(V116="No",X116="No",Z116="No"),"Outside strict definition",IF(AND(V116="Yes",X116="Yes",Z116="Yes"),"Meets all three","Potentially relevant; evidence incomplete"))</f>
        <v/>
      </c>
      <c r="AG116" s="77" t="inlineStr">
        <is>
          <t>Current status unclear</t>
        </is>
      </c>
      <c r="AH116" s="77" t="inlineStr"/>
      <c r="AI116" s="77" t="inlineStr">
        <is>
          <t>Yes</t>
        </is>
      </c>
      <c r="AJ116" s="77">
        <f>IF(AND(AI116="Yes",AF116="Meets all three",AG116="Current delivery confirmed"),"Yes","No")</f>
        <v/>
      </c>
      <c r="AK116" s="77" t="inlineStr"/>
      <c r="AL116" s="77" t="inlineStr">
        <is>
          <t>RG06-S09-R1</t>
        </is>
      </c>
      <c r="AM116" s="77" t="inlineStr">
        <is>
          <t>Page undated; credit/compulsory status unknown.</t>
        </is>
      </c>
      <c r="AN116" s="77" t="inlineStr"/>
      <c r="AO116" s="77" t="inlineStr">
        <is>
          <t>UK</t>
        </is>
      </c>
      <c r="AP116" s="77" t="inlineStr">
        <is>
          <t>UK – Russell Group</t>
        </is>
      </c>
      <c r="AQ116" s="77" t="inlineStr">
        <is>
          <t>1 week</t>
        </is>
      </c>
      <c r="AR116" s="77" t="inlineStr">
        <is>
          <t>All/standard</t>
        </is>
      </c>
      <c r="AS116" s="77" t="inlineStr"/>
    </row>
    <row r="117">
      <c r="A117" s="77" t="inlineStr">
        <is>
          <t>RG06</t>
        </is>
      </c>
      <c r="B117" s="77" t="inlineStr">
        <is>
          <t>Edinburgh</t>
        </is>
      </c>
      <c r="C117" s="77" t="inlineStr">
        <is>
          <t>Programme/course</t>
        </is>
      </c>
      <c r="D117" s="77" t="inlineStr">
        <is>
          <t>RG06-S10</t>
        </is>
      </c>
      <c r="E117" s="77" t="inlineStr"/>
      <c r="F117" s="77" t="inlineStr">
        <is>
          <t>No</t>
        </is>
      </c>
      <c r="G117" s="79" t="inlineStr">
        <is>
          <t>Client Consulting Project (EFIE11118), MSc Creative Industries</t>
        </is>
      </c>
      <c r="H117" s="77" t="inlineStr">
        <is>
          <t>Client Consulting Project</t>
        </is>
      </c>
      <c r="I117" s="77" t="inlineStr">
        <is>
          <t>EFIE11118</t>
        </is>
      </c>
      <c r="J117" s="77" t="inlineStr">
        <is>
          <t>Student teams apply strategy, law and data literacy to a challenge from a cultural organisation, present to the client and receive client feedback, and submit a team client report (up to 7,000 words, 85%) plus individual peer review (15%).</t>
        </is>
      </c>
      <c r="K117" s="77" t="inlineStr">
        <is>
          <t>Edinburgh Futures Institute</t>
        </is>
      </c>
      <c r="L117" s="77" t="inlineStr">
        <is>
          <t>MSc Creative Industries only</t>
        </is>
      </c>
      <c r="M117" s="77" t="inlineStr">
        <is>
          <t>Arts/humanities/social sciences; Other (law, health, design, architecture…)</t>
        </is>
      </c>
      <c r="N117" s="77" t="inlineStr">
        <is>
          <t>Postgraduate taught</t>
        </is>
      </c>
      <c r="O117" s="77" t="inlineStr">
        <is>
          <t>MSc</t>
        </is>
      </c>
      <c r="P117" s="77" t="inlineStr">
        <is>
          <t>Only students enrolled on Creative Industries (MSc)</t>
        </is>
      </c>
      <c r="Q117" s="77" t="inlineStr">
        <is>
          <t>Compulsory within specified programmes</t>
        </is>
      </c>
      <c r="R117" s="77" t="inlineStr">
        <is>
          <t>Curricular</t>
        </is>
      </c>
      <c r="S117" s="77" t="inlineStr">
        <is>
          <t>10 SCQF credits; 85% team client report, 15% peer review</t>
        </is>
      </c>
      <c r="T117" s="77" t="inlineStr">
        <is>
          <t>Short course (10 credits); length not stated</t>
        </is>
      </c>
      <c r="U117" s="77" t="inlineStr">
        <is>
          <t>Team client consulting</t>
        </is>
      </c>
      <c r="V117" s="77" t="inlineStr">
        <is>
          <t>Yes</t>
        </is>
      </c>
      <c r="W117" s="77" t="inlineStr">
        <is>
          <t>Challenge from a cultural organisation with report (src 1).</t>
        </is>
      </c>
      <c r="X117" s="77" t="inlineStr">
        <is>
          <t>Yes</t>
        </is>
      </c>
      <c r="Y117" s="77" t="inlineStr">
        <is>
          <t>Team client report 85% (src 1).</t>
        </is>
      </c>
      <c r="Z117" s="77" t="inlineStr">
        <is>
          <t>Yes</t>
        </is>
      </c>
      <c r="AA117" s="77" t="inlineStr">
        <is>
          <t>Teams present to the client; client gives feedback on the report (src 1).</t>
        </is>
      </c>
      <c r="AB117" s="77" t="inlineStr">
        <is>
          <t>Unclear</t>
        </is>
      </c>
      <c r="AC117" s="77" t="inlineStr">
        <is>
          <t>Sets challenge; receives presentation and report; gives feedback</t>
        </is>
      </c>
      <c r="AD117" s="77" t="inlineStr"/>
      <c r="AE117" s="77" t="inlineStr">
        <is>
          <t>Team client report and client presentation</t>
        </is>
      </c>
      <c r="AF117" s="77">
        <f>IF(OR(V117="No",X117="No",Z117="No"),"Outside strict definition",IF(AND(V117="Yes",X117="Yes",Z117="Yes"),"Meets all three","Potentially relevant; evidence incomplete"))</f>
        <v/>
      </c>
      <c r="AG117" s="77" t="inlineStr">
        <is>
          <t>Current delivery confirmed</t>
        </is>
      </c>
      <c r="AH117" s="77" t="inlineStr">
        <is>
          <t>2025/26</t>
        </is>
      </c>
      <c r="AI117" s="77" t="inlineStr">
        <is>
          <t>Yes</t>
        </is>
      </c>
      <c r="AJ117" s="77">
        <f>IF(AND(AI117="Yes",AF117="Meets all three",AG117="Current delivery confirmed"),"Yes","No")</f>
        <v/>
      </c>
      <c r="AK117" s="77" t="inlineStr"/>
      <c r="AL117" s="77" t="inlineStr">
        <is>
          <t>RG06-S10-R1</t>
        </is>
      </c>
      <c r="AM117" s="77" t="inlineStr">
        <is>
          <t>Client names and sector (charity vs commercial) not seen; duration not stated.</t>
        </is>
      </c>
      <c r="AN117" s="77" t="inlineStr"/>
      <c r="AO117" s="77" t="inlineStr">
        <is>
          <t>UK</t>
        </is>
      </c>
      <c r="AP117" s="77" t="inlineStr">
        <is>
          <t>UK – Russell Group</t>
        </is>
      </c>
      <c r="AQ117" s="77" t="inlineStr">
        <is>
          <t>Unclear</t>
        </is>
      </c>
      <c r="AR117" s="77" t="inlineStr">
        <is>
          <t>All/standard</t>
        </is>
      </c>
      <c r="AS117" s="77" t="inlineStr"/>
    </row>
    <row r="118">
      <c r="A118" s="77" t="inlineStr">
        <is>
          <t>RG06</t>
        </is>
      </c>
      <c r="B118" s="77" t="inlineStr">
        <is>
          <t>Edinburgh</t>
        </is>
      </c>
      <c r="C118" s="77" t="inlineStr">
        <is>
          <t>Programme/course</t>
        </is>
      </c>
      <c r="D118" s="77" t="inlineStr">
        <is>
          <t>RG06-S11</t>
        </is>
      </c>
      <c r="E118" s="77" t="inlineStr"/>
      <c r="F118" s="77" t="inlineStr">
        <is>
          <t>No</t>
        </is>
      </c>
      <c r="G118" s="79" t="inlineStr">
        <is>
          <t>Creative Industries Team Project (EFIE11120)</t>
        </is>
      </c>
      <c r="H118" s="77" t="inlineStr">
        <is>
          <t>Creative Industries Team Project</t>
        </is>
      </c>
      <c r="I118" s="77" t="inlineStr">
        <is>
          <t>EFIE11120</t>
        </is>
      </c>
      <c r="J118"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18" s="77" t="inlineStr">
        <is>
          <t>Edinburgh Futures Institute</t>
        </is>
      </c>
      <c r="L118" s="77" t="inlineStr">
        <is>
          <t>MSc Creative Industries</t>
        </is>
      </c>
      <c r="M118" s="77" t="inlineStr">
        <is>
          <t>Arts/humanities/social sciences; Other (law, health, design, architecture…)</t>
        </is>
      </c>
      <c r="N118" s="77" t="inlineStr">
        <is>
          <t>Postgraduate taught</t>
        </is>
      </c>
      <c r="O118" s="77" t="inlineStr">
        <is>
          <t>MSc</t>
        </is>
      </c>
      <c r="P118" s="77" t="inlineStr">
        <is>
          <t>Programme students</t>
        </is>
      </c>
      <c r="Q118" s="77" t="inlineStr">
        <is>
          <t>Compulsory within specified programmes</t>
        </is>
      </c>
      <c r="R118" s="77" t="inlineStr">
        <is>
          <t>Curricular</t>
        </is>
      </c>
      <c r="S118" s="77" t="inlineStr">
        <is>
          <t>40 credits; 60% team report, 15% peer review, team presentation</t>
        </is>
      </c>
      <c r="T118" s="77" t="inlineStr">
        <is>
          <t>March/April to mid-late August</t>
        </is>
      </c>
      <c r="U118" s="77" t="inlineStr">
        <is>
          <t>Interdisciplinary teams with supervisors</t>
        </is>
      </c>
      <c r="V118" s="77" t="inlineStr">
        <is>
          <t>Yes</t>
        </is>
      </c>
      <c r="W118" s="77" t="inlineStr">
        <is>
          <t>Team report on client challenge or new product/service/event (src 1).</t>
        </is>
      </c>
      <c r="X118" s="77" t="inlineStr">
        <is>
          <t>Yes</t>
        </is>
      </c>
      <c r="Y118" s="77" t="inlineStr">
        <is>
          <t>Interdisciplinary teams; team report (src 1).</t>
        </is>
      </c>
      <c r="Z118" s="77" t="inlineStr">
        <is>
          <t>Unclear</t>
        </is>
      </c>
      <c r="AA118" s="77" t="inlineStr">
        <is>
          <t>Clients may submit briefs and teams present findings to the client, but projects may alternatively be student-led new products/services/events, so external clients are not shown to be standard (src 1).</t>
        </is>
      </c>
      <c r="AB118" s="77" t="inlineStr">
        <is>
          <t>Unclear</t>
        </is>
      </c>
      <c r="AC118" s="77" t="inlineStr">
        <is>
          <t>Submit briefs where client-led</t>
        </is>
      </c>
      <c r="AD118" s="77" t="inlineStr"/>
      <c r="AE118" s="77" t="inlineStr">
        <is>
          <t>Team project report (max 13,000 words) and presentation</t>
        </is>
      </c>
      <c r="AF118" s="77">
        <f>IF(OR(V118="No",X118="No",Z118="No"),"Outside strict definition",IF(AND(V118="Yes",X118="Yes",Z118="Yes"),"Meets all three","Potentially relevant; evidence incomplete"))</f>
        <v/>
      </c>
      <c r="AG118" s="77" t="inlineStr">
        <is>
          <t>Current delivery confirmed</t>
        </is>
      </c>
      <c r="AH118" s="77" t="inlineStr">
        <is>
          <t>2026/27</t>
        </is>
      </c>
      <c r="AI118" s="77" t="inlineStr">
        <is>
          <t>Yes</t>
        </is>
      </c>
      <c r="AJ118" s="77">
        <f>IF(AND(AI118="Yes",AF118="Meets all three",AG118="Current delivery confirmed"),"Yes","No")</f>
        <v/>
      </c>
      <c r="AK118" s="77" t="inlineStr"/>
      <c r="AL118" s="77" t="inlineStr">
        <is>
          <t>RG06-S11-R1; RG06-S11-R2</t>
        </is>
      </c>
      <c r="AM118" s="77" t="inlineStr">
        <is>
          <t>Share of client-led vs student-led projects; client names; no 2025/26 course page seen (2026/27 programme table lists it as compulsory).</t>
        </is>
      </c>
      <c r="AN118" s="77" t="inlineStr"/>
      <c r="AO118" s="77" t="inlineStr">
        <is>
          <t>UK</t>
        </is>
      </c>
      <c r="AP118" s="77" t="inlineStr">
        <is>
          <t>UK – Russell Group</t>
        </is>
      </c>
      <c r="AQ118" s="77" t="inlineStr">
        <is>
          <t>&gt;1 term</t>
        </is>
      </c>
      <c r="AR118" s="77" t="inlineStr">
        <is>
          <t>Some projects</t>
        </is>
      </c>
      <c r="AS118" s="77" t="inlineStr"/>
    </row>
    <row r="119">
      <c r="A119" s="77" t="inlineStr">
        <is>
          <t>RG06</t>
        </is>
      </c>
      <c r="B119" s="77" t="inlineStr">
        <is>
          <t>Edinburgh</t>
        </is>
      </c>
      <c r="C119" s="77" t="inlineStr">
        <is>
          <t>Programme/course</t>
        </is>
      </c>
      <c r="D119" s="77" t="inlineStr">
        <is>
          <t>RG06-S12</t>
        </is>
      </c>
      <c r="E119" s="77" t="inlineStr"/>
      <c r="F119" s="77" t="inlineStr">
        <is>
          <t>No</t>
        </is>
      </c>
      <c r="G119" s="79" t="inlineStr">
        <is>
          <t>Design with Data (MSc Design Informatics)</t>
        </is>
      </c>
      <c r="H119" s="77" t="inlineStr">
        <is>
          <t>Design with Data</t>
        </is>
      </c>
      <c r="I119" s="77" t="inlineStr">
        <is>
          <t>DESI11025</t>
        </is>
      </c>
      <c r="J119"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19" s="77" t="inlineStr">
        <is>
          <t>School of Informatics / Edinburgh College of Art (Design Informatics)</t>
        </is>
      </c>
      <c r="L119" s="77" t="inlineStr">
        <is>
          <t>MSc Design Informatics (MA route shares courses)</t>
        </is>
      </c>
      <c r="M119" s="77" t="inlineStr">
        <is>
          <t>Engineering/computing; Arts/humanities/social sciences</t>
        </is>
      </c>
      <c r="N119" s="77" t="inlineStr">
        <is>
          <t>Postgraduate taught</t>
        </is>
      </c>
      <c r="O119" s="77" t="inlineStr">
        <is>
          <t>MSc</t>
        </is>
      </c>
      <c r="P119" s="77" t="inlineStr">
        <is>
          <t>Programme students</t>
        </is>
      </c>
      <c r="Q119" s="77" t="inlineStr">
        <is>
          <t>Compulsory within specified programmes</t>
        </is>
      </c>
      <c r="R119" s="77" t="inlineStr">
        <is>
          <t>Curricular</t>
        </is>
      </c>
      <c r="S119" s="77" t="inlineStr">
        <is>
          <t>20 credits; group presentation, digital artefact, portfolio; peer-adjusted group marks</t>
        </is>
      </c>
      <c r="T119" s="77" t="inlineStr">
        <is>
          <t>Semester 2</t>
        </is>
      </c>
      <c r="U119" s="77" t="inlineStr">
        <is>
          <t>Small-group challenge-led studio</t>
        </is>
      </c>
      <c r="V119" s="77" t="inlineStr">
        <is>
          <t>Yes</t>
        </is>
      </c>
      <c r="W119" s="77" t="inlineStr">
        <is>
          <t>Group experimental construction/interactive prototype (src 1, 2).</t>
        </is>
      </c>
      <c r="X119" s="77" t="inlineStr">
        <is>
          <t>Yes</t>
        </is>
      </c>
      <c r="Y119" s="77" t="inlineStr">
        <is>
          <t>'Small groups'; assessment through group work (src 1, 2).</t>
        </is>
      </c>
      <c r="Z119" s="77" t="inlineStr">
        <is>
          <t>Unclear</t>
        </is>
      </c>
      <c r="AA119" s="77" t="inlineStr">
        <is>
          <t>Handbook line says groups work with an external organisation's data (src 1); catalogue pages mention no partner (src 2). Role of the organisation (brief, feedback) not evidenced.</t>
        </is>
      </c>
      <c r="AB119" s="77" t="inlineStr">
        <is>
          <t>Unclear</t>
        </is>
      </c>
      <c r="AC119" s="77" t="inlineStr">
        <is>
          <t>Unclear (provides data per handbook)</t>
        </is>
      </c>
      <c r="AD119" s="77" t="inlineStr"/>
      <c r="AE119" s="77" t="inlineStr">
        <is>
          <t>Interactive prototype / digital artefact, presentation, portfolio</t>
        </is>
      </c>
      <c r="AF119" s="77">
        <f>IF(OR(V119="No",X119="No",Z119="No"),"Outside strict definition",IF(AND(V119="Yes",X119="Yes",Z119="Yes"),"Meets all three","Potentially relevant; evidence incomplete"))</f>
        <v/>
      </c>
      <c r="AG119" s="77" t="inlineStr">
        <is>
          <t>Current delivery confirmed</t>
        </is>
      </c>
      <c r="AH119" s="77" t="inlineStr">
        <is>
          <t>2025/26</t>
        </is>
      </c>
      <c r="AI119" s="77" t="inlineStr">
        <is>
          <t>Yes</t>
        </is>
      </c>
      <c r="AJ119" s="77">
        <f>IF(AND(AI119="Yes",AF119="Meets all three",AG119="Current delivery confirmed"),"Yes","No")</f>
        <v/>
      </c>
      <c r="AK119" s="77" t="inlineStr"/>
      <c r="AL119" s="77" t="inlineStr">
        <is>
          <t>RG06-S12-R1; RG06-S12-R2</t>
        </is>
      </c>
      <c r="AM119" s="77" t="inlineStr">
        <is>
          <t>Identity and role of the external organisation; whether standard each year.</t>
        </is>
      </c>
      <c r="AN119" s="77" t="inlineStr"/>
      <c r="AO119" s="77" t="inlineStr">
        <is>
          <t>UK</t>
        </is>
      </c>
      <c r="AP119" s="77" t="inlineStr">
        <is>
          <t>UK – Russell Group</t>
        </is>
      </c>
      <c r="AQ119" s="77" t="inlineStr">
        <is>
          <t>~1 term/semester</t>
        </is>
      </c>
      <c r="AR119" s="77" t="inlineStr">
        <is>
          <t>Unclear</t>
        </is>
      </c>
      <c r="AS119" s="77" t="inlineStr"/>
    </row>
    <row r="120">
      <c r="A120" s="77" t="inlineStr">
        <is>
          <t>RG06</t>
        </is>
      </c>
      <c r="B120" s="77" t="inlineStr">
        <is>
          <t>Edinburgh</t>
        </is>
      </c>
      <c r="C120" s="77" t="inlineStr">
        <is>
          <t>Cross-faculty</t>
        </is>
      </c>
      <c r="D120" s="77" t="inlineStr">
        <is>
          <t>RG06-S13</t>
        </is>
      </c>
      <c r="E120" s="77" t="inlineStr"/>
      <c r="F120" s="77" t="inlineStr">
        <is>
          <t>No</t>
        </is>
      </c>
      <c r="G120" s="79" t="inlineStr">
        <is>
          <t>National HVDC Centre MSc industry challenge week (Edinburgh Innovations / School of Mathematics)</t>
        </is>
      </c>
      <c r="H120" s="77" t="inlineStr">
        <is>
          <t>HVDC offshore wind network industry challenge</t>
        </is>
      </c>
      <c r="I120" s="77" t="inlineStr"/>
      <c r="J120"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20" s="77" t="inlineStr">
        <is>
          <t>Edinburgh Innovations with School of Mathematics</t>
        </is>
      </c>
      <c r="L120" s="77" t="inlineStr">
        <is>
          <t>MSc students across the University interested in energy sector (50+ participants)</t>
        </is>
      </c>
      <c r="M120" s="77" t="inlineStr">
        <is>
          <t>Science; Engineering/computing; Central provision</t>
        </is>
      </c>
      <c r="N120" s="77" t="inlineStr">
        <is>
          <t>Postgraduate taught</t>
        </is>
      </c>
      <c r="O120" s="77" t="inlineStr">
        <is>
          <t>MSc</t>
        </is>
      </c>
      <c r="P120" s="77" t="inlineStr">
        <is>
          <t>MSc students with energy-sector interest</t>
        </is>
      </c>
      <c r="Q120" s="77" t="inlineStr">
        <is>
          <t>Optional/elective</t>
        </is>
      </c>
      <c r="R120" s="77" t="inlineStr">
        <is>
          <t>Extracurricular</t>
        </is>
      </c>
      <c r="S120" s="77" t="inlineStr">
        <is>
          <t>Not stated</t>
        </is>
      </c>
      <c r="T120" s="77" t="inlineStr">
        <is>
          <t>One week</t>
        </is>
      </c>
      <c r="U120" s="77" t="inlineStr">
        <is>
          <t>Challenge week with pitching training and judging</t>
        </is>
      </c>
      <c r="V120" s="77" t="inlineStr">
        <is>
          <t>Yes</t>
        </is>
      </c>
      <c r="W120" s="77" t="inlineStr">
        <is>
          <t>Defined network design question, solutions pitched (src 1).</t>
        </is>
      </c>
      <c r="X120" s="77" t="inlineStr">
        <is>
          <t>Yes</t>
        </is>
      </c>
      <c r="Y120" s="77" t="inlineStr">
        <is>
          <t>Six interdisciplinary teams (src 1).</t>
        </is>
      </c>
      <c r="Z120" s="77" t="inlineStr">
        <is>
          <t>Yes</t>
        </is>
      </c>
      <c r="AA120" s="77" t="inlineStr">
        <is>
          <t>External centre set the challenge, supplied data and judged (src 1).</t>
        </is>
      </c>
      <c r="AB120" s="77" t="inlineStr">
        <is>
          <t>Business/commercial</t>
        </is>
      </c>
      <c r="AC120" s="77" t="inlineStr">
        <is>
          <t>Set challenge, supply data, judge</t>
        </is>
      </c>
      <c r="AD120" s="77" t="inlineStr">
        <is>
          <t>National HVDC Centre</t>
        </is>
      </c>
      <c r="AE120" s="77" t="inlineStr">
        <is>
          <t>Team solution pitched to panel</t>
        </is>
      </c>
      <c r="AF120" s="77">
        <f>IF(OR(V120="No",X120="No",Z120="No"),"Outside strict definition",IF(AND(V120="Yes",X120="Yes",Z120="Yes"),"Meets all three","Potentially relevant; evidence incomplete"))</f>
        <v/>
      </c>
      <c r="AG120" s="77" t="inlineStr">
        <is>
          <t>Current status unclear</t>
        </is>
      </c>
      <c r="AH120" s="77" t="inlineStr"/>
      <c r="AI120" s="77" t="inlineStr">
        <is>
          <t>Yes</t>
        </is>
      </c>
      <c r="AJ120" s="77">
        <f>IF(AND(AI120="Yes",AF120="Meets all three",AG120="Current delivery confirmed"),"Yes","No")</f>
        <v/>
      </c>
      <c r="AK120" s="77" t="inlineStr">
        <is>
          <t>More than 50 students, six teams (undated event)</t>
        </is>
      </c>
      <c r="AL120" s="77" t="inlineStr">
        <is>
          <t>RG06-S13-R1</t>
        </is>
      </c>
      <c r="AM120" s="77" t="inlineStr">
        <is>
          <t>Article undated (search result indicated roughly two years old); no evidence of repeat. Whether HVDC Centre is wholly external (hosted by industry operators) not verified; sector typed Business/commercial provisionally.</t>
        </is>
      </c>
      <c r="AN120" s="77" t="inlineStr"/>
      <c r="AO120" s="77" t="inlineStr">
        <is>
          <t>UK</t>
        </is>
      </c>
      <c r="AP120" s="77" t="inlineStr">
        <is>
          <t>UK – Russell Group</t>
        </is>
      </c>
      <c r="AQ120" s="77" t="inlineStr">
        <is>
          <t>1 week</t>
        </is>
      </c>
      <c r="AR120" s="77" t="inlineStr">
        <is>
          <t>All/standard</t>
        </is>
      </c>
      <c r="AS120" s="77" t="inlineStr"/>
    </row>
    <row r="121">
      <c r="A121" s="77" t="inlineStr">
        <is>
          <t>RG06</t>
        </is>
      </c>
      <c r="B121" s="77" t="inlineStr">
        <is>
          <t>Edinburgh</t>
        </is>
      </c>
      <c r="C121" s="77" t="inlineStr">
        <is>
          <t>Programme/course</t>
        </is>
      </c>
      <c r="D121" s="77" t="inlineStr">
        <is>
          <t>RG06-S14</t>
        </is>
      </c>
      <c r="E121" s="77" t="inlineStr"/>
      <c r="F121" s="77" t="inlineStr">
        <is>
          <t>No</t>
        </is>
      </c>
      <c r="G121" s="79" t="inlineStr">
        <is>
          <t>LLM Human Rights Clinic (LLM in Human Rights)</t>
        </is>
      </c>
      <c r="H121" s="77" t="inlineStr">
        <is>
          <t>Human Rights Clinic</t>
        </is>
      </c>
      <c r="I121" s="77" t="inlineStr"/>
      <c r="J121"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21" s="77" t="inlineStr">
        <is>
          <t>Edinburgh Law School</t>
        </is>
      </c>
      <c r="L121" s="77" t="inlineStr">
        <is>
          <t>LLM Human Rights</t>
        </is>
      </c>
      <c r="M121" s="77" t="inlineStr">
        <is>
          <t>Other (law, health, design, architecture…); Arts/humanities/social sciences</t>
        </is>
      </c>
      <c r="N121" s="77" t="inlineStr">
        <is>
          <t>Postgraduate taught</t>
        </is>
      </c>
      <c r="O121" s="77" t="inlineStr">
        <is>
          <t>LLM</t>
        </is>
      </c>
      <c r="P121" s="77" t="inlineStr">
        <is>
          <t>Programme students</t>
        </is>
      </c>
      <c r="Q121" s="77" t="inlineStr">
        <is>
          <t>Unclear</t>
        </is>
      </c>
      <c r="R121" s="77" t="inlineStr">
        <is>
          <t>Curricular</t>
        </is>
      </c>
      <c r="S121" s="77" t="inlineStr">
        <is>
          <t>20 credits</t>
        </is>
      </c>
      <c r="T121" s="77" t="inlineStr">
        <is>
          <t>Unclear (academic year cohorts)</t>
        </is>
      </c>
      <c r="U121" s="77" t="inlineStr">
        <is>
          <t>Practical research clinic with presentations</t>
        </is>
      </c>
      <c r="V121" s="77" t="inlineStr">
        <is>
          <t>Yes</t>
        </is>
      </c>
      <c r="W121" s="77" t="inlineStr">
        <is>
          <t>Research reports with launch/presentations (src 1-3).</t>
        </is>
      </c>
      <c r="X121" s="77" t="inlineStr">
        <is>
          <t>Yes</t>
        </is>
      </c>
      <c r="Y121" s="77" t="inlineStr">
        <is>
          <t>Group of four students presented 2020 findings; five students presented a child rights budgeting report (src 1, 3).</t>
        </is>
      </c>
      <c r="Z121" s="77" t="inlineStr">
        <is>
          <t>Yes</t>
        </is>
      </c>
      <c r="AA121" s="77" t="inlineStr">
        <is>
          <t>Work done in partnership with Together to support its advocacy; findings fed Together's UN consultation response; presentations to Scottish Government and rights organisations (src 1-3).</t>
        </is>
      </c>
      <c r="AB121" s="77" t="inlineStr">
        <is>
          <t>Charity/community</t>
        </is>
      </c>
      <c r="AC121" s="77" t="inlineStr">
        <is>
          <t>Partner commissions/uses research; audiences include Scottish Government</t>
        </is>
      </c>
      <c r="AD121" s="77" t="inlineStr">
        <is>
          <t>Together (Scottish Alliance for Children's Rights) (2020, 2024, 2025)</t>
        </is>
      </c>
      <c r="AE121" s="77" t="inlineStr">
        <is>
          <t>Research report and presentation</t>
        </is>
      </c>
      <c r="AF121" s="77">
        <f>IF(OR(V121="No",X121="No",Z121="No"),"Outside strict definition",IF(AND(V121="Yes",X121="Yes",Z121="Yes"),"Meets all three","Potentially relevant; evidence incomplete"))</f>
        <v/>
      </c>
      <c r="AG121" s="77" t="inlineStr">
        <is>
          <t>Current delivery confirmed</t>
        </is>
      </c>
      <c r="AH121" s="77" t="inlineStr">
        <is>
          <t>2025</t>
        </is>
      </c>
      <c r="AI121" s="77" t="inlineStr">
        <is>
          <t>Yes</t>
        </is>
      </c>
      <c r="AJ121" s="77">
        <f>IF(AND(AI121="Yes",AF121="Meets all three",AG121="Current delivery confirmed"),"Yes","No")</f>
        <v/>
      </c>
      <c r="AK121" s="77" t="inlineStr"/>
      <c r="AL121" s="77" t="inlineStr">
        <is>
          <t>RG06-S14-R1; RG06-S14-R2; RG06-S14-R3</t>
        </is>
      </c>
      <c r="AM121" s="77" t="inlineStr">
        <is>
          <t>Whether every clinic project has an external partner is inferred from cohorts 2020, 2024, 2025; compulsory/option status not seen; 2025 item not tied to an academic year.</t>
        </is>
      </c>
      <c r="AN121" s="77" t="inlineStr"/>
      <c r="AO121" s="77" t="inlineStr">
        <is>
          <t>UK</t>
        </is>
      </c>
      <c r="AP121" s="77" t="inlineStr">
        <is>
          <t>UK – Russell Group</t>
        </is>
      </c>
      <c r="AQ121" s="77" t="inlineStr">
        <is>
          <t>Unclear</t>
        </is>
      </c>
      <c r="AR121" s="77" t="inlineStr">
        <is>
          <t>All/standard</t>
        </is>
      </c>
      <c r="AS121" s="77" t="inlineStr"/>
    </row>
    <row r="122">
      <c r="A122" s="77" t="inlineStr">
        <is>
          <t>RG06</t>
        </is>
      </c>
      <c r="B122" s="77" t="inlineStr">
        <is>
          <t>Edinburgh</t>
        </is>
      </c>
      <c r="C122" s="77" t="inlineStr">
        <is>
          <t>Programme/course</t>
        </is>
      </c>
      <c r="D122" s="77" t="inlineStr">
        <is>
          <t>RG06-S15</t>
        </is>
      </c>
      <c r="E122" s="77" t="inlineStr"/>
      <c r="F122" s="77" t="inlineStr">
        <is>
          <t>No</t>
        </is>
      </c>
      <c r="G122" s="79" t="inlineStr">
        <is>
          <t>Freedom of Expression Law Clinic (LAWS10190)</t>
        </is>
      </c>
      <c r="H122" s="77" t="inlineStr">
        <is>
          <t>Freedom of Expression Law Clinic</t>
        </is>
      </c>
      <c r="I122" s="77" t="inlineStr">
        <is>
          <t>LAWS10190</t>
        </is>
      </c>
      <c r="J122"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22" s="77" t="inlineStr">
        <is>
          <t>Edinburgh Law School</t>
        </is>
      </c>
      <c r="L122" s="77" t="inlineStr">
        <is>
          <t>Final-year LLB (incl. Law and Social Policy, Law and Business)</t>
        </is>
      </c>
      <c r="M122" s="77" t="inlineStr">
        <is>
          <t>Other (law, health, design, architecture…)</t>
        </is>
      </c>
      <c r="N122" s="77" t="inlineStr">
        <is>
          <t>Undergraduate</t>
        </is>
      </c>
      <c r="O122" s="77" t="inlineStr">
        <is>
          <t>Final year</t>
        </is>
      </c>
      <c r="P122" s="77" t="inlineStr">
        <is>
          <t>Final-year LLB</t>
        </is>
      </c>
      <c r="Q122" s="77" t="inlineStr">
        <is>
          <t>Optional/elective</t>
        </is>
      </c>
      <c r="R122" s="77" t="inlineStr">
        <is>
          <t>Curricular</t>
        </is>
      </c>
      <c r="S122" s="77" t="inlineStr">
        <is>
          <t>40 credits</t>
        </is>
      </c>
      <c r="T122" s="77" t="inlineStr">
        <is>
          <t>Unclear</t>
        </is>
      </c>
      <c r="U122" s="77" t="inlineStr">
        <is>
          <t>Supervised clinic</t>
        </is>
      </c>
      <c r="V122" s="77" t="inlineStr">
        <is>
          <t>Yes</t>
        </is>
      </c>
      <c r="W122" s="77" t="inlineStr">
        <is>
          <t>Draft UN petitions as defined outputs (src 1, 2).</t>
        </is>
      </c>
      <c r="X122" s="77" t="inlineStr">
        <is>
          <t>Unclear</t>
        </is>
      </c>
      <c r="Y122" s="77" t="inlineStr">
        <is>
          <t>'Students worked together in the clinic' but joint output vs individual drafts not stated (src 2).</t>
        </is>
      </c>
      <c r="Z122" s="77" t="inlineStr">
        <is>
          <t>Yes</t>
        </is>
      </c>
      <c r="AA122" s="77" t="inlineStr">
        <is>
          <t>NGO partner supervises and files the petitions (src 1, 2).</t>
        </is>
      </c>
      <c r="AB122" s="77" t="inlineStr">
        <is>
          <t>Charity/community</t>
        </is>
      </c>
      <c r="AC122" s="77" t="inlineStr">
        <is>
          <t>Co-supervises; files petitions</t>
        </is>
      </c>
      <c r="AD122" s="77" t="inlineStr">
        <is>
          <t>Media Legal Defence Initiative; Garden Court Chambers (2015-16)</t>
        </is>
      </c>
      <c r="AE122" s="77" t="inlineStr">
        <is>
          <t>Draft submissions to UN Working Group</t>
        </is>
      </c>
      <c r="AF122" s="77">
        <f>IF(OR(V122="No",X122="No",Z122="No"),"Outside strict definition",IF(AND(V122="Yes",X122="Yes",Z122="Yes"),"Meets all three","Potentially relevant; evidence incomplete"))</f>
        <v/>
      </c>
      <c r="AG122" s="77" t="inlineStr">
        <is>
          <t>Current status unclear</t>
        </is>
      </c>
      <c r="AH122" s="77" t="inlineStr">
        <is>
          <t>2015/16</t>
        </is>
      </c>
      <c r="AI122" s="77" t="inlineStr">
        <is>
          <t>Yes</t>
        </is>
      </c>
      <c r="AJ122" s="77">
        <f>IF(AND(AI122="Yes",AF122="Meets all three",AG122="Current delivery confirmed"),"Yes","No")</f>
        <v/>
      </c>
      <c r="AK122" s="77" t="inlineStr"/>
      <c r="AL122" s="77" t="inlineStr">
        <is>
          <t>RG06-S15-R1; RG06-S15-R2; RG06-S15-R3</t>
        </is>
      </c>
      <c r="AM122" s="77" t="inlineStr">
        <is>
          <t>Latest dated evidence is 2015/16; 2026/27 catalogue mentions the '40 credit variant' (LAWS10190) as an exclusion, suggesting it may still run; team structure unclear.</t>
        </is>
      </c>
      <c r="AN122" s="77" t="inlineStr"/>
      <c r="AO122" s="77" t="inlineStr">
        <is>
          <t>UK</t>
        </is>
      </c>
      <c r="AP122" s="77" t="inlineStr">
        <is>
          <t>UK – Russell Group</t>
        </is>
      </c>
      <c r="AQ122" s="77" t="inlineStr">
        <is>
          <t>Unclear</t>
        </is>
      </c>
      <c r="AR122" s="77" t="inlineStr">
        <is>
          <t>Unclear</t>
        </is>
      </c>
      <c r="AS122" s="77" t="inlineStr"/>
    </row>
    <row r="123">
      <c r="A123" s="77" t="inlineStr">
        <is>
          <t>RG06</t>
        </is>
      </c>
      <c r="B123" s="77" t="inlineStr">
        <is>
          <t>Edinburgh</t>
        </is>
      </c>
      <c r="C123" s="77" t="inlineStr">
        <is>
          <t>Programme/course</t>
        </is>
      </c>
      <c r="D123" s="77" t="inlineStr">
        <is>
          <t>RG06-S16</t>
        </is>
      </c>
      <c r="E123" s="77" t="inlineStr"/>
      <c r="F123" s="77" t="inlineStr">
        <is>
          <t>No</t>
        </is>
      </c>
      <c r="G123" s="79" t="inlineStr">
        <is>
          <t>Geoscience Outreach and Engagement (EASC10087)</t>
        </is>
      </c>
      <c r="H123" s="77" t="inlineStr">
        <is>
          <t>Geoscience Outreach and Engagement</t>
        </is>
      </c>
      <c r="I123" s="77" t="inlineStr">
        <is>
          <t>EASC10087</t>
        </is>
      </c>
      <c r="J123"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23" s="77" t="inlineStr">
        <is>
          <t>School of GeoSciences</t>
        </is>
      </c>
      <c r="L123" s="77" t="inlineStr">
        <is>
          <t>Geology/Physical Geography, Environmental Geoscience; also taken by other programmes</t>
        </is>
      </c>
      <c r="M123" s="77" t="inlineStr">
        <is>
          <t>Science</t>
        </is>
      </c>
      <c r="N123" s="77" t="inlineStr">
        <is>
          <t>Undergraduate</t>
        </is>
      </c>
      <c r="O123" s="77" t="inlineStr">
        <is>
          <t>Level 10 (honours)</t>
        </is>
      </c>
      <c r="P123" s="77" t="inlineStr">
        <is>
          <t>Programme tables; open to some other programmes</t>
        </is>
      </c>
      <c r="Q123" s="77" t="inlineStr">
        <is>
          <t>Optional/elective</t>
        </is>
      </c>
      <c r="R123" s="77" t="inlineStr">
        <is>
          <t>Curricular</t>
        </is>
      </c>
      <c r="S123" s="77" t="inlineStr">
        <is>
          <t>20 credits</t>
        </is>
      </c>
      <c r="T123" s="77" t="inlineStr">
        <is>
          <t>Semester 1 mentoring; project mainly Semester 2</t>
        </is>
      </c>
      <c r="U123" s="77" t="inlineStr">
        <is>
          <t>Student-designed client project</t>
        </is>
      </c>
      <c r="V123" s="77" t="inlineStr">
        <is>
          <t>Yes</t>
        </is>
      </c>
      <c r="W123" s="77" t="inlineStr">
        <is>
          <t>Bespoke outreach project with defined outputs (src 1, 2).</t>
        </is>
      </c>
      <c r="X123" s="77" t="inlineStr">
        <is>
          <t>Unclear</t>
        </is>
      </c>
      <c r="Y123" s="77" t="inlineStr">
        <is>
          <t>Individual vs group projects not stated (src 1, 2).</t>
        </is>
      </c>
      <c r="Z123" s="77" t="inlineStr">
        <is>
          <t>Unclear</t>
        </is>
      </c>
      <c r="AA123" s="77" t="inlineStr">
        <is>
          <t>Students choose audience and client; clients (schools, community groups, council) receive outputs, but selection is student-sourced and external clients not shown to be standard for all (src 1, 2).</t>
        </is>
      </c>
      <c r="AB123" s="77" t="inlineStr">
        <is>
          <t>Charity/community</t>
        </is>
      </c>
      <c r="AC123" s="77" t="inlineStr">
        <is>
          <t>Receive project outputs; some council requests</t>
        </is>
      </c>
      <c r="AD123" s="77" t="inlineStr"/>
      <c r="AE123" s="77" t="inlineStr">
        <is>
          <t>Outreach resources/events for client</t>
        </is>
      </c>
      <c r="AF123" s="77">
        <f>IF(OR(V123="No",X123="No",Z123="No"),"Outside strict definition",IF(AND(V123="Yes",X123="Yes",Z123="Yes"),"Meets all three","Potentially relevant; evidence incomplete"))</f>
        <v/>
      </c>
      <c r="AG123" s="77" t="inlineStr">
        <is>
          <t>Current status unclear</t>
        </is>
      </c>
      <c r="AH123" s="77" t="inlineStr">
        <is>
          <t>2021/22</t>
        </is>
      </c>
      <c r="AI123" s="77" t="inlineStr">
        <is>
          <t>Yes</t>
        </is>
      </c>
      <c r="AJ123" s="77">
        <f>IF(AND(AI123="Yes",AF123="Meets all three",AG123="Current delivery confirmed"),"Yes","No")</f>
        <v/>
      </c>
      <c r="AK123" s="77" t="inlineStr"/>
      <c r="AL123" s="77" t="inlineStr">
        <is>
          <t>RG06-S16-R1; RG06-S16-R2</t>
        </is>
      </c>
      <c r="AM123" s="77" t="inlineStr">
        <is>
          <t>Group vs individual; currency; mix of clients.</t>
        </is>
      </c>
      <c r="AN123" s="77" t="inlineStr"/>
      <c r="AO123" s="77" t="inlineStr">
        <is>
          <t>UK</t>
        </is>
      </c>
      <c r="AP123" s="77" t="inlineStr">
        <is>
          <t>UK – Russell Group</t>
        </is>
      </c>
      <c r="AQ123" s="77" t="inlineStr">
        <is>
          <t>~1 term/semester</t>
        </is>
      </c>
      <c r="AR123" s="77" t="inlineStr">
        <is>
          <t>Some projects</t>
        </is>
      </c>
      <c r="AS123" s="77" t="inlineStr"/>
    </row>
    <row r="124">
      <c r="A124" s="77" t="inlineStr">
        <is>
          <t>RG07</t>
        </is>
      </c>
      <c r="B124" s="77" t="inlineStr">
        <is>
          <t>Exeter</t>
        </is>
      </c>
      <c r="C124" s="77" t="inlineStr">
        <is>
          <t>University-wide</t>
        </is>
      </c>
      <c r="D124" s="77" t="inlineStr">
        <is>
          <t>RG07-S01</t>
        </is>
      </c>
      <c r="E124" s="77" t="inlineStr"/>
      <c r="F124" s="77" t="inlineStr">
        <is>
          <t>No</t>
        </is>
      </c>
      <c r="G124" s="79" t="inlineStr">
        <is>
          <t>Grand Challenges</t>
        </is>
      </c>
      <c r="H124" s="77" t="inlineStr">
        <is>
          <t>Grand Challenges</t>
        </is>
      </c>
      <c r="I124" s="77" t="inlineStr"/>
      <c r="J124"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24" s="77" t="inlineStr">
        <is>
          <t>Grand Challenges team (central, Education/Student Experience)</t>
        </is>
      </c>
      <c r="L124" s="77" t="inlineStr">
        <is>
          <t>All undergraduate programmes (Streatham and Penryn campuses; Penryn challenge Penryn-only)</t>
        </is>
      </c>
      <c r="M124" s="77" t="inlineStr">
        <is>
          <t>Central provision</t>
        </is>
      </c>
      <c r="N124" s="77" t="inlineStr">
        <is>
          <t>Undergraduate</t>
        </is>
      </c>
      <c r="O124" s="77" t="inlineStr">
        <is>
          <t>Any undergraduate year (FAQ refers to enrolled undergraduates)</t>
        </is>
      </c>
      <c r="P124" s="77" t="inlineStr">
        <is>
          <t>Enrolled University of Exeter undergraduates; one Challenge per student; free as part of tuition</t>
        </is>
      </c>
      <c r="Q124" s="77" t="inlineStr">
        <is>
          <t>Optional/elective</t>
        </is>
      </c>
      <c r="R124" s="77" t="inlineStr">
        <is>
          <t>Extracurricular</t>
        </is>
      </c>
      <c r="S124" s="77" t="inlineStr">
        <is>
          <t>No credit evidenced; final group presentation</t>
        </is>
      </c>
      <c r="T124" s="77" t="inlineStr">
        <is>
          <t>One week (Monday-Friday) in June</t>
        </is>
      </c>
      <c r="U124" s="77" t="inlineStr">
        <is>
          <t>In person, Streatham and Penryn campuses</t>
        </is>
      </c>
      <c r="V124" s="77" t="inlineStr">
        <is>
          <t>Yes</t>
        </is>
      </c>
      <c r="W124" s="77" t="inlineStr">
        <is>
          <t>Groups design innovative solutions to a defined real-world challenge and present ideas to an expert panel [1][2][3].</t>
        </is>
      </c>
      <c r="X124" s="77" t="inlineStr">
        <is>
          <t>Yes</t>
        </is>
      </c>
      <c r="Y124" s="77" t="inlineStr">
        <is>
          <t>'Groups vary in size, and normally contain 4 to 8 people' [1]; interdisciplinary groups [2].</t>
        </is>
      </c>
      <c r="Z124" s="77" t="inlineStr">
        <is>
          <t>Unclear</t>
        </is>
      </c>
      <c r="AA124"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24" s="77" t="inlineStr">
        <is>
          <t>Unclear</t>
        </is>
      </c>
      <c r="AC124" s="77" t="inlineStr">
        <is>
          <t>External experts give lectures; independent experts sit on Penryn presentation panel; industry experts sometimes in the audience</t>
        </is>
      </c>
      <c r="AD124" s="77" t="inlineStr"/>
      <c r="AE124" s="77" t="inlineStr">
        <is>
          <t>Group presentation of proposed solution (plus showcase)</t>
        </is>
      </c>
      <c r="AF124" s="77">
        <f>IF(OR(V124="No",X124="No",Z124="No"),"Outside strict definition",IF(AND(V124="Yes",X124="Yes",Z124="Yes"),"Meets all three","Potentially relevant; evidence incomplete"))</f>
        <v/>
      </c>
      <c r="AG124" s="77" t="inlineStr">
        <is>
          <t>Current delivery confirmed</t>
        </is>
      </c>
      <c r="AH124" s="77" t="inlineStr">
        <is>
          <t>2026 (June 2026 challenges, 2025/26)</t>
        </is>
      </c>
      <c r="AI124" s="77" t="inlineStr">
        <is>
          <t>Yes</t>
        </is>
      </c>
      <c r="AJ124" s="77">
        <f>IF(AND(AI124="Yes",AF124="Meets all three",AG124="Current delivery confirmed"),"Yes","No")</f>
        <v/>
      </c>
      <c r="AK124" s="77" t="inlineStr"/>
      <c r="AL124" s="77" t="inlineStr">
        <is>
          <t>RG07-S01-R1; RG07-S01-R2; RG07-S01-R3</t>
        </is>
      </c>
      <c r="AM124"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24" s="77" t="inlineStr">
        <is>
          <t>Grand Challenges</t>
        </is>
      </c>
      <c r="AO124" s="77" t="inlineStr">
        <is>
          <t>UK</t>
        </is>
      </c>
      <c r="AP124" s="77" t="inlineStr">
        <is>
          <t>UK – Russell Group</t>
        </is>
      </c>
      <c r="AQ124" s="77" t="inlineStr">
        <is>
          <t>1–4 weeks</t>
        </is>
      </c>
      <c r="AR124" s="77" t="inlineStr">
        <is>
          <t>Unclear</t>
        </is>
      </c>
      <c r="AS124" s="77" t="inlineStr"/>
    </row>
    <row r="125">
      <c r="A125" s="77" t="inlineStr">
        <is>
          <t>RG07</t>
        </is>
      </c>
      <c r="B125" s="77" t="inlineStr">
        <is>
          <t>Exeter</t>
        </is>
      </c>
      <c r="C125" s="77" t="inlineStr">
        <is>
          <t>University-wide</t>
        </is>
      </c>
      <c r="D125" s="77" t="inlineStr">
        <is>
          <t>RG07-S02</t>
        </is>
      </c>
      <c r="E125" s="77" t="inlineStr"/>
      <c r="F125" s="77" t="inlineStr">
        <is>
          <t>No</t>
        </is>
      </c>
      <c r="G125" s="79" t="inlineStr">
        <is>
          <t>Grand Challenges - Education Innovation: Industry-led Enquiry Group with Amazon Web Services</t>
        </is>
      </c>
      <c r="H125" s="77" t="inlineStr">
        <is>
          <t>Grand Challenges - Education Innovation: Industry-led Enquiry Group with Amazon Web Services</t>
        </is>
      </c>
      <c r="I125" s="77" t="inlineStr"/>
      <c r="J125"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25" s="77" t="inlineStr">
        <is>
          <t>Grand Challenges team with Amazon Web Services</t>
        </is>
      </c>
      <c r="L125" s="77" t="inlineStr">
        <is>
          <t>All undergraduates (via Grand Challenges sign-up)</t>
        </is>
      </c>
      <c r="M125" s="77" t="inlineStr">
        <is>
          <t>Central provision</t>
        </is>
      </c>
      <c r="N125" s="77" t="inlineStr">
        <is>
          <t>Undergraduate</t>
        </is>
      </c>
      <c r="O125" s="77" t="inlineStr">
        <is>
          <t>Any</t>
        </is>
      </c>
      <c r="P125" s="77" t="inlineStr">
        <is>
          <t>As S1; one Challenge per student</t>
        </is>
      </c>
      <c r="Q125" s="77" t="inlineStr">
        <is>
          <t>Optional/elective</t>
        </is>
      </c>
      <c r="R125" s="77" t="inlineStr">
        <is>
          <t>Extracurricular</t>
        </is>
      </c>
      <c r="S125" s="77" t="inlineStr">
        <is>
          <t>No credit evidenced</t>
        </is>
      </c>
      <c r="T125" s="77" t="inlineStr">
        <is>
          <t>One week</t>
        </is>
      </c>
      <c r="U125" s="77" t="inlineStr">
        <is>
          <t>In person, Streatham</t>
        </is>
      </c>
      <c r="V125" s="77" t="inlineStr">
        <is>
          <t>Yes</t>
        </is>
      </c>
      <c r="W125" s="77" t="inlineStr">
        <is>
          <t>Students develop solutions to real-world industry problems using emerging technologies [1]; Grand Challenges groups present solutions at end of week [3].</t>
        </is>
      </c>
      <c r="X125" s="77" t="inlineStr">
        <is>
          <t>Yes</t>
        </is>
      </c>
      <c r="Y125" s="77" t="inlineStr">
        <is>
          <t>Grand Challenges FAQ: groups normally 4-8 people (applies to all Challenges) [2].</t>
        </is>
      </c>
      <c r="Z125" s="77" t="inlineStr">
        <is>
          <t>Unclear</t>
        </is>
      </c>
      <c r="AA125"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25" s="77" t="inlineStr">
        <is>
          <t>Business/commercial</t>
        </is>
      </c>
      <c r="AC125" s="77" t="inlineStr">
        <is>
          <t>Industry lead of an enquiry group (exact role not evidenced)</t>
        </is>
      </c>
      <c r="AD125" s="77" t="inlineStr">
        <is>
          <t>Amazon Web Services (2026)</t>
        </is>
      </c>
      <c r="AE125" s="77" t="inlineStr">
        <is>
          <t>Group presentation of proposed solution</t>
        </is>
      </c>
      <c r="AF125" s="77">
        <f>IF(OR(V125="No",X125="No",Z125="No"),"Outside strict definition",IF(AND(V125="Yes",X125="Yes",Z125="Yes"),"Meets all three","Potentially relevant; evidence incomplete"))</f>
        <v/>
      </c>
      <c r="AG125" s="77" t="inlineStr">
        <is>
          <t>Current delivery confirmed</t>
        </is>
      </c>
      <c r="AH125" s="77" t="inlineStr">
        <is>
          <t>2026</t>
        </is>
      </c>
      <c r="AI125" s="77" t="inlineStr">
        <is>
          <t>Yes</t>
        </is>
      </c>
      <c r="AJ125" s="77">
        <f>IF(AND(AI125="Yes",AF125="Meets all three",AG125="Current delivery confirmed"),"Yes","No")</f>
        <v/>
      </c>
      <c r="AK125" s="77" t="inlineStr"/>
      <c r="AL125" s="77" t="inlineStr">
        <is>
          <t>RG07-S02-R1; RG07-S02-R2; RG07-S02-R3; RG07-S02-R4</t>
        </is>
      </c>
      <c r="AM125" s="77" t="inlineStr">
        <is>
          <t>AWS's concrete role (brief-setting, mentoring, judging) and whether this group is repeated in 2027.</t>
        </is>
      </c>
      <c r="AN125" s="77" t="inlineStr"/>
      <c r="AO125" s="77" t="inlineStr">
        <is>
          <t>UK</t>
        </is>
      </c>
      <c r="AP125" s="77" t="inlineStr">
        <is>
          <t>UK – Russell Group</t>
        </is>
      </c>
      <c r="AQ125" s="77" t="inlineStr">
        <is>
          <t>1–4 weeks</t>
        </is>
      </c>
      <c r="AR125" s="77" t="inlineStr">
        <is>
          <t>Unclear</t>
        </is>
      </c>
      <c r="AS125" s="77" t="inlineStr"/>
    </row>
    <row r="126">
      <c r="A126" s="77" t="inlineStr">
        <is>
          <t>RG07</t>
        </is>
      </c>
      <c r="B126" s="77" t="inlineStr">
        <is>
          <t>Exeter</t>
        </is>
      </c>
      <c r="C126" s="77" t="inlineStr">
        <is>
          <t>University-wide</t>
        </is>
      </c>
      <c r="D126" s="77" t="inlineStr">
        <is>
          <t>RG07-S03</t>
        </is>
      </c>
      <c r="E126" s="77" t="inlineStr"/>
      <c r="F126" s="77" t="inlineStr">
        <is>
          <t>No</t>
        </is>
      </c>
      <c r="G126" s="79" t="inlineStr">
        <is>
          <t>Future17</t>
        </is>
      </c>
      <c r="H126" s="77" t="inlineStr">
        <is>
          <t>Future17</t>
        </is>
      </c>
      <c r="I126" s="77" t="inlineStr">
        <is>
          <t>BEP3172 (credit route via APEL)</t>
        </is>
      </c>
      <c r="J126"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26" s="77" t="inlineStr">
        <is>
          <t>Global Classrooms / Future17 team with QS</t>
        </is>
      </c>
      <c r="L126" s="77" t="inlineStr">
        <is>
          <t>All programmes, all campuses (UG excluding first years; PGT)</t>
        </is>
      </c>
      <c r="M126" s="77" t="inlineStr">
        <is>
          <t>Central provision</t>
        </is>
      </c>
      <c r="N126" s="77" t="inlineStr">
        <is>
          <t>Mixed</t>
        </is>
      </c>
      <c r="O126" s="77" t="inlineStr">
        <is>
          <t>UG year 2+ and PGT</t>
        </is>
      </c>
      <c r="P126" s="77" t="inlineStr">
        <is>
          <t>Undergraduates except first years, and postgraduate taught students, all campuses; once only per student; competitive limited places; credit route subject to available optional credit and programme rules</t>
        </is>
      </c>
      <c r="Q126" s="77" t="inlineStr">
        <is>
          <t>Selective/competitive</t>
        </is>
      </c>
      <c r="R126" s="77" t="inlineStr">
        <is>
          <t>Mixed</t>
        </is>
      </c>
      <c r="S126" s="77" t="inlineStr">
        <is>
          <t>Optional 15 credits at level 6 via APEL (module BEP3172) replacing an optional module, or non-credit route with QS certificate. Assessed on group project output and group presentation [1][3].</t>
        </is>
      </c>
      <c r="T126" s="77" t="inlineStr">
        <is>
          <t>12 weeks (4-week induction + 8 weeks team project)</t>
        </is>
      </c>
      <c r="U126" s="77" t="inlineStr">
        <is>
          <t>Online, international teams</t>
        </is>
      </c>
      <c r="V126" s="77" t="inlineStr">
        <is>
          <t>Yes</t>
        </is>
      </c>
      <c r="W126" s="77" t="inlineStr">
        <is>
          <t>Teams address a defined partner-set sustainability challenge producing a report (or equivalent) and presentation [1][2].</t>
        </is>
      </c>
      <c r="X126" s="77" t="inlineStr">
        <is>
          <t>Yes</t>
        </is>
      </c>
      <c r="Y126" s="77" t="inlineStr">
        <is>
          <t>Small groups of typically 6-8 students from at least two partner universities; group project output and group presentation [1].</t>
        </is>
      </c>
      <c r="Z126" s="77" t="inlineStr">
        <is>
          <t>Yes</t>
        </is>
      </c>
      <c r="AA126" s="77" t="inlineStr">
        <is>
          <t>Challenge Partner outlines the challenge, provides context and potentially data; assessment panel includes a representative of the partner that set the challenge [1]; 31 organisations provided 44 challenges in a recent round [2].</t>
        </is>
      </c>
      <c r="AB126" s="77" t="inlineStr">
        <is>
          <t>Mixed</t>
        </is>
      </c>
      <c r="AC126" s="77" t="inlineStr">
        <is>
          <t>Sets challenge brief, provides context/data, sits on assessment panel</t>
        </is>
      </c>
      <c r="AD126" s="77" t="inlineStr">
        <is>
          <t>CapGemini; T-Hues (Sri Lanka) (cohort reported in news c.2025)</t>
        </is>
      </c>
      <c r="AE126" s="77" t="inlineStr">
        <is>
          <t>Group report (or equivalent) and online group presentation</t>
        </is>
      </c>
      <c r="AF126" s="77">
        <f>IF(OR(V126="No",X126="No",Z126="No"),"Outside strict definition",IF(AND(V126="Yes",X126="Yes",Z126="Yes"),"Meets all three","Potentially relevant; evidence incomplete"))</f>
        <v/>
      </c>
      <c r="AG126" s="77" t="inlineStr">
        <is>
          <t>Current status unclear</t>
        </is>
      </c>
      <c r="AH126" s="77" t="inlineStr">
        <is>
          <t>2024/25</t>
        </is>
      </c>
      <c r="AI126" s="77" t="inlineStr">
        <is>
          <t>Yes</t>
        </is>
      </c>
      <c r="AJ126" s="77">
        <f>IF(AND(AI126="Yes",AF126="Meets all three",AG126="Current delivery confirmed"),"Yes","No")</f>
        <v/>
      </c>
      <c r="AK126" s="77" t="inlineStr">
        <is>
          <t>About 50 Exeter students graduated in the cohort reported (c.2024/25), c.300 worldwide [2]</t>
        </is>
      </c>
      <c r="AL126" s="77" t="inlineStr">
        <is>
          <t>RG07-S03-R1; RG07-S03-R2; RG07-S03-R3</t>
        </is>
      </c>
      <c r="AM126"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26" s="77" t="inlineStr">
        <is>
          <t>Future17</t>
        </is>
      </c>
      <c r="AO126" s="77" t="inlineStr">
        <is>
          <t>UK</t>
        </is>
      </c>
      <c r="AP126" s="77" t="inlineStr">
        <is>
          <t>UK – Russell Group</t>
        </is>
      </c>
      <c r="AQ126" s="77" t="inlineStr">
        <is>
          <t>~1 term/semester</t>
        </is>
      </c>
      <c r="AR126" s="77" t="inlineStr">
        <is>
          <t>All/standard</t>
        </is>
      </c>
      <c r="AS126" s="77" t="inlineStr"/>
    </row>
    <row r="127">
      <c r="A127" s="77" t="inlineStr">
        <is>
          <t>RG07</t>
        </is>
      </c>
      <c r="B127" s="77" t="inlineStr">
        <is>
          <t>Exeter</t>
        </is>
      </c>
      <c r="C127" s="77" t="inlineStr">
        <is>
          <t>Programme/course</t>
        </is>
      </c>
      <c r="D127" s="77" t="inlineStr">
        <is>
          <t>RG07-S04</t>
        </is>
      </c>
      <c r="E127" s="77" t="inlineStr"/>
      <c r="F127" s="77" t="inlineStr">
        <is>
          <t>No</t>
        </is>
      </c>
      <c r="G127" s="79" t="inlineStr">
        <is>
          <t>Business Project (MSc Management)</t>
        </is>
      </c>
      <c r="H127" s="77" t="inlineStr">
        <is>
          <t>Business Project (MSc Management)</t>
        </is>
      </c>
      <c r="I127" s="77" t="inlineStr">
        <is>
          <t>BEMM149</t>
        </is>
      </c>
      <c r="J127"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27" s="77" t="inlineStr">
        <is>
          <t>University of Exeter Business School</t>
        </is>
      </c>
      <c r="L127" s="77" t="inlineStr">
        <is>
          <t>MSc Management</t>
        </is>
      </c>
      <c r="M127" s="77" t="inlineStr">
        <is>
          <t>Business/management</t>
        </is>
      </c>
      <c r="N127" s="77" t="inlineStr">
        <is>
          <t>Postgraduate taught</t>
        </is>
      </c>
      <c r="O127" s="77" t="inlineStr">
        <is>
          <t>PGT</t>
        </is>
      </c>
      <c r="P127" s="77" t="inlineStr">
        <is>
          <t>MSc Management students only</t>
        </is>
      </c>
      <c r="Q127" s="77" t="inlineStr">
        <is>
          <t>Compulsory within specified programmes</t>
        </is>
      </c>
      <c r="R127" s="77" t="inlineStr">
        <is>
          <t>Curricular</t>
        </is>
      </c>
      <c r="S127" s="77" t="inlineStr">
        <is>
          <t>30 credits; report and presentation</t>
        </is>
      </c>
      <c r="T127" s="77" t="inlineStr">
        <is>
          <t>Not stated</t>
        </is>
      </c>
      <c r="U127" s="77" t="inlineStr">
        <is>
          <t>In person</t>
        </is>
      </c>
      <c r="V127" s="77" t="inlineStr">
        <is>
          <t>Yes</t>
        </is>
      </c>
      <c r="W127" s="77" t="inlineStr">
        <is>
          <t>Consultancy project on a partner-specified challenge with report and presentation [1].</t>
        </is>
      </c>
      <c r="X127" s="77" t="inlineStr">
        <is>
          <t>Yes</t>
        </is>
      </c>
      <c r="Y127" s="77" t="inlineStr">
        <is>
          <t>Students 'work in a team'/group consultancy team [1].</t>
        </is>
      </c>
      <c r="Z127" s="77" t="inlineStr">
        <is>
          <t>Yes</t>
        </is>
      </c>
      <c r="AA127" s="77" t="inlineStr">
        <is>
          <t>Partner organisation supplies the research brief/challenge, receives findings and recommendations (report and presentation); module lead liaises with the partner [1].</t>
        </is>
      </c>
      <c r="AB127" s="77" t="inlineStr">
        <is>
          <t>Unclear</t>
        </is>
      </c>
      <c r="AC127" s="77" t="inlineStr">
        <is>
          <t>Supplies brief; client receiving report and presentation</t>
        </is>
      </c>
      <c r="AD127" s="77" t="inlineStr"/>
      <c r="AE127" s="77" t="inlineStr">
        <is>
          <t>Consultancy report and presentation to partner</t>
        </is>
      </c>
      <c r="AF127" s="77">
        <f>IF(OR(V127="No",X127="No",Z127="No"),"Outside strict definition",IF(AND(V127="Yes",X127="Yes",Z127="Yes"),"Meets all three","Potentially relevant; evidence incomplete"))</f>
        <v/>
      </c>
      <c r="AG127" s="77" t="inlineStr">
        <is>
          <t>Current delivery confirmed</t>
        </is>
      </c>
      <c r="AH127" s="77" t="inlineStr">
        <is>
          <t>2025/26</t>
        </is>
      </c>
      <c r="AI127" s="77" t="inlineStr">
        <is>
          <t>Yes</t>
        </is>
      </c>
      <c r="AJ127" s="77">
        <f>IF(AND(AI127="Yes",AF127="Meets all three",AG127="Current delivery confirmed"),"Yes","No")</f>
        <v/>
      </c>
      <c r="AK127" s="77" t="inlineStr"/>
      <c r="AL127" s="77" t="inlineStr">
        <is>
          <t>RG07-S04-R1; RG07-S04-R2</t>
        </is>
      </c>
      <c r="AM127"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27" s="77" t="inlineStr"/>
      <c r="AO127" s="77" t="inlineStr">
        <is>
          <t>UK</t>
        </is>
      </c>
      <c r="AP127" s="77" t="inlineStr">
        <is>
          <t>UK – Russell Group</t>
        </is>
      </c>
      <c r="AQ127" s="77" t="inlineStr">
        <is>
          <t>Unclear</t>
        </is>
      </c>
      <c r="AR127" s="77" t="inlineStr">
        <is>
          <t>All/standard</t>
        </is>
      </c>
      <c r="AS127" s="77" t="inlineStr"/>
    </row>
    <row r="128">
      <c r="A128" s="77" t="inlineStr">
        <is>
          <t>RG07</t>
        </is>
      </c>
      <c r="B128" s="77" t="inlineStr">
        <is>
          <t>Exeter</t>
        </is>
      </c>
      <c r="C128" s="77" t="inlineStr">
        <is>
          <t>Programme/course</t>
        </is>
      </c>
      <c r="D128" s="77" t="inlineStr">
        <is>
          <t>RG07-S05</t>
        </is>
      </c>
      <c r="E128" s="77" t="inlineStr"/>
      <c r="F128" s="77" t="inlineStr">
        <is>
          <t>No</t>
        </is>
      </c>
      <c r="G128" s="79" t="inlineStr">
        <is>
          <t>Research and Consultancy Project</t>
        </is>
      </c>
      <c r="H128" s="77" t="inlineStr">
        <is>
          <t>Research and Consultancy Project</t>
        </is>
      </c>
      <c r="I128" s="77" t="inlineStr">
        <is>
          <t>BEMM771</t>
        </is>
      </c>
      <c r="J128"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28" s="77" t="inlineStr">
        <is>
          <t>University of Exeter Business School</t>
        </is>
      </c>
      <c r="L128" s="77" t="inlineStr">
        <is>
          <t>Not identified</t>
        </is>
      </c>
      <c r="M128" s="77" t="inlineStr">
        <is>
          <t>Business/management</t>
        </is>
      </c>
      <c r="N128" s="77" t="inlineStr">
        <is>
          <t>Postgraduate taught</t>
        </is>
      </c>
      <c r="O128" s="77" t="inlineStr"/>
      <c r="P128" s="77" t="inlineStr"/>
      <c r="Q128" s="77" t="inlineStr">
        <is>
          <t>Unclear</t>
        </is>
      </c>
      <c r="R128" s="77" t="inlineStr">
        <is>
          <t>Curricular</t>
        </is>
      </c>
      <c r="S128" s="77" t="inlineStr">
        <is>
          <t>15 credits; group report+presentation 60%, reflective essay 40%</t>
        </is>
      </c>
      <c r="T128" s="77" t="inlineStr">
        <is>
          <t>10 weeks, term 2</t>
        </is>
      </c>
      <c r="U128" s="77" t="inlineStr">
        <is>
          <t>In person</t>
        </is>
      </c>
      <c r="V128" s="77" t="inlineStr">
        <is>
          <t>Yes</t>
        </is>
      </c>
      <c r="W128" s="77" t="inlineStr">
        <is>
          <t>Group project report and presentation on real-life client projects [1].</t>
        </is>
      </c>
      <c r="X128" s="77" t="inlineStr">
        <is>
          <t>Yes</t>
        </is>
      </c>
      <c r="Y128" s="77" t="inlineStr">
        <is>
          <t>Work in organised group teams; group report and presentation [1].</t>
        </is>
      </c>
      <c r="Z128" s="77" t="inlineStr">
        <is>
          <t>Unclear</t>
        </is>
      </c>
      <c r="AA128" s="77" t="inlineStr">
        <is>
          <t>'Real-life projects' with clients stated, but supervisors sometimes act as 'client' in update meetings; external client identity/role not evidenced [1].</t>
        </is>
      </c>
      <c r="AB128" s="77" t="inlineStr">
        <is>
          <t>Unclear</t>
        </is>
      </c>
      <c r="AC128" s="77" t="inlineStr"/>
      <c r="AD128" s="77" t="inlineStr"/>
      <c r="AE128" s="77" t="inlineStr">
        <is>
          <t>Group report and presentation</t>
        </is>
      </c>
      <c r="AF128" s="77">
        <f>IF(OR(V128="No",X128="No",Z128="No"),"Outside strict definition",IF(AND(V128="Yes",X128="Yes",Z128="Yes"),"Meets all three","Potentially relevant; evidence incomplete"))</f>
        <v/>
      </c>
      <c r="AG128" s="77" t="inlineStr">
        <is>
          <t>Historical delivery only</t>
        </is>
      </c>
      <c r="AH128" s="77" t="inlineStr">
        <is>
          <t>2018/19</t>
        </is>
      </c>
      <c r="AI128" s="77" t="inlineStr">
        <is>
          <t>Yes</t>
        </is>
      </c>
      <c r="AJ128" s="77">
        <f>IF(AND(AI128="Yes",AF128="Meets all three",AG128="Current delivery confirmed"),"Yes","No")</f>
        <v/>
      </c>
      <c r="AK128" s="77" t="inlineStr"/>
      <c r="AL128" s="77" t="inlineStr">
        <is>
          <t>RG07-S05-R1</t>
        </is>
      </c>
      <c r="AM128" s="77" t="inlineStr">
        <is>
          <t>Whether module still runs (only 2018/19 spec found) and whether clients are external.</t>
        </is>
      </c>
      <c r="AN128" s="77" t="inlineStr"/>
      <c r="AO128" s="77" t="inlineStr">
        <is>
          <t>UK</t>
        </is>
      </c>
      <c r="AP128" s="77" t="inlineStr">
        <is>
          <t>UK – Russell Group</t>
        </is>
      </c>
      <c r="AQ128" s="77" t="inlineStr">
        <is>
          <t>~1 term/semester</t>
        </is>
      </c>
      <c r="AR128" s="77" t="inlineStr">
        <is>
          <t>Unclear</t>
        </is>
      </c>
      <c r="AS128" s="77" t="inlineStr"/>
    </row>
    <row r="129">
      <c r="A129" s="77" t="inlineStr">
        <is>
          <t>RG07</t>
        </is>
      </c>
      <c r="B129" s="77" t="inlineStr">
        <is>
          <t>Exeter</t>
        </is>
      </c>
      <c r="C129" s="77" t="inlineStr">
        <is>
          <t>Programme/course</t>
        </is>
      </c>
      <c r="D129" s="77" t="inlineStr">
        <is>
          <t>RG07-S06</t>
        </is>
      </c>
      <c r="E129" s="77" t="inlineStr"/>
      <c r="F129" s="77" t="inlineStr">
        <is>
          <t>No</t>
        </is>
      </c>
      <c r="G129" s="79" t="inlineStr">
        <is>
          <t>Practice-Based Consultancy Management</t>
        </is>
      </c>
      <c r="H129" s="77" t="inlineStr">
        <is>
          <t>Practice-Based Consultancy Management</t>
        </is>
      </c>
      <c r="I129" s="77" t="inlineStr">
        <is>
          <t>BEP3020</t>
        </is>
      </c>
      <c r="J129"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29" s="77" t="inlineStr">
        <is>
          <t>University of Exeter Business School (Penryn)</t>
        </is>
      </c>
      <c r="L129" s="77" t="inlineStr">
        <is>
          <t>BSc Business (Cornwall)</t>
        </is>
      </c>
      <c r="M129" s="77" t="inlineStr">
        <is>
          <t>Business/management</t>
        </is>
      </c>
      <c r="N129" s="77" t="inlineStr">
        <is>
          <t>Undergraduate</t>
        </is>
      </c>
      <c r="O129" s="77" t="inlineStr">
        <is>
          <t>Final year</t>
        </is>
      </c>
      <c r="P129" s="77" t="inlineStr"/>
      <c r="Q129" s="77" t="inlineStr">
        <is>
          <t>Unclear</t>
        </is>
      </c>
      <c r="R129" s="77" t="inlineStr">
        <is>
          <t>Curricular</t>
        </is>
      </c>
      <c r="S129" s="77" t="inlineStr">
        <is>
          <t>15 credits; proposal and client report (weighting not found)</t>
        </is>
      </c>
      <c r="T129" s="77" t="inlineStr">
        <is>
          <t>Not stated</t>
        </is>
      </c>
      <c r="U129" s="77" t="inlineStr">
        <is>
          <t>In person, Penryn</t>
        </is>
      </c>
      <c r="V129" s="77" t="inlineStr">
        <is>
          <t>Yes</t>
        </is>
      </c>
      <c r="W129" s="77" t="inlineStr">
        <is>
          <t>Consulting project to a defined brief with proposal and client report [1][2].</t>
        </is>
      </c>
      <c r="X129" s="77" t="inlineStr">
        <is>
          <t>Unclear</t>
        </is>
      </c>
      <c r="Y129" s="77" t="inlineStr">
        <is>
          <t>No evidence on whether the consulting project is group or individual.</t>
        </is>
      </c>
      <c r="Z129" s="77" t="inlineStr">
        <is>
          <t>Unclear</t>
        </is>
      </c>
      <c r="AA129" s="77" t="inlineStr">
        <is>
          <t>Programme page describes a 'live or simulated' consulting project [2] - per ruling, C Unclear.</t>
        </is>
      </c>
      <c r="AB129" s="77" t="inlineStr">
        <is>
          <t>Unclear</t>
        </is>
      </c>
      <c r="AC129" s="77" t="inlineStr"/>
      <c r="AD129" s="77" t="inlineStr"/>
      <c r="AE129" s="77" t="inlineStr">
        <is>
          <t>Proposal and client report</t>
        </is>
      </c>
      <c r="AF129" s="77">
        <f>IF(OR(V129="No",X129="No",Z129="No"),"Outside strict definition",IF(AND(V129="Yes",X129="Yes",Z129="Yes"),"Meets all three","Potentially relevant; evidence incomplete"))</f>
        <v/>
      </c>
      <c r="AG129" s="77" t="inlineStr">
        <is>
          <t>Current status unclear</t>
        </is>
      </c>
      <c r="AH129" s="77" t="inlineStr">
        <is>
          <t>2024/25</t>
        </is>
      </c>
      <c r="AI129" s="77" t="inlineStr">
        <is>
          <t>Yes</t>
        </is>
      </c>
      <c r="AJ129" s="77">
        <f>IF(AND(AI129="Yes",AF129="Meets all three",AG129="Current delivery confirmed"),"Yes","No")</f>
        <v/>
      </c>
      <c r="AK129" s="77" t="inlineStr">
        <is>
          <t>c.30 students expected (2024/5 module page)</t>
        </is>
      </c>
      <c r="AL129" s="77" t="inlineStr">
        <is>
          <t>RG07-S06-R1; RG07-S06-R2</t>
        </is>
      </c>
      <c r="AM129" s="77" t="inlineStr">
        <is>
          <t>Group vs individual; proportion of live clients; current-year delivery.</t>
        </is>
      </c>
      <c r="AN129" s="77" t="inlineStr"/>
      <c r="AO129" s="77" t="inlineStr">
        <is>
          <t>UK</t>
        </is>
      </c>
      <c r="AP129" s="77" t="inlineStr">
        <is>
          <t>UK – Russell Group</t>
        </is>
      </c>
      <c r="AQ129" s="77" t="inlineStr">
        <is>
          <t>Unclear</t>
        </is>
      </c>
      <c r="AR129" s="77" t="inlineStr">
        <is>
          <t>Some projects</t>
        </is>
      </c>
      <c r="AS129" s="77" t="inlineStr"/>
    </row>
    <row r="130">
      <c r="A130" s="77" t="inlineStr">
        <is>
          <t>RG07</t>
        </is>
      </c>
      <c r="B130" s="77" t="inlineStr">
        <is>
          <t>Exeter</t>
        </is>
      </c>
      <c r="C130" s="77" t="inlineStr">
        <is>
          <t>Programme/course</t>
        </is>
      </c>
      <c r="D130" s="77" t="inlineStr">
        <is>
          <t>RG07-S07</t>
        </is>
      </c>
      <c r="E130" s="77" t="inlineStr"/>
      <c r="F130" s="77" t="inlineStr">
        <is>
          <t>No</t>
        </is>
      </c>
      <c r="G130" s="79" t="inlineStr">
        <is>
          <t>Consulting project (MSc Marketing and Business Analytics)</t>
        </is>
      </c>
      <c r="H130" s="77" t="inlineStr">
        <is>
          <t>Consulting project (MSc Marketing and Business Analytics)</t>
        </is>
      </c>
      <c r="I130" s="77" t="inlineStr"/>
      <c r="J130" s="77" t="inlineStr">
        <is>
          <t>Final-term option in which students can choose a consulting project working with real businesses on live marketing challenges (alternative to other final-term options).</t>
        </is>
      </c>
      <c r="K130" s="77" t="inlineStr">
        <is>
          <t>University of Exeter Business School</t>
        </is>
      </c>
      <c r="L130" s="77" t="inlineStr">
        <is>
          <t>MSc Marketing and Business Analytics</t>
        </is>
      </c>
      <c r="M130" s="77" t="inlineStr">
        <is>
          <t>Business/management</t>
        </is>
      </c>
      <c r="N130" s="77" t="inlineStr">
        <is>
          <t>Postgraduate taught</t>
        </is>
      </c>
      <c r="O130" s="77" t="inlineStr">
        <is>
          <t>Final term</t>
        </is>
      </c>
      <c r="P130" s="77" t="inlineStr"/>
      <c r="Q130" s="77" t="inlineStr">
        <is>
          <t>Optional/elective</t>
        </is>
      </c>
      <c r="R130" s="77" t="inlineStr">
        <is>
          <t>Curricular</t>
        </is>
      </c>
      <c r="S130" s="77" t="inlineStr">
        <is>
          <t>Not found</t>
        </is>
      </c>
      <c r="T130" s="77" t="inlineStr">
        <is>
          <t>Final term</t>
        </is>
      </c>
      <c r="U130" s="77" t="inlineStr">
        <is>
          <t>Not stated</t>
        </is>
      </c>
      <c r="V130" s="77" t="inlineStr">
        <is>
          <t>Yes</t>
        </is>
      </c>
      <c r="W130" s="77" t="inlineStr">
        <is>
          <t>Consulting project on live marketing challenges [1].</t>
        </is>
      </c>
      <c r="X130" s="77" t="inlineStr">
        <is>
          <t>Unclear</t>
        </is>
      </c>
      <c r="Y130" s="77" t="inlineStr">
        <is>
          <t>No evidence of team format.</t>
        </is>
      </c>
      <c r="Z130" s="77" t="inlineStr">
        <is>
          <t>Yes</t>
        </is>
      </c>
      <c r="AA130" s="77" t="inlineStr">
        <is>
          <t>Students work with real businesses on live marketing challenges [1] (search-summary only).</t>
        </is>
      </c>
      <c r="AB130" s="77" t="inlineStr">
        <is>
          <t>Business/commercial</t>
        </is>
      </c>
      <c r="AC130" s="77" t="inlineStr">
        <is>
          <t>Business supplies live marketing challenge</t>
        </is>
      </c>
      <c r="AD130" s="77" t="inlineStr"/>
      <c r="AE130" s="77" t="inlineStr">
        <is>
          <t>Not specified</t>
        </is>
      </c>
      <c r="AF130" s="77">
        <f>IF(OR(V130="No",X130="No",Z130="No"),"Outside strict definition",IF(AND(V130="Yes",X130="Yes",Z130="Yes"),"Meets all three","Potentially relevant; evidence incomplete"))</f>
        <v/>
      </c>
      <c r="AG130" s="77" t="inlineStr">
        <is>
          <t>Current status unclear</t>
        </is>
      </c>
      <c r="AH130" s="77" t="inlineStr"/>
      <c r="AI130" s="77" t="inlineStr">
        <is>
          <t>Yes</t>
        </is>
      </c>
      <c r="AJ130" s="77">
        <f>IF(AND(AI130="Yes",AF130="Meets all three",AG130="Current delivery confirmed"),"Yes","No")</f>
        <v/>
      </c>
      <c r="AK130" s="77" t="inlineStr"/>
      <c r="AL130" s="77" t="inlineStr">
        <is>
          <t>RG07-S07-R1</t>
        </is>
      </c>
      <c r="AM130" s="77" t="inlineStr">
        <is>
          <t>Module code, group/individual format, assessment and dated evidence not retrieved (search budget exhausted).</t>
        </is>
      </c>
      <c r="AN130" s="77" t="inlineStr"/>
      <c r="AO130" s="77" t="inlineStr">
        <is>
          <t>UK</t>
        </is>
      </c>
      <c r="AP130" s="77" t="inlineStr">
        <is>
          <t>UK – Russell Group</t>
        </is>
      </c>
      <c r="AQ130" s="77" t="inlineStr">
        <is>
          <t>~1 term/semester</t>
        </is>
      </c>
      <c r="AR130" s="77" t="inlineStr">
        <is>
          <t>All/standard</t>
        </is>
      </c>
      <c r="AS130" s="77" t="inlineStr"/>
    </row>
    <row r="131">
      <c r="A131" s="77" t="inlineStr">
        <is>
          <t>RG07</t>
        </is>
      </c>
      <c r="B131" s="77" t="inlineStr">
        <is>
          <t>Exeter</t>
        </is>
      </c>
      <c r="C131" s="77" t="inlineStr">
        <is>
          <t>Programme/course</t>
        </is>
      </c>
      <c r="D131" s="77" t="inlineStr">
        <is>
          <t>RG07-S08</t>
        </is>
      </c>
      <c r="E131" s="77" t="inlineStr"/>
      <c r="F131" s="77" t="inlineStr">
        <is>
          <t>No</t>
        </is>
      </c>
      <c r="G131" s="79" t="inlineStr">
        <is>
          <t>Sports Consultancy Project (BSc Sport Business Management)</t>
        </is>
      </c>
      <c r="H131" s="77" t="inlineStr">
        <is>
          <t>Sports Consultancy Project (BSc Sport Business Management)</t>
        </is>
      </c>
      <c r="I131" s="77" t="inlineStr"/>
      <c r="J131" s="77" t="inlineStr">
        <is>
          <t>Module in which students work with a real or simulated client to solve a current sport-industry challenge.</t>
        </is>
      </c>
      <c r="K131" s="77" t="inlineStr">
        <is>
          <t>University of Exeter Business School / Sport and Health Sciences</t>
        </is>
      </c>
      <c r="L131" s="77" t="inlineStr">
        <is>
          <t>BSc Sport Business Management</t>
        </is>
      </c>
      <c r="M131" s="77" t="inlineStr">
        <is>
          <t>Business/management</t>
        </is>
      </c>
      <c r="N131" s="77" t="inlineStr">
        <is>
          <t>Undergraduate</t>
        </is>
      </c>
      <c r="O131" s="77" t="inlineStr"/>
      <c r="P131" s="77" t="inlineStr"/>
      <c r="Q131" s="77" t="inlineStr">
        <is>
          <t>Unclear</t>
        </is>
      </c>
      <c r="R131" s="77" t="inlineStr">
        <is>
          <t>Curricular</t>
        </is>
      </c>
      <c r="S131" s="77" t="inlineStr"/>
      <c r="T131" s="77" t="inlineStr"/>
      <c r="U131" s="77" t="inlineStr"/>
      <c r="V131" s="77" t="inlineStr">
        <is>
          <t>Yes</t>
        </is>
      </c>
      <c r="W131" s="77" t="inlineStr">
        <is>
          <t>Consultancy project solving a current industry challenge [1].</t>
        </is>
      </c>
      <c r="X131" s="77" t="inlineStr">
        <is>
          <t>Unclear</t>
        </is>
      </c>
      <c r="Y131" s="77" t="inlineStr">
        <is>
          <t>Not evidenced.</t>
        </is>
      </c>
      <c r="Z131" s="77" t="inlineStr">
        <is>
          <t>Unclear</t>
        </is>
      </c>
      <c r="AA131" s="77" t="inlineStr">
        <is>
          <t>'Real or simulated client' [1] - routes not separable.</t>
        </is>
      </c>
      <c r="AB131" s="77" t="inlineStr">
        <is>
          <t>Unclear</t>
        </is>
      </c>
      <c r="AC131" s="77" t="inlineStr"/>
      <c r="AD131" s="77" t="inlineStr"/>
      <c r="AE131" s="77" t="inlineStr">
        <is>
          <t>Not specified</t>
        </is>
      </c>
      <c r="AF131" s="77">
        <f>IF(OR(V131="No",X131="No",Z131="No"),"Outside strict definition",IF(AND(V131="Yes",X131="Yes",Z131="Yes"),"Meets all three","Potentially relevant; evidence incomplete"))</f>
        <v/>
      </c>
      <c r="AG131" s="77" t="inlineStr">
        <is>
          <t>Current status unclear</t>
        </is>
      </c>
      <c r="AH131" s="77" t="inlineStr"/>
      <c r="AI131" s="77" t="inlineStr">
        <is>
          <t>Yes</t>
        </is>
      </c>
      <c r="AJ131" s="77">
        <f>IF(AND(AI131="Yes",AF131="Meets all three",AG131="Current delivery confirmed"),"Yes","No")</f>
        <v/>
      </c>
      <c r="AK131" s="77" t="inlineStr"/>
      <c r="AL131" s="77" t="inlineStr">
        <is>
          <t>RG07-S08-R1</t>
        </is>
      </c>
      <c r="AM131" s="77" t="inlineStr">
        <is>
          <t>Module code, group format, client share, current delivery.</t>
        </is>
      </c>
      <c r="AN131" s="77" t="inlineStr"/>
      <c r="AO131" s="77" t="inlineStr">
        <is>
          <t>UK</t>
        </is>
      </c>
      <c r="AP131" s="77" t="inlineStr">
        <is>
          <t>UK – Russell Group</t>
        </is>
      </c>
      <c r="AQ131" s="77" t="inlineStr">
        <is>
          <t>Unclear</t>
        </is>
      </c>
      <c r="AR131" s="77" t="inlineStr">
        <is>
          <t>Some projects</t>
        </is>
      </c>
      <c r="AS131" s="77" t="inlineStr"/>
    </row>
    <row r="132">
      <c r="A132" s="77" t="inlineStr">
        <is>
          <t>RG07</t>
        </is>
      </c>
      <c r="B132" s="77" t="inlineStr">
        <is>
          <t>Exeter</t>
        </is>
      </c>
      <c r="C132" s="77" t="inlineStr">
        <is>
          <t>Programme/course</t>
        </is>
      </c>
      <c r="D132" s="77" t="inlineStr">
        <is>
          <t>RG07-S09</t>
        </is>
      </c>
      <c r="E132" s="77" t="inlineStr"/>
      <c r="F132" s="77" t="inlineStr">
        <is>
          <t>No</t>
        </is>
      </c>
      <c r="G132" s="79" t="inlineStr">
        <is>
          <t>Group Project (MEng)</t>
        </is>
      </c>
      <c r="H132" s="77" t="inlineStr">
        <is>
          <t>Group Project (MEng)</t>
        </is>
      </c>
      <c r="I132" s="77" t="inlineStr">
        <is>
          <t>ECMM102</t>
        </is>
      </c>
      <c r="J132"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32" s="77" t="inlineStr">
        <is>
          <t>Department of Engineering</t>
        </is>
      </c>
      <c r="L132" s="77" t="inlineStr">
        <is>
          <t>MEng engineering programmes</t>
        </is>
      </c>
      <c r="M132" s="77" t="inlineStr">
        <is>
          <t>Engineering/computing</t>
        </is>
      </c>
      <c r="N132" s="77" t="inlineStr">
        <is>
          <t>Undergraduate</t>
        </is>
      </c>
      <c r="O132" s="77" t="inlineStr">
        <is>
          <t>Year 4 (MEng)</t>
        </is>
      </c>
      <c r="P132" s="77" t="inlineStr"/>
      <c r="Q132" s="77" t="inlineStr">
        <is>
          <t>Compulsory within specified programmes</t>
        </is>
      </c>
      <c r="R132" s="77" t="inlineStr">
        <is>
          <t>Curricular</t>
        </is>
      </c>
      <c r="S132" s="77" t="inlineStr">
        <is>
          <t>60 credits</t>
        </is>
      </c>
      <c r="T132" s="77" t="inlineStr">
        <is>
          <t>Substantial; 600 hours</t>
        </is>
      </c>
      <c r="U132" s="77" t="inlineStr">
        <is>
          <t>In person</t>
        </is>
      </c>
      <c r="V132" s="77" t="inlineStr">
        <is>
          <t>Yes</t>
        </is>
      </c>
      <c r="W132" s="77" t="inlineStr">
        <is>
          <t>Substantial engineering group project with planning methods [1].</t>
        </is>
      </c>
      <c r="X132" s="77" t="inlineStr">
        <is>
          <t>Yes</t>
        </is>
      </c>
      <c r="Y132" s="77" t="inlineStr">
        <is>
          <t>Work as part of a project team [1].</t>
        </is>
      </c>
      <c r="Z132" s="77" t="inlineStr">
        <is>
          <t>Unclear</t>
        </is>
      </c>
      <c r="AA132" s="77" t="inlineStr">
        <is>
          <t>Industrial-like setting is simulated by design; industrial partners 'may' be involved [2] (Some projects).</t>
        </is>
      </c>
      <c r="AB132" s="77" t="inlineStr">
        <is>
          <t>Business/commercial</t>
        </is>
      </c>
      <c r="AC132" s="77" t="inlineStr">
        <is>
          <t>Occasional industrial partner involvement (not specified)</t>
        </is>
      </c>
      <c r="AD132" s="77" t="inlineStr"/>
      <c r="AE132" s="77" t="inlineStr">
        <is>
          <t>Not specified in extracts</t>
        </is>
      </c>
      <c r="AF132" s="77">
        <f>IF(OR(V132="No",X132="No",Z132="No"),"Outside strict definition",IF(AND(V132="Yes",X132="Yes",Z132="Yes"),"Meets all three","Potentially relevant; evidence incomplete"))</f>
        <v/>
      </c>
      <c r="AG132" s="77" t="inlineStr">
        <is>
          <t>Current status unclear</t>
        </is>
      </c>
      <c r="AH132" s="77" t="inlineStr">
        <is>
          <t>2019/20</t>
        </is>
      </c>
      <c r="AI132" s="77" t="inlineStr">
        <is>
          <t>Yes</t>
        </is>
      </c>
      <c r="AJ132" s="77">
        <f>IF(AND(AI132="Yes",AF132="Meets all three",AG132="Current delivery confirmed"),"Yes","No")</f>
        <v/>
      </c>
      <c r="AK132" s="77" t="inlineStr"/>
      <c r="AL132" s="77" t="inlineStr">
        <is>
          <t>RG07-S09-R1; RG07-S09-R2</t>
        </is>
      </c>
      <c r="AM132" s="77" t="inlineStr">
        <is>
          <t>Compulsory status inferred from MEng structure not confirmed; share of industry-sponsored projects; current-year module page not retrieved.</t>
        </is>
      </c>
      <c r="AN132" s="77" t="inlineStr"/>
      <c r="AO132" s="77" t="inlineStr">
        <is>
          <t>UK</t>
        </is>
      </c>
      <c r="AP132" s="77" t="inlineStr">
        <is>
          <t>UK – Russell Group</t>
        </is>
      </c>
      <c r="AQ132" s="77" t="inlineStr">
        <is>
          <t>&gt;1 term</t>
        </is>
      </c>
      <c r="AR132" s="77" t="inlineStr">
        <is>
          <t>Some projects</t>
        </is>
      </c>
      <c r="AS132" s="77" t="inlineStr"/>
    </row>
    <row r="133">
      <c r="A133" s="77" t="inlineStr">
        <is>
          <t>RG07</t>
        </is>
      </c>
      <c r="B133" s="77" t="inlineStr">
        <is>
          <t>Exeter</t>
        </is>
      </c>
      <c r="C133" s="77" t="inlineStr">
        <is>
          <t>Programme/course</t>
        </is>
      </c>
      <c r="D133" s="77" t="inlineStr">
        <is>
          <t>RG07-S10</t>
        </is>
      </c>
      <c r="E133" s="77" t="inlineStr"/>
      <c r="F133" s="77" t="inlineStr">
        <is>
          <t>No</t>
        </is>
      </c>
      <c r="G133" s="79" t="inlineStr">
        <is>
          <t>Group Design Project (Renewable Energy)</t>
        </is>
      </c>
      <c r="H133" s="77" t="inlineStr">
        <is>
          <t>Group Design Project (Renewable Energy)</t>
        </is>
      </c>
      <c r="I133" s="77" t="inlineStr">
        <is>
          <t>ENEM010</t>
        </is>
      </c>
      <c r="J133" s="77" t="inlineStr">
        <is>
          <t>20-credit, nine-week term-2 module on MEng Renewable Energy Engineering (Penryn): teams of 4-6 apply renewable-energy knowledge to 'a real engineering situation' in a setting close to industrial/commercial practice, with a product-design focus.</t>
        </is>
      </c>
      <c r="K133" s="77" t="inlineStr">
        <is>
          <t>Department of Engineering (Renewable Energy, Penryn)</t>
        </is>
      </c>
      <c r="L133" s="77" t="inlineStr">
        <is>
          <t>MEng Renewable Energy Engineering</t>
        </is>
      </c>
      <c r="M133" s="77" t="inlineStr">
        <is>
          <t>Engineering/computing</t>
        </is>
      </c>
      <c r="N133" s="77" t="inlineStr">
        <is>
          <t>Undergraduate</t>
        </is>
      </c>
      <c r="O133" s="77" t="inlineStr">
        <is>
          <t>MEng (level 7)</t>
        </is>
      </c>
      <c r="P133" s="77" t="inlineStr"/>
      <c r="Q133" s="77" t="inlineStr">
        <is>
          <t>Unclear</t>
        </is>
      </c>
      <c r="R133" s="77" t="inlineStr">
        <is>
          <t>Curricular</t>
        </is>
      </c>
      <c r="S133" s="77" t="inlineStr">
        <is>
          <t>20 credits</t>
        </is>
      </c>
      <c r="T133" s="77" t="inlineStr">
        <is>
          <t>9 weeks, term 2</t>
        </is>
      </c>
      <c r="U133" s="77" t="inlineStr">
        <is>
          <t>In person, Penryn</t>
        </is>
      </c>
      <c r="V133" s="77" t="inlineStr">
        <is>
          <t>Yes</t>
        </is>
      </c>
      <c r="W133" s="77" t="inlineStr">
        <is>
          <t>Team design project on a real engineering situation [1].</t>
        </is>
      </c>
      <c r="X133" s="77" t="inlineStr">
        <is>
          <t>Yes</t>
        </is>
      </c>
      <c r="Y133" s="77" t="inlineStr">
        <is>
          <t>Project team of between four and six [1].</t>
        </is>
      </c>
      <c r="Z133" s="77" t="inlineStr">
        <is>
          <t>Unclear</t>
        </is>
      </c>
      <c r="AA133" s="77" t="inlineStr">
        <is>
          <t>A discovery-mode summary mentioned pitching a proposal to and reporting to 'clients', but the extended extract did not confirm a client role; module text describes a setting 'close to' industry, which may be simulated [1].</t>
        </is>
      </c>
      <c r="AB133" s="77" t="inlineStr">
        <is>
          <t>Unclear</t>
        </is>
      </c>
      <c r="AC133" s="77" t="inlineStr"/>
      <c r="AD133" s="77" t="inlineStr"/>
      <c r="AE133" s="77" t="inlineStr">
        <is>
          <t>Design project outputs (not specified)</t>
        </is>
      </c>
      <c r="AF133" s="77">
        <f>IF(OR(V133="No",X133="No",Z133="No"),"Outside strict definition",IF(AND(V133="Yes",X133="Yes",Z133="Yes"),"Meets all three","Potentially relevant; evidence incomplete"))</f>
        <v/>
      </c>
      <c r="AG133" s="77" t="inlineStr">
        <is>
          <t>Current status unclear</t>
        </is>
      </c>
      <c r="AH133" s="77" t="inlineStr">
        <is>
          <t>2024/25</t>
        </is>
      </c>
      <c r="AI133" s="77" t="inlineStr">
        <is>
          <t>Yes</t>
        </is>
      </c>
      <c r="AJ133" s="77">
        <f>IF(AND(AI133="Yes",AF133="Meets all three",AG133="Current delivery confirmed"),"Yes","No")</f>
        <v/>
      </c>
      <c r="AK133" s="77" t="inlineStr">
        <is>
          <t>18 students anticipated (2024 entry module page)</t>
        </is>
      </c>
      <c r="AL133" s="77" t="inlineStr">
        <is>
          <t>RG07-S10-R1</t>
        </is>
      </c>
      <c r="AM133" s="77" t="inlineStr">
        <is>
          <t>Whether clients are real external organisations; current delivery not evidenced beyond 2024/5.</t>
        </is>
      </c>
      <c r="AN133" s="77" t="inlineStr"/>
      <c r="AO133" s="77" t="inlineStr">
        <is>
          <t>UK</t>
        </is>
      </c>
      <c r="AP133" s="77" t="inlineStr">
        <is>
          <t>UK – Russell Group</t>
        </is>
      </c>
      <c r="AQ133" s="77" t="inlineStr">
        <is>
          <t>~1 term/semester</t>
        </is>
      </c>
      <c r="AR133" s="77" t="inlineStr">
        <is>
          <t>Unclear</t>
        </is>
      </c>
      <c r="AS133" s="77" t="inlineStr"/>
    </row>
    <row r="134">
      <c r="A134" s="77" t="inlineStr">
        <is>
          <t>RG07</t>
        </is>
      </c>
      <c r="B134" s="77" t="inlineStr">
        <is>
          <t>Exeter</t>
        </is>
      </c>
      <c r="C134" s="77" t="inlineStr">
        <is>
          <t>Programme/course</t>
        </is>
      </c>
      <c r="D134" s="77" t="inlineStr">
        <is>
          <t>RG07-S11</t>
        </is>
      </c>
      <c r="E134" s="77" t="inlineStr"/>
      <c r="F134" s="77" t="inlineStr">
        <is>
          <t>No</t>
        </is>
      </c>
      <c r="G134" s="79" t="inlineStr">
        <is>
          <t>Group Software Engineering Project</t>
        </is>
      </c>
      <c r="H134" s="77" t="inlineStr">
        <is>
          <t>Group Software Engineering Project</t>
        </is>
      </c>
      <c r="I134" s="77" t="inlineStr">
        <is>
          <t>ECM2434</t>
        </is>
      </c>
      <c r="J134" s="77" t="inlineStr">
        <is>
          <t>15-credit second-year Computer Science module introducing practical software engineering (requirements analysis, HCI design, testing, teamwork) through a group project. No evidence of external clients.</t>
        </is>
      </c>
      <c r="K134" s="77" t="inlineStr">
        <is>
          <t>Department of Computer Science</t>
        </is>
      </c>
      <c r="L134" s="77" t="inlineStr">
        <is>
          <t>Computer Science degrees</t>
        </is>
      </c>
      <c r="M134" s="77" t="inlineStr">
        <is>
          <t>Engineering/computing</t>
        </is>
      </c>
      <c r="N134" s="77" t="inlineStr">
        <is>
          <t>Undergraduate</t>
        </is>
      </c>
      <c r="O134" s="77" t="inlineStr">
        <is>
          <t>Year 2</t>
        </is>
      </c>
      <c r="P134" s="77" t="inlineStr"/>
      <c r="Q134" s="77" t="inlineStr">
        <is>
          <t>Unclear</t>
        </is>
      </c>
      <c r="R134" s="77" t="inlineStr">
        <is>
          <t>Curricular</t>
        </is>
      </c>
      <c r="S134" s="77" t="inlineStr">
        <is>
          <t>15 credits</t>
        </is>
      </c>
      <c r="T134" s="77" t="inlineStr"/>
      <c r="U134" s="77" t="inlineStr"/>
      <c r="V134" s="77" t="inlineStr">
        <is>
          <t>Yes</t>
        </is>
      </c>
      <c r="W134" s="77" t="inlineStr">
        <is>
          <t>Group software development project [1].</t>
        </is>
      </c>
      <c r="X134" s="77" t="inlineStr">
        <is>
          <t>Yes</t>
        </is>
      </c>
      <c r="Y134" s="77" t="inlineStr">
        <is>
          <t>Group software engineering project with teamwork [1].</t>
        </is>
      </c>
      <c r="Z134" s="77" t="inlineStr">
        <is>
          <t>Unclear</t>
        </is>
      </c>
      <c r="AA134" s="77" t="inlineStr">
        <is>
          <t>No evidence that external organisations set briefs; department's industry links (IBM, Met Office, NATS, Motorola) are not tied to this module.</t>
        </is>
      </c>
      <c r="AB134" s="77" t="inlineStr">
        <is>
          <t>Unclear</t>
        </is>
      </c>
      <c r="AC134" s="77" t="inlineStr"/>
      <c r="AD134" s="77" t="inlineStr"/>
      <c r="AE134" s="77" t="inlineStr">
        <is>
          <t>Software system</t>
        </is>
      </c>
      <c r="AF134" s="77">
        <f>IF(OR(V134="No",X134="No",Z134="No"),"Outside strict definition",IF(AND(V134="Yes",X134="Yes",Z134="Yes"),"Meets all three","Potentially relevant; evidence incomplete"))</f>
        <v/>
      </c>
      <c r="AG134" s="77" t="inlineStr">
        <is>
          <t>Current status unclear</t>
        </is>
      </c>
      <c r="AH134" s="77" t="inlineStr">
        <is>
          <t>2023/24</t>
        </is>
      </c>
      <c r="AI134" s="77" t="inlineStr">
        <is>
          <t>Yes</t>
        </is>
      </c>
      <c r="AJ134" s="77">
        <f>IF(AND(AI134="Yes",AF134="Meets all three",AG134="Current delivery confirmed"),"Yes","No")</f>
        <v/>
      </c>
      <c r="AK134" s="77" t="inlineStr"/>
      <c r="AL134" s="77" t="inlineStr">
        <is>
          <t>RG07-S11-R1</t>
        </is>
      </c>
      <c r="AM134" s="77" t="inlineStr">
        <is>
          <t>Client source; current delivery.</t>
        </is>
      </c>
      <c r="AN134" s="77" t="inlineStr"/>
      <c r="AO134" s="77" t="inlineStr">
        <is>
          <t>UK</t>
        </is>
      </c>
      <c r="AP134" s="77" t="inlineStr">
        <is>
          <t>UK – Russell Group</t>
        </is>
      </c>
      <c r="AQ134" s="77" t="inlineStr">
        <is>
          <t>Unclear</t>
        </is>
      </c>
      <c r="AR134" s="77" t="inlineStr">
        <is>
          <t>Unclear</t>
        </is>
      </c>
      <c r="AS134" s="77" t="inlineStr"/>
    </row>
    <row r="135">
      <c r="A135" s="77" t="inlineStr">
        <is>
          <t>RG07</t>
        </is>
      </c>
      <c r="B135" s="77" t="inlineStr">
        <is>
          <t>Exeter</t>
        </is>
      </c>
      <c r="C135" s="77" t="inlineStr">
        <is>
          <t>Programme/course</t>
        </is>
      </c>
      <c r="D135" s="77" t="inlineStr">
        <is>
          <t>RG07-S12</t>
        </is>
      </c>
      <c r="E135" s="77" t="inlineStr"/>
      <c r="F135" s="77" t="inlineStr">
        <is>
          <t>No</t>
        </is>
      </c>
      <c r="G135" s="79" t="inlineStr">
        <is>
          <t>MSci Data Science group module (software for a customer)</t>
        </is>
      </c>
      <c r="H135" s="77" t="inlineStr">
        <is>
          <t>MSci Data Science group module (software for a customer)</t>
        </is>
      </c>
      <c r="I135" s="77" t="inlineStr">
        <is>
          <t>ECMM427</t>
        </is>
      </c>
      <c r="J135" s="77" t="inlineStr">
        <is>
          <t>MSci Data Science group module giving students experience of developing software for a customer; MSci Mathematics and Data Science final year has one group and one individual major project.</t>
        </is>
      </c>
      <c r="K135" s="77" t="inlineStr">
        <is>
          <t>Department of Computer Science / Mathematics</t>
        </is>
      </c>
      <c r="L135" s="77" t="inlineStr">
        <is>
          <t>MSci Data Science; MSci Mathematics and Data Science</t>
        </is>
      </c>
      <c r="M135" s="77" t="inlineStr">
        <is>
          <t>Engineering/computing; Science</t>
        </is>
      </c>
      <c r="N135" s="77" t="inlineStr">
        <is>
          <t>Undergraduate</t>
        </is>
      </c>
      <c r="O135" s="77" t="inlineStr">
        <is>
          <t>Final year (MSci)</t>
        </is>
      </c>
      <c r="P135" s="77" t="inlineStr"/>
      <c r="Q135" s="77" t="inlineStr">
        <is>
          <t>Unclear</t>
        </is>
      </c>
      <c r="R135" s="77" t="inlineStr">
        <is>
          <t>Curricular</t>
        </is>
      </c>
      <c r="S135" s="77" t="inlineStr"/>
      <c r="T135" s="77" t="inlineStr"/>
      <c r="U135" s="77" t="inlineStr"/>
      <c r="V135" s="77" t="inlineStr">
        <is>
          <t>Yes</t>
        </is>
      </c>
      <c r="W135" s="77" t="inlineStr">
        <is>
          <t>Software development project for a customer [1].</t>
        </is>
      </c>
      <c r="X135" s="77" t="inlineStr">
        <is>
          <t>Yes</t>
        </is>
      </c>
      <c r="Y135" s="77" t="inlineStr">
        <is>
          <t>Described as a group module/group project [1].</t>
        </is>
      </c>
      <c r="Z135" s="77" t="inlineStr">
        <is>
          <t>Unclear</t>
        </is>
      </c>
      <c r="AA135" s="77" t="inlineStr">
        <is>
          <t>'Customer' not identified as external; extended search to verify failed (budget exhausted).</t>
        </is>
      </c>
      <c r="AB135" s="77" t="inlineStr">
        <is>
          <t>Unclear</t>
        </is>
      </c>
      <c r="AC135" s="77" t="inlineStr"/>
      <c r="AD135" s="77" t="inlineStr"/>
      <c r="AE135" s="77" t="inlineStr">
        <is>
          <t>Software for customer</t>
        </is>
      </c>
      <c r="AF135" s="77">
        <f>IF(OR(V135="No",X135="No",Z135="No"),"Outside strict definition",IF(AND(V135="Yes",X135="Yes",Z135="Yes"),"Meets all three","Potentially relevant; evidence incomplete"))</f>
        <v/>
      </c>
      <c r="AG135" s="77" t="inlineStr">
        <is>
          <t>Current status unclear</t>
        </is>
      </c>
      <c r="AH135" s="77" t="inlineStr"/>
      <c r="AI135" s="77" t="inlineStr">
        <is>
          <t>Yes</t>
        </is>
      </c>
      <c r="AJ135" s="77">
        <f>IF(AND(AI135="Yes",AF135="Meets all three",AG135="Current delivery confirmed"),"Yes","No")</f>
        <v/>
      </c>
      <c r="AK135" s="77" t="inlineStr"/>
      <c r="AL135" s="77" t="inlineStr">
        <is>
          <t>RG07-S12-R1</t>
        </is>
      </c>
      <c r="AM135" s="77" t="inlineStr">
        <is>
          <t>Customer identity (internal vs external), credits, current delivery.</t>
        </is>
      </c>
      <c r="AN135" s="77" t="inlineStr"/>
      <c r="AO135" s="77" t="inlineStr">
        <is>
          <t>UK</t>
        </is>
      </c>
      <c r="AP135" s="77" t="inlineStr">
        <is>
          <t>UK – Russell Group</t>
        </is>
      </c>
      <c r="AQ135" s="77" t="inlineStr">
        <is>
          <t>Unclear</t>
        </is>
      </c>
      <c r="AR135" s="77" t="inlineStr">
        <is>
          <t>Unclear</t>
        </is>
      </c>
      <c r="AS135" s="77" t="inlineStr"/>
    </row>
    <row r="136">
      <c r="A136" s="77" t="inlineStr">
        <is>
          <t>RG07</t>
        </is>
      </c>
      <c r="B136" s="77" t="inlineStr">
        <is>
          <t>Exeter</t>
        </is>
      </c>
      <c r="C136" s="77" t="inlineStr">
        <is>
          <t>Programme/course</t>
        </is>
      </c>
      <c r="D136" s="77" t="inlineStr">
        <is>
          <t>RG07-S13</t>
        </is>
      </c>
      <c r="E136" s="77" t="inlineStr"/>
      <c r="F136" s="77" t="inlineStr">
        <is>
          <t>No</t>
        </is>
      </c>
      <c r="G136" s="79" t="inlineStr">
        <is>
          <t>Environmental Humanities research projects with the National Trust</t>
        </is>
      </c>
      <c r="H136" s="77" t="inlineStr">
        <is>
          <t>Environmental Humanities research projects with the National Trust</t>
        </is>
      </c>
      <c r="I136" s="77" t="inlineStr"/>
      <c r="J136"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36" s="77" t="inlineStr">
        <is>
          <t>Humanities and Social Sciences, Penryn</t>
        </is>
      </c>
      <c r="L136" s="77" t="inlineStr">
        <is>
          <t>BA Environmental Humanities (Cornwall)</t>
        </is>
      </c>
      <c r="M136" s="77" t="inlineStr">
        <is>
          <t>Arts/humanities/social sciences</t>
        </is>
      </c>
      <c r="N136" s="77" t="inlineStr">
        <is>
          <t>Undergraduate</t>
        </is>
      </c>
      <c r="O136" s="77" t="inlineStr">
        <is>
          <t>Years 2-3</t>
        </is>
      </c>
      <c r="P136" s="77" t="inlineStr"/>
      <c r="Q136" s="77" t="inlineStr">
        <is>
          <t>Unclear</t>
        </is>
      </c>
      <c r="R136" s="77" t="inlineStr">
        <is>
          <t>Curricular</t>
        </is>
      </c>
      <c r="S136" s="77" t="inlineStr"/>
      <c r="T136" s="77" t="inlineStr"/>
      <c r="U136" s="77" t="inlineStr"/>
      <c r="V136" s="77" t="inlineStr">
        <is>
          <t>Yes</t>
        </is>
      </c>
      <c r="W136" s="77" t="inlineStr">
        <is>
          <t>Final-year research project designed around Trust-identified environmental challenges [1].</t>
        </is>
      </c>
      <c r="X136" s="77" t="inlineStr">
        <is>
          <t>Unclear</t>
        </is>
      </c>
      <c r="Y136" s="77" t="inlineStr">
        <is>
          <t>Not stated whether projects are group or individual (likely individual dissertation-type).</t>
        </is>
      </c>
      <c r="Z136" s="77" t="inlineStr">
        <is>
          <t>Yes</t>
        </is>
      </c>
      <c r="AA136" s="77" t="inlineStr">
        <is>
          <t>Trust managers explain challenges and Trust staff collaborate on project design [1].</t>
        </is>
      </c>
      <c r="AB136" s="77" t="inlineStr">
        <is>
          <t>Charity/community</t>
        </is>
      </c>
      <c r="AC136" s="77" t="inlineStr">
        <is>
          <t>Identifies challenges; collaborates on project design</t>
        </is>
      </c>
      <c r="AD136" s="77" t="inlineStr">
        <is>
          <t>National Trust (year of agreement not shown in extract)</t>
        </is>
      </c>
      <c r="AE136" s="77" t="inlineStr">
        <is>
          <t>Research project</t>
        </is>
      </c>
      <c r="AF136" s="77">
        <f>IF(OR(V136="No",X136="No",Z136="No"),"Outside strict definition",IF(AND(V136="Yes",X136="Yes",Z136="Yes"),"Meets all three","Potentially relevant; evidence incomplete"))</f>
        <v/>
      </c>
      <c r="AG136" s="77" t="inlineStr">
        <is>
          <t>Current status unclear</t>
        </is>
      </c>
      <c r="AH136" s="77" t="inlineStr"/>
      <c r="AI136" s="77" t="inlineStr">
        <is>
          <t>Yes</t>
        </is>
      </c>
      <c r="AJ136" s="77">
        <f>IF(AND(AI136="Yes",AF136="Meets all three",AG136="Current delivery confirmed"),"Yes","No")</f>
        <v/>
      </c>
      <c r="AK136" s="77" t="inlineStr"/>
      <c r="AL136" s="77" t="inlineStr">
        <is>
          <t>RG07-S13-R1</t>
        </is>
      </c>
      <c r="AM136" s="77" t="inlineStr">
        <is>
          <t>Group vs individual; year and continuation of the agreement.</t>
        </is>
      </c>
      <c r="AN136" s="77" t="inlineStr"/>
      <c r="AO136" s="77" t="inlineStr">
        <is>
          <t>UK</t>
        </is>
      </c>
      <c r="AP136" s="77" t="inlineStr">
        <is>
          <t>UK – Russell Group</t>
        </is>
      </c>
      <c r="AQ136" s="77" t="inlineStr">
        <is>
          <t>&gt;1 term</t>
        </is>
      </c>
      <c r="AR136" s="77" t="inlineStr">
        <is>
          <t>Unclear</t>
        </is>
      </c>
      <c r="AS136" s="77" t="inlineStr"/>
    </row>
    <row r="137">
      <c r="A137" s="77" t="inlineStr">
        <is>
          <t>RG08</t>
        </is>
      </c>
      <c r="B137" s="77" t="inlineStr">
        <is>
          <t>Glasgow</t>
        </is>
      </c>
      <c r="C137" s="77" t="inlineStr">
        <is>
          <t>Faculty/school</t>
        </is>
      </c>
      <c r="D137" s="77" t="inlineStr">
        <is>
          <t>RG08-S01</t>
        </is>
      </c>
      <c r="E137" s="77" t="inlineStr"/>
      <c r="F137" s="77" t="inlineStr">
        <is>
          <t>No</t>
        </is>
      </c>
      <c r="G137" s="79" t="inlineStr">
        <is>
          <t>Adam Smith Consultancy Experience</t>
        </is>
      </c>
      <c r="H137" s="77" t="inlineStr">
        <is>
          <t>Adam Smith Consultancy Experience</t>
        </is>
      </c>
      <c r="I137" s="77" t="inlineStr"/>
      <c r="J137"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37" s="77" t="inlineStr">
        <is>
          <t>Adam Smith Business School, External Engagement</t>
        </is>
      </c>
      <c r="L137" s="77" t="inlineStr">
        <is>
          <t>Adam Smith Business School students (specific programmes not evidenced)</t>
        </is>
      </c>
      <c r="M137" s="77" t="inlineStr">
        <is>
          <t>Business/management</t>
        </is>
      </c>
      <c r="N137" s="77" t="inlineStr">
        <is>
          <t>Unclear</t>
        </is>
      </c>
      <c r="O137" s="77" t="inlineStr"/>
      <c r="P137" s="77" t="inlineStr">
        <is>
          <t>Not evidenced</t>
        </is>
      </c>
      <c r="Q137" s="77" t="inlineStr">
        <is>
          <t>Unclear</t>
        </is>
      </c>
      <c r="R137" s="77" t="inlineStr">
        <is>
          <t>Unclear</t>
        </is>
      </c>
      <c r="S137" s="77" t="inlineStr">
        <is>
          <t>Not evidenced</t>
        </is>
      </c>
      <c r="T137" s="77" t="inlineStr">
        <is>
          <t>Not evidenced</t>
        </is>
      </c>
      <c r="U137" s="77" t="inlineStr">
        <is>
          <t>Not evidenced</t>
        </is>
      </c>
      <c r="V137" s="77" t="inlineStr">
        <is>
          <t>Yes</t>
        </is>
      </c>
      <c r="W137" s="77" t="inlineStr">
        <is>
          <t>Organisations submit a project brief; students provide consultancy, in-depth research and analysis and evidence-based recommendations on real business challenges [1].</t>
        </is>
      </c>
      <c r="X137" s="77" t="inlineStr">
        <is>
          <t>Unclear</t>
        </is>
      </c>
      <c r="Y137" s="77" t="inlineStr">
        <is>
          <t>A search summary described the programme as pairing organisations with 'student teams', but no quoted page text confirms team working [1]. Unclear.</t>
        </is>
      </c>
      <c r="Z137" s="77" t="inlineStr">
        <is>
          <t>Yes</t>
        </is>
      </c>
      <c r="AA137" s="77" t="inlineStr">
        <is>
          <t>External organisations submit the project brief and receive the consultancy output (free consultancy, research and analysis, recommendations) [1].</t>
        </is>
      </c>
      <c r="AB137" s="77" t="inlineStr">
        <is>
          <t>Unclear</t>
        </is>
      </c>
      <c r="AC137" s="77" t="inlineStr">
        <is>
          <t>Supplies project brief; client receiving consultancy output</t>
        </is>
      </c>
      <c r="AD137" s="77" t="inlineStr"/>
      <c r="AE137" s="77" t="inlineStr">
        <is>
          <t>Consultancy research, analysis and recommendations (format not evidenced)</t>
        </is>
      </c>
      <c r="AF137" s="77">
        <f>IF(OR(V137="No",X137="No",Z137="No"),"Outside strict definition",IF(AND(V137="Yes",X137="Yes",Z137="Yes"),"Meets all three","Potentially relevant; evidence incomplete"))</f>
        <v/>
      </c>
      <c r="AG137" s="77" t="inlineStr">
        <is>
          <t>Announced/forthcoming</t>
        </is>
      </c>
      <c r="AH137" s="77" t="inlineStr">
        <is>
          <t>2027 (brief call)</t>
        </is>
      </c>
      <c r="AI137" s="77" t="inlineStr">
        <is>
          <t>No</t>
        </is>
      </c>
      <c r="AJ137" s="77">
        <f>IF(AND(AI137="Yes",AF137="Meets all three",AG137="Current delivery confirmed"),"Yes","No")</f>
        <v/>
      </c>
      <c r="AK137" s="77" t="inlineStr"/>
      <c r="AL137" s="77" t="inlineStr">
        <is>
          <t>RG08-S01-R1</t>
        </is>
      </c>
      <c r="AM137"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37" s="77" t="inlineStr"/>
      <c r="AO137" s="77" t="inlineStr">
        <is>
          <t>UK</t>
        </is>
      </c>
      <c r="AP137" s="77" t="inlineStr">
        <is>
          <t>UK – Russell Group</t>
        </is>
      </c>
      <c r="AQ137" s="77" t="inlineStr">
        <is>
          <t>Unclear</t>
        </is>
      </c>
      <c r="AR137" s="77" t="inlineStr">
        <is>
          <t>All/standard</t>
        </is>
      </c>
      <c r="AS137" s="77" t="inlineStr">
        <is>
          <t>No (possible duplicate of RG08-S02)</t>
        </is>
      </c>
    </row>
    <row r="138">
      <c r="A138" s="77" t="inlineStr">
        <is>
          <t>RG08</t>
        </is>
      </c>
      <c r="B138" s="77" t="inlineStr">
        <is>
          <t>Glasgow</t>
        </is>
      </c>
      <c r="C138" s="77" t="inlineStr">
        <is>
          <t>Programme/course</t>
        </is>
      </c>
      <c r="D138" s="77" t="inlineStr">
        <is>
          <t>RG08-S02</t>
        </is>
      </c>
      <c r="E138" s="77" t="inlineStr"/>
      <c r="F138" s="77" t="inlineStr">
        <is>
          <t>No</t>
        </is>
      </c>
      <c r="G138" s="79" t="inlineStr">
        <is>
          <t>MBA Group Consultancy Project</t>
        </is>
      </c>
      <c r="H138" s="77" t="inlineStr">
        <is>
          <t>MBA Group Consultancy Project</t>
        </is>
      </c>
      <c r="I138" s="77" t="inlineStr">
        <is>
          <t>BUS5052</t>
        </is>
      </c>
      <c r="J138"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38" s="77" t="inlineStr">
        <is>
          <t>Adam Smith Business School</t>
        </is>
      </c>
      <c r="L138" s="77" t="inlineStr">
        <is>
          <t>MBA (students registered on the associated programmes listed in the course specification)</t>
        </is>
      </c>
      <c r="M138" s="77" t="inlineStr">
        <is>
          <t>Business/management</t>
        </is>
      </c>
      <c r="N138" s="77" t="inlineStr">
        <is>
          <t>Postgraduate taught</t>
        </is>
      </c>
      <c r="O138" s="77" t="inlineStr">
        <is>
          <t>MBA (1-year)</t>
        </is>
      </c>
      <c r="P138" s="77" t="inlineStr">
        <is>
          <t>Must be registered on an associated programme (MBA)</t>
        </is>
      </c>
      <c r="Q138" s="77" t="inlineStr">
        <is>
          <t>Unclear</t>
        </is>
      </c>
      <c r="R138" s="77" t="inlineStr">
        <is>
          <t>Curricular</t>
        </is>
      </c>
      <c r="S138" s="77" t="inlineStr">
        <is>
          <t>10 credits, SCQF level 11. Group report 2,500 words (65%); group oral presentation 30 minutes (35%).</t>
        </is>
      </c>
      <c r="T138" s="77" t="inlineStr">
        <is>
          <t>2 weeks of group project work (70 hours) after 2 x 2-hour preparatory classes; workshops through semesters 1&amp;2</t>
        </is>
      </c>
      <c r="U138" s="77" t="inlineStr">
        <is>
          <t>In person; blended supervision from teaching team</t>
        </is>
      </c>
      <c r="V138" s="77" t="inlineStr">
        <is>
          <t>Yes</t>
        </is>
      </c>
      <c r="W138" s="77" t="inlineStr">
        <is>
          <t>Executive summary report presenting key decisions and recommendations 'in response to the client brief', plus a presentation [1].</t>
        </is>
      </c>
      <c r="X138" s="77" t="inlineStr">
        <is>
          <t>Yes</t>
        </is>
      </c>
      <c r="Y138" s="77" t="inlineStr">
        <is>
          <t>Group report and group oral presentation; '70 hours student led group work over 2 weeks' [1].</t>
        </is>
      </c>
      <c r="Z138" s="77" t="inlineStr">
        <is>
          <t>Yes</t>
        </is>
      </c>
      <c r="AA138"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38" s="77" t="inlineStr">
        <is>
          <t>Unclear</t>
        </is>
      </c>
      <c r="AC138" s="77" t="inlineStr">
        <is>
          <t>Client setting brief and receiving recommendations</t>
        </is>
      </c>
      <c r="AD138" s="77" t="inlineStr"/>
      <c r="AE138" s="77" t="inlineStr">
        <is>
          <t>Group executive summary report + 30-minute group presentation</t>
        </is>
      </c>
      <c r="AF138" s="77">
        <f>IF(OR(V138="No",X138="No",Z138="No"),"Outside strict definition",IF(AND(V138="Yes",X138="Yes",Z138="Yes"),"Meets all three","Potentially relevant; evidence incomplete"))</f>
        <v/>
      </c>
      <c r="AG138" s="77" t="inlineStr">
        <is>
          <t>Current delivery confirmed</t>
        </is>
      </c>
      <c r="AH138" s="77" t="inlineStr">
        <is>
          <t>2026/27</t>
        </is>
      </c>
      <c r="AI138" s="77" t="inlineStr">
        <is>
          <t>Yes</t>
        </is>
      </c>
      <c r="AJ138" s="77">
        <f>IF(AND(AI138="Yes",AF138="Meets all three",AG138="Current delivery confirmed"),"Yes","No")</f>
        <v/>
      </c>
      <c r="AK138" s="77" t="inlineStr"/>
      <c r="AL138" s="77" t="inlineStr">
        <is>
          <t>RG08-S02-R1; RG08-S02-R2; RG08-S02-R3</t>
        </is>
      </c>
      <c r="AM138" s="77" t="inlineStr">
        <is>
          <t>Whether BUS5052 is compulsory for all MBA students; client sectors and names; whether clients come via the Adam Smith Consultancy Experience (S1). External status of clients rests partly on programme-page paraphrase [2][3].</t>
        </is>
      </c>
      <c r="AN138" s="77" t="inlineStr"/>
      <c r="AO138" s="77" t="inlineStr">
        <is>
          <t>UK</t>
        </is>
      </c>
      <c r="AP138" s="77" t="inlineStr">
        <is>
          <t>UK – Russell Group</t>
        </is>
      </c>
      <c r="AQ138" s="77" t="inlineStr">
        <is>
          <t>1–4 weeks</t>
        </is>
      </c>
      <c r="AR138" s="77" t="inlineStr">
        <is>
          <t>All/standard</t>
        </is>
      </c>
      <c r="AS138" s="77" t="inlineStr"/>
    </row>
    <row r="139">
      <c r="A139" s="77" t="inlineStr">
        <is>
          <t>RG08</t>
        </is>
      </c>
      <c r="B139" s="77" t="inlineStr">
        <is>
          <t>Glasgow</t>
        </is>
      </c>
      <c r="C139" s="77" t="inlineStr">
        <is>
          <t>Programme/course</t>
        </is>
      </c>
      <c r="D139" s="77" t="inlineStr">
        <is>
          <t>RG08-S03</t>
        </is>
      </c>
      <c r="E139" s="77" t="inlineStr"/>
      <c r="F139" s="77" t="inlineStr">
        <is>
          <t>No</t>
        </is>
      </c>
      <c r="G139" s="79" t="inlineStr">
        <is>
          <t>Integrating Business and Management in Practice</t>
        </is>
      </c>
      <c r="H139" s="77" t="inlineStr">
        <is>
          <t>Integrating Business and Management in Practice</t>
        </is>
      </c>
      <c r="I139" s="77" t="inlineStr">
        <is>
          <t>MGT4091</t>
        </is>
      </c>
      <c r="J139"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39" s="77" t="inlineStr">
        <is>
          <t>Adam Smith Business School (Management)</t>
        </is>
      </c>
      <c r="L139" s="77" t="inlineStr">
        <is>
          <t>Business &amp; Management Honours (likely the 'integrative experiential learning course' listed as an Honours core class)</t>
        </is>
      </c>
      <c r="M139" s="77" t="inlineStr">
        <is>
          <t>Business/management</t>
        </is>
      </c>
      <c r="N139" s="77" t="inlineStr">
        <is>
          <t>Undergraduate</t>
        </is>
      </c>
      <c r="O139" s="77" t="inlineStr">
        <is>
          <t>Level 4 (Honours)</t>
        </is>
      </c>
      <c r="P139" s="77" t="inlineStr">
        <is>
          <t>Business &amp; Management Honours students (programme listing not obtained)</t>
        </is>
      </c>
      <c r="Q139" s="77" t="inlineStr">
        <is>
          <t>Unclear</t>
        </is>
      </c>
      <c r="R139" s="77" t="inlineStr">
        <is>
          <t>Curricular</t>
        </is>
      </c>
      <c r="S139" s="77" t="inlineStr">
        <is>
          <t>15 credits, SCQF level 10; components/weightings not obtained (must submit at least 75% by weight of summative assessment).</t>
        </is>
      </c>
      <c r="T139" s="77" t="inlineStr">
        <is>
          <t>Timetabled exclusively in Week 11 of semester 2 (intensive)</t>
        </is>
      </c>
      <c r="U139" s="77" t="inlineStr">
        <is>
          <t>In person workshops with client meetings</t>
        </is>
      </c>
      <c r="V139" s="77" t="inlineStr">
        <is>
          <t>Yes</t>
        </is>
      </c>
      <c r="W139" s="77" t="inlineStr">
        <is>
          <t>Capstone applying learning to a live organisation; learning outcome to construct and evaluate strategic recommendations for a client organisation; group presentation to client [1].</t>
        </is>
      </c>
      <c r="X139" s="77" t="inlineStr">
        <is>
          <t>Yes</t>
        </is>
      </c>
      <c r="Y139" s="77" t="inlineStr">
        <is>
          <t>Aim to 'finesse group working skills and demonstrate these to an external client'; 30-minute group presentation to the client [1].</t>
        </is>
      </c>
      <c r="Z139" s="77" t="inlineStr">
        <is>
          <t>Yes</t>
        </is>
      </c>
      <c r="AA139" s="77" t="inlineStr">
        <is>
          <t>A real 'live' external client organisation is met (client engagement/interview, 60 mins) and receives the group's 30-minute presentation and recommendations [1].</t>
        </is>
      </c>
      <c r="AB139" s="77" t="inlineStr">
        <is>
          <t>Unclear</t>
        </is>
      </c>
      <c r="AC139" s="77" t="inlineStr">
        <is>
          <t>Live client: briefing/interview meeting; receives group presentation</t>
        </is>
      </c>
      <c r="AD139" s="77" t="inlineStr"/>
      <c r="AE139" s="77" t="inlineStr">
        <is>
          <t>Strategic recommendations; 30-minute group presentation to the client</t>
        </is>
      </c>
      <c r="AF139" s="77">
        <f>IF(OR(V139="No",X139="No",Z139="No"),"Outside strict definition",IF(AND(V139="Yes",X139="Yes",Z139="Yes"),"Meets all three","Potentially relevant; evidence incomplete"))</f>
        <v/>
      </c>
      <c r="AG139" s="77" t="inlineStr">
        <is>
          <t>Current delivery confirmed</t>
        </is>
      </c>
      <c r="AH139" s="77" t="inlineStr">
        <is>
          <t>2025/26 (course entry); listed in 2026-27 Management course list</t>
        </is>
      </c>
      <c r="AI139" s="77" t="inlineStr">
        <is>
          <t>Yes</t>
        </is>
      </c>
      <c r="AJ139" s="77">
        <f>IF(AND(AI139="Yes",AF139="Meets all three",AG139="Current delivery confirmed"),"Yes","No")</f>
        <v/>
      </c>
      <c r="AK139" s="77" t="inlineStr"/>
      <c r="AL139" s="77" t="inlineStr">
        <is>
          <t>RG08-S03-R1; RG08-S03-R2</t>
        </is>
      </c>
      <c r="AM139"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39" s="77" t="inlineStr"/>
      <c r="AO139" s="77" t="inlineStr">
        <is>
          <t>UK</t>
        </is>
      </c>
      <c r="AP139" s="77" t="inlineStr">
        <is>
          <t>UK – Russell Group</t>
        </is>
      </c>
      <c r="AQ139" s="77" t="inlineStr">
        <is>
          <t>&lt;1 week</t>
        </is>
      </c>
      <c r="AR139" s="77" t="inlineStr">
        <is>
          <t>All/standard</t>
        </is>
      </c>
      <c r="AS139" s="77" t="inlineStr"/>
    </row>
    <row r="140">
      <c r="A140" s="77" t="inlineStr">
        <is>
          <t>RG08</t>
        </is>
      </c>
      <c r="B140" s="77" t="inlineStr">
        <is>
          <t>Glasgow</t>
        </is>
      </c>
      <c r="C140" s="77" t="inlineStr">
        <is>
          <t>Programme/course</t>
        </is>
      </c>
      <c r="D140" s="77" t="inlineStr">
        <is>
          <t>RG08-S04</t>
        </is>
      </c>
      <c r="E140" s="77" t="inlineStr"/>
      <c r="F140" s="77" t="inlineStr">
        <is>
          <t>No</t>
        </is>
      </c>
      <c r="G140" s="79" t="inlineStr">
        <is>
          <t>International Management Solutions</t>
        </is>
      </c>
      <c r="H140" s="77" t="inlineStr">
        <is>
          <t>International Management Solutions</t>
        </is>
      </c>
      <c r="I140" s="77" t="inlineStr">
        <is>
          <t>MGT5181</t>
        </is>
      </c>
      <c r="J140"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40" s="77" t="inlineStr">
        <is>
          <t>Adam Smith Business School (Management)</t>
        </is>
      </c>
      <c r="L140" s="77" t="inlineStr">
        <is>
          <t>MSc International Business (other associated programmes not confirmed)</t>
        </is>
      </c>
      <c r="M140" s="77" t="inlineStr">
        <is>
          <t>Business/management</t>
        </is>
      </c>
      <c r="N140" s="77" t="inlineStr">
        <is>
          <t>Postgraduate taught</t>
        </is>
      </c>
      <c r="O140" s="77" t="inlineStr">
        <is>
          <t>MSc</t>
        </is>
      </c>
      <c r="P140" s="77" t="inlineStr">
        <is>
          <t>Not obtained</t>
        </is>
      </c>
      <c r="Q140" s="77" t="inlineStr">
        <is>
          <t>Unclear</t>
        </is>
      </c>
      <c r="R140" s="77" t="inlineStr">
        <is>
          <t>Curricular</t>
        </is>
      </c>
      <c r="S140" s="77" t="inlineStr">
        <is>
          <t>20 credits, SCQF 11, Semester 2. Group report 6,300 words (60%); group oral presentation 30 min incl. Q&amp;A (25%); individual essay (15%).</t>
        </is>
      </c>
      <c r="T140" s="77" t="inlineStr">
        <is>
          <t>Semester 2; 8 x 2-hour practical classes plus team client introduction meeting</t>
        </is>
      </c>
      <c r="U140" s="77" t="inlineStr">
        <is>
          <t>In person classes; online client meeting</t>
        </is>
      </c>
      <c r="V140" s="77" t="inlineStr">
        <is>
          <t>Yes</t>
        </is>
      </c>
      <c r="W140" s="77" t="inlineStr">
        <is>
          <t>Live consultancy project testing market opportunities and entry strategies for a client, with group report and presentation [1].</t>
        </is>
      </c>
      <c r="X140" s="77" t="inlineStr">
        <is>
          <t>Yes</t>
        </is>
      </c>
      <c r="Y140" s="77" t="inlineStr">
        <is>
          <t>Team-based project; group report (60%) and group oral presentation (25%) [1].</t>
        </is>
      </c>
      <c r="Z140" s="77" t="inlineStr">
        <is>
          <t>Yes</t>
        </is>
      </c>
      <c r="AA140" s="77" t="inlineStr">
        <is>
          <t>Course works 'with clients that are seeking to internationalise'; each team has a one-hour online client introduction meeting [1]; programme page describes internationalisation consultancy projects with real companies [2].</t>
        </is>
      </c>
      <c r="AB140" s="77" t="inlineStr">
        <is>
          <t>Business/commercial</t>
        </is>
      </c>
      <c r="AC140" s="77" t="inlineStr">
        <is>
          <t>Client firm briefs team (introduction meeting) and is the subject/recipient of the consultancy</t>
        </is>
      </c>
      <c r="AD140" s="77" t="inlineStr"/>
      <c r="AE140" s="77" t="inlineStr">
        <is>
          <t>Group consultancy report + group presentation; individual essay</t>
        </is>
      </c>
      <c r="AF140" s="77">
        <f>IF(OR(V140="No",X140="No",Z140="No"),"Outside strict definition",IF(AND(V140="Yes",X140="Yes",Z140="Yes"),"Meets all three","Potentially relevant; evidence incomplete"))</f>
        <v/>
      </c>
      <c r="AG140" s="77" t="inlineStr">
        <is>
          <t>Current delivery confirmed</t>
        </is>
      </c>
      <c r="AH140" s="77" t="inlineStr">
        <is>
          <t>2026/27</t>
        </is>
      </c>
      <c r="AI140" s="77" t="inlineStr">
        <is>
          <t>Yes</t>
        </is>
      </c>
      <c r="AJ140" s="77">
        <f>IF(AND(AI140="Yes",AF140="Meets all three",AG140="Current delivery confirmed"),"Yes","No")</f>
        <v/>
      </c>
      <c r="AK140" s="77" t="inlineStr"/>
      <c r="AL140" s="77" t="inlineStr">
        <is>
          <t>RG08-S04-R1; RG08-S04-R2</t>
        </is>
      </c>
      <c r="AM140" s="77" t="inlineStr">
        <is>
          <t>Whether compulsory on MSc International Business; whether the client receives/assesses the presentation; partner type 'Business/commercial' rests on 'firms'/'real companies' wording in summaries [1][2].</t>
        </is>
      </c>
      <c r="AN140" s="77" t="inlineStr"/>
      <c r="AO140" s="77" t="inlineStr">
        <is>
          <t>UK</t>
        </is>
      </c>
      <c r="AP140" s="77" t="inlineStr">
        <is>
          <t>UK – Russell Group</t>
        </is>
      </c>
      <c r="AQ140" s="77" t="inlineStr">
        <is>
          <t>~1 term/semester</t>
        </is>
      </c>
      <c r="AR140" s="77" t="inlineStr">
        <is>
          <t>All/standard</t>
        </is>
      </c>
      <c r="AS140" s="77" t="inlineStr"/>
    </row>
    <row r="141">
      <c r="A141" s="77" t="inlineStr">
        <is>
          <t>RG08</t>
        </is>
      </c>
      <c r="B141" s="77" t="inlineStr">
        <is>
          <t>Glasgow</t>
        </is>
      </c>
      <c r="C141" s="77" t="inlineStr">
        <is>
          <t>Programme/course</t>
        </is>
      </c>
      <c r="D141" s="77" t="inlineStr">
        <is>
          <t>RG08-S05</t>
        </is>
      </c>
      <c r="E141" s="77" t="inlineStr"/>
      <c r="F141" s="77" t="inlineStr">
        <is>
          <t>No</t>
        </is>
      </c>
      <c r="G141" s="79" t="inlineStr">
        <is>
          <t>Team Project 3 (Software Team Project)</t>
        </is>
      </c>
      <c r="H141" s="77" t="inlineStr">
        <is>
          <t>Team Project 3 (Software Team Project)</t>
        </is>
      </c>
      <c r="I141" s="77" t="inlineStr">
        <is>
          <t>COMPSCI3004</t>
        </is>
      </c>
      <c r="J141"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41" s="77" t="inlineStr">
        <is>
          <t>School of Computing Science</t>
        </is>
      </c>
      <c r="L141" s="77" t="inlineStr">
        <is>
          <t>Third-year Computer Science and Software Engineering students</t>
        </is>
      </c>
      <c r="M141" s="77" t="inlineStr">
        <is>
          <t>Engineering/computing</t>
        </is>
      </c>
      <c r="N141" s="77" t="inlineStr">
        <is>
          <t>Undergraduate</t>
        </is>
      </c>
      <c r="O141" s="77" t="inlineStr">
        <is>
          <t>Year 3</t>
        </is>
      </c>
      <c r="P141" s="77" t="inlineStr">
        <is>
          <t>Entry requirements and co-requisite (Professional Software Development (H)) per catalogue</t>
        </is>
      </c>
      <c r="Q141" s="77" t="inlineStr">
        <is>
          <t>Unclear</t>
        </is>
      </c>
      <c r="R141" s="77" t="inlineStr">
        <is>
          <t>Curricular</t>
        </is>
      </c>
      <c r="S141" s="77" t="inlineStr">
        <is>
          <t>30 credits; four 25% components: progress demonstrations/requirements reviews, software engineering practice, final software product, case-study dissertation on team experience</t>
        </is>
      </c>
      <c r="T141" s="77" t="inlineStr">
        <is>
          <t>Year-long (one day per week)</t>
        </is>
      </c>
      <c r="U141" s="77" t="inlineStr">
        <is>
          <t>In person team lab-based, flipped classroom</t>
        </is>
      </c>
      <c r="V141" s="77" t="inlineStr">
        <is>
          <t>Yes</t>
        </is>
      </c>
      <c r="W141" s="77" t="inlineStr">
        <is>
          <t>Final software product for a customer's project [1][2].</t>
        </is>
      </c>
      <c r="X141" s="77" t="inlineStr">
        <is>
          <t>Yes</t>
        </is>
      </c>
      <c r="Y141" s="77" t="inlineStr">
        <is>
          <t>'substantial team based software project'; customer selects a team [1][2].</t>
        </is>
      </c>
      <c r="Z141" s="77" t="inlineStr">
        <is>
          <t>Yes</t>
        </is>
      </c>
      <c r="AA141" s="77" t="inlineStr">
        <is>
          <t>Customers submit projects, select a team, and meet students regularly on requirements and progress [1]; students work with a customer to elaborate and refine requirements [2].</t>
        </is>
      </c>
      <c r="AB141" s="77" t="inlineStr">
        <is>
          <t>Unclear</t>
        </is>
      </c>
      <c r="AC141" s="77" t="inlineStr">
        <is>
          <t>Customer supplies project, selects team, meets regularly</t>
        </is>
      </c>
      <c r="AD141" s="77" t="inlineStr"/>
      <c r="AE141" s="77" t="inlineStr">
        <is>
          <t>Working software product plus case-study dissertation</t>
        </is>
      </c>
      <c r="AF141" s="77">
        <f>IF(OR(V141="No",X141="No",Z141="No"),"Outside strict definition",IF(AND(V141="Yes",X141="Yes",Z141="Yes"),"Meets all three","Potentially relevant; evidence incomplete"))</f>
        <v/>
      </c>
      <c r="AG141" s="77" t="inlineStr">
        <is>
          <t>Current delivery confirmed</t>
        </is>
      </c>
      <c r="AH141" s="77" t="inlineStr">
        <is>
          <t>2026/27</t>
        </is>
      </c>
      <c r="AI141" s="77" t="inlineStr">
        <is>
          <t>Yes</t>
        </is>
      </c>
      <c r="AJ141" s="77">
        <f>IF(AND(AI141="Yes",AF141="Meets all three",AG141="Current delivery confirmed"),"Yes","No")</f>
        <v/>
      </c>
      <c r="AK141" s="77" t="inlineStr"/>
      <c r="AL141" s="77" t="inlineStr">
        <is>
          <t>RG08-S05-R1; RG08-S05-R2</t>
        </is>
      </c>
      <c r="AM141" s="77" t="inlineStr">
        <is>
          <t>Customers described as 'real customers'; sector/internal-vs-external mix not stated (some may be university staff). Compulsory status not stated. Software Team Project page undated.</t>
        </is>
      </c>
      <c r="AN141" s="77" t="inlineStr"/>
      <c r="AO141" s="77" t="inlineStr">
        <is>
          <t>UK</t>
        </is>
      </c>
      <c r="AP141" s="77" t="inlineStr">
        <is>
          <t>UK – Russell Group</t>
        </is>
      </c>
      <c r="AQ141" s="77" t="inlineStr">
        <is>
          <t>&gt;1 term</t>
        </is>
      </c>
      <c r="AR141" s="77" t="inlineStr">
        <is>
          <t>All/standard</t>
        </is>
      </c>
      <c r="AS141" s="77" t="inlineStr"/>
    </row>
    <row r="142">
      <c r="A142" s="77" t="inlineStr">
        <is>
          <t>RG08</t>
        </is>
      </c>
      <c r="B142" s="77" t="inlineStr">
        <is>
          <t>Glasgow</t>
        </is>
      </c>
      <c r="C142" s="77" t="inlineStr">
        <is>
          <t>Programme/course</t>
        </is>
      </c>
      <c r="D142" s="77" t="inlineStr">
        <is>
          <t>RG08-S06</t>
        </is>
      </c>
      <c r="E142" s="77" t="inlineStr"/>
      <c r="F142" s="77" t="inlineStr">
        <is>
          <t>No</t>
        </is>
      </c>
      <c r="G142" s="79" t="inlineStr">
        <is>
          <t>Entrepreneurial Ventures Management &amp; Growth</t>
        </is>
      </c>
      <c r="H142" s="77" t="inlineStr">
        <is>
          <t>Entrepreneurial Ventures Management &amp; Growth</t>
        </is>
      </c>
      <c r="I142" s="77" t="inlineStr">
        <is>
          <t>MGT4019</t>
        </is>
      </c>
      <c r="J142"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42" s="77" t="inlineStr">
        <is>
          <t>Adam Smith Business School</t>
        </is>
      </c>
      <c r="L142" s="77" t="inlineStr">
        <is>
          <t>Third- and fourth-year undergraduates</t>
        </is>
      </c>
      <c r="M142" s="77" t="inlineStr">
        <is>
          <t>Business/management</t>
        </is>
      </c>
      <c r="N142" s="77" t="inlineStr">
        <is>
          <t>Undergraduate</t>
        </is>
      </c>
      <c r="O142" s="77" t="inlineStr">
        <is>
          <t>Years 3-4</t>
        </is>
      </c>
      <c r="P142" s="77" t="inlineStr">
        <is>
          <t>Not obtained</t>
        </is>
      </c>
      <c r="Q142" s="77" t="inlineStr">
        <is>
          <t>Optional/elective</t>
        </is>
      </c>
      <c r="R142" s="77" t="inlineStr">
        <is>
          <t>Curricular</t>
        </is>
      </c>
      <c r="S142" s="77" t="inlineStr">
        <is>
          <t>Not obtained (presentation, written report, individual reflection)</t>
        </is>
      </c>
      <c r="T142" s="77" t="inlineStr">
        <is>
          <t>Weeks 5-10 of a term (per case study)</t>
        </is>
      </c>
      <c r="U142" s="77" t="inlineStr">
        <is>
          <t>Teams with consultant mentors; client presentation week 9-10</t>
        </is>
      </c>
      <c r="V142" s="77" t="inlineStr">
        <is>
          <t>Yes</t>
        </is>
      </c>
      <c r="W142" s="77" t="inlineStr">
        <is>
          <t>Each group solves a real consultancy issue; report and presentation [1].</t>
        </is>
      </c>
      <c r="X142" s="77" t="inlineStr">
        <is>
          <t>Yes</t>
        </is>
      </c>
      <c r="Y142" s="77" t="inlineStr">
        <is>
          <t>Randomised teams of four or five [1].</t>
        </is>
      </c>
      <c r="Z142" s="77" t="inlineStr">
        <is>
          <t>Yes</t>
        </is>
      </c>
      <c r="AA142" s="77" t="inlineStr">
        <is>
          <t>Single real client organisation per group (charities/social enterprises); groups present to clients [1].</t>
        </is>
      </c>
      <c r="AB142" s="77" t="inlineStr">
        <is>
          <t>Charity/community</t>
        </is>
      </c>
      <c r="AC142" s="77" t="inlineStr">
        <is>
          <t>Client with real issue; receives presentation</t>
        </is>
      </c>
      <c r="AD142" s="77" t="inlineStr"/>
      <c r="AE142" s="77" t="inlineStr">
        <is>
          <t>Report, client presentation, individual reflection</t>
        </is>
      </c>
      <c r="AF142" s="77">
        <f>IF(OR(V142="No",X142="No",Z142="No"),"Outside strict definition",IF(AND(V142="Yes",X142="Yes",Z142="Yes"),"Meets all three","Potentially relevant; evidence incomplete"))</f>
        <v/>
      </c>
      <c r="AG142" s="77" t="inlineStr">
        <is>
          <t>Current status unclear</t>
        </is>
      </c>
      <c r="AH142" s="77" t="inlineStr">
        <is>
          <t>2023 (case study references)</t>
        </is>
      </c>
      <c r="AI142" s="77" t="inlineStr">
        <is>
          <t>Yes</t>
        </is>
      </c>
      <c r="AJ142" s="77">
        <f>IF(AND(AI142="Yes",AF142="Meets all three",AG142="Current delivery confirmed"),"Yes","No")</f>
        <v/>
      </c>
      <c r="AK142" s="77" t="inlineStr">
        <is>
          <t>50 students in the class (undated case study)</t>
        </is>
      </c>
      <c r="AL142" s="77" t="inlineStr">
        <is>
          <t>RG08-S06-R1</t>
        </is>
      </c>
      <c r="AM142" s="77" t="inlineStr">
        <is>
          <t>Case study undated and references 2023 and pandemic online delivery; course catalogue entry not checked, so current delivery unconfirmed; optional status inferred, not stated. Partner type 'charities and social enterprises' may not be exhaustive.</t>
        </is>
      </c>
      <c r="AN142" s="77" t="inlineStr"/>
      <c r="AO142" s="77" t="inlineStr">
        <is>
          <t>UK</t>
        </is>
      </c>
      <c r="AP142" s="77" t="inlineStr">
        <is>
          <t>UK – Russell Group</t>
        </is>
      </c>
      <c r="AQ142" s="77" t="inlineStr">
        <is>
          <t>~1 term/semester</t>
        </is>
      </c>
      <c r="AR142" s="77" t="inlineStr">
        <is>
          <t>All/standard</t>
        </is>
      </c>
      <c r="AS142" s="77" t="inlineStr"/>
    </row>
    <row r="143">
      <c r="A143" s="77" t="inlineStr">
        <is>
          <t>RG09</t>
        </is>
      </c>
      <c r="B143" s="77" t="inlineStr">
        <is>
          <t>Imperial College London</t>
        </is>
      </c>
      <c r="C143" s="77" t="inlineStr">
        <is>
          <t>Faculty/school</t>
        </is>
      </c>
      <c r="D143" s="77" t="inlineStr">
        <is>
          <t>RG09-S01</t>
        </is>
      </c>
      <c r="E143" s="77" t="inlineStr"/>
      <c r="F143" s="77" t="inlineStr">
        <is>
          <t>Yes</t>
        </is>
      </c>
      <c r="G143" s="79" t="inlineStr">
        <is>
          <t>Imperial Business School MSc Group Consulting Projects</t>
        </is>
      </c>
      <c r="H143" s="77" t="inlineStr">
        <is>
          <t>MSc Group Consulting Projects (cross-MSc client scheme)</t>
        </is>
      </c>
      <c r="I143" s="77" t="inlineStr"/>
      <c r="J143"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43" s="77" t="inlineStr">
        <is>
          <t>Imperial College Business School (Corporate Relations / Employer Relations)</t>
        </is>
      </c>
      <c r="L143" s="77" t="inlineStr">
        <is>
          <t>Seven Business School MSc programmes (Management, Strategic Marketing, Business Analytics, Global Health Management named)</t>
        </is>
      </c>
      <c r="M143" s="77" t="inlineStr">
        <is>
          <t>Business/management</t>
        </is>
      </c>
      <c r="N143" s="77" t="inlineStr">
        <is>
          <t>Postgraduate taught</t>
        </is>
      </c>
      <c r="O143" s="77" t="inlineStr">
        <is>
          <t>MSc, summer term</t>
        </is>
      </c>
      <c r="P143" s="77" t="inlineStr">
        <is>
          <t>Students of participating Business School MSc programmes only.</t>
        </is>
      </c>
      <c r="Q143" s="77" t="inlineStr">
        <is>
          <t>Optional/elective</t>
        </is>
      </c>
      <c r="R143" s="77" t="inlineStr">
        <is>
          <t>Curricular</t>
        </is>
      </c>
      <c r="S143" s="77" t="inlineStr">
        <is>
          <t>Credit varies by programme (e.g. 10 ECTS for Strategic Marketing Consulting Project); assessed within the programme capstone.</t>
        </is>
      </c>
      <c r="T143" s="77" t="inlineStr">
        <is>
          <t>4-5 weeks (June-July)</t>
        </is>
      </c>
      <c r="U143" s="77" t="inlineStr">
        <is>
          <t>Team consulting project for a live client; in-person, remote or hybrid</t>
        </is>
      </c>
      <c r="V143" s="77" t="inlineStr">
        <is>
          <t>Yes</t>
        </is>
      </c>
      <c r="W143" s="77" t="inlineStr">
        <is>
          <t>Real business challenge supplied by organisation; recommendations delivered (src 1, 3).</t>
        </is>
      </c>
      <c r="X143" s="77" t="inlineStr">
        <is>
          <t>Yes</t>
        </is>
      </c>
      <c r="Y143" s="77" t="inlineStr">
        <is>
          <t>Teams of five to seven MSc students (src 2, 3).</t>
        </is>
      </c>
      <c r="Z143" s="77" t="inlineStr">
        <is>
          <t>Yes</t>
        </is>
      </c>
      <c r="AA143" s="77" t="inlineStr">
        <is>
          <t>Companies submit briefs, work with the team, and company representatives sit on the final presentation panel (src 1); 87 companies partnered in a previous summer (src 4).</t>
        </is>
      </c>
      <c r="AB143" s="77" t="inlineStr">
        <is>
          <t>Business/commercial</t>
        </is>
      </c>
      <c r="AC143" s="77" t="inlineStr">
        <is>
          <t>Supplies brief/live problem; receives and hears recommendations; panel participation.</t>
        </is>
      </c>
      <c r="AD143" s="77" t="inlineStr">
        <is>
          <t>AlixPartners (one of 87 companies in a previous summer; year not shown on page extract, src 4).</t>
        </is>
      </c>
      <c r="AE143" s="77" t="inlineStr">
        <is>
          <t>Evidence-based recommendations / consulting report and presentation to client panel</t>
        </is>
      </c>
      <c r="AF143" s="77">
        <f>IF(OR(V143="No",X143="No",Z143="No"),"Outside strict definition",IF(AND(V143="Yes",X143="Yes",Z143="Yes"),"Meets all three","Potentially relevant; evidence incomplete"))</f>
        <v/>
      </c>
      <c r="AG143" s="77" t="inlineStr">
        <is>
          <t>Current delivery confirmed</t>
        </is>
      </c>
      <c r="AH143" s="77" t="inlineStr">
        <is>
          <t>2026</t>
        </is>
      </c>
      <c r="AI143" s="77" t="inlineStr">
        <is>
          <t>No</t>
        </is>
      </c>
      <c r="AJ143" s="77">
        <f>IF(AND(AI143="Yes",AF143="Meets all three",AG143="Current delivery confirmed"),"Yes","No")</f>
        <v/>
      </c>
      <c r="AK143" s="77" t="inlineStr">
        <is>
          <t>87 companies partnered (unit: companies; previous summer, year not stated on the extract; src 4).</t>
        </is>
      </c>
      <c r="AL143" s="77" t="inlineStr">
        <is>
          <t>RG09-S01-R1; RG09-S01-R2; RG09-S01-R3; RG09-S01-R4</t>
        </is>
      </c>
      <c r="AM143" s="77" t="inlineStr">
        <is>
          <t>Page extracts are search summaries (no verbatim quote); the 2026 call is an announcement of June-July 2026 delivery rather than a cohort report. Student numbers not published. Umbrella: children counted instead.</t>
        </is>
      </c>
      <c r="AN143" s="77" t="inlineStr"/>
      <c r="AO143" s="77" t="inlineStr">
        <is>
          <t>UK</t>
        </is>
      </c>
      <c r="AP143" s="77" t="inlineStr">
        <is>
          <t>UK – Russell Group</t>
        </is>
      </c>
      <c r="AQ143" s="77" t="inlineStr">
        <is>
          <t>1-4 weeks</t>
        </is>
      </c>
      <c r="AR143" s="77" t="inlineStr">
        <is>
          <t>All/standard</t>
        </is>
      </c>
      <c r="AS143" s="77" t="inlineStr">
        <is>
          <t>No (umbrella; children counted)</t>
        </is>
      </c>
    </row>
    <row r="144">
      <c r="A144" s="77" t="inlineStr">
        <is>
          <t>RG09</t>
        </is>
      </c>
      <c r="B144" s="77" t="inlineStr">
        <is>
          <t>Imperial College London</t>
        </is>
      </c>
      <c r="C144" s="77" t="inlineStr">
        <is>
          <t>Programme/course</t>
        </is>
      </c>
      <c r="D144" s="77" t="inlineStr">
        <is>
          <t>RG09-S02</t>
        </is>
      </c>
      <c r="E144" s="77" t="inlineStr">
        <is>
          <t>RG09-S01</t>
        </is>
      </c>
      <c r="F144" s="77" t="inlineStr">
        <is>
          <t>No</t>
        </is>
      </c>
      <c r="G144" s="79" t="inlineStr">
        <is>
          <t>Strategic Marketing Consulting Project</t>
        </is>
      </c>
      <c r="H144" s="77" t="inlineStr">
        <is>
          <t>MSc Strategic Marketing Consulting Project</t>
        </is>
      </c>
      <c r="I144" s="77" t="inlineStr">
        <is>
          <t>BUSI70292</t>
        </is>
      </c>
      <c r="J144" s="77" t="inlineStr">
        <is>
          <t>MSc Strategic Marketing students may choose, in the summer term, a Strategic Marketing Consulting Project (alternative to Case Study or Work Placement), working with a corporate sponsor/client in a team over about six weeks (past cohort).</t>
        </is>
      </c>
      <c r="K144" s="77" t="inlineStr">
        <is>
          <t>Imperial College Business School</t>
        </is>
      </c>
      <c r="L144" s="77" t="inlineStr">
        <is>
          <t>MSc Strategic Marketing (12-month route)</t>
        </is>
      </c>
      <c r="M144" s="77" t="inlineStr">
        <is>
          <t>Business/management</t>
        </is>
      </c>
      <c r="N144" s="77" t="inlineStr">
        <is>
          <t>Postgraduate taught</t>
        </is>
      </c>
      <c r="O144" s="77" t="inlineStr">
        <is>
          <t>MSc (summer term/summer period)</t>
        </is>
      </c>
      <c r="P144" s="77" t="inlineStr">
        <is>
          <t>Students on the named MSc programme; allocation by bidding and academic panel.</t>
        </is>
      </c>
      <c r="Q144" s="77" t="inlineStr">
        <is>
          <t>Optional/elective</t>
        </is>
      </c>
      <c r="R144" s="77" t="inlineStr">
        <is>
          <t>Curricular</t>
        </is>
      </c>
      <c r="S144" s="77" t="inlineStr">
        <is>
          <t>10 ECTS elective (Elective group C), Summer term</t>
        </is>
      </c>
      <c r="T144" s="77" t="inlineStr">
        <is>
          <t>June-July (past cohort: six weeks)</t>
        </is>
      </c>
      <c r="U144" s="77" t="inlineStr">
        <is>
          <t>Group consulting project for a client organisation; in-person, remote or hybrid</t>
        </is>
      </c>
      <c r="V144" s="77" t="inlineStr">
        <is>
          <t>Yes</t>
        </is>
      </c>
      <c r="W144" s="77" t="inlineStr">
        <is>
          <t>Module BUSI70292 listed in 2025-26 spec (src 1); client project (src 3).</t>
        </is>
      </c>
      <c r="X144" s="77" t="inlineStr">
        <is>
          <t>Yes</t>
        </is>
      </c>
      <c r="Y144" s="77" t="inlineStr">
        <is>
          <t>Umbrella scheme: teams of 5-7 across participating MSc programmes incl. Strategic Marketing (src 2).</t>
        </is>
      </c>
      <c r="Z144" s="77" t="inlineStr">
        <is>
          <t>Yes</t>
        </is>
      </c>
      <c r="AA144" s="77" t="inlineStr">
        <is>
          <t>Students work closely with the client from an assigned company (src 3); company panel hears final recommendations (src 2).</t>
        </is>
      </c>
      <c r="AB144" s="77" t="inlineStr">
        <is>
          <t>Business/commercial</t>
        </is>
      </c>
      <c r="AC144" s="77" t="inlineStr">
        <is>
          <t>Corporate sponsor supplies brief and works with team; company representatives on final panel.</t>
        </is>
      </c>
      <c r="AD144" s="77" t="inlineStr"/>
      <c r="AE144" s="77" t="inlineStr">
        <is>
          <t>Consulting recommendations/report and presentation</t>
        </is>
      </c>
      <c r="AF144" s="77">
        <f>IF(OR(V144="No",X144="No",Z144="No"),"Outside strict definition",IF(AND(V144="Yes",X144="Yes",Z144="Yes"),"Meets all three","Potentially relevant; evidence incomplete"))</f>
        <v/>
      </c>
      <c r="AG144" s="77" t="inlineStr">
        <is>
          <t>Current delivery confirmed</t>
        </is>
      </c>
      <c r="AH144" s="77" t="inlineStr">
        <is>
          <t>2026</t>
        </is>
      </c>
      <c r="AI144" s="77" t="inlineStr">
        <is>
          <t>Yes</t>
        </is>
      </c>
      <c r="AJ144" s="77">
        <f>IF(AND(AI144="Yes",AF144="Meets all three",AG144="Current delivery confirmed"),"Yes","No")</f>
        <v/>
      </c>
      <c r="AK144" s="77" t="inlineStr"/>
      <c r="AL144" s="77" t="inlineStr">
        <is>
          <t>RG09-S02-R1; RG09-S02-R2; RG09-S02-R3</t>
        </is>
      </c>
      <c r="AM144" s="77" t="inlineStr">
        <is>
          <t>Group format for this programme relies on the umbrella scheme page naming Strategic Marketing among participating MSc programmes (src 1 of S1 repeated as src 2); 2025-26 delivery shown by spec listing and 2026 call, not by a cohort report.</t>
        </is>
      </c>
      <c r="AN144" s="77" t="inlineStr"/>
      <c r="AO144" s="77" t="inlineStr">
        <is>
          <t>UK</t>
        </is>
      </c>
      <c r="AP144" s="77" t="inlineStr">
        <is>
          <t>UK – Russell Group</t>
        </is>
      </c>
      <c r="AQ144" s="77" t="inlineStr">
        <is>
          <t>1-4 weeks</t>
        </is>
      </c>
      <c r="AR144" s="77" t="inlineStr">
        <is>
          <t>All/standard</t>
        </is>
      </c>
      <c r="AS144" s="77" t="inlineStr"/>
    </row>
    <row r="145">
      <c r="A145" s="77" t="inlineStr">
        <is>
          <t>RG09</t>
        </is>
      </c>
      <c r="B145" s="77" t="inlineStr">
        <is>
          <t>Imperial College London</t>
        </is>
      </c>
      <c r="C145" s="77" t="inlineStr">
        <is>
          <t>Programme/course</t>
        </is>
      </c>
      <c r="D145" s="77" t="inlineStr">
        <is>
          <t>RG09-S03</t>
        </is>
      </c>
      <c r="E145" s="77" t="inlineStr">
        <is>
          <t>RG09-S01</t>
        </is>
      </c>
      <c r="F145" s="77" t="inlineStr">
        <is>
          <t>No</t>
        </is>
      </c>
      <c r="G145" s="79" t="inlineStr">
        <is>
          <t>MSc Business Analytics &amp; AI Consulting Project (capstone option)</t>
        </is>
      </c>
      <c r="H145" s="77" t="inlineStr">
        <is>
          <t>MSc Business Analytics &amp; AI consulting project</t>
        </is>
      </c>
      <c r="I145" s="77" t="inlineStr"/>
      <c r="J145" s="77" t="inlineStr">
        <is>
          <t>In the summer-term capstone, MSc Business Analytics &amp; AI students choose either a Work Placement or a Consulting Project, described as a substantial group-based project undertaken for a real client, managed from inception to completion.</t>
        </is>
      </c>
      <c r="K145" s="77" t="inlineStr">
        <is>
          <t>Imperial College Business School</t>
        </is>
      </c>
      <c r="L145" s="77" t="inlineStr">
        <is>
          <t>MSc Business Analytics &amp; AI (campus); online variant has its own spec</t>
        </is>
      </c>
      <c r="M145" s="77" t="inlineStr">
        <is>
          <t>Business/management</t>
        </is>
      </c>
      <c r="N145" s="77" t="inlineStr">
        <is>
          <t>Postgraduate taught</t>
        </is>
      </c>
      <c r="O145" s="77" t="inlineStr">
        <is>
          <t>MSc (summer term/summer period)</t>
        </is>
      </c>
      <c r="P145" s="77" t="inlineStr">
        <is>
          <t>Students on the named MSc programme; allocation by bidding and academic panel.</t>
        </is>
      </c>
      <c r="Q145" s="77" t="inlineStr">
        <is>
          <t>Optional/elective</t>
        </is>
      </c>
      <c r="R145" s="77" t="inlineStr">
        <is>
          <t>Curricular</t>
        </is>
      </c>
      <c r="S145" s="77" t="inlineStr">
        <is>
          <t>Capstone; credit not extracted</t>
        </is>
      </c>
      <c r="T145" s="77" t="inlineStr">
        <is>
          <t>Summer term (June-July)</t>
        </is>
      </c>
      <c r="U145" s="77" t="inlineStr">
        <is>
          <t>Group consulting project for a client organisation; in-person, remote or hybrid</t>
        </is>
      </c>
      <c r="V145" s="77" t="inlineStr">
        <is>
          <t>Yes</t>
        </is>
      </c>
      <c r="W145" s="77" t="inlineStr">
        <is>
          <t>Consulting Project is a substantial group-based project for a real client (src 1).</t>
        </is>
      </c>
      <c r="X145" s="77" t="inlineStr">
        <is>
          <t>Yes</t>
        </is>
      </c>
      <c r="Y145" s="77" t="inlineStr">
        <is>
          <t>'group-based project' (src 1); teams 5-7 (S1 src 2).</t>
        </is>
      </c>
      <c r="Z145" s="77" t="inlineStr">
        <is>
          <t>Yes</t>
        </is>
      </c>
      <c r="AA145" s="77" t="inlineStr">
        <is>
          <t>Real client; organisations that have collaborated include Agilisys, Burberry, Expedia, Johnson and Johnson, PropertyScape, Trench Capital, 55 UK (src 1, no year).</t>
        </is>
      </c>
      <c r="AB145" s="77" t="inlineStr">
        <is>
          <t>Business/commercial</t>
        </is>
      </c>
      <c r="AC145" s="77" t="inlineStr">
        <is>
          <t>Real client supplies brief; receives recommendations.</t>
        </is>
      </c>
      <c r="AD145" s="77" t="inlineStr">
        <is>
          <t>Agilisys, Burberry, Expedia, Johnson and Johnson, PropertyScape, Trench Capital, 55 UK (programme page, year not stated).</t>
        </is>
      </c>
      <c r="AE145" s="77" t="inlineStr">
        <is>
          <t>Consulting project report/recommendations</t>
        </is>
      </c>
      <c r="AF145" s="77">
        <f>IF(OR(V145="No",X145="No",Z145="No"),"Outside strict definition",IF(AND(V145="Yes",X145="Yes",Z145="Yes"),"Meets all three","Potentially relevant; evidence incomplete"))</f>
        <v/>
      </c>
      <c r="AG145" s="77" t="inlineStr">
        <is>
          <t>Current delivery confirmed</t>
        </is>
      </c>
      <c r="AH145" s="77" t="inlineStr">
        <is>
          <t>2026</t>
        </is>
      </c>
      <c r="AI145" s="77" t="inlineStr">
        <is>
          <t>Yes</t>
        </is>
      </c>
      <c r="AJ145" s="77">
        <f>IF(AND(AI145="Yes",AF145="Meets all three",AG145="Current delivery confirmed"),"Yes","No")</f>
        <v/>
      </c>
      <c r="AK145" s="77" t="inlineStr"/>
      <c r="AL145" s="77" t="inlineStr">
        <is>
          <t>RG09-S03-R1; RG09-S03-R2</t>
        </is>
      </c>
      <c r="AM145" s="77" t="inlineStr">
        <is>
          <t>Credit weighting and module code not extracted; client list on page not year-specific; no cohort size.</t>
        </is>
      </c>
      <c r="AN145" s="77" t="inlineStr"/>
      <c r="AO145" s="77" t="inlineStr">
        <is>
          <t>UK</t>
        </is>
      </c>
      <c r="AP145" s="77" t="inlineStr">
        <is>
          <t>UK – Russell Group</t>
        </is>
      </c>
      <c r="AQ145" s="77" t="inlineStr">
        <is>
          <t>1-4 weeks</t>
        </is>
      </c>
      <c r="AR145" s="77" t="inlineStr">
        <is>
          <t>All/standard</t>
        </is>
      </c>
      <c r="AS145" s="77" t="inlineStr"/>
    </row>
    <row r="146">
      <c r="A146" s="77" t="inlineStr">
        <is>
          <t>RG09</t>
        </is>
      </c>
      <c r="B146" s="77" t="inlineStr">
        <is>
          <t>Imperial College London</t>
        </is>
      </c>
      <c r="C146" s="77" t="inlineStr">
        <is>
          <t>Programme/course</t>
        </is>
      </c>
      <c r="D146" s="77" t="inlineStr">
        <is>
          <t>RG09-S04</t>
        </is>
      </c>
      <c r="E146" s="77" t="inlineStr">
        <is>
          <t>RG09-S01</t>
        </is>
      </c>
      <c r="F146" s="77" t="inlineStr">
        <is>
          <t>No</t>
        </is>
      </c>
      <c r="G146" s="79" t="inlineStr">
        <is>
          <t>MSc Management Consulting Project</t>
        </is>
      </c>
      <c r="H146" s="77" t="inlineStr">
        <is>
          <t>MSc in Management (MiM) consulting project</t>
        </is>
      </c>
      <c r="I146" s="77" t="inlineStr"/>
      <c r="J146" s="77" t="inlineStr">
        <is>
          <t>MiM students undertake a consulting project (July-August on the programme page) as a substantial group-based project for an actual client; past cohort worked with global companies (e.g. Lamborghini, Capco per older blog).</t>
        </is>
      </c>
      <c r="K146" s="77" t="inlineStr">
        <is>
          <t>Imperial College Business School</t>
        </is>
      </c>
      <c r="L146" s="77" t="inlineStr">
        <is>
          <t>MSc Management (MiM)</t>
        </is>
      </c>
      <c r="M146" s="77" t="inlineStr">
        <is>
          <t>Business/management</t>
        </is>
      </c>
      <c r="N146" s="77" t="inlineStr">
        <is>
          <t>Postgraduate taught</t>
        </is>
      </c>
      <c r="O146" s="77" t="inlineStr">
        <is>
          <t>MSc (summer term/summer period)</t>
        </is>
      </c>
      <c r="P146" s="77" t="inlineStr">
        <is>
          <t>Students on the named MSc programme; allocation by bidding and academic panel.</t>
        </is>
      </c>
      <c r="Q146" s="77" t="inlineStr">
        <is>
          <t>Optional/elective</t>
        </is>
      </c>
      <c r="R146" s="77" t="inlineStr">
        <is>
          <t>Curricular</t>
        </is>
      </c>
      <c r="S146" s="77" t="inlineStr">
        <is>
          <t>Credit not extracted</t>
        </is>
      </c>
      <c r="T146" s="77" t="inlineStr">
        <is>
          <t>July-August (programme page); older cohort three weeks</t>
        </is>
      </c>
      <c r="U146" s="77" t="inlineStr">
        <is>
          <t>Group consulting project for a client organisation; in-person, remote or hybrid</t>
        </is>
      </c>
      <c r="V146" s="77" t="inlineStr">
        <is>
          <t>Yes</t>
        </is>
      </c>
      <c r="W146" s="77" t="inlineStr">
        <is>
          <t>Consulting project for an actual client (src 1).</t>
        </is>
      </c>
      <c r="X146" s="77" t="inlineStr">
        <is>
          <t>Yes</t>
        </is>
      </c>
      <c r="Y146" s="77" t="inlineStr">
        <is>
          <t>Group-based (src 1); teams of 5-7 (S1 src 2).</t>
        </is>
      </c>
      <c r="Z146" s="77" t="inlineStr">
        <is>
          <t>Yes</t>
        </is>
      </c>
      <c r="AA146" s="77" t="inlineStr">
        <is>
          <t>Actual client (src 1); past clients include Lamborghini and Capco (src 2, several years old).</t>
        </is>
      </c>
      <c r="AB146" s="77" t="inlineStr">
        <is>
          <t>Business/commercial</t>
        </is>
      </c>
      <c r="AC146" s="77" t="inlineStr">
        <is>
          <t>Client supplies brief and receives recommendations.</t>
        </is>
      </c>
      <c r="AD146" s="77" t="inlineStr">
        <is>
          <t>Lamborghini, Capco (past cohort, blog undated/several years old)</t>
        </is>
      </c>
      <c r="AE146" s="77" t="inlineStr">
        <is>
          <t>Consulting recommendations</t>
        </is>
      </c>
      <c r="AF146" s="77">
        <f>IF(OR(V146="No",X146="No",Z146="No"),"Outside strict definition",IF(AND(V146="Yes",X146="Yes",Z146="Yes"),"Meets all three","Potentially relevant; evidence incomplete"))</f>
        <v/>
      </c>
      <c r="AG146" s="77" t="inlineStr">
        <is>
          <t>Current delivery confirmed</t>
        </is>
      </c>
      <c r="AH146" s="77" t="inlineStr">
        <is>
          <t>2026</t>
        </is>
      </c>
      <c r="AI146" s="77" t="inlineStr">
        <is>
          <t>Yes</t>
        </is>
      </c>
      <c r="AJ146" s="77">
        <f>IF(AND(AI146="Yes",AF146="Meets all three",AG146="Current delivery confirmed"),"Yes","No")</f>
        <v/>
      </c>
      <c r="AK146" s="77" t="inlineStr"/>
      <c r="AL146" s="77" t="inlineStr">
        <is>
          <t>RG09-S04-R1; RG09-S04-R2; RG09-S04-R3</t>
        </is>
      </c>
      <c r="AM146" s="77" t="inlineStr">
        <is>
          <t>Credit and module code not extracted; named clients are from an older blog; whether consulting project is compulsory or one of capstone options for MiM not confirmed.</t>
        </is>
      </c>
      <c r="AN146" s="77" t="inlineStr"/>
      <c r="AO146" s="77" t="inlineStr">
        <is>
          <t>UK</t>
        </is>
      </c>
      <c r="AP146" s="77" t="inlineStr">
        <is>
          <t>UK – Russell Group</t>
        </is>
      </c>
      <c r="AQ146" s="77" t="inlineStr">
        <is>
          <t>1-4 weeks</t>
        </is>
      </c>
      <c r="AR146" s="77" t="inlineStr">
        <is>
          <t>All/standard</t>
        </is>
      </c>
      <c r="AS146" s="77" t="inlineStr"/>
    </row>
    <row r="147">
      <c r="A147" s="77" t="inlineStr">
        <is>
          <t>RG09</t>
        </is>
      </c>
      <c r="B147" s="77" t="inlineStr">
        <is>
          <t>Imperial College London</t>
        </is>
      </c>
      <c r="C147" s="77" t="inlineStr">
        <is>
          <t>Programme/course</t>
        </is>
      </c>
      <c r="D147" s="77" t="inlineStr">
        <is>
          <t>RG09-S05</t>
        </is>
      </c>
      <c r="E147" s="77" t="inlineStr">
        <is>
          <t>RG09-S01</t>
        </is>
      </c>
      <c r="F147" s="77" t="inlineStr">
        <is>
          <t>No</t>
        </is>
      </c>
      <c r="G147" s="79" t="inlineStr">
        <is>
          <t>Consulting Project (MSc Economics &amp; Strategy for Business)</t>
        </is>
      </c>
      <c r="H147" s="77" t="inlineStr">
        <is>
          <t>MSc Economics &amp; Strategy for Business Consulting Project</t>
        </is>
      </c>
      <c r="I147" s="77" t="inlineStr"/>
      <c r="J147" s="77" t="inlineStr">
        <is>
          <t>A substantial group-based consulting project for a real client, June-July, within the MSc Economics &amp; Strategy for Business.</t>
        </is>
      </c>
      <c r="K147" s="77" t="inlineStr">
        <is>
          <t>Imperial College Business School</t>
        </is>
      </c>
      <c r="L147" s="77" t="inlineStr">
        <is>
          <t>MSc Economics &amp; Strategy for Business</t>
        </is>
      </c>
      <c r="M147" s="77" t="inlineStr">
        <is>
          <t>Business/management</t>
        </is>
      </c>
      <c r="N147" s="77" t="inlineStr">
        <is>
          <t>Postgraduate taught</t>
        </is>
      </c>
      <c r="O147" s="77" t="inlineStr">
        <is>
          <t>MSc (summer term/summer period)</t>
        </is>
      </c>
      <c r="P147" s="77" t="inlineStr">
        <is>
          <t>Students on the named MSc programme; allocation by bidding and academic panel.</t>
        </is>
      </c>
      <c r="Q147" s="77" t="inlineStr">
        <is>
          <t>Optional/elective</t>
        </is>
      </c>
      <c r="R147" s="77" t="inlineStr">
        <is>
          <t>Curricular</t>
        </is>
      </c>
      <c r="S147" s="77" t="inlineStr">
        <is>
          <t>Not extracted (2025-26 spec L100T exists)</t>
        </is>
      </c>
      <c r="T147" s="77" t="inlineStr">
        <is>
          <t>June-July</t>
        </is>
      </c>
      <c r="U147" s="77" t="inlineStr">
        <is>
          <t>Group consulting project for a client organisation; in-person, remote or hybrid</t>
        </is>
      </c>
      <c r="V147" s="77" t="inlineStr">
        <is>
          <t>Yes</t>
        </is>
      </c>
      <c r="W147" s="77" t="inlineStr">
        <is>
          <t>Substantial group-based project for a real client (src 1).</t>
        </is>
      </c>
      <c r="X147" s="77" t="inlineStr">
        <is>
          <t>Yes</t>
        </is>
      </c>
      <c r="Y147" s="77" t="inlineStr">
        <is>
          <t>Group-based (src 1).</t>
        </is>
      </c>
      <c r="Z147" s="77" t="inlineStr">
        <is>
          <t>Yes</t>
        </is>
      </c>
      <c r="AA147" s="77" t="inlineStr">
        <is>
          <t>Real client (src 1); no named clients.</t>
        </is>
      </c>
      <c r="AB147" s="77" t="inlineStr">
        <is>
          <t>Business/commercial</t>
        </is>
      </c>
      <c r="AC147" s="77" t="inlineStr">
        <is>
          <t>Client supplies brief.</t>
        </is>
      </c>
      <c r="AD147" s="77" t="inlineStr"/>
      <c r="AE147" s="77" t="inlineStr">
        <is>
          <t>Consulting project report</t>
        </is>
      </c>
      <c r="AF147" s="77">
        <f>IF(OR(V147="No",X147="No",Z147="No"),"Outside strict definition",IF(AND(V147="Yes",X147="Yes",Z147="Yes"),"Meets all three","Potentially relevant; evidence incomplete"))</f>
        <v/>
      </c>
      <c r="AG147" s="77" t="inlineStr">
        <is>
          <t>Current status unclear</t>
        </is>
      </c>
      <c r="AH147" s="77" t="inlineStr">
        <is>
          <t>2025/26 (programme spec exists; project delivery undated)</t>
        </is>
      </c>
      <c r="AI147" s="77" t="inlineStr">
        <is>
          <t>Yes</t>
        </is>
      </c>
      <c r="AJ147" s="77">
        <f>IF(AND(AI147="Yes",AF147="Meets all three",AG147="Current delivery confirmed"),"Yes","No")</f>
        <v/>
      </c>
      <c r="AK147" s="77" t="inlineStr"/>
      <c r="AL147" s="77" t="inlineStr">
        <is>
          <t>RG09-S05-R1</t>
        </is>
      </c>
      <c r="AM147" s="77" t="inlineStr">
        <is>
          <t>Current delivery for this programme not tied to a dated cohort source; whether compulsory not extracted; credit unknown.</t>
        </is>
      </c>
      <c r="AN147" s="77" t="inlineStr"/>
      <c r="AO147" s="77" t="inlineStr">
        <is>
          <t>UK</t>
        </is>
      </c>
      <c r="AP147" s="77" t="inlineStr">
        <is>
          <t>UK – Russell Group</t>
        </is>
      </c>
      <c r="AQ147" s="77" t="inlineStr">
        <is>
          <t>1-4 weeks</t>
        </is>
      </c>
      <c r="AR147" s="77" t="inlineStr">
        <is>
          <t>All/standard</t>
        </is>
      </c>
      <c r="AS147" s="77" t="inlineStr"/>
    </row>
    <row r="148">
      <c r="A148" s="77" t="inlineStr">
        <is>
          <t>RG09</t>
        </is>
      </c>
      <c r="B148" s="77" t="inlineStr">
        <is>
          <t>Imperial College London</t>
        </is>
      </c>
      <c r="C148" s="77" t="inlineStr">
        <is>
          <t>Programme/course</t>
        </is>
      </c>
      <c r="D148" s="77" t="inlineStr">
        <is>
          <t>RG09-S06</t>
        </is>
      </c>
      <c r="E148" s="77" t="inlineStr">
        <is>
          <t>RG09-S01</t>
        </is>
      </c>
      <c r="F148" s="77" t="inlineStr">
        <is>
          <t>No</t>
        </is>
      </c>
      <c r="G148" s="79" t="inlineStr">
        <is>
          <t>Consulting Project (MSc Climate Change, Management &amp; Finance)</t>
        </is>
      </c>
      <c r="H148" s="77" t="inlineStr">
        <is>
          <t>MSc Climate Change, Management &amp; Finance consulting project</t>
        </is>
      </c>
      <c r="I148" s="77" t="inlineStr"/>
      <c r="J148" s="77" t="inlineStr">
        <is>
          <t>Summer-term option: a client-based consulting project delivered for a real client by a team, as alternative to a work placement; example: decarbonisation strategy for a global food company.</t>
        </is>
      </c>
      <c r="K148" s="77" t="inlineStr">
        <is>
          <t>Imperial College Business School</t>
        </is>
      </c>
      <c r="L148" s="77" t="inlineStr">
        <is>
          <t>MSc Climate Change, Management &amp; Finance</t>
        </is>
      </c>
      <c r="M148" s="77" t="inlineStr">
        <is>
          <t>Business/management</t>
        </is>
      </c>
      <c r="N148" s="77" t="inlineStr">
        <is>
          <t>Postgraduate taught</t>
        </is>
      </c>
      <c r="O148" s="77" t="inlineStr">
        <is>
          <t>MSc (summer term/summer period)</t>
        </is>
      </c>
      <c r="P148" s="77" t="inlineStr">
        <is>
          <t>Students on the named MSc programme; allocation by bidding and academic panel.</t>
        </is>
      </c>
      <c r="Q148" s="77" t="inlineStr">
        <is>
          <t>Optional/elective</t>
        </is>
      </c>
      <c r="R148" s="77" t="inlineStr">
        <is>
          <t>Curricular</t>
        </is>
      </c>
      <c r="S148" s="77" t="inlineStr">
        <is>
          <t>Not extracted</t>
        </is>
      </c>
      <c r="T148" s="77" t="inlineStr">
        <is>
          <t>Summer term/vacation</t>
        </is>
      </c>
      <c r="U148" s="77" t="inlineStr">
        <is>
          <t>Group consulting project for a client organisation; in-person, remote or hybrid</t>
        </is>
      </c>
      <c r="V148" s="77" t="inlineStr">
        <is>
          <t>Yes</t>
        </is>
      </c>
      <c r="W148" s="77" t="inlineStr">
        <is>
          <t>Consulting project delivered for a real client (src 1).</t>
        </is>
      </c>
      <c r="X148" s="77" t="inlineStr">
        <is>
          <t>Yes</t>
        </is>
      </c>
      <c r="Y148" s="77" t="inlineStr">
        <is>
          <t>Students combine programme material with a specific problem 'as part of a team' (src 1).</t>
        </is>
      </c>
      <c r="Z148" s="77" t="inlineStr">
        <is>
          <t>Yes</t>
        </is>
      </c>
      <c r="AA148" s="77" t="inlineStr">
        <is>
          <t>Real client; partner companies (student blog example) (src 1).</t>
        </is>
      </c>
      <c r="AB148" s="77" t="inlineStr">
        <is>
          <t>Business/commercial</t>
        </is>
      </c>
      <c r="AC148" s="77" t="inlineStr">
        <is>
          <t>Client supplies problem.</t>
        </is>
      </c>
      <c r="AD148" s="77" t="inlineStr">
        <is>
          <t>Unnamed global food company (student blog example)</t>
        </is>
      </c>
      <c r="AE148" s="77" t="inlineStr">
        <is>
          <t>Consulting project output (e.g. decarbonisation strategy)</t>
        </is>
      </c>
      <c r="AF148" s="77">
        <f>IF(OR(V148="No",X148="No",Z148="No"),"Outside strict definition",IF(AND(V148="Yes",X148="Yes",Z148="Yes"),"Meets all three","Potentially relevant; evidence incomplete"))</f>
        <v/>
      </c>
      <c r="AG148" s="77" t="inlineStr">
        <is>
          <t>Current status unclear</t>
        </is>
      </c>
      <c r="AH148" s="77" t="inlineStr">
        <is>
          <t>2025/26 (programme spec only)</t>
        </is>
      </c>
      <c r="AI148" s="77" t="inlineStr">
        <is>
          <t>Yes</t>
        </is>
      </c>
      <c r="AJ148" s="77">
        <f>IF(AND(AI148="Yes",AF148="Meets all three",AG148="Current delivery confirmed"),"Yes","No")</f>
        <v/>
      </c>
      <c r="AK148" s="77" t="inlineStr"/>
      <c r="AL148" s="77" t="inlineStr">
        <is>
          <t>RG09-S06-R1</t>
        </is>
      </c>
      <c r="AM148" s="77" t="inlineStr">
        <is>
          <t>Credit, module code and current-year cohort not evidenced; team size and client list not found; page undated.</t>
        </is>
      </c>
      <c r="AN148" s="77" t="inlineStr"/>
      <c r="AO148" s="77" t="inlineStr">
        <is>
          <t>UK</t>
        </is>
      </c>
      <c r="AP148" s="77" t="inlineStr">
        <is>
          <t>UK – Russell Group</t>
        </is>
      </c>
      <c r="AQ148" s="77" t="inlineStr">
        <is>
          <t>Unclear</t>
        </is>
      </c>
      <c r="AR148" s="77" t="inlineStr">
        <is>
          <t>All/standard</t>
        </is>
      </c>
      <c r="AS148" s="77" t="inlineStr"/>
    </row>
    <row r="149">
      <c r="A149" s="77" t="inlineStr">
        <is>
          <t>RG09</t>
        </is>
      </c>
      <c r="B149" s="77" t="inlineStr">
        <is>
          <t>Imperial College London</t>
        </is>
      </c>
      <c r="C149" s="77" t="inlineStr">
        <is>
          <t>Programme/course</t>
        </is>
      </c>
      <c r="D149" s="77" t="inlineStr">
        <is>
          <t>RG09-S07</t>
        </is>
      </c>
      <c r="E149" s="77" t="inlineStr"/>
      <c r="F149" s="77" t="inlineStr">
        <is>
          <t>No</t>
        </is>
      </c>
      <c r="G149" s="79" t="inlineStr">
        <is>
          <t>Third-year MEng Group Project (Electrical and Electronic Engineering)</t>
        </is>
      </c>
      <c r="H149" s="77" t="inlineStr">
        <is>
          <t>EEE 3rd-year industry-proposed group project</t>
        </is>
      </c>
      <c r="I149" s="77" t="inlineStr"/>
      <c r="J149"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49" s="77" t="inlineStr">
        <is>
          <t>Department of Electrical and Electronic Engineering</t>
        </is>
      </c>
      <c r="L149" s="77" t="inlineStr">
        <is>
          <t>MEng EEE / Electronic and Information Engineering / EEE with Management (third-year students not on placement)</t>
        </is>
      </c>
      <c r="M149" s="77" t="inlineStr">
        <is>
          <t>Engineering/computing</t>
        </is>
      </c>
      <c r="N149" s="77" t="inlineStr">
        <is>
          <t>Undergraduate</t>
        </is>
      </c>
      <c r="O149" s="77" t="inlineStr">
        <is>
          <t>Year 3 (MEng)</t>
        </is>
      </c>
      <c r="P149" s="77" t="inlineStr">
        <is>
          <t>MEng students who choose not to undertake an industrial placement.</t>
        </is>
      </c>
      <c r="Q149" s="77" t="inlineStr">
        <is>
          <t>Optional/elective</t>
        </is>
      </c>
      <c r="R149" s="77" t="inlineStr">
        <is>
          <t>Curricular</t>
        </is>
      </c>
      <c r="S149" s="77" t="inlineStr">
        <is>
          <t>Part of third-year MEng; credit not extracted</t>
        </is>
      </c>
      <c r="T149" s="77" t="inlineStr">
        <is>
          <t>Summer term (about April-June); 2024-25 spec: 3 month</t>
        </is>
      </c>
      <c r="U149" s="77" t="inlineStr">
        <is>
          <t>On-campus team project supervised by industry + academic</t>
        </is>
      </c>
      <c r="V149" s="77" t="inlineStr">
        <is>
          <t>Yes</t>
        </is>
      </c>
      <c r="W149" s="77" t="inlineStr">
        <is>
          <t>Projects proposed by industry, design/prototype (src 1, 2).</t>
        </is>
      </c>
      <c r="X149" s="77" t="inlineStr">
        <is>
          <t>Yes</t>
        </is>
      </c>
      <c r="Y149" s="77" t="inlineStr">
        <is>
          <t>Groups of 5 to 7 students (src 1).</t>
        </is>
      </c>
      <c r="Z149" s="77" t="inlineStr">
        <is>
          <t>Yes</t>
        </is>
      </c>
      <c r="AA149" s="77" t="inlineStr">
        <is>
          <t>All projects proposed by industry; supervised by industry; industrial supervisor guides and assesses outcomes (src 1).</t>
        </is>
      </c>
      <c r="AB149" s="77" t="inlineStr">
        <is>
          <t>Business/commercial</t>
        </is>
      </c>
      <c r="AC149" s="77" t="inlineStr">
        <is>
          <t>Proposes project, industrial supervisor, assessment input.</t>
        </is>
      </c>
      <c r="AD149" s="77" t="inlineStr"/>
      <c r="AE149" s="77" t="inlineStr">
        <is>
          <t>Design/prototype and report (not specified in extract)</t>
        </is>
      </c>
      <c r="AF149" s="77">
        <f>IF(OR(V149="No",X149="No",Z149="No"),"Outside strict definition",IF(AND(V149="Yes",X149="Yes",Z149="Yes"),"Meets all three","Potentially relevant; evidence incomplete"))</f>
        <v/>
      </c>
      <c r="AG149" s="77" t="inlineStr">
        <is>
          <t>Current status unclear</t>
        </is>
      </c>
      <c r="AH149" s="77" t="inlineStr">
        <is>
          <t>2024/25</t>
        </is>
      </c>
      <c r="AI149" s="77" t="inlineStr">
        <is>
          <t>Yes</t>
        </is>
      </c>
      <c r="AJ149" s="77">
        <f>IF(AND(AI149="Yes",AF149="Meets all three",AG149="Current delivery confirmed"),"Yes","No")</f>
        <v/>
      </c>
      <c r="AK149" s="77" t="inlineStr"/>
      <c r="AL149" s="77" t="inlineStr">
        <is>
          <t>RG09-S07-R1; RG09-S07-R2</t>
        </is>
      </c>
      <c r="AM149" s="77" t="inlineStr">
        <is>
          <t>Handbook page undated; 2025-26 specification extract refers only generally to design projects (team of 6-8) so 2025/26 delivery of this option not corroborated; 2024-25 spec describes the 3 month industry-proposed group project option. Credit not extracted.</t>
        </is>
      </c>
      <c r="AN149" s="77" t="inlineStr"/>
      <c r="AO149" s="77" t="inlineStr">
        <is>
          <t>UK</t>
        </is>
      </c>
      <c r="AP149" s="77" t="inlineStr">
        <is>
          <t>UK – Russell Group</t>
        </is>
      </c>
      <c r="AQ149" s="77" t="inlineStr">
        <is>
          <t>~1 term/semester</t>
        </is>
      </c>
      <c r="AR149" s="77" t="inlineStr">
        <is>
          <t>All/standard</t>
        </is>
      </c>
      <c r="AS149" s="77" t="inlineStr"/>
    </row>
    <row r="150">
      <c r="A150" s="77" t="inlineStr">
        <is>
          <t>RG09</t>
        </is>
      </c>
      <c r="B150" s="77" t="inlineStr">
        <is>
          <t>Imperial College London</t>
        </is>
      </c>
      <c r="C150" s="77" t="inlineStr">
        <is>
          <t>Programme/course</t>
        </is>
      </c>
      <c r="D150" s="77" t="inlineStr">
        <is>
          <t>RG09-S08</t>
        </is>
      </c>
      <c r="E150" s="77" t="inlineStr"/>
      <c r="F150" s="77" t="inlineStr">
        <is>
          <t>No</t>
        </is>
      </c>
      <c r="G150" s="79" t="inlineStr">
        <is>
          <t>Year 3 Software Engineering Group Project</t>
        </is>
      </c>
      <c r="H150" s="77" t="inlineStr">
        <is>
          <t>Third-year Software Engineering Group Project</t>
        </is>
      </c>
      <c r="I150" s="77" t="inlineStr">
        <is>
          <t>COMP60021</t>
        </is>
      </c>
      <c r="J150" s="77" t="inlineStr">
        <is>
          <t>Teams build software for a customer in four two-week iterations over a term, agreeing requirements with the customer each iteration, with consultations from an industrial software engineer; many (not all) projects are proposed by industry collaborators.</t>
        </is>
      </c>
      <c r="K150" s="77" t="inlineStr">
        <is>
          <t>Department of Computing</t>
        </is>
      </c>
      <c r="L150" s="77" t="inlineStr">
        <is>
          <t>Computing MEng/BEng and joint degrees (Year 3); MSc students also take software engineering group project</t>
        </is>
      </c>
      <c r="M150" s="77" t="inlineStr">
        <is>
          <t>Engineering/computing</t>
        </is>
      </c>
      <c r="N150" s="77" t="inlineStr">
        <is>
          <t>Undergraduate</t>
        </is>
      </c>
      <c r="O150" s="77" t="inlineStr">
        <is>
          <t>Year 3</t>
        </is>
      </c>
      <c r="P150" s="77" t="inlineStr">
        <is>
          <t>Computing programmes where listed as elective.</t>
        </is>
      </c>
      <c r="Q150" s="77" t="inlineStr">
        <is>
          <t>Optional/elective</t>
        </is>
      </c>
      <c r="R150" s="77" t="inlineStr">
        <is>
          <t>Curricular</t>
        </is>
      </c>
      <c r="S150" s="77" t="inlineStr">
        <is>
          <t>10 ECTS elective, Spring term (2025-26 MEng/BEng specs); marked by assessors with customer input and peer assessment</t>
        </is>
      </c>
      <c r="T150" s="77" t="inlineStr">
        <is>
          <t>One term (Spring), four two-week iterations</t>
        </is>
      </c>
      <c r="U150" s="77" t="inlineStr">
        <is>
          <t>Team software project with customer</t>
        </is>
      </c>
      <c r="V150" s="77" t="inlineStr">
        <is>
          <t>Yes</t>
        </is>
      </c>
      <c r="W150" s="77" t="inlineStr">
        <is>
          <t>Team develops and manages a relatively large-scale software project for a customer (src 1).</t>
        </is>
      </c>
      <c r="X150" s="77" t="inlineStr">
        <is>
          <t>Yes</t>
        </is>
      </c>
      <c r="Y150" s="77" t="inlineStr">
        <is>
          <t>Team project; projects suitable for 4-6 students; peer assessment (src 1, 2).</t>
        </is>
      </c>
      <c r="Z150" s="77" t="inlineStr">
        <is>
          <t>Unclear</t>
        </is>
      </c>
      <c r="AA150"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50" s="77" t="inlineStr">
        <is>
          <t>Business/commercial</t>
        </is>
      </c>
      <c r="AC150" s="77" t="inlineStr">
        <is>
          <t>Proposes project; acts as customer; feedback/input to assessment.</t>
        </is>
      </c>
      <c r="AD150" s="77" t="inlineStr"/>
      <c r="AE150" s="77" t="inlineStr">
        <is>
          <t>Working software, report and presentation</t>
        </is>
      </c>
      <c r="AF150" s="77">
        <f>IF(OR(V150="No",X150="No",Z150="No"),"Outside strict definition",IF(AND(V150="Yes",X150="Yes",Z150="Yes"),"Meets all three","Potentially relevant; evidence incomplete"))</f>
        <v/>
      </c>
      <c r="AG150" s="77" t="inlineStr">
        <is>
          <t>Current delivery confirmed</t>
        </is>
      </c>
      <c r="AH150" s="77" t="inlineStr">
        <is>
          <t>2025/26</t>
        </is>
      </c>
      <c r="AI150" s="77" t="inlineStr">
        <is>
          <t>Yes</t>
        </is>
      </c>
      <c r="AJ150" s="77">
        <f>IF(AND(AI150="Yes",AF150="Meets all three",AG150="Current delivery confirmed"),"Yes","No")</f>
        <v/>
      </c>
      <c r="AK150" s="77" t="inlineStr"/>
      <c r="AL150" s="77" t="inlineStr">
        <is>
          <t>RG09-S08-R1; RG09-S08-R2; RG09-S08-R3</t>
        </is>
      </c>
      <c r="AM150" s="77" t="inlineStr">
        <is>
          <t>Share of projects with external industrial customers (vs internal) not stated, so C is Unclear; 'many' proposed by industry only.</t>
        </is>
      </c>
      <c r="AN150" s="77" t="inlineStr"/>
      <c r="AO150" s="77" t="inlineStr">
        <is>
          <t>UK</t>
        </is>
      </c>
      <c r="AP150" s="77" t="inlineStr">
        <is>
          <t>UK – Russell Group</t>
        </is>
      </c>
      <c r="AQ150" s="77" t="inlineStr">
        <is>
          <t>~1 term/semester</t>
        </is>
      </c>
      <c r="AR150" s="77" t="inlineStr">
        <is>
          <t>Some projects</t>
        </is>
      </c>
      <c r="AS150" s="77" t="inlineStr"/>
    </row>
    <row r="151">
      <c r="A151" s="77" t="inlineStr">
        <is>
          <t>RG09</t>
        </is>
      </c>
      <c r="B151" s="77" t="inlineStr">
        <is>
          <t>Imperial College London</t>
        </is>
      </c>
      <c r="C151" s="77" t="inlineStr">
        <is>
          <t>Programme/course</t>
        </is>
      </c>
      <c r="D151" s="77" t="inlineStr">
        <is>
          <t>RG09-S09</t>
        </is>
      </c>
      <c r="E151" s="77" t="inlineStr"/>
      <c r="F151" s="77" t="inlineStr">
        <is>
          <t>No</t>
        </is>
      </c>
      <c r="G151" s="79" t="inlineStr">
        <is>
          <t>Third Year Group Design Project (Civil and Environmental Engineering)</t>
        </is>
      </c>
      <c r="H151" s="77" t="inlineStr">
        <is>
          <t>Civil Engineering Third Year Group Design Project</t>
        </is>
      </c>
      <c r="I151" s="77" t="inlineStr">
        <is>
          <t>Civil Engineering Design 3</t>
        </is>
      </c>
      <c r="J151" s="77" t="inlineStr">
        <is>
          <t>Intensive group design activity after summer-term exams in which Year 3 students work in teams on 'real' multi-faceted civil engineering projects; industry supervision sought via department industry links.</t>
        </is>
      </c>
      <c r="K151" s="77" t="inlineStr">
        <is>
          <t>Department of Civil and Environmental Engineering</t>
        </is>
      </c>
      <c r="L151" s="77" t="inlineStr">
        <is>
          <t>MEng Civil Engineering Year 3</t>
        </is>
      </c>
      <c r="M151" s="77" t="inlineStr">
        <is>
          <t>Engineering/computing</t>
        </is>
      </c>
      <c r="N151" s="77" t="inlineStr">
        <is>
          <t>Undergraduate</t>
        </is>
      </c>
      <c r="O151" s="77" t="inlineStr">
        <is>
          <t>Year 3</t>
        </is>
      </c>
      <c r="P151" s="77" t="inlineStr"/>
      <c r="Q151" s="77" t="inlineStr">
        <is>
          <t>Compulsory within specified programmes</t>
        </is>
      </c>
      <c r="R151" s="77" t="inlineStr">
        <is>
          <t>Curricular</t>
        </is>
      </c>
      <c r="S151" s="77" t="inlineStr">
        <is>
          <t>Core module Civil Engineering Design 3 (credit not extracted)</t>
        </is>
      </c>
      <c r="T151" s="77" t="inlineStr">
        <is>
          <t>Four weeks (department page); another page states 5.5 weeks</t>
        </is>
      </c>
      <c r="U151" s="77" t="inlineStr">
        <is>
          <t>Team design project with presentation and poster session</t>
        </is>
      </c>
      <c r="V151" s="77" t="inlineStr">
        <is>
          <t>Yes</t>
        </is>
      </c>
      <c r="W151" s="77" t="inlineStr">
        <is>
          <t>Engage students in 'real' multi-faceted Civil Engineering projects (src 1).</t>
        </is>
      </c>
      <c r="X151" s="77" t="inlineStr">
        <is>
          <t>Yes</t>
        </is>
      </c>
      <c r="Y151" s="77" t="inlineStr">
        <is>
          <t>Develop team working skills; students work in teams (src 1).</t>
        </is>
      </c>
      <c r="Z151" s="77" t="inlineStr">
        <is>
          <t>Unclear</t>
        </is>
      </c>
      <c r="AA151" s="77" t="inlineStr">
        <is>
          <t>Course page says module involves industrial partnering; department seeks industry supervisors for Year 3 Group Design Projects (src 2). No evidence that external organisations set briefs or assess every group.</t>
        </is>
      </c>
      <c r="AB151" s="77" t="inlineStr">
        <is>
          <t>Unclear</t>
        </is>
      </c>
      <c r="AC151" s="77" t="inlineStr">
        <is>
          <t>Industry supervision sought; exact role not evidenced.</t>
        </is>
      </c>
      <c r="AD151" s="77" t="inlineStr"/>
      <c r="AE151" s="77" t="inlineStr">
        <is>
          <t>Design report, presentation and poster</t>
        </is>
      </c>
      <c r="AF151" s="77">
        <f>IF(OR(V151="No",X151="No",Z151="No"),"Outside strict definition",IF(AND(V151="Yes",X151="Yes",Z151="Yes"),"Meets all three","Potentially relevant; evidence incomplete"))</f>
        <v/>
      </c>
      <c r="AG151" s="77" t="inlineStr">
        <is>
          <t>Current status unclear</t>
        </is>
      </c>
      <c r="AH151" s="77" t="inlineStr">
        <is>
          <t>undated</t>
        </is>
      </c>
      <c r="AI151" s="77" t="inlineStr">
        <is>
          <t>Yes</t>
        </is>
      </c>
      <c r="AJ151" s="77">
        <f>IF(AND(AI151="Yes",AF151="Meets all three",AG151="Current delivery confirmed"),"Yes","No")</f>
        <v/>
      </c>
      <c r="AK151" s="77" t="inlineStr"/>
      <c r="AL151" s="77" t="inlineStr">
        <is>
          <t>RG09-S09-R1; RG09-S09-R2</t>
        </is>
      </c>
      <c r="AM151" s="77" t="inlineStr">
        <is>
          <t>Industry role, share of projects with external supervisors/clients, current-year delivery, credit, and whether compulsory are unconfirmed; duration discrepancy 4 vs 5.5 weeks.</t>
        </is>
      </c>
      <c r="AN151" s="77" t="inlineStr"/>
      <c r="AO151" s="77" t="inlineStr">
        <is>
          <t>UK</t>
        </is>
      </c>
      <c r="AP151" s="77" t="inlineStr">
        <is>
          <t>UK – Russell Group</t>
        </is>
      </c>
      <c r="AQ151" s="77" t="inlineStr">
        <is>
          <t>1-4 weeks</t>
        </is>
      </c>
      <c r="AR151" s="77" t="inlineStr">
        <is>
          <t>Unclear</t>
        </is>
      </c>
      <c r="AS151" s="77" t="inlineStr"/>
    </row>
    <row r="152">
      <c r="A152" s="77" t="inlineStr">
        <is>
          <t>RG09</t>
        </is>
      </c>
      <c r="B152" s="77" t="inlineStr">
        <is>
          <t>Imperial College London</t>
        </is>
      </c>
      <c r="C152" s="77" t="inlineStr">
        <is>
          <t>Programme/course</t>
        </is>
      </c>
      <c r="D152" s="77" t="inlineStr">
        <is>
          <t>RG09-S10</t>
        </is>
      </c>
      <c r="E152" s="77" t="inlineStr"/>
      <c r="F152" s="77" t="inlineStr">
        <is>
          <t>No</t>
        </is>
      </c>
      <c r="G152" s="79" t="inlineStr">
        <is>
          <t>Group Design Project (MSc Transport / Transport with Data Science)</t>
        </is>
      </c>
      <c r="H152" s="77" t="inlineStr">
        <is>
          <t>MSc Transport Group Design Project</t>
        </is>
      </c>
      <c r="I152" s="77" t="inlineStr"/>
      <c r="J152"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52" s="77" t="inlineStr">
        <is>
          <t>Department of Civil and Environmental Engineering</t>
        </is>
      </c>
      <c r="L152" s="77" t="inlineStr">
        <is>
          <t>MSc Transport; MSc Transport with Data Science</t>
        </is>
      </c>
      <c r="M152" s="77" t="inlineStr">
        <is>
          <t>Engineering/computing</t>
        </is>
      </c>
      <c r="N152" s="77" t="inlineStr">
        <is>
          <t>Postgraduate taught</t>
        </is>
      </c>
      <c r="O152" s="77" t="inlineStr">
        <is>
          <t>MSc, summer</t>
        </is>
      </c>
      <c r="P152" s="77" t="inlineStr"/>
      <c r="Q152" s="77" t="inlineStr">
        <is>
          <t>Compulsory within specified programmes</t>
        </is>
      </c>
      <c r="R152" s="77" t="inlineStr">
        <is>
          <t>Curricular</t>
        </is>
      </c>
      <c r="S152" s="77" t="inlineStr">
        <is>
          <t>Not extracted</t>
        </is>
      </c>
      <c r="T152" s="77" t="inlineStr">
        <is>
          <t>Four weeks full-time</t>
        </is>
      </c>
      <c r="U152" s="77" t="inlineStr">
        <is>
          <t>Team design project</t>
        </is>
      </c>
      <c r="V152" s="77" t="inlineStr">
        <is>
          <t>Yes</t>
        </is>
      </c>
      <c r="W152" s="77" t="inlineStr">
        <is>
          <t>Feasibility and outline design study from client briefs (src 1).</t>
        </is>
      </c>
      <c r="X152" s="77" t="inlineStr">
        <is>
          <t>Yes</t>
        </is>
      </c>
      <c r="Y152" s="77" t="inlineStr">
        <is>
          <t>Work in teams on a significant piece of transport engineering design (src 1).</t>
        </is>
      </c>
      <c r="Z152" s="77" t="inlineStr">
        <is>
          <t>Unclear</t>
        </is>
      </c>
      <c r="AA152" s="77" t="inlineStr">
        <is>
          <t>Teams work with clients; page cites industrial partnership on projects; separate World Bank partner project (src 1, 2). Identity/external status of clients for the Group Design Project not evidenced.</t>
        </is>
      </c>
      <c r="AB152" s="77" t="inlineStr">
        <is>
          <t>Unclear</t>
        </is>
      </c>
      <c r="AC152" s="77" t="inlineStr">
        <is>
          <t>Clients develop briefs with students; World Bank teams on partner project (group status not shown).</t>
        </is>
      </c>
      <c r="AD152" s="77" t="inlineStr">
        <is>
          <t>World Bank (partner project, Transport with Data Science; year not stated)</t>
        </is>
      </c>
      <c r="AE152" s="77" t="inlineStr">
        <is>
          <t>Feasibility and outline design study</t>
        </is>
      </c>
      <c r="AF152" s="77">
        <f>IF(OR(V152="No",X152="No",Z152="No"),"Outside strict definition",IF(AND(V152="Yes",X152="Yes",Z152="Yes"),"Meets all three","Potentially relevant; evidence incomplete"))</f>
        <v/>
      </c>
      <c r="AG152" s="77" t="inlineStr">
        <is>
          <t>Current status unclear</t>
        </is>
      </c>
      <c r="AH152" s="77" t="inlineStr">
        <is>
          <t>2024/25</t>
        </is>
      </c>
      <c r="AI152" s="77" t="inlineStr">
        <is>
          <t>Yes</t>
        </is>
      </c>
      <c r="AJ152" s="77">
        <f>IF(AND(AI152="Yes",AF152="Meets all three",AG152="Current delivery confirmed"),"Yes","No")</f>
        <v/>
      </c>
      <c r="AK152" s="77" t="inlineStr"/>
      <c r="AL152" s="77" t="inlineStr">
        <is>
          <t>RG09-S10-R1; RG09-S10-R2</t>
        </is>
      </c>
      <c r="AM152" s="77" t="inlineStr">
        <is>
          <t>Who the 'clients' are (external vs staff), 2025/26 delivery for Transport with Data Science (2024-25 spec seen; 2025-26 Transport spec exists), credit.</t>
        </is>
      </c>
      <c r="AN152" s="77" t="inlineStr"/>
      <c r="AO152" s="77" t="inlineStr">
        <is>
          <t>UK</t>
        </is>
      </c>
      <c r="AP152" s="77" t="inlineStr">
        <is>
          <t>UK – Russell Group</t>
        </is>
      </c>
      <c r="AQ152" s="77" t="inlineStr">
        <is>
          <t>1-4 weeks</t>
        </is>
      </c>
      <c r="AR152" s="77" t="inlineStr">
        <is>
          <t>Unclear</t>
        </is>
      </c>
      <c r="AS152" s="77" t="inlineStr"/>
    </row>
    <row r="153">
      <c r="A153" s="77" t="inlineStr">
        <is>
          <t>RG09</t>
        </is>
      </c>
      <c r="B153" s="77" t="inlineStr">
        <is>
          <t>Imperial College London</t>
        </is>
      </c>
      <c r="C153" s="77" t="inlineStr">
        <is>
          <t>Programme/course</t>
        </is>
      </c>
      <c r="D153" s="77" t="inlineStr">
        <is>
          <t>RG09-S11</t>
        </is>
      </c>
      <c r="E153" s="77" t="inlineStr"/>
      <c r="F153" s="77" t="inlineStr">
        <is>
          <t>No</t>
        </is>
      </c>
      <c r="G153" s="79" t="inlineStr">
        <is>
          <t>Hounslow Heath Project (MSc Environmental Technology: Environmental Assessment and Management option)</t>
        </is>
      </c>
      <c r="H153" s="77" t="inlineStr">
        <is>
          <t>Hounslow Heath contaminated-land group project for Hounslow Borough Council</t>
        </is>
      </c>
      <c r="I153" s="77" t="inlineStr"/>
      <c r="J153"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53" s="77" t="inlineStr">
        <is>
          <t>Centre for Environmental Policy (Faculty of Natural Sciences)</t>
        </is>
      </c>
      <c r="L153" s="77" t="inlineStr">
        <is>
          <t>MSc Environmental Technology, Environmental Assessment and Management (EAM) option (IWM students collaborate)</t>
        </is>
      </c>
      <c r="M153" s="77" t="inlineStr">
        <is>
          <t>Science</t>
        </is>
      </c>
      <c r="N153" s="77" t="inlineStr">
        <is>
          <t>Postgraduate taught</t>
        </is>
      </c>
      <c r="O153" s="77" t="inlineStr">
        <is>
          <t>MSc</t>
        </is>
      </c>
      <c r="P153" s="77" t="inlineStr">
        <is>
          <t>Students on EAM option (and IWM collaboration).</t>
        </is>
      </c>
      <c r="Q153" s="77" t="inlineStr">
        <is>
          <t>Compulsory within specified programmes</t>
        </is>
      </c>
      <c r="R153" s="77" t="inlineStr">
        <is>
          <t>Curricular</t>
        </is>
      </c>
      <c r="S153" s="77" t="inlineStr">
        <is>
          <t>Group technical report to client + individual interview (weighting not extracted)</t>
        </is>
      </c>
      <c r="T153" s="77" t="inlineStr">
        <is>
          <t>Part of option coursework (length not extracted)</t>
        </is>
      </c>
      <c r="U153" s="77" t="inlineStr">
        <is>
          <t>Team project with client presentation</t>
        </is>
      </c>
      <c r="V153" s="77" t="inlineStr">
        <is>
          <t>Yes</t>
        </is>
      </c>
      <c r="W153" s="77" t="inlineStr">
        <is>
          <t>Group technical report to a real client on contaminated land (src 1).</t>
        </is>
      </c>
      <c r="X153" s="77" t="inlineStr">
        <is>
          <t>Yes</t>
        </is>
      </c>
      <c r="Y153" s="77" t="inlineStr">
        <is>
          <t>Group technical report and team presentations to the client (src 1).</t>
        </is>
      </c>
      <c r="Z153" s="77" t="inlineStr">
        <is>
          <t>Yes</t>
        </is>
      </c>
      <c r="AA153" s="77" t="inlineStr">
        <is>
          <t>Project is run for Hounslow Borough Council; team presentations are made to the client on completion; a group technical report to a real client (src 1, 2).</t>
        </is>
      </c>
      <c r="AB153" s="77" t="inlineStr">
        <is>
          <t>Public sector</t>
        </is>
      </c>
      <c r="AC153" s="77" t="inlineStr">
        <is>
          <t>Real client: receives team presentations and report; collaboration in project.</t>
        </is>
      </c>
      <c r="AD153" s="77" t="inlineStr">
        <is>
          <t>Hounslow Borough Council (2025-26 spec)</t>
        </is>
      </c>
      <c r="AE153" s="77" t="inlineStr">
        <is>
          <t>Group technical report and client presentation</t>
        </is>
      </c>
      <c r="AF153" s="77">
        <f>IF(OR(V153="No",X153="No",Z153="No"),"Outside strict definition",IF(AND(V153="Yes",X153="Yes",Z153="Yes"),"Meets all three","Potentially relevant; evidence incomplete"))</f>
        <v/>
      </c>
      <c r="AG153" s="77" t="inlineStr">
        <is>
          <t>Current delivery confirmed</t>
        </is>
      </c>
      <c r="AH153" s="77" t="inlineStr">
        <is>
          <t>2025/26</t>
        </is>
      </c>
      <c r="AI153" s="77" t="inlineStr">
        <is>
          <t>Yes</t>
        </is>
      </c>
      <c r="AJ153" s="77">
        <f>IF(AND(AI153="Yes",AF153="Meets all three",AG153="Current delivery confirmed"),"Yes","No")</f>
        <v/>
      </c>
      <c r="AK153" s="77" t="inlineStr"/>
      <c r="AL153" s="77" t="inlineStr">
        <is>
          <t>RG09-S11-R1; RG09-S11-R2</t>
        </is>
      </c>
      <c r="AM153" s="77" t="inlineStr">
        <is>
          <t>Duration/credit weighting not extracted; programme renamed MSc Sustainability, Environmental Policy and Innovation from 2027 so arrangements may change; Integrated Water Management's own case study is simulated (not counted).</t>
        </is>
      </c>
      <c r="AN153" s="77" t="inlineStr"/>
      <c r="AO153" s="77" t="inlineStr">
        <is>
          <t>UK</t>
        </is>
      </c>
      <c r="AP153" s="77" t="inlineStr">
        <is>
          <t>UK – Russell Group</t>
        </is>
      </c>
      <c r="AQ153" s="77" t="inlineStr">
        <is>
          <t>Unclear</t>
        </is>
      </c>
      <c r="AR153" s="77" t="inlineStr">
        <is>
          <t>All/standard</t>
        </is>
      </c>
      <c r="AS153" s="77" t="inlineStr"/>
    </row>
    <row r="154">
      <c r="A154" s="77" t="inlineStr">
        <is>
          <t>RG10</t>
        </is>
      </c>
      <c r="B154" s="77" t="inlineStr">
        <is>
          <t>King’s College London</t>
        </is>
      </c>
      <c r="C154" s="77" t="inlineStr">
        <is>
          <t>Faculty/school</t>
        </is>
      </c>
      <c r="D154" s="77" t="inlineStr">
        <is>
          <t>RG10-S01</t>
        </is>
      </c>
      <c r="E154" s="77" t="inlineStr"/>
      <c r="F154" s="77" t="inlineStr">
        <is>
          <t>No</t>
        </is>
      </c>
      <c r="G154" s="79" t="inlineStr">
        <is>
          <t>King's Business School Consultancy (Strategy consultancy support for London enterprises; originally Business Consultancy Scheme)</t>
        </is>
      </c>
      <c r="H154" s="77" t="inlineStr">
        <is>
          <t>King's Business School Consultancy</t>
        </is>
      </c>
      <c r="I154" s="77" t="inlineStr"/>
      <c r="J154"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54" s="77" t="inlineStr">
        <is>
          <t>King's Business School</t>
        </is>
      </c>
      <c r="L154" s="77" t="inlineStr">
        <is>
          <t>Final-year undergraduates on economics, business and/or management degrees (pilot: BSc Business Management, BSc Economics &amp; Management)</t>
        </is>
      </c>
      <c r="M154" s="77" t="inlineStr">
        <is>
          <t>Business/management</t>
        </is>
      </c>
      <c r="N154" s="77" t="inlineStr">
        <is>
          <t>Undergraduate</t>
        </is>
      </c>
      <c r="O154" s="77" t="inlineStr">
        <is>
          <t>Final year</t>
        </is>
      </c>
      <c r="P154" s="77" t="inlineStr">
        <is>
          <t>Final-year KBS economics/business/management undergraduates; pilot students were selected</t>
        </is>
      </c>
      <c r="Q154" s="77" t="inlineStr">
        <is>
          <t>Selective/competitive</t>
        </is>
      </c>
      <c r="R154" s="77" t="inlineStr">
        <is>
          <t>Unclear</t>
        </is>
      </c>
      <c r="S154" s="77" t="inlineStr">
        <is>
          <t>No credit or assessment evidenced</t>
        </is>
      </c>
      <c r="T154" s="77" t="inlineStr">
        <is>
          <t>Programme length not stated; a 'summer 2026 programme' is advertised, and one result also mentions a closing week of w/c 30 November</t>
        </is>
      </c>
      <c r="U154" s="77" t="inlineStr">
        <is>
          <t>Consultancy teams working with local enterprises; presentation + written report</t>
        </is>
      </c>
      <c r="V154" s="77" t="inlineStr">
        <is>
          <t>Yes</t>
        </is>
      </c>
      <c r="W154" s="77" t="inlineStr">
        <is>
          <t>Defined consultancy brief for an enterprise, ending in final analysis and recommendations as a presentation and written report [1].</t>
        </is>
      </c>
      <c r="X154" s="77" t="inlineStr">
        <is>
          <t>Yes</t>
        </is>
      </c>
      <c r="Y154" s="77" t="inlineStr">
        <is>
          <t>'a student consultancy team of three to four students' per enterprise [1]; pilot students split into five groups [2].</t>
        </is>
      </c>
      <c r="Z154" s="77" t="inlineStr">
        <is>
          <t>Yes</t>
        </is>
      </c>
      <c r="AA154" s="77" t="inlineStr">
        <is>
          <t>Local enterprises are the clients: they receive free consultancy, and the presentation and written report are delivered to them; students may sign NDAs at the client's request [1].</t>
        </is>
      </c>
      <c r="AB154" s="77" t="inlineStr">
        <is>
          <t>Business/commercial</t>
        </is>
      </c>
      <c r="AC154" s="77" t="inlineStr">
        <is>
          <t>Client enterprise sets the business issue and receives the recommendations; the pilot was run in partnership with Westminster City Council (public sector)</t>
        </is>
      </c>
      <c r="AD154" s="77" t="inlineStr">
        <is>
          <t>Westminster City Council (pilot partner; year not shown in extract)</t>
        </is>
      </c>
      <c r="AE154" s="77" t="inlineStr">
        <is>
          <t>Client presentation + written report of recommendations</t>
        </is>
      </c>
      <c r="AF154" s="77">
        <f>IF(OR(V154="No",X154="No",Z154="No"),"Outside strict definition",IF(AND(V154="Yes",X154="Yes",Z154="Yes"),"Meets all three","Potentially relevant; evidence incomplete"))</f>
        <v/>
      </c>
      <c r="AG154" s="77" t="inlineStr">
        <is>
          <t>Current delivery confirmed</t>
        </is>
      </c>
      <c r="AH154" s="77" t="inlineStr">
        <is>
          <t>2026</t>
        </is>
      </c>
      <c r="AI154" s="77" t="inlineStr">
        <is>
          <t>Yes</t>
        </is>
      </c>
      <c r="AJ154" s="77">
        <f>IF(AND(AI154="Yes",AF154="Meets all three",AG154="Current delivery confirmed"),"Yes","No")</f>
        <v/>
      </c>
      <c r="AK154" s="77" t="inlineStr">
        <is>
          <t>Up to 15 enterprises per round (capacity, page undated); pilot: 18 students in 5 groups (year not shown)</t>
        </is>
      </c>
      <c r="AL154" s="77" t="inlineStr">
        <is>
          <t>RG10-S01-R1; RG10-S01-R2</t>
        </is>
      </c>
      <c r="AM154" s="77" t="inlineStr">
        <is>
          <t>Whether the scheme carries credit; exact timing (the summer 2026 call conflicts with the 'w/c 30 November' close); how students are selected now. Current status rests on the page saying applications for the summer 2026 programme are open.</t>
        </is>
      </c>
      <c r="AN154" s="77" t="inlineStr"/>
      <c r="AO154" s="77" t="inlineStr">
        <is>
          <t>UK</t>
        </is>
      </c>
      <c r="AP154" s="77" t="inlineStr">
        <is>
          <t>UK – Russell Group</t>
        </is>
      </c>
      <c r="AQ154" s="77" t="inlineStr">
        <is>
          <t>Unclear</t>
        </is>
      </c>
      <c r="AR154" s="77" t="inlineStr">
        <is>
          <t>All/standard</t>
        </is>
      </c>
      <c r="AS154" s="77" t="inlineStr"/>
    </row>
    <row r="155">
      <c r="A155" s="77" t="inlineStr">
        <is>
          <t>RG10</t>
        </is>
      </c>
      <c r="B155" s="77" t="inlineStr">
        <is>
          <t>King’s College London</t>
        </is>
      </c>
      <c r="C155" s="77" t="inlineStr">
        <is>
          <t>Programme/course</t>
        </is>
      </c>
      <c r="D155" s="77" t="inlineStr">
        <is>
          <t>RG10-S02</t>
        </is>
      </c>
      <c r="E155" s="77" t="inlineStr"/>
      <c r="F155" s="77" t="inlineStr">
        <is>
          <t>No</t>
        </is>
      </c>
      <c r="G155" s="79" t="inlineStr">
        <is>
          <t>PPM Consultancy</t>
        </is>
      </c>
      <c r="H155" s="77" t="inlineStr">
        <is>
          <t>PPM Consultancy (MSc Public Policy &amp; Management)</t>
        </is>
      </c>
      <c r="I155" s="77" t="inlineStr"/>
      <c r="J155"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55" s="77" t="inlineStr">
        <is>
          <t>King's Business School, Department of Public Services Management &amp; Organisation</t>
        </is>
      </c>
      <c r="L155" s="77" t="inlineStr">
        <is>
          <t>MSc Public Policy &amp; Management</t>
        </is>
      </c>
      <c r="M155" s="77" t="inlineStr">
        <is>
          <t>Business/management; Arts/humanities/social sciences</t>
        </is>
      </c>
      <c r="N155" s="77" t="inlineStr">
        <is>
          <t>Postgraduate taught</t>
        </is>
      </c>
      <c r="O155" s="77" t="inlineStr">
        <is>
          <t>1-year MSc</t>
        </is>
      </c>
      <c r="P155" s="77" t="inlineStr">
        <is>
          <t>MSc PPM students (optional module)</t>
        </is>
      </c>
      <c r="Q155" s="77" t="inlineStr">
        <is>
          <t>Optional/elective</t>
        </is>
      </c>
      <c r="R155" s="77" t="inlineStr">
        <is>
          <t>Curricular</t>
        </is>
      </c>
      <c r="S155" s="77" t="inlineStr">
        <is>
          <t>15 credits; assessment components not found</t>
        </is>
      </c>
      <c r="T155" s="77" t="inlineStr">
        <is>
          <t>January-April 2026 (10 x 2-hour workshops)</t>
        </is>
      </c>
      <c r="U155" s="77" t="inlineStr">
        <is>
          <t>Workshops plus live consulting project</t>
        </is>
      </c>
      <c r="V155" s="77" t="inlineStr">
        <is>
          <t>Yes</t>
        </is>
      </c>
      <c r="W155" s="77" t="inlineStr">
        <is>
          <t>'real consulting project' with proposed solutions to contemporary public policy and management problems [1][2].</t>
        </is>
      </c>
      <c r="X155" s="77" t="inlineStr">
        <is>
          <t>Unclear</t>
        </is>
      </c>
      <c r="Y155" s="77" t="inlineStr">
        <is>
          <t>No source found describing project teams or team sizes for this module. The programme mentions collective projects generally, but that is not module-specific [1].</t>
        </is>
      </c>
      <c r="Z155" s="77" t="inlineStr">
        <is>
          <t>Yes</t>
        </is>
      </c>
      <c r="AA155" s="77" t="inlineStr">
        <is>
          <t>Named public and third-sector partners generate the projects each year [1].</t>
        </is>
      </c>
      <c r="AB155" s="77" t="inlineStr">
        <is>
          <t>Mixed</t>
        </is>
      </c>
      <c r="AC155" s="77" t="inlineStr">
        <is>
          <t>Partner organisations generate the consulting projects each year (NHS trusts, local authority, charities/social enterprises)</t>
        </is>
      </c>
      <c r="AD155" s="77" t="inlineStr">
        <is>
          <t>Guy's &amp; St Thomas' NHS Foundation Trust, King's College Hospital NHS Trust, Health Education England, London Borough of Hackney, Think Forward, Aymara Social Enterprise (undated list)</t>
        </is>
      </c>
      <c r="AE155" s="77" t="inlineStr">
        <is>
          <t>Proposed solutions/consulting outputs (form not stated)</t>
        </is>
      </c>
      <c r="AF155" s="77">
        <f>IF(OR(V155="No",X155="No",Z155="No"),"Outside strict definition",IF(AND(V155="Yes",X155="Yes",Z155="Yes"),"Meets all three","Potentially relevant; evidence incomplete"))</f>
        <v/>
      </c>
      <c r="AG155" s="77" t="inlineStr">
        <is>
          <t>Current delivery confirmed</t>
        </is>
      </c>
      <c r="AH155" s="77" t="inlineStr">
        <is>
          <t>2025/26</t>
        </is>
      </c>
      <c r="AI155" s="77" t="inlineStr">
        <is>
          <t>Yes</t>
        </is>
      </c>
      <c r="AJ155" s="77">
        <f>IF(AND(AI155="Yes",AF155="Meets all three",AG155="Current delivery confirmed"),"Yes","No")</f>
        <v/>
      </c>
      <c r="AK155" s="77" t="inlineStr"/>
      <c r="AL155" s="77" t="inlineStr">
        <is>
          <t>RG10-S02-R1; RG10-S02-R2</t>
        </is>
      </c>
      <c r="AM155" s="77" t="inlineStr">
        <is>
          <t>Whether students work in teams; assessment and deliverable format; whether it runs in 2026/27.</t>
        </is>
      </c>
      <c r="AN155" s="77" t="inlineStr"/>
      <c r="AO155" s="77" t="inlineStr">
        <is>
          <t>UK</t>
        </is>
      </c>
      <c r="AP155" s="77" t="inlineStr">
        <is>
          <t>UK – Russell Group</t>
        </is>
      </c>
      <c r="AQ155" s="77" t="inlineStr">
        <is>
          <t>~1 term/semester</t>
        </is>
      </c>
      <c r="AR155" s="77" t="inlineStr">
        <is>
          <t>All/standard</t>
        </is>
      </c>
      <c r="AS155" s="77" t="inlineStr"/>
    </row>
    <row r="156">
      <c r="A156" s="77" t="inlineStr">
        <is>
          <t>RG10</t>
        </is>
      </c>
      <c r="B156" s="77" t="inlineStr">
        <is>
          <t>King’s College London</t>
        </is>
      </c>
      <c r="C156" s="77" t="inlineStr">
        <is>
          <t>Programme/course</t>
        </is>
      </c>
      <c r="D156" s="77" t="inlineStr">
        <is>
          <t>RG10-S03</t>
        </is>
      </c>
      <c r="E156" s="77" t="inlineStr"/>
      <c r="F156" s="77" t="inlineStr">
        <is>
          <t>No</t>
        </is>
      </c>
      <c r="G156" s="79" t="inlineStr">
        <is>
          <t>Business Consulting Project (MSc International Management)</t>
        </is>
      </c>
      <c r="H156" s="77" t="inlineStr">
        <is>
          <t>Business Consulting Project</t>
        </is>
      </c>
      <c r="I156" s="77" t="inlineStr"/>
      <c r="J156"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56" s="77" t="inlineStr">
        <is>
          <t>King's Business School</t>
        </is>
      </c>
      <c r="L156" s="77" t="inlineStr">
        <is>
          <t>MSc International Management</t>
        </is>
      </c>
      <c r="M156" s="77" t="inlineStr">
        <is>
          <t>Business/management</t>
        </is>
      </c>
      <c r="N156" s="77" t="inlineStr">
        <is>
          <t>Postgraduate taught</t>
        </is>
      </c>
      <c r="O156" s="77" t="inlineStr">
        <is>
          <t>Summer (final stage) of 1-year MSc</t>
        </is>
      </c>
      <c r="P156" s="77" t="inlineStr">
        <is>
          <t>MSc International Management students; entry by competitive application</t>
        </is>
      </c>
      <c r="Q156" s="77" t="inlineStr">
        <is>
          <t>Selective/competitive</t>
        </is>
      </c>
      <c r="R156" s="77" t="inlineStr">
        <is>
          <t>Curricular</t>
        </is>
      </c>
      <c r="S156" s="77" t="inlineStr">
        <is>
          <t>45 credits</t>
        </is>
      </c>
      <c r="T156" s="77" t="inlineStr">
        <is>
          <t>Summer</t>
        </is>
      </c>
      <c r="U156" s="77" t="inlineStr">
        <is>
          <t>Consultancy with a local business; 2 workshops + 4 hours supervision</t>
        </is>
      </c>
      <c r="V156" s="77" t="inlineStr">
        <is>
          <t>Yes</t>
        </is>
      </c>
      <c r="W156" s="77" t="inlineStr">
        <is>
          <t>Consultancy on 'a live issue they have identified' for a local business; 45-credit project [1].</t>
        </is>
      </c>
      <c r="X156" s="77" t="inlineStr">
        <is>
          <t>Unclear</t>
        </is>
      </c>
      <c r="Y156" s="77" t="inlineStr">
        <is>
          <t>Extract says students work 'as a business consultant'; teams are not mentioned [1].</t>
        </is>
      </c>
      <c r="Z156" s="77" t="inlineStr">
        <is>
          <t>Yes</t>
        </is>
      </c>
      <c r="AA156" s="77" t="inlineStr">
        <is>
          <t>A local business identifies the live issue and acts as client [1].</t>
        </is>
      </c>
      <c r="AB156" s="77" t="inlineStr">
        <is>
          <t>Business/commercial</t>
        </is>
      </c>
      <c r="AC156" s="77" t="inlineStr">
        <is>
          <t>Client business supplies the live issue</t>
        </is>
      </c>
      <c r="AD156" s="77" t="inlineStr"/>
      <c r="AE156" s="77" t="inlineStr">
        <is>
          <t>Not stated</t>
        </is>
      </c>
      <c r="AF156" s="77">
        <f>IF(OR(V156="No",X156="No",Z156="No"),"Outside strict definition",IF(AND(V156="Yes",X156="Yes",Z156="Yes"),"Meets all three","Potentially relevant; evidence incomplete"))</f>
        <v/>
      </c>
      <c r="AG156" s="77" t="inlineStr">
        <is>
          <t>Current status unclear</t>
        </is>
      </c>
      <c r="AH156" s="77" t="inlineStr"/>
      <c r="AI156" s="77" t="inlineStr">
        <is>
          <t>Yes</t>
        </is>
      </c>
      <c r="AJ156" s="77">
        <f>IF(AND(AI156="Yes",AF156="Meets all three",AG156="Current delivery confirmed"),"Yes","No")</f>
        <v/>
      </c>
      <c r="AK156" s="77" t="inlineStr"/>
      <c r="AL156" s="77" t="inlineStr">
        <is>
          <t>RG10-S03-R1</t>
        </is>
      </c>
      <c r="AM156" s="77" t="inlineStr">
        <is>
          <t>Group vs individual consulting; output and assessment; dated evidence of a 2025/26 or 2026/27 run (course page is un-yeared and no dated corroboration was found).</t>
        </is>
      </c>
      <c r="AN156" s="77" t="inlineStr"/>
      <c r="AO156" s="77" t="inlineStr">
        <is>
          <t>UK</t>
        </is>
      </c>
      <c r="AP156" s="77" t="inlineStr">
        <is>
          <t>UK – Russell Group</t>
        </is>
      </c>
      <c r="AQ156" s="77" t="inlineStr">
        <is>
          <t>~1 term/semester</t>
        </is>
      </c>
      <c r="AR156" s="77" t="inlineStr">
        <is>
          <t>All/standard</t>
        </is>
      </c>
      <c r="AS156" s="77" t="inlineStr"/>
    </row>
    <row r="157">
      <c r="A157" s="77" t="inlineStr">
        <is>
          <t>RG10</t>
        </is>
      </c>
      <c r="B157" s="77" t="inlineStr">
        <is>
          <t>King’s College London</t>
        </is>
      </c>
      <c r="C157" s="77" t="inlineStr">
        <is>
          <t>Programme/course</t>
        </is>
      </c>
      <c r="D157" s="77" t="inlineStr">
        <is>
          <t>RG10-S04</t>
        </is>
      </c>
      <c r="E157" s="77" t="inlineStr"/>
      <c r="F157" s="77" t="inlineStr">
        <is>
          <t>No</t>
        </is>
      </c>
      <c r="G157" s="79" t="inlineStr">
        <is>
          <t>Live consulting project with Benifex (Online MSc Global Human Resource Management)</t>
        </is>
      </c>
      <c r="H157" s="77" t="inlineStr">
        <is>
          <t>Online consulting project</t>
        </is>
      </c>
      <c r="I157" s="77" t="inlineStr"/>
      <c r="J157" s="77" t="inlineStr">
        <is>
          <t>A newer module on the online MSc Global Human Resource Management. Students work on a live organisational challenge, acting as HR consultants for the employee-benefits platform Benifex.</t>
        </is>
      </c>
      <c r="K157" s="77" t="inlineStr">
        <is>
          <t>King's Business School (online)</t>
        </is>
      </c>
      <c r="L157" s="77" t="inlineStr">
        <is>
          <t>Online MSc Global Human Resource Management</t>
        </is>
      </c>
      <c r="M157" s="77" t="inlineStr">
        <is>
          <t>Business/management</t>
        </is>
      </c>
      <c r="N157" s="77" t="inlineStr">
        <is>
          <t>Postgraduate taught</t>
        </is>
      </c>
      <c r="O157" s="77" t="inlineStr"/>
      <c r="P157" s="77" t="inlineStr"/>
      <c r="Q157" s="77" t="inlineStr">
        <is>
          <t>Unclear</t>
        </is>
      </c>
      <c r="R157" s="77" t="inlineStr">
        <is>
          <t>Curricular</t>
        </is>
      </c>
      <c r="S157" s="77" t="inlineStr"/>
      <c r="T157" s="77" t="inlineStr"/>
      <c r="U157" s="77" t="inlineStr">
        <is>
          <t>Online</t>
        </is>
      </c>
      <c r="V157" s="77" t="inlineStr">
        <is>
          <t>Unclear</t>
        </is>
      </c>
      <c r="W157" s="77" t="inlineStr">
        <is>
          <t>Live organisational challenge in a consultant role, but no deliverable is evidenced [1].</t>
        </is>
      </c>
      <c r="X157" s="77" t="inlineStr">
        <is>
          <t>Unclear</t>
        </is>
      </c>
      <c r="Y157" s="77" t="inlineStr">
        <is>
          <t>No team evidence found.</t>
        </is>
      </c>
      <c r="Z157" s="77" t="inlineStr">
        <is>
          <t>Yes</t>
        </is>
      </c>
      <c r="AA157" s="77" t="inlineStr">
        <is>
          <t>Benifex supplies the live organisational challenge, and students act as its HR consultants [1].</t>
        </is>
      </c>
      <c r="AB157" s="77" t="inlineStr">
        <is>
          <t>Business/commercial</t>
        </is>
      </c>
      <c r="AC157" s="77" t="inlineStr">
        <is>
          <t>Company supplies the live challenge</t>
        </is>
      </c>
      <c r="AD157" s="77" t="inlineStr">
        <is>
          <t>Benifex (news article, undated)</t>
        </is>
      </c>
      <c r="AE157" s="77" t="inlineStr"/>
      <c r="AF157" s="77">
        <f>IF(OR(V157="No",X157="No",Z157="No"),"Outside strict definition",IF(AND(V157="Yes",X157="Yes",Z157="Yes"),"Meets all three","Potentially relevant; evidence incomplete"))</f>
        <v/>
      </c>
      <c r="AG157" s="77" t="inlineStr">
        <is>
          <t>Current status unclear</t>
        </is>
      </c>
      <c r="AH157" s="77" t="inlineStr"/>
      <c r="AI157" s="77" t="inlineStr">
        <is>
          <t>Yes</t>
        </is>
      </c>
      <c r="AJ157" s="77">
        <f>IF(AND(AI157="Yes",AF157="Meets all three",AG157="Current delivery confirmed"),"Yes","No")</f>
        <v/>
      </c>
      <c r="AK157" s="77" t="inlineStr"/>
      <c r="AL157" s="77" t="inlineStr">
        <is>
          <t>RG10-S04-R1</t>
        </is>
      </c>
      <c r="AM157" s="77" t="inlineStr">
        <is>
          <t>Module name and code, deliverable, team structure, launch year and whether other clients replace Benifex in later runs. Only a search-summary paraphrase of the news item was obtained.</t>
        </is>
      </c>
      <c r="AN157" s="77" t="inlineStr"/>
      <c r="AO157" s="77" t="inlineStr">
        <is>
          <t>UK</t>
        </is>
      </c>
      <c r="AP157" s="77" t="inlineStr">
        <is>
          <t>UK – Russell Group</t>
        </is>
      </c>
      <c r="AQ157" s="77" t="inlineStr">
        <is>
          <t>Unclear</t>
        </is>
      </c>
      <c r="AR157" s="77" t="inlineStr">
        <is>
          <t>Unclear</t>
        </is>
      </c>
      <c r="AS157" s="77" t="inlineStr"/>
    </row>
    <row r="158">
      <c r="A158" s="77" t="inlineStr">
        <is>
          <t>RG10</t>
        </is>
      </c>
      <c r="B158" s="77" t="inlineStr">
        <is>
          <t>King’s College London</t>
        </is>
      </c>
      <c r="C158" s="77" t="inlineStr">
        <is>
          <t>Faculty/school</t>
        </is>
      </c>
      <c r="D158" s="77" t="inlineStr">
        <is>
          <t>RG10-S05</t>
        </is>
      </c>
      <c r="E158" s="77" t="inlineStr"/>
      <c r="F158" s="77" t="inlineStr">
        <is>
          <t>No</t>
        </is>
      </c>
      <c r="G158" s="79" t="inlineStr">
        <is>
          <t>Knowledge Exchange Projects (KEPs)</t>
        </is>
      </c>
      <c r="H158" s="77" t="inlineStr">
        <is>
          <t>Knowledge Exchange Projects</t>
        </is>
      </c>
      <c r="I158" s="77" t="inlineStr"/>
      <c r="J158"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58" s="77" t="inlineStr">
        <is>
          <t>Department of Informatics (Faculty of Natural, Mathematical &amp; Engineering Sciences)</t>
        </is>
      </c>
      <c r="L158" s="77" t="inlineStr">
        <is>
          <t>Final-year Informatics undergraduates (Year 3, Year 4/MSci) and MSc students; the 2025 call targeted final-year AI undergraduates</t>
        </is>
      </c>
      <c r="M158" s="77" t="inlineStr">
        <is>
          <t>Engineering/computing</t>
        </is>
      </c>
      <c r="N158" s="77" t="inlineStr">
        <is>
          <t>Mixed</t>
        </is>
      </c>
      <c r="O158" s="77" t="inlineStr">
        <is>
          <t>Final year UG; MSc</t>
        </is>
      </c>
      <c r="P158" s="77" t="inlineStr">
        <is>
          <t>Informatics students; allocation by skills and interests</t>
        </is>
      </c>
      <c r="Q158" s="77" t="inlineStr">
        <is>
          <t>Unclear</t>
        </is>
      </c>
      <c r="R158" s="77" t="inlineStr">
        <is>
          <t>Unclear</t>
        </is>
      </c>
      <c r="S158" s="77" t="inlineStr">
        <is>
          <t>Not stated (likely the final-year/MSc project, unconfirmed)</t>
        </is>
      </c>
      <c r="T158" s="77" t="inlineStr">
        <is>
          <t>About six months</t>
        </is>
      </c>
      <c r="U158" s="77" t="inlineStr">
        <is>
          <t>Supervised project with partner kick-off and supervision sessions</t>
        </is>
      </c>
      <c r="V158" s="77" t="inlineStr">
        <is>
          <t>Yes</t>
        </is>
      </c>
      <c r="W158" s="77" t="inlineStr">
        <is>
          <t>Partner briefs developed into full project briefs; students build software, code or prototypes, and the partner receives a copy of the outputs [1].</t>
        </is>
      </c>
      <c r="X158" s="77" t="inlineStr">
        <is>
          <t>Unclear</t>
        </is>
      </c>
      <c r="Y158" s="77" t="inlineStr">
        <is>
          <t>'Each brief is assigned to up to five students' [1]. This does not say whether those students produce one joint output or separate individual final-year projects on the same brief.</t>
        </is>
      </c>
      <c r="Z158" s="77" t="inlineStr">
        <is>
          <t>Yes</t>
        </is>
      </c>
      <c r="AA158"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58" s="77" t="inlineStr">
        <is>
          <t>Mixed</t>
        </is>
      </c>
      <c r="AC158" s="77" t="inlineStr">
        <is>
          <t>Proposes the brief, supplies data, joins supervision, receives outputs</t>
        </is>
      </c>
      <c r="AD158" s="77" t="inlineStr"/>
      <c r="AE158" s="77" t="inlineStr">
        <is>
          <t>Software, code or prototype</t>
        </is>
      </c>
      <c r="AF158" s="77">
        <f>IF(OR(V158="No",X158="No",Z158="No"),"Outside strict definition",IF(AND(V158="Yes",X158="Yes",Z158="Yes"),"Meets all three","Potentially relevant; evidence incomplete"))</f>
        <v/>
      </c>
      <c r="AG158" s="77" t="inlineStr">
        <is>
          <t>Current delivery confirmed</t>
        </is>
      </c>
      <c r="AH158" s="77" t="inlineStr">
        <is>
          <t>2025/26</t>
        </is>
      </c>
      <c r="AI158" s="77" t="inlineStr">
        <is>
          <t>Yes</t>
        </is>
      </c>
      <c r="AJ158" s="77">
        <f>IF(AND(AI158="Yes",AF158="Meets all three",AG158="Current delivery confirmed"),"Yes","No")</f>
        <v/>
      </c>
      <c r="AK158" s="77" t="inlineStr">
        <is>
          <t>Over 90 KEPs delivered since 2022 (cumulative projects, as stated on page)</t>
        </is>
      </c>
      <c r="AL158" s="77" t="inlineStr">
        <is>
          <t>RG10-S05-R1; RG10-S05-R2; RG10-S05-R3</t>
        </is>
      </c>
      <c r="AM158" s="77" t="inlineStr">
        <is>
          <t>Team vs individual working; credit and module mapping; whether it is compulsory or optional within the final-year project.</t>
        </is>
      </c>
      <c r="AN158" s="77" t="inlineStr"/>
      <c r="AO158" s="77" t="inlineStr">
        <is>
          <t>UK</t>
        </is>
      </c>
      <c r="AP158" s="77" t="inlineStr">
        <is>
          <t>UK – Russell Group</t>
        </is>
      </c>
      <c r="AQ158" s="77" t="inlineStr">
        <is>
          <t>&gt;1 term</t>
        </is>
      </c>
      <c r="AR158" s="77" t="inlineStr">
        <is>
          <t>All/standard</t>
        </is>
      </c>
      <c r="AS158" s="77" t="inlineStr"/>
    </row>
    <row r="159">
      <c r="A159" s="77" t="inlineStr">
        <is>
          <t>RG10</t>
        </is>
      </c>
      <c r="B159" s="77" t="inlineStr">
        <is>
          <t>King’s College London</t>
        </is>
      </c>
      <c r="C159" s="77" t="inlineStr">
        <is>
          <t>Programme/course</t>
        </is>
      </c>
      <c r="D159" s="77" t="inlineStr">
        <is>
          <t>RG10-S06</t>
        </is>
      </c>
      <c r="E159" s="77" t="inlineStr"/>
      <c r="F159" s="77" t="inlineStr">
        <is>
          <t>No</t>
        </is>
      </c>
      <c r="G159" s="79" t="inlineStr">
        <is>
          <t>MSc Advanced Software Engineering team project for external partners (incl. AWS Impact Accelerator challenges)</t>
        </is>
      </c>
      <c r="H159" s="77" t="inlineStr">
        <is>
          <t>Advanced Software Engineering external-partner team project</t>
        </is>
      </c>
      <c r="I159" s="77" t="inlineStr"/>
      <c r="J159"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59" s="77" t="inlineStr">
        <is>
          <t>Department of Informatics</t>
        </is>
      </c>
      <c r="L159" s="77" t="inlineStr">
        <is>
          <t>MSc Advanced Software Engineering (AWS strand: final-year master's students)</t>
        </is>
      </c>
      <c r="M159" s="77" t="inlineStr">
        <is>
          <t>Engineering/computing</t>
        </is>
      </c>
      <c r="N159" s="77" t="inlineStr">
        <is>
          <t>Postgraduate taught</t>
        </is>
      </c>
      <c r="O159" s="77" t="inlineStr">
        <is>
          <t>1-year MSc, semester 2</t>
        </is>
      </c>
      <c r="P159" s="77" t="inlineStr"/>
      <c r="Q159" s="77" t="inlineStr">
        <is>
          <t>Unclear</t>
        </is>
      </c>
      <c r="R159" s="77" t="inlineStr">
        <is>
          <t>Curricular</t>
        </is>
      </c>
      <c r="S159" s="77" t="inlineStr">
        <is>
          <t>Module/credit not identified (separate from the 60-credit individual project)</t>
        </is>
      </c>
      <c r="T159" s="77" t="inlineStr">
        <is>
          <t>Semester 2 (AWS strand)</t>
        </is>
      </c>
      <c r="U159" s="77" t="inlineStr">
        <is>
          <t>Team software project with academic supervisor and domain advisor</t>
        </is>
      </c>
      <c r="V159" s="77" t="inlineStr">
        <is>
          <t>Yes</t>
        </is>
      </c>
      <c r="W159" s="77" t="inlineStr">
        <is>
          <t>'develop a software solution for one of our external partners' [1]; councils' digital solutions [2].</t>
        </is>
      </c>
      <c r="X159" s="77" t="inlineStr">
        <is>
          <t>Yes</t>
        </is>
      </c>
      <c r="Y159" s="77" t="inlineStr">
        <is>
          <t>'join a team of students with varied backgrounds to develop a software solution' [1].</t>
        </is>
      </c>
      <c r="Z159" s="77" t="inlineStr">
        <is>
          <t>Yes</t>
        </is>
      </c>
      <c r="AA159" s="77" t="inlineStr">
        <is>
          <t>External partners are the recipients of the team's software solution [1]; public-sector challenge sponsors set the problems, and AWS mentors take part [2].</t>
        </is>
      </c>
      <c r="AB159" s="77" t="inlineStr">
        <is>
          <t>Mixed</t>
        </is>
      </c>
      <c r="AC159" s="77" t="inlineStr">
        <is>
          <t>Partner sets the problem and receives the solution; AWS provides mentors and technology in the Impact Accelerator strand</t>
        </is>
      </c>
      <c r="AD159" s="77" t="inlineStr">
        <is>
          <t>Richmond Council and Wandsworth Council with AWS (year not shown); course page names IBM, Terranova Software, Aerogility as companies students can work with</t>
        </is>
      </c>
      <c r="AE159" s="77" t="inlineStr">
        <is>
          <t>Software solution / digital prototype</t>
        </is>
      </c>
      <c r="AF159" s="77">
        <f>IF(OR(V159="No",X159="No",Z159="No"),"Outside strict definition",IF(AND(V159="Yes",X159="Yes",Z159="Yes"),"Meets all three","Potentially relevant; evidence incomplete"))</f>
        <v/>
      </c>
      <c r="AG159" s="77" t="inlineStr">
        <is>
          <t>Current status unclear</t>
        </is>
      </c>
      <c r="AH159" s="77" t="inlineStr"/>
      <c r="AI159" s="77" t="inlineStr">
        <is>
          <t>Yes</t>
        </is>
      </c>
      <c r="AJ159" s="77">
        <f>IF(AND(AI159="Yes",AF159="Meets all three",AG159="Current delivery confirmed"),"Yes","No")</f>
        <v/>
      </c>
      <c r="AK159" s="77" t="inlineStr"/>
      <c r="AL159" s="77" t="inlineStr">
        <is>
          <t>RG10-S06-R1; RG10-S06-R2; RG10-S06-R3</t>
        </is>
      </c>
      <c r="AM159"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59" s="77" t="inlineStr"/>
      <c r="AO159" s="77" t="inlineStr">
        <is>
          <t>UK</t>
        </is>
      </c>
      <c r="AP159" s="77" t="inlineStr">
        <is>
          <t>UK – Russell Group</t>
        </is>
      </c>
      <c r="AQ159" s="77" t="inlineStr">
        <is>
          <t>~1 term/semester</t>
        </is>
      </c>
      <c r="AR159" s="77" t="inlineStr">
        <is>
          <t>All/standard</t>
        </is>
      </c>
      <c r="AS159" s="77" t="inlineStr"/>
    </row>
    <row r="160">
      <c r="A160" s="77" t="inlineStr">
        <is>
          <t>RG10</t>
        </is>
      </c>
      <c r="B160" s="77" t="inlineStr">
        <is>
          <t>King’s College London</t>
        </is>
      </c>
      <c r="C160" s="77" t="inlineStr">
        <is>
          <t>Programme/course</t>
        </is>
      </c>
      <c r="D160" s="77" t="inlineStr">
        <is>
          <t>RG10-S07</t>
        </is>
      </c>
      <c r="E160" s="77" t="inlineStr"/>
      <c r="F160" s="77" t="inlineStr">
        <is>
          <t>No</t>
        </is>
      </c>
      <c r="G160" s="79" t="inlineStr">
        <is>
          <t>Software Engineering Group Project</t>
        </is>
      </c>
      <c r="H160" s="77" t="inlineStr">
        <is>
          <t>Software Engineering Group Project</t>
        </is>
      </c>
      <c r="I160" s="77" t="inlineStr">
        <is>
          <t>5CCS2SEG</t>
        </is>
      </c>
      <c r="J160" s="77" t="inlineStr">
        <is>
          <t>A Level 5 (second-year) module in which undergraduate Computer Science students build a substantial software system as a team. No source found showing that external clients set or receive the projects.</t>
        </is>
      </c>
      <c r="K160" s="77" t="inlineStr">
        <is>
          <t>Department of Informatics</t>
        </is>
      </c>
      <c r="L160" s="77" t="inlineStr">
        <is>
          <t>BSc/MSci Computer Science and related Informatics degrees</t>
        </is>
      </c>
      <c r="M160" s="77" t="inlineStr">
        <is>
          <t>Engineering/computing</t>
        </is>
      </c>
      <c r="N160" s="77" t="inlineStr">
        <is>
          <t>Undergraduate</t>
        </is>
      </c>
      <c r="O160" s="77" t="inlineStr">
        <is>
          <t>Year 2</t>
        </is>
      </c>
      <c r="P160" s="77" t="inlineStr"/>
      <c r="Q160" s="77" t="inlineStr">
        <is>
          <t>Unclear</t>
        </is>
      </c>
      <c r="R160" s="77" t="inlineStr">
        <is>
          <t>Curricular</t>
        </is>
      </c>
      <c r="S160" s="77" t="inlineStr">
        <is>
          <t>Not obtained</t>
        </is>
      </c>
      <c r="T160" s="77" t="inlineStr"/>
      <c r="U160" s="77" t="inlineStr">
        <is>
          <t>Team software development</t>
        </is>
      </c>
      <c r="V160" s="77" t="inlineStr">
        <is>
          <t>Yes</t>
        </is>
      </c>
      <c r="W160" s="77" t="inlineStr">
        <is>
          <t>Develop 'a substantial software system' [2].</t>
        </is>
      </c>
      <c r="X160" s="77" t="inlineStr">
        <is>
          <t>Yes</t>
        </is>
      </c>
      <c r="Y160" s="77" t="inlineStr">
        <is>
          <t>'you'll also work as part of a team to develop a substantial software system' [2].</t>
        </is>
      </c>
      <c r="Z160" s="77" t="inlineStr">
        <is>
          <t>Unclear</t>
        </is>
      </c>
      <c r="AA160" s="77" t="inlineStr">
        <is>
          <t>No module-level evidence of external clients. The Informatics department says some student projects are co-designed with external partners, but that is not tied to this module.</t>
        </is>
      </c>
      <c r="AB160" s="77" t="inlineStr">
        <is>
          <t>Unclear</t>
        </is>
      </c>
      <c r="AC160" s="77" t="inlineStr"/>
      <c r="AD160" s="77" t="inlineStr"/>
      <c r="AE160" s="77" t="inlineStr"/>
      <c r="AF160" s="77">
        <f>IF(OR(V160="No",X160="No",Z160="No"),"Outside strict definition",IF(AND(V160="Yes",X160="Yes",Z160="Yes"),"Meets all three","Potentially relevant; evidence incomplete"))</f>
        <v/>
      </c>
      <c r="AG160" s="77" t="inlineStr">
        <is>
          <t>Current status unclear</t>
        </is>
      </c>
      <c r="AH160" s="77" t="inlineStr"/>
      <c r="AI160" s="77" t="inlineStr">
        <is>
          <t>Yes</t>
        </is>
      </c>
      <c r="AJ160" s="77">
        <f>IF(AND(AI160="Yes",AF160="Meets all three",AG160="Current delivery confirmed"),"Yes","No")</f>
        <v/>
      </c>
      <c r="AK160" s="77" t="inlineStr"/>
      <c r="AL160" s="77" t="inlineStr">
        <is>
          <t>RG10-S07-R1; RG10-S07-R2</t>
        </is>
      </c>
      <c r="AM160" s="77" t="inlineStr">
        <is>
          <t>Whether clients are external organisations; the handbook URL is an older site structure.</t>
        </is>
      </c>
      <c r="AN160" s="77" t="inlineStr"/>
      <c r="AO160" s="77" t="inlineStr">
        <is>
          <t>UK</t>
        </is>
      </c>
      <c r="AP160" s="77" t="inlineStr">
        <is>
          <t>UK – Russell Group</t>
        </is>
      </c>
      <c r="AQ160" s="77" t="inlineStr">
        <is>
          <t>Unclear</t>
        </is>
      </c>
      <c r="AR160" s="77" t="inlineStr">
        <is>
          <t>Unclear</t>
        </is>
      </c>
      <c r="AS160" s="77" t="inlineStr"/>
    </row>
    <row r="161">
      <c r="A161" s="77" t="inlineStr">
        <is>
          <t>RG10</t>
        </is>
      </c>
      <c r="B161" s="77" t="inlineStr">
        <is>
          <t>King’s College London</t>
        </is>
      </c>
      <c r="C161" s="77" t="inlineStr">
        <is>
          <t>Programme/course</t>
        </is>
      </c>
      <c r="D161" s="77" t="inlineStr">
        <is>
          <t>RG10-S08</t>
        </is>
      </c>
      <c r="E161" s="77" t="inlineStr"/>
      <c r="F161" s="77" t="inlineStr">
        <is>
          <t>No</t>
        </is>
      </c>
      <c r="G161" s="79" t="inlineStr">
        <is>
          <t>Major group project (General Engineering MEng)</t>
        </is>
      </c>
      <c r="H161" s="77" t="inlineStr">
        <is>
          <t>Engineering MEng group project</t>
        </is>
      </c>
      <c r="I161" s="77" t="inlineStr"/>
      <c r="J161"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61" s="77" t="inlineStr">
        <is>
          <t>Department of Engineering</t>
        </is>
      </c>
      <c r="L161" s="77" t="inlineStr">
        <is>
          <t>General Engineering MEng, Electrical Engineering MEng, MSc Robotics</t>
        </is>
      </c>
      <c r="M161" s="77" t="inlineStr">
        <is>
          <t>Engineering/computing</t>
        </is>
      </c>
      <c r="N161" s="77" t="inlineStr">
        <is>
          <t>Mixed</t>
        </is>
      </c>
      <c r="O161" s="77" t="inlineStr">
        <is>
          <t>Final year MEng; MSc</t>
        </is>
      </c>
      <c r="P161" s="77" t="inlineStr"/>
      <c r="Q161" s="77" t="inlineStr">
        <is>
          <t>Compulsory within specified programmes</t>
        </is>
      </c>
      <c r="R161" s="77" t="inlineStr">
        <is>
          <t>Curricular</t>
        </is>
      </c>
      <c r="S161" s="77" t="inlineStr"/>
      <c r="T161" s="77" t="inlineStr"/>
      <c r="U161" s="77" t="inlineStr">
        <is>
          <t>Team project in dedicated project space</t>
        </is>
      </c>
      <c r="V161" s="77" t="inlineStr">
        <is>
          <t>Yes</t>
        </is>
      </c>
      <c r="W161" s="77" t="inlineStr">
        <is>
          <t>Major project on real-world problems [1].</t>
        </is>
      </c>
      <c r="X161" s="77" t="inlineStr">
        <is>
          <t>Yes</t>
        </is>
      </c>
      <c r="Y161" s="77" t="inlineStr">
        <is>
          <t>'major group project' undertaken with a mixed cohort [1].</t>
        </is>
      </c>
      <c r="Z161" s="77" t="inlineStr">
        <is>
          <t>Unclear</t>
        </is>
      </c>
      <c r="AA161" s="77" t="inlineStr">
        <is>
          <t>Themes are 'real-world', but no external organisation is shown setting briefs or receiving outputs. Departmental industry ties (Ericsson, BT, JLR, Caterpillar) are research-based [2].</t>
        </is>
      </c>
      <c r="AB161" s="77" t="inlineStr">
        <is>
          <t>Unclear</t>
        </is>
      </c>
      <c r="AC161" s="77" t="inlineStr"/>
      <c r="AD161" s="77" t="inlineStr"/>
      <c r="AE161" s="77" t="inlineStr"/>
      <c r="AF161" s="77">
        <f>IF(OR(V161="No",X161="No",Z161="No"),"Outside strict definition",IF(AND(V161="Yes",X161="Yes",Z161="Yes"),"Meets all three","Potentially relevant; evidence incomplete"))</f>
        <v/>
      </c>
      <c r="AG161" s="77" t="inlineStr">
        <is>
          <t>Current status unclear</t>
        </is>
      </c>
      <c r="AH161" s="77" t="inlineStr"/>
      <c r="AI161" s="77" t="inlineStr">
        <is>
          <t>Yes</t>
        </is>
      </c>
      <c r="AJ161" s="77">
        <f>IF(AND(AI161="Yes",AF161="Meets all three",AG161="Current delivery confirmed"),"Yes","No")</f>
        <v/>
      </c>
      <c r="AK161" s="77" t="inlineStr"/>
      <c r="AL161" s="77" t="inlineStr">
        <is>
          <t>RG10-S08-R1; RG10-S08-R2</t>
        </is>
      </c>
      <c r="AM161" s="77" t="inlineStr">
        <is>
          <t>Whether industry sponsors set the group-project briefs; compulsory status inferred from 'ends with a major group project' (check); no dated source found.</t>
        </is>
      </c>
      <c r="AN161" s="77" t="inlineStr"/>
      <c r="AO161" s="77" t="inlineStr">
        <is>
          <t>UK</t>
        </is>
      </c>
      <c r="AP161" s="77" t="inlineStr">
        <is>
          <t>UK – Russell Group</t>
        </is>
      </c>
      <c r="AQ161" s="77" t="inlineStr">
        <is>
          <t>Unclear</t>
        </is>
      </c>
      <c r="AR161" s="77" t="inlineStr">
        <is>
          <t>Unclear</t>
        </is>
      </c>
      <c r="AS161" s="77" t="inlineStr"/>
    </row>
    <row r="162">
      <c r="A162" s="77" t="inlineStr">
        <is>
          <t>RG10</t>
        </is>
      </c>
      <c r="B162" s="77" t="inlineStr">
        <is>
          <t>King’s College London</t>
        </is>
      </c>
      <c r="C162" s="77" t="inlineStr">
        <is>
          <t>University-wide</t>
        </is>
      </c>
      <c r="D162" s="77" t="inlineStr">
        <is>
          <t>RG10-S09</t>
        </is>
      </c>
      <c r="E162" s="77" t="inlineStr"/>
      <c r="F162" s="77" t="inlineStr">
        <is>
          <t>No</t>
        </is>
      </c>
      <c r="G162" s="79" t="inlineStr">
        <is>
          <t>Insights Programme - Virtual Micro Internships</t>
        </is>
      </c>
      <c r="H162" s="77" t="inlineStr">
        <is>
          <t>Insights Programme (Virtual Micro Internships)</t>
        </is>
      </c>
      <c r="I162" s="77" t="inlineStr"/>
      <c r="J162"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62" s="77" t="inlineStr">
        <is>
          <t>King's Careers &amp; Employability (Work-related Learning)</t>
        </is>
      </c>
      <c r="L162" s="77" t="inlineStr">
        <is>
          <t>Final-year undergraduates across all nine faculties (one source says the offer is for final-year UGs or PhD students from under-represented communities)</t>
        </is>
      </c>
      <c r="M162" s="77" t="inlineStr">
        <is>
          <t>Central provision</t>
        </is>
      </c>
      <c r="N162" s="77" t="inlineStr">
        <is>
          <t>Undergraduate</t>
        </is>
      </c>
      <c r="O162" s="77" t="inlineStr">
        <is>
          <t>Final year</t>
        </is>
      </c>
      <c r="P162" s="77" t="inlineStr">
        <is>
          <t>Final-year UGs; possibly targeted at under-represented groups (sources conflict)</t>
        </is>
      </c>
      <c r="Q162" s="77" t="inlineStr">
        <is>
          <t>Optional/elective</t>
        </is>
      </c>
      <c r="R162" s="77" t="inlineStr">
        <is>
          <t>Extracurricular</t>
        </is>
      </c>
      <c r="S162" s="77" t="inlineStr">
        <is>
          <t>No credit</t>
        </is>
      </c>
      <c r="T162" s="77" t="inlineStr">
        <is>
          <t>2 weeks (25 hours)</t>
        </is>
      </c>
      <c r="U162" s="77" t="inlineStr">
        <is>
          <t>Virtual, on the Practera platform, with live employer brief</t>
        </is>
      </c>
      <c r="V162" s="77" t="inlineStr">
        <is>
          <t>Yes</t>
        </is>
      </c>
      <c r="W162" s="77" t="inlineStr">
        <is>
          <t>'industry-relevant project proposed by the employer'; students return reports such as technical reports on sustainability and growth strategy [1].</t>
        </is>
      </c>
      <c r="X162" s="77" t="inlineStr">
        <is>
          <t>Yes</t>
        </is>
      </c>
      <c r="Y162" s="77" t="inlineStr">
        <is>
          <t>'students work in groups' [1].</t>
        </is>
      </c>
      <c r="Z162" s="77" t="inlineStr">
        <is>
          <t>Yes</t>
        </is>
      </c>
      <c r="AA162" s="77" t="inlineStr">
        <is>
          <t>Employers propose the project brief and receive the students' reports, with support throughout. This is a live brief, not a pre-built simulation [1].</t>
        </is>
      </c>
      <c r="AB162" s="77" t="inlineStr">
        <is>
          <t>Business/commercial</t>
        </is>
      </c>
      <c r="AC162" s="77" t="inlineStr">
        <is>
          <t>Employer proposes the brief and receives the output</t>
        </is>
      </c>
      <c r="AD162" s="77" t="inlineStr"/>
      <c r="AE162" s="77" t="inlineStr">
        <is>
          <t>Group report (e.g. technical report) to employer</t>
        </is>
      </c>
      <c r="AF162" s="77">
        <f>IF(OR(V162="No",X162="No",Z162="No"),"Outside strict definition",IF(AND(V162="Yes",X162="Yes",Z162="Yes"),"Meets all three","Potentially relevant; evidence incomplete"))</f>
        <v/>
      </c>
      <c r="AG162" s="77" t="inlineStr">
        <is>
          <t>Current status unclear</t>
        </is>
      </c>
      <c r="AH162" s="77" t="inlineStr"/>
      <c r="AI162" s="77" t="inlineStr">
        <is>
          <t>Yes</t>
        </is>
      </c>
      <c r="AJ162" s="77">
        <f>IF(AND(AI162="Yes",AF162="Meets all three",AG162="Current delivery confirmed"),"Yes","No")</f>
        <v/>
      </c>
      <c r="AK162" s="77" t="inlineStr"/>
      <c r="AL162" s="77" t="inlineStr">
        <is>
          <t>RG10-S09-R1; RG10-S09-R2</t>
        </is>
      </c>
      <c r="AM162" s="77" t="inlineStr">
        <is>
          <t>No dated 2025/26 or 2026/27 run found; the target cohort conflicts (all final-year UGs vs under-represented groups); the launch article is undated.</t>
        </is>
      </c>
      <c r="AN162" s="77" t="inlineStr"/>
      <c r="AO162" s="77" t="inlineStr">
        <is>
          <t>UK</t>
        </is>
      </c>
      <c r="AP162" s="77" t="inlineStr">
        <is>
          <t>UK – Russell Group</t>
        </is>
      </c>
      <c r="AQ162" s="77" t="inlineStr">
        <is>
          <t>1–4 weeks</t>
        </is>
      </c>
      <c r="AR162" s="77" t="inlineStr">
        <is>
          <t>All/standard</t>
        </is>
      </c>
      <c r="AS162" s="77" t="inlineStr"/>
    </row>
    <row r="163">
      <c r="A163" s="77" t="inlineStr">
        <is>
          <t>RG10</t>
        </is>
      </c>
      <c r="B163" s="77" t="inlineStr">
        <is>
          <t>King’s College London</t>
        </is>
      </c>
      <c r="C163" s="77" t="inlineStr">
        <is>
          <t>Unclear</t>
        </is>
      </c>
      <c r="D163" s="77" t="inlineStr">
        <is>
          <t>RG10-S10</t>
        </is>
      </c>
      <c r="E163" s="77" t="inlineStr"/>
      <c r="F163" s="77" t="inlineStr">
        <is>
          <t>No</t>
        </is>
      </c>
      <c r="G163" s="79" t="inlineStr">
        <is>
          <t>Business Challenges &amp; Projects (Virtual Business Projects)</t>
        </is>
      </c>
      <c r="H163" s="77" t="inlineStr">
        <is>
          <t>Virtual Business Projects</t>
        </is>
      </c>
      <c r="I163" s="77" t="inlineStr"/>
      <c r="J163" s="77" t="inlineStr">
        <is>
          <t>Employer-facing page describing Virtual Business Projects. Participants solve challenges posed directly by employers, in groups, on topics such as ESG, international business development and branding. Probably the same Insights offer as S9.</t>
        </is>
      </c>
      <c r="K163" s="77" t="inlineStr">
        <is>
          <t>King's Careers &amp; Employability</t>
        </is>
      </c>
      <c r="L163" s="77" t="inlineStr"/>
      <c r="M163" s="77" t="inlineStr">
        <is>
          <t>Central provision</t>
        </is>
      </c>
      <c r="N163" s="77" t="inlineStr">
        <is>
          <t>Unclear</t>
        </is>
      </c>
      <c r="O163" s="77" t="inlineStr"/>
      <c r="P163" s="77" t="inlineStr"/>
      <c r="Q163" s="77" t="inlineStr">
        <is>
          <t>Optional/elective</t>
        </is>
      </c>
      <c r="R163" s="77" t="inlineStr">
        <is>
          <t>Extracurricular</t>
        </is>
      </c>
      <c r="S163" s="77" t="inlineStr"/>
      <c r="T163" s="77" t="inlineStr"/>
      <c r="U163" s="77" t="inlineStr"/>
      <c r="V163" s="77" t="inlineStr">
        <is>
          <t>Yes</t>
        </is>
      </c>
      <c r="W163" s="77" t="inlineStr">
        <is>
          <t>Challenges posed by employers on defined topics [1].</t>
        </is>
      </c>
      <c r="X163" s="77" t="inlineStr">
        <is>
          <t>Yes</t>
        </is>
      </c>
      <c r="Y163" s="77" t="inlineStr">
        <is>
          <t>'solve challenges in groups' [1].</t>
        </is>
      </c>
      <c r="Z163" s="77" t="inlineStr">
        <is>
          <t>Yes</t>
        </is>
      </c>
      <c r="AA163" s="77" t="inlineStr">
        <is>
          <t>Challenges 'posed directly by employers' [1].</t>
        </is>
      </c>
      <c r="AB163" s="77" t="inlineStr">
        <is>
          <t>Business/commercial</t>
        </is>
      </c>
      <c r="AC163" s="77" t="inlineStr"/>
      <c r="AD163" s="77" t="inlineStr"/>
      <c r="AE163" s="77" t="inlineStr"/>
      <c r="AF163" s="77">
        <f>IF(OR(V163="No",X163="No",Z163="No"),"Outside strict definition",IF(AND(V163="Yes",X163="Yes",Z163="Yes"),"Meets all three","Potentially relevant; evidence incomplete"))</f>
        <v/>
      </c>
      <c r="AG163" s="77" t="inlineStr">
        <is>
          <t>Current status unclear</t>
        </is>
      </c>
      <c r="AH163" s="77" t="inlineStr"/>
      <c r="AI163" s="77" t="inlineStr">
        <is>
          <t>No</t>
        </is>
      </c>
      <c r="AJ163" s="77">
        <f>IF(AND(AI163="Yes",AF163="Meets all three",AG163="Current delivery confirmed"),"Yes","No")</f>
        <v/>
      </c>
      <c r="AK163" s="77" t="inlineStr"/>
      <c r="AL163" s="77" t="inlineStr">
        <is>
          <t>RG10-S10-R1</t>
        </is>
      </c>
      <c r="AM163" s="77" t="inlineStr">
        <is>
          <t>Probably the partner-facing description of the Insights Programme (S9).</t>
        </is>
      </c>
      <c r="AN163" s="77" t="inlineStr"/>
      <c r="AO163" s="77" t="inlineStr">
        <is>
          <t>UK</t>
        </is>
      </c>
      <c r="AP163" s="77" t="inlineStr">
        <is>
          <t>UK – Russell Group</t>
        </is>
      </c>
      <c r="AQ163" s="77" t="inlineStr">
        <is>
          <t>Unclear</t>
        </is>
      </c>
      <c r="AR163" s="77" t="inlineStr">
        <is>
          <t>All/standard</t>
        </is>
      </c>
      <c r="AS163" s="77" t="inlineStr">
        <is>
          <t>No (possible duplicate of RG10-S09)</t>
        </is>
      </c>
    </row>
    <row r="164">
      <c r="A164" s="77" t="inlineStr">
        <is>
          <t>RG10</t>
        </is>
      </c>
      <c r="B164" s="77" t="inlineStr">
        <is>
          <t>King’s College London</t>
        </is>
      </c>
      <c r="C164" s="77" t="inlineStr">
        <is>
          <t>Unclear</t>
        </is>
      </c>
      <c r="D164" s="77" t="inlineStr">
        <is>
          <t>RG10-S11</t>
        </is>
      </c>
      <c r="E164" s="77" t="inlineStr"/>
      <c r="F164" s="77" t="inlineStr">
        <is>
          <t>Yes</t>
        </is>
      </c>
      <c r="G164" s="79" t="inlineStr">
        <is>
          <t>King's Civic Leadership Academy (CLA)</t>
        </is>
      </c>
      <c r="H164" s="77" t="inlineStr">
        <is>
          <t>King's Civic Leadership Academy</t>
        </is>
      </c>
      <c r="I164" s="77" t="inlineStr"/>
      <c r="J164"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64" s="77" t="inlineStr">
        <is>
          <t>King's (social mobility / King's Local civic engagement)</t>
        </is>
      </c>
      <c r="L164" s="77" t="inlineStr">
        <is>
          <t>Non-final-year undergraduates</t>
        </is>
      </c>
      <c r="M164" s="77" t="inlineStr">
        <is>
          <t>Central provision</t>
        </is>
      </c>
      <c r="N164" s="77" t="inlineStr">
        <is>
          <t>Undergraduate</t>
        </is>
      </c>
      <c r="O164" s="77" t="inlineStr">
        <is>
          <t>Non-final year</t>
        </is>
      </c>
      <c r="P164" s="77" t="inlineStr">
        <is>
          <t>Non-final-year UGs; selective (100 Kickstarter / 50 internship places); listed under social-mobility programmes, so it may target widening-participation students</t>
        </is>
      </c>
      <c r="Q164" s="77" t="inlineStr">
        <is>
          <t>Selective/competitive</t>
        </is>
      </c>
      <c r="R164" s="77" t="inlineStr">
        <is>
          <t>Extracurricular</t>
        </is>
      </c>
      <c r="S164" s="77" t="inlineStr"/>
      <c r="T164" s="77" t="inlineStr"/>
      <c r="U164" s="77" t="inlineStr"/>
      <c r="V164" s="77" t="inlineStr">
        <is>
          <t>Yes</t>
        </is>
      </c>
      <c r="W164" s="77" t="inlineStr">
        <is>
          <t>See children.</t>
        </is>
      </c>
      <c r="X164" s="77" t="inlineStr">
        <is>
          <t>Unclear</t>
        </is>
      </c>
      <c r="Y164" s="77" t="inlineStr">
        <is>
          <t>See children.</t>
        </is>
      </c>
      <c r="Z164" s="77" t="inlineStr">
        <is>
          <t>Yes</t>
        </is>
      </c>
      <c r="AA164" s="77" t="inlineStr">
        <is>
          <t>Charity partners host students and supply issues/challenges [1][2].</t>
        </is>
      </c>
      <c r="AB164" s="77" t="inlineStr">
        <is>
          <t>Charity/community</t>
        </is>
      </c>
      <c r="AC164" s="77" t="inlineStr"/>
      <c r="AD164" s="77" t="inlineStr">
        <is>
          <t>Pecan, Young Barnet Foundation, Living Wage Foundation (among 18 charity partners; year not shown)</t>
        </is>
      </c>
      <c r="AE164" s="77" t="inlineStr"/>
      <c r="AF164" s="77">
        <f>IF(OR(V164="No",X164="No",Z164="No"),"Outside strict definition",IF(AND(V164="Yes",X164="Yes",Z164="Yes"),"Meets all three","Potentially relevant; evidence incomplete"))</f>
        <v/>
      </c>
      <c r="AG164" s="77" t="inlineStr">
        <is>
          <t>Current delivery confirmed</t>
        </is>
      </c>
      <c r="AH164" s="77" t="inlineStr">
        <is>
          <t>2025/26</t>
        </is>
      </c>
      <c r="AI164" s="77" t="inlineStr">
        <is>
          <t>No</t>
        </is>
      </c>
      <c r="AJ164" s="77">
        <f>IF(AND(AI164="Yes",AF164="Meets all three",AG164="Current delivery confirmed"),"Yes","No")</f>
        <v/>
      </c>
      <c r="AK164" s="77" t="inlineStr">
        <is>
          <t>2025-26 capacity: 100 Kickstarter places, 50 internship places</t>
        </is>
      </c>
      <c r="AL164" s="77" t="inlineStr">
        <is>
          <t>RG10-S11-R1; RG10-S11-R2</t>
        </is>
      </c>
      <c r="AM164" s="77" t="inlineStr">
        <is>
          <t>Whether open to all undergraduates or targeted at under-represented groups.</t>
        </is>
      </c>
      <c r="AN164" s="77" t="inlineStr"/>
      <c r="AO164" s="77" t="inlineStr">
        <is>
          <t>UK</t>
        </is>
      </c>
      <c r="AP164" s="77" t="inlineStr">
        <is>
          <t>UK – Russell Group</t>
        </is>
      </c>
      <c r="AQ164" s="77" t="inlineStr">
        <is>
          <t>&gt;1 term</t>
        </is>
      </c>
      <c r="AR164" s="77" t="inlineStr">
        <is>
          <t>All/standard</t>
        </is>
      </c>
      <c r="AS164" s="77" t="inlineStr">
        <is>
          <t>No (umbrella; children counted)</t>
        </is>
      </c>
    </row>
    <row r="165">
      <c r="A165" s="77" t="inlineStr">
        <is>
          <t>RG10</t>
        </is>
      </c>
      <c r="B165" s="77" t="inlineStr">
        <is>
          <t>King’s College London</t>
        </is>
      </c>
      <c r="C165" s="77" t="inlineStr">
        <is>
          <t>Unclear</t>
        </is>
      </c>
      <c r="D165" s="77" t="inlineStr">
        <is>
          <t>RG10-S12</t>
        </is>
      </c>
      <c r="E165" s="77" t="inlineStr">
        <is>
          <t>RG10-S11</t>
        </is>
      </c>
      <c r="F165" s="77" t="inlineStr">
        <is>
          <t>No</t>
        </is>
      </c>
      <c r="G165" s="79" t="inlineStr">
        <is>
          <t>CLA Kickstarter - Community challenge</t>
        </is>
      </c>
      <c r="H165" s="77" t="inlineStr">
        <is>
          <t>CLA Kickstarter community challenge</t>
        </is>
      </c>
      <c r="I165" s="77" t="inlineStr"/>
      <c r="J165" s="77" t="inlineStr">
        <is>
          <t>During the 3-day Kickstarter (February 2026), Community Partners can run a 'Community challenge' with student groups or host students at their offices.</t>
        </is>
      </c>
      <c r="K165" s="77" t="inlineStr">
        <is>
          <t>King's Civic Leadership Academy</t>
        </is>
      </c>
      <c r="L165" s="77" t="inlineStr">
        <is>
          <t>Non-final-year undergraduates selected for CLA</t>
        </is>
      </c>
      <c r="M165" s="77" t="inlineStr">
        <is>
          <t>Central provision</t>
        </is>
      </c>
      <c r="N165" s="77" t="inlineStr">
        <is>
          <t>Undergraduate</t>
        </is>
      </c>
      <c r="O165" s="77" t="inlineStr"/>
      <c r="P165" s="77" t="inlineStr"/>
      <c r="Q165" s="77" t="inlineStr">
        <is>
          <t>Selective/competitive</t>
        </is>
      </c>
      <c r="R165" s="77" t="inlineStr">
        <is>
          <t>Extracurricular</t>
        </is>
      </c>
      <c r="S165" s="77" t="inlineStr"/>
      <c r="T165" s="77" t="inlineStr">
        <is>
          <t>3 days (Feb 2026)</t>
        </is>
      </c>
      <c r="U165" s="77" t="inlineStr"/>
      <c r="V165" s="77" t="inlineStr">
        <is>
          <t>Unclear</t>
        </is>
      </c>
      <c r="W165" s="77" t="inlineStr">
        <is>
          <t>A 3-day challenge format; no defined output for the organisation is evidenced [1].</t>
        </is>
      </c>
      <c r="X165" s="77" t="inlineStr">
        <is>
          <t>Yes</t>
        </is>
      </c>
      <c r="Y165" s="77" t="inlineStr">
        <is>
          <t>'Community challenge' run 'with student groups' [1].</t>
        </is>
      </c>
      <c r="Z165" s="77" t="inlineStr">
        <is>
          <t>Yes</t>
        </is>
      </c>
      <c r="AA165" s="77" t="inlineStr">
        <is>
          <t>Community Partner organisations run the challenge [1].</t>
        </is>
      </c>
      <c r="AB165" s="77" t="inlineStr">
        <is>
          <t>Charity/community</t>
        </is>
      </c>
      <c r="AC165" s="77" t="inlineStr">
        <is>
          <t>Sets and runs the challenge</t>
        </is>
      </c>
      <c r="AD165" s="77" t="inlineStr"/>
      <c r="AE165" s="77" t="inlineStr"/>
      <c r="AF165" s="77">
        <f>IF(OR(V165="No",X165="No",Z165="No"),"Outside strict definition",IF(AND(V165="Yes",X165="Yes",Z165="Yes"),"Meets all three","Potentially relevant; evidence incomplete"))</f>
        <v/>
      </c>
      <c r="AG165" s="77" t="inlineStr">
        <is>
          <t>Current delivery confirmed</t>
        </is>
      </c>
      <c r="AH165" s="77" t="inlineStr">
        <is>
          <t>2025/26</t>
        </is>
      </c>
      <c r="AI165" s="77" t="inlineStr">
        <is>
          <t>Yes</t>
        </is>
      </c>
      <c r="AJ165" s="77">
        <f>IF(AND(AI165="Yes",AF165="Meets all three",AG165="Current delivery confirmed"),"Yes","No")</f>
        <v/>
      </c>
      <c r="AK165" s="77" t="inlineStr"/>
      <c r="AL165" s="77" t="inlineStr">
        <is>
          <t>RG10-S12-R1</t>
        </is>
      </c>
      <c r="AM165" s="77" t="inlineStr">
        <is>
          <t>Output of the challenge is not evidenced, so A is Unclear. Partners could alternatively host office visits; this record covers only the partner-run 'Community challenge' option, where the partner sets the challenge by definition.</t>
        </is>
      </c>
      <c r="AN165" s="77" t="inlineStr"/>
      <c r="AO165" s="77" t="inlineStr">
        <is>
          <t>UK</t>
        </is>
      </c>
      <c r="AP165" s="77" t="inlineStr">
        <is>
          <t>UK – Russell Group</t>
        </is>
      </c>
      <c r="AQ165" s="77" t="inlineStr">
        <is>
          <t>&lt;1 week</t>
        </is>
      </c>
      <c r="AR165" s="77" t="inlineStr">
        <is>
          <t>All/standard</t>
        </is>
      </c>
      <c r="AS165" s="77" t="inlineStr"/>
    </row>
    <row r="166">
      <c r="A166" s="77" t="inlineStr">
        <is>
          <t>RG10</t>
        </is>
      </c>
      <c r="B166" s="77" t="inlineStr">
        <is>
          <t>King’s College London</t>
        </is>
      </c>
      <c r="C166" s="77" t="inlineStr">
        <is>
          <t>Unclear</t>
        </is>
      </c>
      <c r="D166" s="77" t="inlineStr">
        <is>
          <t>RG10-S13</t>
        </is>
      </c>
      <c r="E166" s="77" t="inlineStr">
        <is>
          <t>RG10-S11</t>
        </is>
      </c>
      <c r="F166" s="77" t="inlineStr">
        <is>
          <t>No</t>
        </is>
      </c>
      <c r="G166" s="79" t="inlineStr">
        <is>
          <t>CLA project-based internship with a community organisation</t>
        </is>
      </c>
      <c r="H166" s="77" t="inlineStr">
        <is>
          <t>CLA charity internship</t>
        </is>
      </c>
      <c r="I166" s="77" t="inlineStr"/>
      <c r="J166" s="77" t="inlineStr">
        <is>
          <t>A 6-week, 210-hour project-based internship with a London community organisation, May-July 2026, for 50 students, working on an issue the charity has lacked the resources to tackle.</t>
        </is>
      </c>
      <c r="K166" s="77" t="inlineStr">
        <is>
          <t>King's Civic Leadership Academy</t>
        </is>
      </c>
      <c r="L166" s="77" t="inlineStr">
        <is>
          <t>Non-final-year undergraduates selected for CLA</t>
        </is>
      </c>
      <c r="M166" s="77" t="inlineStr">
        <is>
          <t>Central provision</t>
        </is>
      </c>
      <c r="N166" s="77" t="inlineStr">
        <is>
          <t>Undergraduate</t>
        </is>
      </c>
      <c r="O166" s="77" t="inlineStr"/>
      <c r="P166" s="77" t="inlineStr"/>
      <c r="Q166" s="77" t="inlineStr">
        <is>
          <t>Selective/competitive</t>
        </is>
      </c>
      <c r="R166" s="77" t="inlineStr">
        <is>
          <t>Extracurricular</t>
        </is>
      </c>
      <c r="S166" s="77" t="inlineStr"/>
      <c r="T166" s="77" t="inlineStr">
        <is>
          <t>6 weeks / 210 hours</t>
        </is>
      </c>
      <c r="U166" s="77" t="inlineStr"/>
      <c r="V166" s="77" t="inlineStr">
        <is>
          <t>Yes</t>
        </is>
      </c>
      <c r="W166" s="77" t="inlineStr">
        <is>
          <t>'project-based internship' on an issue the charity lacked resources to tackle [1][2].</t>
        </is>
      </c>
      <c r="X166" s="77" t="inlineStr">
        <is>
          <t>Unclear</t>
        </is>
      </c>
      <c r="Y166" s="77" t="inlineStr">
        <is>
          <t>The launch article describes 'teams of talented undergraduates' [2], but the 2025-26 internship description does not say whether students work as a team or individually per charity [1].</t>
        </is>
      </c>
      <c r="Z166" s="77" t="inlineStr">
        <is>
          <t>Yes</t>
        </is>
      </c>
      <c r="AA166" s="77" t="inlineStr">
        <is>
          <t>Charity hosts the intern and sets the issue [1][2].</t>
        </is>
      </c>
      <c r="AB166" s="77" t="inlineStr">
        <is>
          <t>Charity/community</t>
        </is>
      </c>
      <c r="AC166" s="77" t="inlineStr">
        <is>
          <t>Hosts and sets the project</t>
        </is>
      </c>
      <c r="AD166" s="77" t="inlineStr">
        <is>
          <t>Pecan, Young Barnet Foundation, Living Wage Foundation (year not shown)</t>
        </is>
      </c>
      <c r="AE166" s="77" t="inlineStr"/>
      <c r="AF166" s="77">
        <f>IF(OR(V166="No",X166="No",Z166="No"),"Outside strict definition",IF(AND(V166="Yes",X166="Yes",Z166="Yes"),"Meets all three","Potentially relevant; evidence incomplete"))</f>
        <v/>
      </c>
      <c r="AG166" s="77" t="inlineStr">
        <is>
          <t>Current delivery confirmed</t>
        </is>
      </c>
      <c r="AH166" s="77" t="inlineStr">
        <is>
          <t>2025/26</t>
        </is>
      </c>
      <c r="AI166" s="77" t="inlineStr">
        <is>
          <t>Yes</t>
        </is>
      </c>
      <c r="AJ166" s="77">
        <f>IF(AND(AI166="Yes",AF166="Meets all three",AG166="Current delivery confirmed"),"Yes","No")</f>
        <v/>
      </c>
      <c r="AK166" s="77" t="inlineStr"/>
      <c r="AL166" s="77" t="inlineStr">
        <is>
          <t>RG10-S13-R1; RG10-S13-R2</t>
        </is>
      </c>
      <c r="AM166" s="77" t="inlineStr">
        <is>
          <t>Team vs individual placement. duration_band left Unclear because 6 weeks full-time (210 hours) falls between the '1–4 weeks' and '~1 term' bands.</t>
        </is>
      </c>
      <c r="AN166" s="77" t="inlineStr"/>
      <c r="AO166" s="77" t="inlineStr">
        <is>
          <t>UK</t>
        </is>
      </c>
      <c r="AP166" s="77" t="inlineStr">
        <is>
          <t>UK – Russell Group</t>
        </is>
      </c>
      <c r="AQ166" s="77" t="inlineStr">
        <is>
          <t>Unclear</t>
        </is>
      </c>
      <c r="AR166" s="77" t="inlineStr">
        <is>
          <t>All/standard</t>
        </is>
      </c>
      <c r="AS166" s="77" t="inlineStr"/>
    </row>
    <row r="167">
      <c r="A167" s="77" t="inlineStr">
        <is>
          <t>RG10</t>
        </is>
      </c>
      <c r="B167" s="77" t="inlineStr">
        <is>
          <t>King’s College London</t>
        </is>
      </c>
      <c r="C167" s="77" t="inlineStr">
        <is>
          <t>Unclear</t>
        </is>
      </c>
      <c r="D167" s="77" t="inlineStr">
        <is>
          <t>RG10-S14</t>
        </is>
      </c>
      <c r="E167" s="77" t="inlineStr"/>
      <c r="F167" s="77" t="inlineStr">
        <is>
          <t>No</t>
        </is>
      </c>
      <c r="G167" s="79" t="inlineStr">
        <is>
          <t>King's Civic Challenge</t>
        </is>
      </c>
      <c r="H167" s="77" t="inlineStr">
        <is>
          <t>King's Civic Challenge</t>
        </is>
      </c>
      <c r="I167" s="77" t="inlineStr"/>
      <c r="J167"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67" s="77" t="inlineStr">
        <is>
          <t>King's (civic engagement / King's Local)</t>
        </is>
      </c>
      <c r="L167" s="77" t="inlineStr"/>
      <c r="M167" s="77" t="inlineStr">
        <is>
          <t>Central provision</t>
        </is>
      </c>
      <c r="N167" s="77" t="inlineStr">
        <is>
          <t>Mixed</t>
        </is>
      </c>
      <c r="O167" s="77" t="inlineStr"/>
      <c r="P167" s="77" t="inlineStr"/>
      <c r="Q167" s="77" t="inlineStr">
        <is>
          <t>Selective/competitive</t>
        </is>
      </c>
      <c r="R167" s="77" t="inlineStr">
        <is>
          <t>Extracurricular</t>
        </is>
      </c>
      <c r="S167" s="77" t="inlineStr"/>
      <c r="T167" s="77" t="inlineStr"/>
      <c r="U167" s="77" t="inlineStr"/>
      <c r="V167" s="77" t="inlineStr">
        <is>
          <t>Yes</t>
        </is>
      </c>
      <c r="W167" s="77" t="inlineStr">
        <is>
          <t>Team develops a project to address a partner's community challenge and pitches it for delivery funding [1][2].</t>
        </is>
      </c>
      <c r="X167" s="77" t="inlineStr">
        <is>
          <t>Yes</t>
        </is>
      </c>
      <c r="Y167" s="77" t="inlineStr">
        <is>
          <t>Teams of students and staff ('teams up students, staff and local communities') [1][2]. Teams include staff.</t>
        </is>
      </c>
      <c r="Z167" s="77" t="inlineStr">
        <is>
          <t>Yes</t>
        </is>
      </c>
      <c r="AA167" s="77" t="inlineStr">
        <is>
          <t>A community partner is a member of each team and co-develops the project [2][3].</t>
        </is>
      </c>
      <c r="AB167" s="77" t="inlineStr">
        <is>
          <t>Charity/community</t>
        </is>
      </c>
      <c r="AC167" s="77" t="inlineStr">
        <is>
          <t>Co-develops the project with the team and benefits from the funded project</t>
        </is>
      </c>
      <c r="AD167" s="77" t="inlineStr"/>
      <c r="AE167" s="77" t="inlineStr"/>
      <c r="AF167" s="77">
        <f>IF(OR(V167="No",X167="No",Z167="No"),"Outside strict definition",IF(AND(V167="Yes",X167="Yes",Z167="Yes"),"Meets all three","Potentially relevant; evidence incomplete"))</f>
        <v/>
      </c>
      <c r="AG167" s="77" t="inlineStr">
        <is>
          <t>Current status unclear</t>
        </is>
      </c>
      <c r="AH167" s="77" t="inlineStr"/>
      <c r="AI167" s="77" t="inlineStr">
        <is>
          <t>Yes</t>
        </is>
      </c>
      <c r="AJ167" s="77">
        <f>IF(AND(AI167="Yes",AF167="Meets all three",AG167="Current delivery confirmed"),"Yes","No")</f>
        <v/>
      </c>
      <c r="AK167" s="77" t="inlineStr"/>
      <c r="AL167" s="77" t="inlineStr">
        <is>
          <t>RG10-S14-R1; RG10-S14-R2; RG10-S14-R3</t>
        </is>
      </c>
      <c r="AM167" s="77" t="inlineStr">
        <is>
          <t>No 2025/26 or 2026/27 round found; news items undated in results (may be historical only). Eligibility (all students?) not confirmed.</t>
        </is>
      </c>
      <c r="AN167" s="77" t="inlineStr"/>
      <c r="AO167" s="77" t="inlineStr">
        <is>
          <t>UK</t>
        </is>
      </c>
      <c r="AP167" s="77" t="inlineStr">
        <is>
          <t>UK – Russell Group</t>
        </is>
      </c>
      <c r="AQ167" s="77" t="inlineStr">
        <is>
          <t>Unclear</t>
        </is>
      </c>
      <c r="AR167" s="77" t="inlineStr">
        <is>
          <t>All/standard</t>
        </is>
      </c>
      <c r="AS167" s="77" t="inlineStr"/>
    </row>
    <row r="168">
      <c r="A168" s="77" t="inlineStr">
        <is>
          <t>RG10</t>
        </is>
      </c>
      <c r="B168" s="77" t="inlineStr">
        <is>
          <t>King’s College London</t>
        </is>
      </c>
      <c r="C168" s="77" t="inlineStr">
        <is>
          <t>University-wide</t>
        </is>
      </c>
      <c r="D168" s="77" t="inlineStr">
        <is>
          <t>RG10-S15</t>
        </is>
      </c>
      <c r="E168" s="77" t="inlineStr"/>
      <c r="F168" s="77" t="inlineStr">
        <is>
          <t>No</t>
        </is>
      </c>
      <c r="G168" s="79" t="inlineStr">
        <is>
          <t>KPRI Parliamentary Internship Scheme: Policy Lab</t>
        </is>
      </c>
      <c r="H168" s="77" t="inlineStr">
        <is>
          <t>Policy Lab</t>
        </is>
      </c>
      <c r="I168" s="77" t="inlineStr"/>
      <c r="J168"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168" s="77" t="inlineStr">
        <is>
          <t>King's Edge / KPRI</t>
        </is>
      </c>
      <c r="L168" s="77" t="inlineStr">
        <is>
          <t>All King's students</t>
        </is>
      </c>
      <c r="M168" s="77" t="inlineStr">
        <is>
          <t>Central provision</t>
        </is>
      </c>
      <c r="N168" s="77" t="inlineStr">
        <is>
          <t>Mixed</t>
        </is>
      </c>
      <c r="O168" s="77" t="inlineStr"/>
      <c r="P168" s="77" t="inlineStr">
        <is>
          <t>Open to all King's students; page says activity now full</t>
        </is>
      </c>
      <c r="Q168" s="77" t="inlineStr">
        <is>
          <t>Optional/elective</t>
        </is>
      </c>
      <c r="R168" s="77" t="inlineStr">
        <is>
          <t>Extracurricular</t>
        </is>
      </c>
      <c r="S168" s="77" t="inlineStr">
        <is>
          <t>140 K Points; no academic credit</t>
        </is>
      </c>
      <c r="T168" s="77" t="inlineStr">
        <is>
          <t>6 weeks, 28 May-2 July 2026, ~5 hrs/week</t>
        </is>
      </c>
      <c r="U168" s="77" t="inlineStr">
        <is>
          <t>Team project with weekly check-ins</t>
        </is>
      </c>
      <c r="V168" s="77" t="inlineStr">
        <is>
          <t>Yes</t>
        </is>
      </c>
      <c r="W168" s="77" t="inlineStr">
        <is>
          <t>Live policy question; co-authored policy briefing [1].</t>
        </is>
      </c>
      <c r="X168" s="77" t="inlineStr">
        <is>
          <t>Yes</t>
        </is>
      </c>
      <c r="Y168" s="77" t="inlineStr">
        <is>
          <t>'small, cross-disciplinary team' producing a co-authored briefing [1].</t>
        </is>
      </c>
      <c r="Z168" s="77" t="inlineStr">
        <is>
          <t>Unclear</t>
        </is>
      </c>
      <c r="AA168" s="77" t="inlineStr">
        <is>
          <t>Briefing goes to interested peers (individual parliamentarians) via King's network; no external organisation is shown setting the brief; themes shaped around the King's Speech, and who chooses the question is not stated [1].</t>
        </is>
      </c>
      <c r="AB168" s="77" t="inlineStr">
        <is>
          <t>Public sector</t>
        </is>
      </c>
      <c r="AC168" s="77" t="inlineStr">
        <is>
          <t>Recipients are peers; not a client organisation</t>
        </is>
      </c>
      <c r="AD168" s="77" t="inlineStr"/>
      <c r="AE168" s="77" t="inlineStr">
        <is>
          <t>Co-authored policy briefing</t>
        </is>
      </c>
      <c r="AF168" s="77">
        <f>IF(OR(V168="No",X168="No",Z168="No"),"Outside strict definition",IF(AND(V168="Yes",X168="Yes",Z168="Yes"),"Meets all three","Potentially relevant; evidence incomplete"))</f>
        <v/>
      </c>
      <c r="AG168" s="77" t="inlineStr">
        <is>
          <t>Current delivery confirmed</t>
        </is>
      </c>
      <c r="AH168" s="77" t="inlineStr">
        <is>
          <t>2026</t>
        </is>
      </c>
      <c r="AI168" s="77" t="inlineStr">
        <is>
          <t>Yes</t>
        </is>
      </c>
      <c r="AJ168" s="77">
        <f>IF(AND(AI168="Yes",AF168="Meets all three",AG168="Current delivery confirmed"),"Yes","No")</f>
        <v/>
      </c>
      <c r="AK168" s="77" t="inlineStr"/>
      <c r="AL168" s="77" t="inlineStr">
        <is>
          <t>RG10-S15-R1</t>
        </is>
      </c>
      <c r="AM168" s="77" t="inlineStr">
        <is>
          <t>Whether peers/House of Lords act as commissioner; the supporting researchers are King's staff.</t>
        </is>
      </c>
      <c r="AN168" s="77" t="inlineStr"/>
      <c r="AO168" s="77" t="inlineStr">
        <is>
          <t>UK</t>
        </is>
      </c>
      <c r="AP168" s="77" t="inlineStr">
        <is>
          <t>UK – Russell Group</t>
        </is>
      </c>
      <c r="AQ168" s="77" t="inlineStr">
        <is>
          <t>1–4 weeks</t>
        </is>
      </c>
      <c r="AR168" s="77" t="inlineStr">
        <is>
          <t>Unclear</t>
        </is>
      </c>
      <c r="AS168" s="77" t="inlineStr"/>
    </row>
    <row r="169">
      <c r="A169" s="77" t="inlineStr">
        <is>
          <t>RG10</t>
        </is>
      </c>
      <c r="B169" s="77" t="inlineStr">
        <is>
          <t>King’s College London</t>
        </is>
      </c>
      <c r="C169" s="77" t="inlineStr">
        <is>
          <t>University-wide</t>
        </is>
      </c>
      <c r="D169" s="77" t="inlineStr">
        <is>
          <t>RG10-S16</t>
        </is>
      </c>
      <c r="E169" s="77" t="inlineStr"/>
      <c r="F169" s="77" t="inlineStr">
        <is>
          <t>No</t>
        </is>
      </c>
      <c r="G169" s="79" t="inlineStr">
        <is>
          <t>Community Impact Lab</t>
        </is>
      </c>
      <c r="H169" s="77" t="inlineStr">
        <is>
          <t>Community Impact Lab</t>
        </is>
      </c>
      <c r="I169" s="77" t="inlineStr"/>
      <c r="J169"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169" s="77" t="inlineStr">
        <is>
          <t>King's Volunteering with Entrepreneurship Institute</t>
        </is>
      </c>
      <c r="L169" s="77" t="inlineStr">
        <is>
          <t>Students from different faculties (eligibility rules not seen)</t>
        </is>
      </c>
      <c r="M169" s="77" t="inlineStr">
        <is>
          <t>Central provision</t>
        </is>
      </c>
      <c r="N169" s="77" t="inlineStr">
        <is>
          <t>Unclear</t>
        </is>
      </c>
      <c r="O169" s="77" t="inlineStr"/>
      <c r="P169" s="77" t="inlineStr">
        <is>
          <t>Not stated in extract</t>
        </is>
      </c>
      <c r="Q169" s="77" t="inlineStr">
        <is>
          <t>Optional/elective</t>
        </is>
      </c>
      <c r="R169" s="77" t="inlineStr">
        <is>
          <t>Extracurricular</t>
        </is>
      </c>
      <c r="S169" s="77" t="inlineStr">
        <is>
          <t>None evidenced</t>
        </is>
      </c>
      <c r="T169" s="77" t="inlineStr">
        <is>
          <t>One day per event</t>
        </is>
      </c>
      <c r="U169" s="77" t="inlineStr">
        <is>
          <t>Workshop-style challenge day</t>
        </is>
      </c>
      <c r="V169" s="77" t="inlineStr">
        <is>
          <t>Yes</t>
        </is>
      </c>
      <c r="W169" s="77" t="inlineStr">
        <is>
          <t>Teams develop recommendations for a charity's live challenge and present them [1].</t>
        </is>
      </c>
      <c r="X169" s="77" t="inlineStr">
        <is>
          <t>Yes</t>
        </is>
      </c>
      <c r="Y169" s="77" t="inlineStr">
        <is>
          <t>'Teams analyse the challenge' [1].</t>
        </is>
      </c>
      <c r="Z169" s="77" t="inlineStr">
        <is>
          <t>Yes</t>
        </is>
      </c>
      <c r="AA169" s="77" t="inlineStr">
        <is>
          <t>Charity partners bring the live problem and receive the end-of-day presentation [1].</t>
        </is>
      </c>
      <c r="AB169" s="77" t="inlineStr">
        <is>
          <t>Charity/community</t>
        </is>
      </c>
      <c r="AC169" s="77" t="inlineStr">
        <is>
          <t>Sets challenge, receives recommendations</t>
        </is>
      </c>
      <c r="AD169" s="77" t="inlineStr">
        <is>
          <t>Serve On, Refugee Education UK, Screen Share UK, Carers UK, Volunteer Centre Kensington and Chelsea (first event, year not shown)</t>
        </is>
      </c>
      <c r="AE169" s="77" t="inlineStr">
        <is>
          <t>Presented recommendations</t>
        </is>
      </c>
      <c r="AF169" s="77">
        <f>IF(OR(V169="No",X169="No",Z169="No"),"Outside strict definition",IF(AND(V169="Yes",X169="Yes",Z169="Yes"),"Meets all three","Potentially relevant; evidence incomplete"))</f>
        <v/>
      </c>
      <c r="AG169" s="77" t="inlineStr">
        <is>
          <t>Current status unclear</t>
        </is>
      </c>
      <c r="AH169" s="77" t="inlineStr"/>
      <c r="AI169" s="77" t="inlineStr">
        <is>
          <t>Yes</t>
        </is>
      </c>
      <c r="AJ169" s="77">
        <f>IF(AND(AI169="Yes",AF169="Meets all three",AG169="Current delivery confirmed"),"Yes","No")</f>
        <v/>
      </c>
      <c r="AK169" s="77" t="inlineStr"/>
      <c r="AL169" s="77" t="inlineStr">
        <is>
          <t>RG10-S16-R1</t>
        </is>
      </c>
      <c r="AM169" s="77" t="inlineStr">
        <is>
          <t>Date of events; eligibility; depth of a one-day output.</t>
        </is>
      </c>
      <c r="AN169" s="77" t="inlineStr"/>
      <c r="AO169" s="77" t="inlineStr">
        <is>
          <t>UK</t>
        </is>
      </c>
      <c r="AP169" s="77" t="inlineStr">
        <is>
          <t>UK – Russell Group</t>
        </is>
      </c>
      <c r="AQ169" s="77" t="inlineStr">
        <is>
          <t>&lt;1 week</t>
        </is>
      </c>
      <c r="AR169" s="77" t="inlineStr">
        <is>
          <t>All/standard</t>
        </is>
      </c>
      <c r="AS169" s="77" t="inlineStr"/>
    </row>
    <row r="170">
      <c r="A170" s="77" t="inlineStr">
        <is>
          <t>RG11</t>
        </is>
      </c>
      <c r="B170" s="77" t="inlineStr">
        <is>
          <t>Leeds</t>
        </is>
      </c>
      <c r="C170" s="77" t="inlineStr">
        <is>
          <t>University-wide</t>
        </is>
      </c>
      <c r="D170" s="77" t="inlineStr">
        <is>
          <t>RG11-S01</t>
        </is>
      </c>
      <c r="E170" s="77" t="inlineStr"/>
      <c r="F170" s="77" t="inlineStr">
        <is>
          <t>No</t>
        </is>
      </c>
      <c r="G170" s="79" t="inlineStr">
        <is>
          <t>LUBS3013 Enterprise Consultancy (Leeds Enterprise Consultancy Project)</t>
        </is>
      </c>
      <c r="H170" s="77" t="inlineStr">
        <is>
          <t>Enterprise Consultancy</t>
        </is>
      </c>
      <c r="I170" s="77" t="inlineStr">
        <is>
          <t>LUBS3013</t>
        </is>
      </c>
      <c r="J170"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70" s="77" t="inlineStr">
        <is>
          <t>Leeds University Business School (Centre for Enterprise and Entrepreneurship Studies)</t>
        </is>
      </c>
      <c r="L170" s="77" t="inlineStr">
        <is>
          <t>Final-year undergraduates across the University (also approved as a Discovery module); compulsory in Biological Sciences (Biotechnology with Enterprise)</t>
        </is>
      </c>
      <c r="M170" s="77" t="inlineStr">
        <is>
          <t>Business/management; Central provision; Science</t>
        </is>
      </c>
      <c r="N170" s="77" t="inlineStr">
        <is>
          <t>Undergraduate</t>
        </is>
      </c>
      <c r="O170" s="77" t="inlineStr">
        <is>
          <t>Final year (Level 3)</t>
        </is>
      </c>
      <c r="P170" s="77" t="inlineStr">
        <is>
          <t>Final-year undergraduate students; subject to programme rules / Discovery module enrolment</t>
        </is>
      </c>
      <c r="Q170" s="77" t="inlineStr">
        <is>
          <t>Optional/elective</t>
        </is>
      </c>
      <c r="R170" s="77" t="inlineStr">
        <is>
          <t>Curricular</t>
        </is>
      </c>
      <c r="S170" s="77" t="inlineStr">
        <is>
          <t>20 credits, Semester 1 (2025/26 catalogue). Group client report (3,000 words, 50%) + individual reflective log (2,500 words, 50%) per search summary of catalogue.</t>
        </is>
      </c>
      <c r="T170" s="77" t="inlineStr">
        <is>
          <t>Client project over a 6-8 week period within a Semester 1 module</t>
        </is>
      </c>
      <c r="U170" s="77" t="inlineStr">
        <is>
          <t>In-person/hybrid module; student teams work with an enterprise client</t>
        </is>
      </c>
      <c r="V170" s="77" t="inlineStr">
        <is>
          <t>Yes</t>
        </is>
      </c>
      <c r="W170" s="77" t="inlineStr">
        <is>
          <t>Student team 'delivers a project to an enterprise's consultancy brief over a 6-8 week period' with a client report as output (sources 1, 2).</t>
        </is>
      </c>
      <c r="X170" s="77" t="inlineStr">
        <is>
          <t>Yes</t>
        </is>
      </c>
      <c r="Y170" s="77" t="inlineStr">
        <is>
          <t>'student team'; assessed by a group client report (sources 1, 2).</t>
        </is>
      </c>
      <c r="Z170" s="77" t="inlineStr">
        <is>
          <t>Yes</t>
        </is>
      </c>
      <c r="AA170" s="77" t="inlineStr">
        <is>
          <t>Small businesses and social enterprises apply to the Centre with a project proposal and act as client; a charity client reported implementing most recommendations; a cafe client trialled a student team's layout proposal (sources 1, 3).</t>
        </is>
      </c>
      <c r="AB170" s="77" t="inlineStr">
        <is>
          <t>Mixed</t>
        </is>
      </c>
      <c r="AC170" s="77" t="inlineStr">
        <is>
          <t>Small businesses and social enterprises/charities apply, supply the consultancy brief and receive the team's client report</t>
        </is>
      </c>
      <c r="AD170" s="77" t="inlineStr">
        <is>
          <t>Better Giving Partnership (charity client, case study; year not confirmed)</t>
        </is>
      </c>
      <c r="AE170" s="77" t="inlineStr">
        <is>
          <t>Group consultancy/client report with recommendations (plus individual reflective log)</t>
        </is>
      </c>
      <c r="AF170" s="77">
        <f>IF(OR(V170="No",X170="No",Z170="No"),"Outside strict definition",IF(AND(V170="Yes",X170="Yes",Z170="Yes"),"Meets all three","Potentially relevant; evidence incomplete"))</f>
        <v/>
      </c>
      <c r="AG170" s="77" t="inlineStr">
        <is>
          <t>Current delivery confirmed</t>
        </is>
      </c>
      <c r="AH170" s="77" t="inlineStr">
        <is>
          <t>2025/26</t>
        </is>
      </c>
      <c r="AI170" s="77" t="inlineStr">
        <is>
          <t>Yes</t>
        </is>
      </c>
      <c r="AJ170" s="77">
        <f>IF(AND(AI170="Yes",AF170="Meets all three",AG170="Current delivery confirmed"),"Yes","No")</f>
        <v/>
      </c>
      <c r="AK170" s="77" t="inlineStr">
        <is>
          <t>Class size 130 (2025/26 catalogue; capacity, not enrolment)</t>
        </is>
      </c>
      <c r="AL170" s="77" t="inlineStr">
        <is>
          <t>RG11-S01-R1; RG11-S01-R2; RG11-S01-R3; RG11-S01-R4</t>
        </is>
      </c>
      <c r="AM170"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70" s="77" t="inlineStr"/>
      <c r="AO170" s="77" t="inlineStr">
        <is>
          <t>UK</t>
        </is>
      </c>
      <c r="AP170" s="77" t="inlineStr">
        <is>
          <t>UK – Russell Group</t>
        </is>
      </c>
      <c r="AQ170" s="77" t="inlineStr">
        <is>
          <t>1–4 weeks</t>
        </is>
      </c>
      <c r="AR170" s="77" t="inlineStr">
        <is>
          <t>All/standard</t>
        </is>
      </c>
      <c r="AS170" s="77" t="inlineStr"/>
    </row>
    <row r="171">
      <c r="A171" s="77" t="inlineStr">
        <is>
          <t>RG11</t>
        </is>
      </c>
      <c r="B171" s="77" t="inlineStr">
        <is>
          <t>Leeds</t>
        </is>
      </c>
      <c r="C171" s="77" t="inlineStr">
        <is>
          <t>University-wide</t>
        </is>
      </c>
      <c r="D171" s="77" t="inlineStr">
        <is>
          <t>RG11-S02</t>
        </is>
      </c>
      <c r="E171" s="77" t="inlineStr"/>
      <c r="F171" s="77" t="inlineStr">
        <is>
          <t>No</t>
        </is>
      </c>
      <c r="G171" s="79" t="inlineStr">
        <is>
          <t>Leeds Global Industry Programme (postgraduate)</t>
        </is>
      </c>
      <c r="H171" s="77" t="inlineStr">
        <is>
          <t>Leeds Global Industry Programme</t>
        </is>
      </c>
      <c r="I171" s="77" t="inlineStr"/>
      <c r="J171"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71" s="77" t="inlineStr">
        <is>
          <t>Careers / Leeds University Business School Employability and Opportunity team (central programme)</t>
        </is>
      </c>
      <c r="L171" s="77" t="inlineStr">
        <is>
          <t>All on-campus taught postgraduate students, UK and international, except Leeds MBA; Faculty of Engineering and Physical Sciences students offered the embedded 8-week programme (S3) instead</t>
        </is>
      </c>
      <c r="M171" s="77" t="inlineStr">
        <is>
          <t>Central provision; Business/management; Arts/humanities/social sciences; Other (law, health, design, architecture…)</t>
        </is>
      </c>
      <c r="N171" s="77" t="inlineStr">
        <is>
          <t>Postgraduate taught</t>
        </is>
      </c>
      <c r="O171" s="77" t="inlineStr">
        <is>
          <t>Taught postgraduate year</t>
        </is>
      </c>
      <c r="P171" s="77" t="inlineStr">
        <is>
          <t>On-campus PGT students; excludes MBA; EPS students take the embedded alternative</t>
        </is>
      </c>
      <c r="Q171" s="77" t="inlineStr">
        <is>
          <t>Unclear</t>
        </is>
      </c>
      <c r="R171" s="77" t="inlineStr">
        <is>
          <t>Unclear</t>
        </is>
      </c>
      <c r="S171" s="77" t="inlineStr">
        <is>
          <t>Digital badge and certificate; credit/assessment status not stated in the extracts.</t>
        </is>
      </c>
      <c r="T171" s="77" t="inlineStr">
        <is>
          <t>Described as a 2-week online programme on several Masters pages; other pages give different formats</t>
        </is>
      </c>
      <c r="U171" s="77" t="inlineStr">
        <is>
          <t>Online, multi-disciplinary teams of 5-8</t>
        </is>
      </c>
      <c r="V171" s="77" t="inlineStr">
        <is>
          <t>Yes</t>
        </is>
      </c>
      <c r="W171" s="77" t="inlineStr">
        <is>
          <t>Teams receive a live company brief and produce a professional consultancy report (sources 1, 2).</t>
        </is>
      </c>
      <c r="X171" s="77" t="inlineStr">
        <is>
          <t>Yes</t>
        </is>
      </c>
      <c r="Y171" s="77" t="inlineStr">
        <is>
          <t>'small groups of five to eight students' in a multi-disciplinary team (source 1).</t>
        </is>
      </c>
      <c r="Z171" s="77" t="inlineStr">
        <is>
          <t>Yes</t>
        </is>
      </c>
      <c r="AA171" s="77" t="inlineStr">
        <is>
          <t>Companies supply the live brief; a partner company's comments on the 2024/25 cohort quoted in the programme news item (sources 1, 3). Whether students present directly to the company is not stated.</t>
        </is>
      </c>
      <c r="AB171" s="77" t="inlineStr">
        <is>
          <t>Business/commercial</t>
        </is>
      </c>
      <c r="AC171" s="77" t="inlineStr">
        <is>
          <t>Supplies live company brief (UK and overseas organisations); comments on performance</t>
        </is>
      </c>
      <c r="AD171" s="77" t="inlineStr">
        <is>
          <t>Partner companies from Spain, Nigeria, Canada, Singapore and elsewhere (2024/25 news; individual names not captured)</t>
        </is>
      </c>
      <c r="AE171" s="77" t="inlineStr">
        <is>
          <t>Professional consultancy report</t>
        </is>
      </c>
      <c r="AF171" s="77">
        <f>IF(OR(V171="No",X171="No",Z171="No"),"Outside strict definition",IF(AND(V171="Yes",X171="Yes",Z171="Yes"),"Meets all three","Potentially relevant; evidence incomplete"))</f>
        <v/>
      </c>
      <c r="AG171" s="77" t="inlineStr">
        <is>
          <t>Current delivery confirmed</t>
        </is>
      </c>
      <c r="AH171" s="77" t="inlineStr">
        <is>
          <t>2025/26</t>
        </is>
      </c>
      <c r="AI171" s="77" t="inlineStr">
        <is>
          <t>Yes</t>
        </is>
      </c>
      <c r="AJ171" s="77">
        <f>IF(AND(AI171="Yes",AF171="Meets all three",AG171="Current delivery confirmed"),"Yes","No")</f>
        <v/>
      </c>
      <c r="AK171" s="77" t="inlineStr">
        <is>
          <t>2024/25 expansion aimed to engage 200 students across two cohorts (Nov 2024 and Feb 2025) (target, not outcome)</t>
        </is>
      </c>
      <c r="AL171" s="77" t="inlineStr">
        <is>
          <t>RG11-S02-R1; RG11-S02-R2; RG11-S02-R3</t>
        </is>
      </c>
      <c r="AM171" s="77" t="inlineStr">
        <is>
          <t>Credit/assessment status and whether compulsory are not stated; some pages give a 2-week format. Whether the client receives the output directly is not stated (employer role limited to brief-setting and comment).</t>
        </is>
      </c>
      <c r="AN171" s="77" t="inlineStr"/>
      <c r="AO171" s="77" t="inlineStr">
        <is>
          <t>UK</t>
        </is>
      </c>
      <c r="AP171" s="77" t="inlineStr">
        <is>
          <t>UK – Russell Group</t>
        </is>
      </c>
      <c r="AQ171" s="77" t="inlineStr">
        <is>
          <t>1–4 weeks</t>
        </is>
      </c>
      <c r="AR171" s="77" t="inlineStr">
        <is>
          <t>All/standard</t>
        </is>
      </c>
      <c r="AS171" s="77" t="inlineStr"/>
    </row>
    <row r="172">
      <c r="A172" s="77" t="inlineStr">
        <is>
          <t>RG11</t>
        </is>
      </c>
      <c r="B172" s="77" t="inlineStr">
        <is>
          <t>Leeds</t>
        </is>
      </c>
      <c r="C172" s="77" t="inlineStr">
        <is>
          <t>Faculty/school</t>
        </is>
      </c>
      <c r="D172" s="77" t="inlineStr">
        <is>
          <t>RG11-S03</t>
        </is>
      </c>
      <c r="E172" s="77" t="inlineStr"/>
      <c r="F172" s="77" t="inlineStr">
        <is>
          <t>No</t>
        </is>
      </c>
      <c r="G172" s="79" t="inlineStr">
        <is>
          <t>EPS Embedded Virtual Work Experience</t>
        </is>
      </c>
      <c r="H172" s="77" t="inlineStr">
        <is>
          <t>Embedded virtual work experience (Engineering and Physical Sciences, postgraduate)</t>
        </is>
      </c>
      <c r="I172" s="77" t="inlineStr"/>
      <c r="J172"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72" s="77" t="inlineStr">
        <is>
          <t>Faculty of Engineering and Physical Sciences Employability Team</t>
        </is>
      </c>
      <c r="L172" s="77" t="inlineStr">
        <is>
          <t>EPS taught postgraduate (MSc) students (e.g. Computer Science, Chemistry, Electronic Engineering, Mathematics/Data Science MSc pages); several course pages call it optional</t>
        </is>
      </c>
      <c r="M172" s="77" t="inlineStr">
        <is>
          <t>Engineering/computing; Science</t>
        </is>
      </c>
      <c r="N172" s="77" t="inlineStr">
        <is>
          <t>Postgraduate taught</t>
        </is>
      </c>
      <c r="O172" s="77" t="inlineStr">
        <is>
          <t>Near end of MSc, from August</t>
        </is>
      </c>
      <c r="P172" s="77" t="inlineStr">
        <is>
          <t>Progression requirements (e.g. no outstanding resits)</t>
        </is>
      </c>
      <c r="Q172" s="77" t="inlineStr">
        <is>
          <t>Optional/elective</t>
        </is>
      </c>
      <c r="R172" s="77" t="inlineStr">
        <is>
          <t>Curricular</t>
        </is>
      </c>
      <c r="S172" s="77" t="inlineStr">
        <is>
          <t>Short reflective assignment graded pass/fail by academic tutor</t>
        </is>
      </c>
      <c r="T172" s="77" t="inlineStr">
        <is>
          <t>8 weeks part-time</t>
        </is>
      </c>
      <c r="U172" s="77" t="inlineStr">
        <is>
          <t>Online, team of five</t>
        </is>
      </c>
      <c r="V172" s="77" t="inlineStr">
        <is>
          <t>Yes</t>
        </is>
      </c>
      <c r="W172" s="77" t="inlineStr">
        <is>
          <t>Students 'solve real business problems' set by an assigned company (source 1).</t>
        </is>
      </c>
      <c r="X172" s="77" t="inlineStr">
        <is>
          <t>Yes</t>
        </is>
      </c>
      <c r="Y172" s="77" t="inlineStr">
        <is>
          <t>Team of five students from the same course (source 1).</t>
        </is>
      </c>
      <c r="Z172" s="77" t="inlineStr">
        <is>
          <t>Yes</t>
        </is>
      </c>
      <c r="AA172" s="77" t="inlineStr">
        <is>
          <t>Assigned company sets the problem and gives feedback on performance; placement with a company guaranteed (source 1).</t>
        </is>
      </c>
      <c r="AB172" s="77" t="inlineStr">
        <is>
          <t>Business/commercial</t>
        </is>
      </c>
      <c r="AC172" s="77" t="inlineStr">
        <is>
          <t>Sets business problem; gives performance feedback</t>
        </is>
      </c>
      <c r="AD172" s="77" t="inlineStr"/>
      <c r="AE172" s="77" t="inlineStr">
        <is>
          <t>Team solution to company business problem (output form not specified)</t>
        </is>
      </c>
      <c r="AF172" s="77">
        <f>IF(OR(V172="No",X172="No",Z172="No"),"Outside strict definition",IF(AND(V172="Yes",X172="Yes",Z172="Yes"),"Meets all three","Potentially relevant; evidence incomplete"))</f>
        <v/>
      </c>
      <c r="AG172" s="77" t="inlineStr">
        <is>
          <t>Current delivery confirmed</t>
        </is>
      </c>
      <c r="AH172" s="77" t="inlineStr">
        <is>
          <t>2025/26</t>
        </is>
      </c>
      <c r="AI172" s="77" t="inlineStr">
        <is>
          <t>Yes</t>
        </is>
      </c>
      <c r="AJ172" s="77">
        <f>IF(AND(AI172="Yes",AF172="Meets all three",AG172="Current delivery confirmed"),"Yes","No")</f>
        <v/>
      </c>
      <c r="AK172" s="77" t="inlineStr"/>
      <c r="AL172" s="77" t="inlineStr">
        <is>
          <t>RG11-S03-R1; RG11-S03-R2; RG11-S03-R3</t>
        </is>
      </c>
      <c r="AM172"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72" s="77" t="inlineStr"/>
      <c r="AO172" s="77" t="inlineStr">
        <is>
          <t>UK</t>
        </is>
      </c>
      <c r="AP172" s="77" t="inlineStr">
        <is>
          <t>UK – Russell Group</t>
        </is>
      </c>
      <c r="AQ172" s="77" t="inlineStr">
        <is>
          <t>~1 term/semester</t>
        </is>
      </c>
      <c r="AR172" s="77" t="inlineStr">
        <is>
          <t>All/standard</t>
        </is>
      </c>
      <c r="AS172" s="77" t="inlineStr"/>
    </row>
    <row r="173">
      <c r="A173" s="77" t="inlineStr">
        <is>
          <t>RG11</t>
        </is>
      </c>
      <c r="B173" s="77" t="inlineStr">
        <is>
          <t>Leeds</t>
        </is>
      </c>
      <c r="C173" s="77" t="inlineStr">
        <is>
          <t>Programme/course</t>
        </is>
      </c>
      <c r="D173" s="77" t="inlineStr">
        <is>
          <t>RG11-S04</t>
        </is>
      </c>
      <c r="E173" s="77" t="inlineStr"/>
      <c r="F173" s="77" t="inlineStr">
        <is>
          <t>No</t>
        </is>
      </c>
      <c r="G173" s="79" t="inlineStr">
        <is>
          <t>MECH5080M Team Project (MEng major team project with industrial partner)</t>
        </is>
      </c>
      <c r="H173" s="77" t="inlineStr">
        <is>
          <t>Mechanical Engineering MEng Team Project</t>
        </is>
      </c>
      <c r="I173" s="77" t="inlineStr">
        <is>
          <t>MECH5080M</t>
        </is>
      </c>
      <c r="J173"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173" s="77" t="inlineStr">
        <is>
          <t>School of Mechanical Engineering</t>
        </is>
      </c>
      <c r="L173" s="77" t="inlineStr">
        <is>
          <t>Mechanical Engineering MEng; also described for Mechatronics and Robotics MEng and Industrial variants (Year 4 or 5 depending on variant)</t>
        </is>
      </c>
      <c r="M173" s="77" t="inlineStr">
        <is>
          <t>Engineering/computing</t>
        </is>
      </c>
      <c r="N173" s="77" t="inlineStr">
        <is>
          <t>Undergraduate</t>
        </is>
      </c>
      <c r="O173" s="77" t="inlineStr">
        <is>
          <t>Year 4 (Year 5 for Industrial variants)</t>
        </is>
      </c>
      <c r="P173" s="77" t="inlineStr">
        <is>
          <t>MEng students</t>
        </is>
      </c>
      <c r="Q173" s="77" t="inlineStr">
        <is>
          <t>Compulsory within specified programmes</t>
        </is>
      </c>
      <c r="R173" s="77" t="inlineStr">
        <is>
          <t>Curricular</t>
        </is>
      </c>
      <c r="S173" s="77" t="inlineStr">
        <is>
          <t>45 credits, Semesters 1 and 2, pass for progression (2025/26 programme listing)</t>
        </is>
      </c>
      <c r="T173" s="77" t="inlineStr">
        <is>
          <t>Two semesters</t>
        </is>
      </c>
      <c r="U173" s="77" t="inlineStr">
        <is>
          <t>In-person team project</t>
        </is>
      </c>
      <c r="V173" s="77" t="inlineStr">
        <is>
          <t>Yes</t>
        </is>
      </c>
      <c r="W173" s="77" t="inlineStr">
        <is>
          <t>Tender/business plan format emulating professional practice (sources 1, 2).</t>
        </is>
      </c>
      <c r="X173" s="77" t="inlineStr">
        <is>
          <t>Yes</t>
        </is>
      </c>
      <c r="Y173" s="77" t="inlineStr">
        <is>
          <t>Groups of 3 to 6 (source 1).</t>
        </is>
      </c>
      <c r="Z173" s="77" t="inlineStr">
        <is>
          <t>Yes</t>
        </is>
      </c>
      <c r="AA173" s="77" t="inlineStr">
        <is>
          <t>'mentored by a collaborator from industry'; industry mentors act as customers; students 'work closely with one of our industrial partners' (sources 1, 2).</t>
        </is>
      </c>
      <c r="AB173" s="77" t="inlineStr">
        <is>
          <t>Business/commercial</t>
        </is>
      </c>
      <c r="AC173" s="77" t="inlineStr">
        <is>
          <t>Industry collaborator mentors team and acts as customer; supplies project topic</t>
        </is>
      </c>
      <c r="AD173" s="77" t="inlineStr">
        <is>
          <t>Rolls-Royce, Airbus, MBDA (example project titles; year not stated)</t>
        </is>
      </c>
      <c r="AE173" s="77" t="inlineStr">
        <is>
          <t>Engineering solution with tender/business plan</t>
        </is>
      </c>
      <c r="AF173" s="77">
        <f>IF(OR(V173="No",X173="No",Z173="No"),"Outside strict definition",IF(AND(V173="Yes",X173="Yes",Z173="Yes"),"Meets all three","Potentially relevant; evidence incomplete"))</f>
        <v/>
      </c>
      <c r="AG173" s="77" t="inlineStr">
        <is>
          <t>Current delivery confirmed</t>
        </is>
      </c>
      <c r="AH173" s="77" t="inlineStr">
        <is>
          <t>2025/26</t>
        </is>
      </c>
      <c r="AI173" s="77" t="inlineStr">
        <is>
          <t>Yes</t>
        </is>
      </c>
      <c r="AJ173" s="77">
        <f>IF(AND(AI173="Yes",AF173="Meets all three",AG173="Current delivery confirmed"),"Yes","No")</f>
        <v/>
      </c>
      <c r="AK173" s="77" t="inlineStr">
        <is>
          <t>Class size 240 (catalogue; capacity)</t>
        </is>
      </c>
      <c r="AL173" s="77" t="inlineStr">
        <is>
          <t>RG11-S04-R1; RG11-S04-R2; RG11-S04-R3</t>
        </is>
      </c>
      <c r="AM173" s="77" t="inlineStr">
        <is>
          <t>Named partner examples undated; whether every team has an external (not internal) mentor is stated as the norm but not quantified.</t>
        </is>
      </c>
      <c r="AN173" s="77" t="inlineStr"/>
      <c r="AO173" s="77" t="inlineStr">
        <is>
          <t>UK</t>
        </is>
      </c>
      <c r="AP173" s="77" t="inlineStr">
        <is>
          <t>UK – Russell Group</t>
        </is>
      </c>
      <c r="AQ173" s="77" t="inlineStr">
        <is>
          <t>&gt;1 term</t>
        </is>
      </c>
      <c r="AR173" s="77" t="inlineStr">
        <is>
          <t>All/standard</t>
        </is>
      </c>
      <c r="AS173" s="77" t="inlineStr"/>
    </row>
    <row r="174">
      <c r="A174" s="77" t="inlineStr">
        <is>
          <t>RG11</t>
        </is>
      </c>
      <c r="B174" s="77" t="inlineStr">
        <is>
          <t>Leeds</t>
        </is>
      </c>
      <c r="C174" s="77" t="inlineStr">
        <is>
          <t>Programme/course</t>
        </is>
      </c>
      <c r="D174" s="77" t="inlineStr">
        <is>
          <t>RG11-S05</t>
        </is>
      </c>
      <c r="E174" s="77" t="inlineStr"/>
      <c r="F174" s="77" t="inlineStr">
        <is>
          <t>No</t>
        </is>
      </c>
      <c r="G174" s="79" t="inlineStr">
        <is>
          <t>Civil Engineering Integrated Design Project (Year 4 MEng)</t>
        </is>
      </c>
      <c r="H174" s="77" t="inlineStr">
        <is>
          <t>Civil Engineering Integrated Design Project 4</t>
        </is>
      </c>
      <c r="I174" s="77" t="inlineStr">
        <is>
          <t>IDP4 (code not captured)</t>
        </is>
      </c>
      <c r="J174"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174" s="77" t="inlineStr">
        <is>
          <t>School of Civil Engineering</t>
        </is>
      </c>
      <c r="L174" s="77" t="inlineStr">
        <is>
          <t>Civil Engineering MEng variants (Civil, Civil &amp; Structural, with Project Management, with Transport)</t>
        </is>
      </c>
      <c r="M174" s="77" t="inlineStr">
        <is>
          <t>Engineering/computing</t>
        </is>
      </c>
      <c r="N174" s="77" t="inlineStr">
        <is>
          <t>Undergraduate</t>
        </is>
      </c>
      <c r="O174" s="77" t="inlineStr">
        <is>
          <t>Year 4</t>
        </is>
      </c>
      <c r="P174" s="77" t="inlineStr">
        <is>
          <t>MEng civil engineering programmes</t>
        </is>
      </c>
      <c r="Q174" s="77" t="inlineStr">
        <is>
          <t>Compulsory within specified programmes</t>
        </is>
      </c>
      <c r="R174" s="77" t="inlineStr">
        <is>
          <t>Curricular</t>
        </is>
      </c>
      <c r="S174" s="77" t="inlineStr">
        <is>
          <t>30 credits, Semester 1 (per search summary of catalogue listing; year of listing not confirmed)</t>
        </is>
      </c>
      <c r="T174" s="77" t="inlineStr">
        <is>
          <t>Semester 1</t>
        </is>
      </c>
      <c r="U174" s="77" t="inlineStr">
        <is>
          <t>In-person group design project</t>
        </is>
      </c>
      <c r="V174" s="77" t="inlineStr">
        <is>
          <t>Yes</t>
        </is>
      </c>
      <c r="W174" s="77" t="inlineStr">
        <is>
          <t>Staged design deliverables for a partner-set problem (source 1).</t>
        </is>
      </c>
      <c r="X174" s="77" t="inlineStr">
        <is>
          <t>Yes</t>
        </is>
      </c>
      <c r="Y174" s="77" t="inlineStr">
        <is>
          <t>'Groups' present reports/presentations (source 1).</t>
        </is>
      </c>
      <c r="Z174" s="77" t="inlineStr">
        <is>
          <t>Yes</t>
        </is>
      </c>
      <c r="AA174" s="77" t="inlineStr">
        <is>
          <t>Industrial partner proposes the problem, acts as client and receives presentations; external engineers advise (source 1). 'usually' indicates standard but not absolute.</t>
        </is>
      </c>
      <c r="AB174" s="77" t="inlineStr">
        <is>
          <t>Business/commercial</t>
        </is>
      </c>
      <c r="AC174" s="77" t="inlineStr">
        <is>
          <t>Proposes brief, acts as client, receives presentations at their offices</t>
        </is>
      </c>
      <c r="AD174" s="77" t="inlineStr"/>
      <c r="AE174" s="77" t="inlineStr">
        <is>
          <t>Option study, holistic report, detailed design, presentation</t>
        </is>
      </c>
      <c r="AF174" s="77">
        <f>IF(OR(V174="No",X174="No",Z174="No"),"Outside strict definition",IF(AND(V174="Yes",X174="Yes",Z174="Yes"),"Meets all three","Potentially relevant; evidence incomplete"))</f>
        <v/>
      </c>
      <c r="AG174" s="77" t="inlineStr">
        <is>
          <t>Current status unclear</t>
        </is>
      </c>
      <c r="AH174" s="77" t="inlineStr">
        <is>
          <t>undated</t>
        </is>
      </c>
      <c r="AI174" s="77" t="inlineStr">
        <is>
          <t>Yes</t>
        </is>
      </c>
      <c r="AJ174" s="77">
        <f>IF(AND(AI174="Yes",AF174="Meets all three",AG174="Current delivery confirmed"),"Yes","No")</f>
        <v/>
      </c>
      <c r="AK174" s="77" t="inlineStr"/>
      <c r="AL174" s="77" t="inlineStr">
        <is>
          <t>RG11-S05-R1</t>
        </is>
      </c>
      <c r="AM174" s="77" t="inlineStr">
        <is>
          <t>Page describing partner-client model is undated; no 2025/26 or 2026/27 catalogue entry for this module was retrieved (the 2025/26 results showed Architecture Design Studio modules instead). Module code not captured.</t>
        </is>
      </c>
      <c r="AN174" s="77" t="inlineStr"/>
      <c r="AO174" s="77" t="inlineStr">
        <is>
          <t>UK</t>
        </is>
      </c>
      <c r="AP174" s="77" t="inlineStr">
        <is>
          <t>UK – Russell Group</t>
        </is>
      </c>
      <c r="AQ174" s="77" t="inlineStr">
        <is>
          <t>~1 term/semester</t>
        </is>
      </c>
      <c r="AR174" s="77" t="inlineStr">
        <is>
          <t>All/standard</t>
        </is>
      </c>
      <c r="AS174" s="77" t="inlineStr"/>
    </row>
    <row r="175">
      <c r="A175" s="77" t="inlineStr">
        <is>
          <t>RG11</t>
        </is>
      </c>
      <c r="B175" s="77" t="inlineStr">
        <is>
          <t>Leeds</t>
        </is>
      </c>
      <c r="C175" s="77" t="inlineStr">
        <is>
          <t>Unclear</t>
        </is>
      </c>
      <c r="D175" s="77" t="inlineStr">
        <is>
          <t>RG11-S06</t>
        </is>
      </c>
      <c r="E175" s="77" t="inlineStr"/>
      <c r="F175" s="77" t="inlineStr">
        <is>
          <t>No</t>
        </is>
      </c>
      <c r="G175" s="79" t="inlineStr">
        <is>
          <t>FOAH5000M Engaging the Modern City: The Civic Researcher</t>
        </is>
      </c>
      <c r="H175" s="77" t="inlineStr">
        <is>
          <t>Engaging the Modern City: The Civic Researcher</t>
        </is>
      </c>
      <c r="I175" s="77" t="inlineStr">
        <is>
          <t>FOAH5000M</t>
        </is>
      </c>
      <c r="J175"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175" s="77" t="inlineStr">
        <is>
          <t>Faculty of Arts, Humanities and Cultures (module FOAH)</t>
        </is>
      </c>
      <c r="L175" s="77" t="inlineStr">
        <is>
          <t>Taught postgraduate students; programme list not captured (appears in cultural/engagement MAs)</t>
        </is>
      </c>
      <c r="M175" s="77" t="inlineStr">
        <is>
          <t>Arts/humanities/social sciences</t>
        </is>
      </c>
      <c r="N175" s="77" t="inlineStr">
        <is>
          <t>Postgraduate taught</t>
        </is>
      </c>
      <c r="O175" s="77" t="inlineStr"/>
      <c r="P175" s="77" t="inlineStr">
        <is>
          <t>Taught postgraduate; programme eligibility unconfirmed</t>
        </is>
      </c>
      <c r="Q175" s="77" t="inlineStr">
        <is>
          <t>Unclear</t>
        </is>
      </c>
      <c r="R175" s="77" t="inlineStr">
        <is>
          <t>Curricular</t>
        </is>
      </c>
      <c r="S175" s="77" t="inlineStr">
        <is>
          <t>30 credits, Semester 2 (2025/26). Reflective log 20% (individual), group portfolio 50%, showcase presentation 30% (75% panel of academic and external leads, 25% peer).</t>
        </is>
      </c>
      <c r="T175" s="77" t="inlineStr">
        <is>
          <t>One semester (Semester 2)</t>
        </is>
      </c>
      <c r="U175" s="77" t="inlineStr">
        <is>
          <t>In-person project groups</t>
        </is>
      </c>
      <c r="V175" s="77" t="inlineStr">
        <is>
          <t>Yes</t>
        </is>
      </c>
      <c r="W175" s="77" t="inlineStr">
        <is>
          <t>Negotiated project brief; outputs such as consultancy reports/policy briefs (source 1).</t>
        </is>
      </c>
      <c r="X175" s="77" t="inlineStr">
        <is>
          <t>Yes</t>
        </is>
      </c>
      <c r="Y175" s="77" t="inlineStr">
        <is>
          <t>'student groups'; group portfolio 50% (source 1).</t>
        </is>
      </c>
      <c r="Z175" s="77" t="inlineStr">
        <is>
          <t>Yes</t>
        </is>
      </c>
      <c r="AA175" s="77" t="inlineStr">
        <is>
          <t>Leeds-based organisations negotiate briefs with groups; showcase marked by a panel of academic and external leads; organisations include Leeds Playhouse and The Works Skatepark (source 1).</t>
        </is>
      </c>
      <c r="AB175" s="77" t="inlineStr">
        <is>
          <t>Mixed</t>
        </is>
      </c>
      <c r="AC175" s="77" t="inlineStr">
        <is>
          <t>Negotiates/co-articulates project brief; sits on assessment panel; receives output</t>
        </is>
      </c>
      <c r="AD175" s="77" t="inlineStr">
        <is>
          <t>Leeds Playhouse, The Works Skatepark (catalogue); East Street Arts (alumni profile, year unclear)</t>
        </is>
      </c>
      <c r="AE175" s="77" t="inlineStr">
        <is>
          <t>Group portfolio and external-facing research-led output</t>
        </is>
      </c>
      <c r="AF175" s="77">
        <f>IF(OR(V175="No",X175="No",Z175="No"),"Outside strict definition",IF(AND(V175="Yes",X175="Yes",Z175="Yes"),"Meets all three","Potentially relevant; evidence incomplete"))</f>
        <v/>
      </c>
      <c r="AG175" s="77" t="inlineStr">
        <is>
          <t>Current delivery confirmed</t>
        </is>
      </c>
      <c r="AH175" s="77" t="inlineStr">
        <is>
          <t>2025/26</t>
        </is>
      </c>
      <c r="AI175" s="77" t="inlineStr">
        <is>
          <t>Yes</t>
        </is>
      </c>
      <c r="AJ175" s="77">
        <f>IF(AND(AI175="Yes",AF175="Meets all three",AG175="Current delivery confirmed"),"Yes","No")</f>
        <v/>
      </c>
      <c r="AK175" s="77" t="inlineStr"/>
      <c r="AL175" s="77" t="inlineStr">
        <is>
          <t>RG11-S06-R1; RG11-S06-R2</t>
        </is>
      </c>
      <c r="AM175" s="77" t="inlineStr">
        <is>
          <t>Which programmes the module serves and whether compulsory/optional not retrieved; reach marked Unclear.</t>
        </is>
      </c>
      <c r="AN175" s="77" t="inlineStr"/>
      <c r="AO175" s="77" t="inlineStr">
        <is>
          <t>UK</t>
        </is>
      </c>
      <c r="AP175" s="77" t="inlineStr">
        <is>
          <t>UK – Russell Group</t>
        </is>
      </c>
      <c r="AQ175" s="77" t="inlineStr">
        <is>
          <t>~1 term/semester</t>
        </is>
      </c>
      <c r="AR175" s="77" t="inlineStr">
        <is>
          <t>All/standard</t>
        </is>
      </c>
      <c r="AS175" s="77" t="inlineStr"/>
    </row>
    <row r="176">
      <c r="A176" s="77" t="inlineStr">
        <is>
          <t>RG11</t>
        </is>
      </c>
      <c r="B176" s="77" t="inlineStr">
        <is>
          <t>Leeds</t>
        </is>
      </c>
      <c r="C176" s="77" t="inlineStr">
        <is>
          <t>Programme/course</t>
        </is>
      </c>
      <c r="D176" s="77" t="inlineStr">
        <is>
          <t>RG11-S07</t>
        </is>
      </c>
      <c r="E176" s="77" t="inlineStr"/>
      <c r="F176" s="77" t="inlineStr">
        <is>
          <t>No</t>
        </is>
      </c>
      <c r="G176" s="79" t="inlineStr">
        <is>
          <t>Placements in Context (MA Arts Management and Heritage Studies)</t>
        </is>
      </c>
      <c r="H176" s="77" t="inlineStr">
        <is>
          <t>Placements in Context / Projects with Cultural Organisations</t>
        </is>
      </c>
      <c r="I176" s="77" t="inlineStr"/>
      <c r="J176" s="77" t="inlineStr">
        <is>
          <t>Optional 30-credit module in which students deliver a collaborative group project responding to a brief set by a gallery, museum or heritage partner, presenting at an annual school event.</t>
        </is>
      </c>
      <c r="K176" s="77" t="inlineStr">
        <is>
          <t>School of Fine Art, History of Art and Cultural Studies (Centre for Critical Studies in Museums, Galleries and Heritage)</t>
        </is>
      </c>
      <c r="L176" s="77" t="inlineStr">
        <is>
          <t>MA Arts Management and Heritage Studies; related MA Art Gallery and Museum Studies</t>
        </is>
      </c>
      <c r="M176" s="77" t="inlineStr">
        <is>
          <t>Arts/humanities/social sciences</t>
        </is>
      </c>
      <c r="N176" s="77" t="inlineStr">
        <is>
          <t>Postgraduate taught</t>
        </is>
      </c>
      <c r="O176" s="77" t="inlineStr"/>
      <c r="P176" s="77" t="inlineStr"/>
      <c r="Q176" s="77" t="inlineStr">
        <is>
          <t>Optional/elective</t>
        </is>
      </c>
      <c r="R176" s="77" t="inlineStr">
        <is>
          <t>Curricular</t>
        </is>
      </c>
      <c r="S176" s="77" t="inlineStr">
        <is>
          <t>30 credits, Semester 2</t>
        </is>
      </c>
      <c r="T176" s="77" t="inlineStr">
        <is>
          <t>Semester 2</t>
        </is>
      </c>
      <c r="U176" s="77" t="inlineStr">
        <is>
          <t>Group project with partner</t>
        </is>
      </c>
      <c r="V176" s="77" t="inlineStr">
        <is>
          <t>Yes</t>
        </is>
      </c>
      <c r="W176" s="77" t="inlineStr">
        <is>
          <t>Group project responding to a partner brief (source 1).</t>
        </is>
      </c>
      <c r="X176" s="77" t="inlineStr">
        <is>
          <t>Yes</t>
        </is>
      </c>
      <c r="Y176" s="77" t="inlineStr">
        <is>
          <t>'collaborative group project' (source 1).</t>
        </is>
      </c>
      <c r="Z176" s="77" t="inlineStr">
        <is>
          <t>Yes</t>
        </is>
      </c>
      <c r="AA176" s="77" t="inlineStr">
        <is>
          <t>Brief set by a gallery, museum or heritage partner; past partners include National Science and Media Museum, Leeds Museums and Galleries, Yorkshire Contemporary, Hyde Park Picture House (sources 1, 2).</t>
        </is>
      </c>
      <c r="AB176" s="77" t="inlineStr">
        <is>
          <t>Mixed</t>
        </is>
      </c>
      <c r="AC176" s="77" t="inlineStr">
        <is>
          <t>Sets the project brief (museums, galleries, heritage organisations)</t>
        </is>
      </c>
      <c r="AD176" s="77" t="inlineStr">
        <is>
          <t>National Science and Media Museum, Leeds Museums and Galleries, Yorkshire Contemporary, Hyde Park Picture House (past collaborations, years not stated)</t>
        </is>
      </c>
      <c r="AE176" s="77" t="inlineStr">
        <is>
          <t>Group project output for partner (form varies); presentation at annual event</t>
        </is>
      </c>
      <c r="AF176" s="77">
        <f>IF(OR(V176="No",X176="No",Z176="No"),"Outside strict definition",IF(AND(V176="Yes",X176="Yes",Z176="Yes"),"Meets all three","Potentially relevant; evidence incomplete"))</f>
        <v/>
      </c>
      <c r="AG176" s="77" t="inlineStr">
        <is>
          <t>Current status unclear</t>
        </is>
      </c>
      <c r="AH176" s="77" t="inlineStr">
        <is>
          <t>undated</t>
        </is>
      </c>
      <c r="AI176" s="77" t="inlineStr">
        <is>
          <t>Yes</t>
        </is>
      </c>
      <c r="AJ176" s="77">
        <f>IF(AND(AI176="Yes",AF176="Meets all three",AG176="Current delivery confirmed"),"Yes","No")</f>
        <v/>
      </c>
      <c r="AK176" s="77" t="inlineStr"/>
      <c r="AL176" s="77" t="inlineStr">
        <is>
          <t>RG11-S07-R1; RG11-S07-R2</t>
        </is>
      </c>
      <c r="AM176" s="77" t="inlineStr">
        <is>
          <t>Module code and 2025/26-2026/27 delivery evidence not retrieved; partner list and call-for-projects news are undated or old.</t>
        </is>
      </c>
      <c r="AN176" s="77" t="inlineStr"/>
      <c r="AO176" s="77" t="inlineStr">
        <is>
          <t>UK</t>
        </is>
      </c>
      <c r="AP176" s="77" t="inlineStr">
        <is>
          <t>UK – Russell Group</t>
        </is>
      </c>
      <c r="AQ176" s="77" t="inlineStr">
        <is>
          <t>~1 term/semester</t>
        </is>
      </c>
      <c r="AR176" s="77" t="inlineStr">
        <is>
          <t>All/standard</t>
        </is>
      </c>
      <c r="AS176" s="77" t="inlineStr"/>
    </row>
    <row r="177">
      <c r="A177" s="77" t="inlineStr">
        <is>
          <t>RG11</t>
        </is>
      </c>
      <c r="B177" s="77" t="inlineStr">
        <is>
          <t>Leeds</t>
        </is>
      </c>
      <c r="C177" s="77" t="inlineStr">
        <is>
          <t>Programme/course</t>
        </is>
      </c>
      <c r="D177" s="77" t="inlineStr">
        <is>
          <t>RG11-S08</t>
        </is>
      </c>
      <c r="E177" s="77" t="inlineStr"/>
      <c r="F177" s="77" t="inlineStr">
        <is>
          <t>No</t>
        </is>
      </c>
      <c r="G177" s="79" t="inlineStr">
        <is>
          <t>Leeds MBA Live Challenges (Consulting Challenge in Leading in Practice)</t>
        </is>
      </c>
      <c r="H177" s="77" t="inlineStr">
        <is>
          <t>Leeds MBA Consulting Challenge</t>
        </is>
      </c>
      <c r="I177" s="77" t="inlineStr"/>
      <c r="J177"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177" s="77" t="inlineStr">
        <is>
          <t>Leeds University Business School (Leeds MBA)</t>
        </is>
      </c>
      <c r="L177" s="77" t="inlineStr">
        <is>
          <t>Leeds MBA</t>
        </is>
      </c>
      <c r="M177" s="77" t="inlineStr">
        <is>
          <t>Business/management</t>
        </is>
      </c>
      <c r="N177" s="77" t="inlineStr">
        <is>
          <t>Postgraduate taught</t>
        </is>
      </c>
      <c r="O177" s="77" t="inlineStr"/>
      <c r="P177" s="77" t="inlineStr">
        <is>
          <t>MBA students</t>
        </is>
      </c>
      <c r="Q177" s="77" t="inlineStr">
        <is>
          <t>Compulsory within specified programmes</t>
        </is>
      </c>
      <c r="R177" s="77" t="inlineStr">
        <is>
          <t>Curricular</t>
        </is>
      </c>
      <c r="S177" s="77" t="inlineStr">
        <is>
          <t>Within Leading in Practice module; credit weighting not retrieved</t>
        </is>
      </c>
      <c r="T177" s="77" t="inlineStr">
        <is>
          <t>Within a module; length not stated</t>
        </is>
      </c>
      <c r="U177" s="77" t="inlineStr">
        <is>
          <t>Team consulting</t>
        </is>
      </c>
      <c r="V177" s="77" t="inlineStr">
        <is>
          <t>Yes</t>
        </is>
      </c>
      <c r="W177" s="77" t="inlineStr">
        <is>
          <t>Diagnose problem and make intervention/recommendations for client (source 1).</t>
        </is>
      </c>
      <c r="X177" s="77" t="inlineStr">
        <is>
          <t>Yes</t>
        </is>
      </c>
      <c r="Y177" s="77" t="inlineStr">
        <is>
          <t>'Teams meet the client' (source 1).</t>
        </is>
      </c>
      <c r="Z177" s="77" t="inlineStr">
        <is>
          <t>Yes</t>
        </is>
      </c>
      <c r="AA177" s="77" t="inlineStr">
        <is>
          <t>External business/social enterprise/voluntary-sector client engaged; mentoring by practitioners (sources 1, 2).</t>
        </is>
      </c>
      <c r="AB177" s="77" t="inlineStr">
        <is>
          <t>Mixed</t>
        </is>
      </c>
      <c r="AC177" s="77" t="inlineStr">
        <is>
          <t>Acts as client; receives consultancy; practitioners mentor</t>
        </is>
      </c>
      <c r="AD177" s="77" t="inlineStr">
        <is>
          <t>Past listed partners incl. NHS Foundation Trust, Leeds City Council, Jet2.com, Deloitte (undated list)</t>
        </is>
      </c>
      <c r="AE177" s="77" t="inlineStr">
        <is>
          <t>Consultancy recommendations/intervention for client</t>
        </is>
      </c>
      <c r="AF177" s="77">
        <f>IF(OR(V177="No",X177="No",Z177="No"),"Outside strict definition",IF(AND(V177="Yes",X177="Yes",Z177="Yes"),"Meets all three","Potentially relevant; evidence incomplete"))</f>
        <v/>
      </c>
      <c r="AG177" s="77" t="inlineStr">
        <is>
          <t>Current status unclear</t>
        </is>
      </c>
      <c r="AH177" s="77" t="inlineStr">
        <is>
          <t>undated</t>
        </is>
      </c>
      <c r="AI177" s="77" t="inlineStr">
        <is>
          <t>Yes</t>
        </is>
      </c>
      <c r="AJ177" s="77">
        <f>IF(AND(AI177="Yes",AF177="Meets all three",AG177="Current delivery confirmed"),"Yes","No")</f>
        <v/>
      </c>
      <c r="AK177" s="77" t="inlineStr"/>
      <c r="AL177" s="77" t="inlineStr">
        <is>
          <t>RG11-S08-R1; RG11-S08-R2</t>
        </is>
      </c>
      <c r="AM177" s="77" t="inlineStr">
        <is>
          <t>Pages undated; no 2025/26 or 2026/27 cohort evidence retrieved; duration and credit weighting unknown.</t>
        </is>
      </c>
      <c r="AN177" s="77" t="inlineStr"/>
      <c r="AO177" s="77" t="inlineStr">
        <is>
          <t>UK</t>
        </is>
      </c>
      <c r="AP177" s="77" t="inlineStr">
        <is>
          <t>UK – Russell Group</t>
        </is>
      </c>
      <c r="AQ177" s="77" t="inlineStr">
        <is>
          <t>Unclear</t>
        </is>
      </c>
      <c r="AR177" s="77" t="inlineStr">
        <is>
          <t>All/standard</t>
        </is>
      </c>
      <c r="AS177" s="77" t="inlineStr"/>
    </row>
    <row r="178">
      <c r="A178" s="77" t="inlineStr">
        <is>
          <t>RG11</t>
        </is>
      </c>
      <c r="B178" s="77" t="inlineStr">
        <is>
          <t>Leeds</t>
        </is>
      </c>
      <c r="C178" s="77" t="inlineStr">
        <is>
          <t>Cross-faculty</t>
        </is>
      </c>
      <c r="D178" s="77" t="inlineStr">
        <is>
          <t>RG11-S09</t>
        </is>
      </c>
      <c r="E178" s="77" t="inlineStr"/>
      <c r="F178" s="77" t="inlineStr">
        <is>
          <t>No</t>
        </is>
      </c>
      <c r="G178" s="79" t="inlineStr">
        <is>
          <t>LUBS3990 Innovation Thinking and Practice</t>
        </is>
      </c>
      <c r="H178" s="77" t="inlineStr">
        <is>
          <t>Innovation Thinking and Practice</t>
        </is>
      </c>
      <c r="I178" s="77" t="inlineStr">
        <is>
          <t>LUBS3990</t>
        </is>
      </c>
      <c r="J178"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178" s="77" t="inlineStr">
        <is>
          <t>Leeds University Business School</t>
        </is>
      </c>
      <c r="L178" s="77" t="inlineStr">
        <is>
          <t>LUBS and School of Computer Science students plus Discovery module students from across the University</t>
        </is>
      </c>
      <c r="M178" s="77" t="inlineStr">
        <is>
          <t>Business/management; Engineering/computing; Central provision</t>
        </is>
      </c>
      <c r="N178" s="77" t="inlineStr">
        <is>
          <t>Undergraduate</t>
        </is>
      </c>
      <c r="O178" s="77" t="inlineStr">
        <is>
          <t>Final year</t>
        </is>
      </c>
      <c r="P178" s="77" t="inlineStr">
        <is>
          <t>Approved as a Discovery module; programme rules apply</t>
        </is>
      </c>
      <c r="Q178" s="77" t="inlineStr">
        <is>
          <t>Optional/elective</t>
        </is>
      </c>
      <c r="R178" s="77" t="inlineStr">
        <is>
          <t>Curricular</t>
        </is>
      </c>
      <c r="S178" s="77" t="inlineStr">
        <is>
          <t>10 credits; individual 2,000-word reflective essay 100%; team project and final team presentation not formally marked as a group (catalogue)</t>
        </is>
      </c>
      <c r="T178" s="77" t="inlineStr">
        <is>
          <t>Semester 1 (about 10 weeks of project work per news report)</t>
        </is>
      </c>
      <c r="U178" s="77" t="inlineStr">
        <is>
          <t>Eleven facilitated workshops; team project</t>
        </is>
      </c>
      <c r="V178" s="77" t="inlineStr">
        <is>
          <t>Yes</t>
        </is>
      </c>
      <c r="W178" s="77" t="inlineStr">
        <is>
          <t>Prototype and solution to a partner-set challenge pitched to panel (sources 1, 2).</t>
        </is>
      </c>
      <c r="X178" s="77" t="inlineStr">
        <is>
          <t>Yes</t>
        </is>
      </c>
      <c r="Y178" s="77" t="inlineStr">
        <is>
          <t>Team project with interdisciplinary teams; 40 teams reported in news; assessment individual (sources 1, 2).</t>
        </is>
      </c>
      <c r="Z178" s="77" t="inlineStr">
        <is>
          <t>Yes</t>
        </is>
      </c>
      <c r="AA178" s="77" t="inlineStr">
        <is>
          <t>Partner organisations co-develop/write the challenge briefs and sit on pitch panels (first direct, Co-op Food, OVO Energy, UNEP, Leeds City Council, KPMG, IBM) (source 2).</t>
        </is>
      </c>
      <c r="AB178" s="77" t="inlineStr">
        <is>
          <t>Mixed</t>
        </is>
      </c>
      <c r="AC178" s="77" t="inlineStr">
        <is>
          <t>Sets challenge brief; panel judges final pitch</t>
        </is>
      </c>
      <c r="AD178" s="77" t="inlineStr">
        <is>
          <t>first direct, Co-Op Food, OVO Energy, United Nations Environment Programme, Leeds City Council, KPMG, IBM (various cohorts; years not reliably dated)</t>
        </is>
      </c>
      <c r="AE178" s="77" t="inlineStr">
        <is>
          <t>Prototype/solution pitched to industry panel</t>
        </is>
      </c>
      <c r="AF178" s="77">
        <f>IF(OR(V178="No",X178="No",Z178="No"),"Outside strict definition",IF(AND(V178="Yes",X178="Yes",Z178="Yes"),"Meets all three","Potentially relevant; evidence incomplete"))</f>
        <v/>
      </c>
      <c r="AG178" s="77" t="inlineStr">
        <is>
          <t>Current status unclear</t>
        </is>
      </c>
      <c r="AH178" s="77" t="inlineStr">
        <is>
          <t>2025/26</t>
        </is>
      </c>
      <c r="AI178" s="77" t="inlineStr">
        <is>
          <t>Yes</t>
        </is>
      </c>
      <c r="AJ178" s="77">
        <f>IF(AND(AI178="Yes",AF178="Meets all three",AG178="Current delivery confirmed"),"Yes","No")</f>
        <v/>
      </c>
      <c r="AK178" s="77" t="inlineStr">
        <is>
          <t>Class size 280-320 listed in 2025/26 catalogue versions; news reports 320 students in 40 teams (year not reliably dated)</t>
        </is>
      </c>
      <c r="AL178" s="77" t="inlineStr">
        <is>
          <t>RG11-S09-R1; RG11-S09-R2; RG11-S09-R3; RG11-S09-R4</t>
        </is>
      </c>
      <c r="AM178" s="77" t="inlineStr">
        <is>
          <t>One 2025/26 catalogue version carries a 'discontinued in the selected year' note and class sizes conflict (280 vs 320); the 2026/27 catalogue URL exists but no content retrieved. News item dating is inconsistent. Treat current delivery as unconfirmed.</t>
        </is>
      </c>
      <c r="AN178" s="77" t="inlineStr"/>
      <c r="AO178" s="77" t="inlineStr">
        <is>
          <t>UK</t>
        </is>
      </c>
      <c r="AP178" s="77" t="inlineStr">
        <is>
          <t>UK – Russell Group</t>
        </is>
      </c>
      <c r="AQ178" s="77" t="inlineStr">
        <is>
          <t>~1 term/semester</t>
        </is>
      </c>
      <c r="AR178" s="77" t="inlineStr">
        <is>
          <t>All/standard</t>
        </is>
      </c>
      <c r="AS178" s="77" t="inlineStr"/>
    </row>
    <row r="179">
      <c r="A179" s="77" t="inlineStr">
        <is>
          <t>RG11</t>
        </is>
      </c>
      <c r="B179" s="77" t="inlineStr">
        <is>
          <t>Leeds</t>
        </is>
      </c>
      <c r="C179" s="77" t="inlineStr">
        <is>
          <t>Programme/course</t>
        </is>
      </c>
      <c r="D179" s="77" t="inlineStr">
        <is>
          <t>RG11-S10</t>
        </is>
      </c>
      <c r="E179" s="77" t="inlineStr"/>
      <c r="F179" s="77" t="inlineStr">
        <is>
          <t>No</t>
        </is>
      </c>
      <c r="G179" s="79" t="inlineStr">
        <is>
          <t>DESN3585 Collaborative Marketing and Promotion</t>
        </is>
      </c>
      <c r="H179" s="77" t="inlineStr">
        <is>
          <t>Collaborative Marketing and Promotion</t>
        </is>
      </c>
      <c r="I179" s="77" t="inlineStr">
        <is>
          <t>DESN3585</t>
        </is>
      </c>
      <c r="J179"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179" s="77" t="inlineStr">
        <is>
          <t>School of Design</t>
        </is>
      </c>
      <c r="L179" s="77" t="inlineStr">
        <is>
          <t>Design/fashion marketing programmes (e.g. Fashion Marketing BA)</t>
        </is>
      </c>
      <c r="M179" s="77" t="inlineStr">
        <is>
          <t>Other (law, health, design, architecture…); Arts/humanities/social sciences</t>
        </is>
      </c>
      <c r="N179" s="77" t="inlineStr">
        <is>
          <t>Undergraduate</t>
        </is>
      </c>
      <c r="O179" s="77" t="inlineStr">
        <is>
          <t>Level 3</t>
        </is>
      </c>
      <c r="P179" s="77" t="inlineStr"/>
      <c r="Q179" s="77" t="inlineStr">
        <is>
          <t>Unclear</t>
        </is>
      </c>
      <c r="R179" s="77" t="inlineStr">
        <is>
          <t>Curricular</t>
        </is>
      </c>
      <c r="S179" s="77" t="inlineStr">
        <is>
          <t>20 credits; group project 40% (marketing materials and presentation), reflective report 60%</t>
        </is>
      </c>
      <c r="T179" s="77" t="inlineStr">
        <is>
          <t>Semesters 1 and 2</t>
        </is>
      </c>
      <c r="U179" s="77" t="inlineStr">
        <is>
          <t>Team project with client interaction</t>
        </is>
      </c>
      <c r="V179" s="77" t="inlineStr">
        <is>
          <t>Yes</t>
        </is>
      </c>
      <c r="W179" s="77" t="inlineStr">
        <is>
          <t>Campaign materials and presentation (source 1).</t>
        </is>
      </c>
      <c r="X179" s="77" t="inlineStr">
        <is>
          <t>Yes</t>
        </is>
      </c>
      <c r="Y179" s="77" t="inlineStr">
        <is>
          <t>'Students work in teams'; team-produced group project (source 1).</t>
        </is>
      </c>
      <c r="Z179" s="77" t="inlineStr">
        <is>
          <t>Unclear</t>
        </is>
      </c>
      <c r="AA179" s="77" t="inlineStr">
        <is>
          <t>Client gives feedback in seminars and two interim presentations, and an earlier (2021/22) catalogue describes an international fashion business; but no named external client or evidence the client is real rather than a teaching case.</t>
        </is>
      </c>
      <c r="AB179" s="77" t="inlineStr">
        <is>
          <t>Unclear</t>
        </is>
      </c>
      <c r="AC179" s="77" t="inlineStr">
        <is>
          <t>Client; formative feedback on interim presentations</t>
        </is>
      </c>
      <c r="AD179" s="77" t="inlineStr"/>
      <c r="AE179" s="77" t="inlineStr">
        <is>
          <t>Marketing campaign materials and presentation</t>
        </is>
      </c>
      <c r="AF179" s="77">
        <f>IF(OR(V179="No",X179="No",Z179="No"),"Outside strict definition",IF(AND(V179="Yes",X179="Yes",Z179="Yes"),"Meets all three","Potentially relevant; evidence incomplete"))</f>
        <v/>
      </c>
      <c r="AG179" s="77" t="inlineStr">
        <is>
          <t>Current status unclear</t>
        </is>
      </c>
      <c r="AH179" s="77" t="inlineStr">
        <is>
          <t>2026/27</t>
        </is>
      </c>
      <c r="AI179" s="77" t="inlineStr">
        <is>
          <t>Yes</t>
        </is>
      </c>
      <c r="AJ179" s="77">
        <f>IF(AND(AI179="Yes",AF179="Meets all three",AG179="Current delivery confirmed"),"Yes","No")</f>
        <v/>
      </c>
      <c r="AK179" s="77" t="inlineStr">
        <is>
          <t>Class size 48 (catalogue)</t>
        </is>
      </c>
      <c r="AL179" s="77" t="inlineStr">
        <is>
          <t>RG11-S10-R1</t>
        </is>
      </c>
      <c r="AM179" s="77" t="inlineStr">
        <is>
          <t>Client identity and whether it is a live external organisation not established; catalogue entries 2025/26 and 2026/27 exist but retrieved text appears to be 2024/25-labelled.</t>
        </is>
      </c>
      <c r="AN179" s="77" t="inlineStr"/>
      <c r="AO179" s="77" t="inlineStr">
        <is>
          <t>UK</t>
        </is>
      </c>
      <c r="AP179" s="77" t="inlineStr">
        <is>
          <t>UK – Russell Group</t>
        </is>
      </c>
      <c r="AQ179" s="77" t="inlineStr">
        <is>
          <t>Unclear</t>
        </is>
      </c>
      <c r="AR179" s="77" t="inlineStr">
        <is>
          <t>Unclear</t>
        </is>
      </c>
      <c r="AS179" s="77" t="inlineStr"/>
    </row>
    <row r="180">
      <c r="A180" s="77" t="inlineStr">
        <is>
          <t>RG11</t>
        </is>
      </c>
      <c r="B180" s="77" t="inlineStr">
        <is>
          <t>Leeds</t>
        </is>
      </c>
      <c r="C180" s="77" t="inlineStr">
        <is>
          <t>Programme/course</t>
        </is>
      </c>
      <c r="D180" s="77" t="inlineStr">
        <is>
          <t>RG11-S11</t>
        </is>
      </c>
      <c r="E180" s="77" t="inlineStr"/>
      <c r="F180" s="77" t="inlineStr">
        <is>
          <t>No</t>
        </is>
      </c>
      <c r="G180" s="79" t="inlineStr">
        <is>
          <t>COMP5530M Group Project (MEng Computer Science)</t>
        </is>
      </c>
      <c r="H180" s="77" t="inlineStr">
        <is>
          <t>Group Project (Computer Science MEng)</t>
        </is>
      </c>
      <c r="I180" s="77" t="inlineStr">
        <is>
          <t>COMP5530M</t>
        </is>
      </c>
      <c r="J180" s="77" t="inlineStr">
        <is>
          <t>Year 4 MEng teams define a problem and plan, code and manage a collective software project; course page labels it industry-based but module description pairs the team with an academic on research-led problems.</t>
        </is>
      </c>
      <c r="K180" s="77" t="inlineStr">
        <is>
          <t>School of Computer Science</t>
        </is>
      </c>
      <c r="L180" s="77" t="inlineStr">
        <is>
          <t>Computer Science MEng variants</t>
        </is>
      </c>
      <c r="M180" s="77" t="inlineStr">
        <is>
          <t>Engineering/computing</t>
        </is>
      </c>
      <c r="N180" s="77" t="inlineStr">
        <is>
          <t>Undergraduate</t>
        </is>
      </c>
      <c r="O180" s="77" t="inlineStr">
        <is>
          <t>Year 4</t>
        </is>
      </c>
      <c r="P180" s="77" t="inlineStr">
        <is>
          <t>MEng students</t>
        </is>
      </c>
      <c r="Q180" s="77" t="inlineStr">
        <is>
          <t>Compulsory within specified programmes</t>
        </is>
      </c>
      <c r="R180" s="77" t="inlineStr">
        <is>
          <t>Curricular</t>
        </is>
      </c>
      <c r="S180" s="77" t="inlineStr">
        <is>
          <t>30 credits (45 on some variants), Semesters 1-2</t>
        </is>
      </c>
      <c r="T180" s="77" t="inlineStr">
        <is>
          <t>Two semesters</t>
        </is>
      </c>
      <c r="U180" s="77" t="inlineStr">
        <is>
          <t>Team software project</t>
        </is>
      </c>
      <c r="V180" s="77" t="inlineStr">
        <is>
          <t>Yes</t>
        </is>
      </c>
      <c r="W180" s="77" t="inlineStr">
        <is>
          <t>Collective software project negotiated with supervisor (source 1).</t>
        </is>
      </c>
      <c r="X180" s="77" t="inlineStr">
        <is>
          <t>Yes</t>
        </is>
      </c>
      <c r="Y180" s="77" t="inlineStr">
        <is>
          <t>Working as part of a group on a major computing project (source 1).</t>
        </is>
      </c>
      <c r="Z180" s="77" t="inlineStr">
        <is>
          <t>Unclear</t>
        </is>
      </c>
      <c r="AA180" s="77" t="inlineStr">
        <is>
          <t>MEng page says 'industry-based group project' but module text says students are paired with an academic on problems tied to School research expertise; no named external client (sources 1, 2).</t>
        </is>
      </c>
      <c r="AB180" s="77" t="inlineStr">
        <is>
          <t>Unclear</t>
        </is>
      </c>
      <c r="AC180" s="77" t="inlineStr">
        <is>
          <t>Not evidenced</t>
        </is>
      </c>
      <c r="AD180" s="77" t="inlineStr"/>
      <c r="AE180" s="77" t="inlineStr">
        <is>
          <t>Software system</t>
        </is>
      </c>
      <c r="AF180" s="77">
        <f>IF(OR(V180="No",X180="No",Z180="No"),"Outside strict definition",IF(AND(V180="Yes",X180="Yes",Z180="Yes"),"Meets all three","Potentially relevant; evidence incomplete"))</f>
        <v/>
      </c>
      <c r="AG180" s="77" t="inlineStr">
        <is>
          <t>Current delivery confirmed</t>
        </is>
      </c>
      <c r="AH180" s="77" t="inlineStr">
        <is>
          <t>2025/26</t>
        </is>
      </c>
      <c r="AI180" s="77" t="inlineStr">
        <is>
          <t>Yes</t>
        </is>
      </c>
      <c r="AJ180" s="77">
        <f>IF(AND(AI180="Yes",AF180="Meets all three",AG180="Current delivery confirmed"),"Yes","No")</f>
        <v/>
      </c>
      <c r="AK180" s="77" t="inlineStr">
        <is>
          <t>Class size 70 (catalogue)</t>
        </is>
      </c>
      <c r="AL180" s="77" t="inlineStr">
        <is>
          <t>RG11-S11-R1; RG11-S11-R2</t>
        </is>
      </c>
      <c r="AM180" s="77" t="inlineStr">
        <is>
          <t>Whether external organisations supply briefs is unresolved; may be academic research clients (internal, would fail C).</t>
        </is>
      </c>
      <c r="AN180" s="77" t="inlineStr"/>
      <c r="AO180" s="77" t="inlineStr">
        <is>
          <t>UK</t>
        </is>
      </c>
      <c r="AP180" s="77" t="inlineStr">
        <is>
          <t>UK – Russell Group</t>
        </is>
      </c>
      <c r="AQ180" s="77" t="inlineStr">
        <is>
          <t>&gt;1 term</t>
        </is>
      </c>
      <c r="AR180" s="77" t="inlineStr">
        <is>
          <t>Unclear</t>
        </is>
      </c>
      <c r="AS180" s="77" t="inlineStr"/>
    </row>
    <row r="181">
      <c r="A181" s="77" t="inlineStr">
        <is>
          <t>RG11</t>
        </is>
      </c>
      <c r="B181" s="77" t="inlineStr">
        <is>
          <t>Leeds</t>
        </is>
      </c>
      <c r="C181" s="77" t="inlineStr">
        <is>
          <t>Programme/course</t>
        </is>
      </c>
      <c r="D181" s="77" t="inlineStr">
        <is>
          <t>RG11-S12</t>
        </is>
      </c>
      <c r="E181" s="77" t="inlineStr"/>
      <c r="F181" s="77" t="inlineStr">
        <is>
          <t>No</t>
        </is>
      </c>
      <c r="G181" s="79" t="inlineStr">
        <is>
          <t>Chemical Engineering Process Plant Design Project (Year 3)</t>
        </is>
      </c>
      <c r="H181" s="77" t="inlineStr">
        <is>
          <t>Chemical Engineering capstone design project</t>
        </is>
      </c>
      <c r="I181" s="77" t="inlineStr"/>
      <c r="J181" s="77" t="inlineStr">
        <is>
          <t>Third-year teams design a full chemical plant for an industrially relevant process, mentored by design consultants with weekly progress meetings; lectures by practising chemical engineers run alongside.</t>
        </is>
      </c>
      <c r="K181" s="77" t="inlineStr">
        <is>
          <t>School of Chemical and Process Engineering</t>
        </is>
      </c>
      <c r="L181" s="77" t="inlineStr">
        <is>
          <t>Chemical Engineering BEng/MEng variants</t>
        </is>
      </c>
      <c r="M181" s="77" t="inlineStr">
        <is>
          <t>Engineering/computing</t>
        </is>
      </c>
      <c r="N181" s="77" t="inlineStr">
        <is>
          <t>Undergraduate</t>
        </is>
      </c>
      <c r="O181" s="77" t="inlineStr">
        <is>
          <t>Year 3</t>
        </is>
      </c>
      <c r="P181" s="77" t="inlineStr"/>
      <c r="Q181" s="77" t="inlineStr">
        <is>
          <t>Compulsory within specified programmes</t>
        </is>
      </c>
      <c r="R181" s="77" t="inlineStr">
        <is>
          <t>Curricular</t>
        </is>
      </c>
      <c r="S181" s="77" t="inlineStr">
        <is>
          <t>20-40 credits depending on programme/year</t>
        </is>
      </c>
      <c r="T181" s="77" t="inlineStr">
        <is>
          <t>Year-long/semesters (not confirmed)</t>
        </is>
      </c>
      <c r="U181" s="77" t="inlineStr">
        <is>
          <t>Team design project</t>
        </is>
      </c>
      <c r="V181" s="77" t="inlineStr">
        <is>
          <t>Yes</t>
        </is>
      </c>
      <c r="W181" s="77" t="inlineStr">
        <is>
          <t>Full plant design (source 1).</t>
        </is>
      </c>
      <c r="X181" s="77" t="inlineStr">
        <is>
          <t>Yes</t>
        </is>
      </c>
      <c r="Y181" s="77" t="inlineStr">
        <is>
          <t>'work in a team' (source 1).</t>
        </is>
      </c>
      <c r="Z181" s="77" t="inlineStr">
        <is>
          <t>Unclear</t>
        </is>
      </c>
      <c r="AA181" s="77" t="inlineStr">
        <is>
          <t>Design consultants mentor teams weekly but whether they are external practitioners, and whether a client sets the brief, is not stated.</t>
        </is>
      </c>
      <c r="AB181" s="77" t="inlineStr">
        <is>
          <t>Unclear</t>
        </is>
      </c>
      <c r="AC181" s="77" t="inlineStr">
        <is>
          <t>Mentors (affiliation unclear)</t>
        </is>
      </c>
      <c r="AD181" s="77" t="inlineStr"/>
      <c r="AE181" s="77" t="inlineStr">
        <is>
          <t>Plant design report</t>
        </is>
      </c>
      <c r="AF181" s="77">
        <f>IF(OR(V181="No",X181="No",Z181="No"),"Outside strict definition",IF(AND(V181="Yes",X181="Yes",Z181="Yes"),"Meets all three","Potentially relevant; evidence incomplete"))</f>
        <v/>
      </c>
      <c r="AG181" s="77" t="inlineStr">
        <is>
          <t>Current status unclear</t>
        </is>
      </c>
      <c r="AH181" s="77" t="inlineStr">
        <is>
          <t>undated</t>
        </is>
      </c>
      <c r="AI181" s="77" t="inlineStr">
        <is>
          <t>Yes</t>
        </is>
      </c>
      <c r="AJ181" s="77">
        <f>IF(AND(AI181="Yes",AF181="Meets all three",AG181="Current delivery confirmed"),"Yes","No")</f>
        <v/>
      </c>
      <c r="AK181" s="77" t="inlineStr"/>
      <c r="AL181" s="77" t="inlineStr">
        <is>
          <t>RG11-S12-R1</t>
        </is>
      </c>
      <c r="AM181" s="77" t="inlineStr">
        <is>
          <t>No external client/brief setter evidenced; no dated delivery evidence.</t>
        </is>
      </c>
      <c r="AN181" s="77" t="inlineStr"/>
      <c r="AO181" s="77" t="inlineStr">
        <is>
          <t>UK</t>
        </is>
      </c>
      <c r="AP181" s="77" t="inlineStr">
        <is>
          <t>UK – Russell Group</t>
        </is>
      </c>
      <c r="AQ181" s="77" t="inlineStr">
        <is>
          <t>Unclear</t>
        </is>
      </c>
      <c r="AR181" s="77" t="inlineStr">
        <is>
          <t>Unclear</t>
        </is>
      </c>
      <c r="AS181" s="77" t="inlineStr"/>
    </row>
    <row r="182">
      <c r="A182" s="77" t="inlineStr">
        <is>
          <t>RG11</t>
        </is>
      </c>
      <c r="B182" s="77" t="inlineStr">
        <is>
          <t>Leeds</t>
        </is>
      </c>
      <c r="C182" s="77" t="inlineStr">
        <is>
          <t>Programme/course</t>
        </is>
      </c>
      <c r="D182" s="77" t="inlineStr">
        <is>
          <t>RG11-S13</t>
        </is>
      </c>
      <c r="E182" s="77" t="inlineStr"/>
      <c r="F182" s="77" t="inlineStr">
        <is>
          <t>No</t>
        </is>
      </c>
      <c r="G182" s="79" t="inlineStr">
        <is>
          <t>Marketing Consultancy Project (Marketing BSc, Year 3 optional)</t>
        </is>
      </c>
      <c r="H182" s="77" t="inlineStr">
        <is>
          <t>Marketing Consultancy Project</t>
        </is>
      </c>
      <c r="I182" s="77" t="inlineStr"/>
      <c r="J182" s="77" t="inlineStr">
        <is>
          <t>Optional 10-credit Year 3 module in which students work with a live client to investigate a real-life marketing issue; client receives a strategic and operational marketing plan.</t>
        </is>
      </c>
      <c r="K182" s="77" t="inlineStr">
        <is>
          <t>Leeds University Business School</t>
        </is>
      </c>
      <c r="L182" s="77" t="inlineStr">
        <is>
          <t>Marketing BSc</t>
        </is>
      </c>
      <c r="M182" s="77" t="inlineStr">
        <is>
          <t>Business/management</t>
        </is>
      </c>
      <c r="N182" s="77" t="inlineStr">
        <is>
          <t>Undergraduate</t>
        </is>
      </c>
      <c r="O182" s="77" t="inlineStr">
        <is>
          <t>Year 3</t>
        </is>
      </c>
      <c r="P182" s="77" t="inlineStr"/>
      <c r="Q182" s="77" t="inlineStr">
        <is>
          <t>Optional/elective</t>
        </is>
      </c>
      <c r="R182" s="77" t="inlineStr">
        <is>
          <t>Curricular</t>
        </is>
      </c>
      <c r="S182" s="77" t="inlineStr">
        <is>
          <t>10 credits</t>
        </is>
      </c>
      <c r="T182" s="77" t="inlineStr">
        <is>
          <t>Not stated</t>
        </is>
      </c>
      <c r="U182" s="77" t="inlineStr">
        <is>
          <t>Live client project</t>
        </is>
      </c>
      <c r="V182" s="77" t="inlineStr">
        <is>
          <t>Yes</t>
        </is>
      </c>
      <c r="W182" s="77" t="inlineStr">
        <is>
          <t>Marketing plan for client (source 1).</t>
        </is>
      </c>
      <c r="X182" s="77" t="inlineStr">
        <is>
          <t>Unclear</t>
        </is>
      </c>
      <c r="Y182" s="77" t="inlineStr">
        <is>
          <t>Individual vs team format not stated in extract.</t>
        </is>
      </c>
      <c r="Z182" s="77" t="inlineStr">
        <is>
          <t>Yes</t>
        </is>
      </c>
      <c r="AA182" s="77" t="inlineStr">
        <is>
          <t>Live client; receives marketing plan (source 1).</t>
        </is>
      </c>
      <c r="AB182" s="77" t="inlineStr">
        <is>
          <t>Unclear</t>
        </is>
      </c>
      <c r="AC182" s="77" t="inlineStr">
        <is>
          <t>Live client; receives plan</t>
        </is>
      </c>
      <c r="AD182" s="77" t="inlineStr"/>
      <c r="AE182" s="77" t="inlineStr">
        <is>
          <t>Strategic and operational marketing plan</t>
        </is>
      </c>
      <c r="AF182" s="77">
        <f>IF(OR(V182="No",X182="No",Z182="No"),"Outside strict definition",IF(AND(V182="Yes",X182="Yes",Z182="Yes"),"Meets all three","Potentially relevant; evidence incomplete"))</f>
        <v/>
      </c>
      <c r="AG182" s="77" t="inlineStr">
        <is>
          <t>Current status unclear</t>
        </is>
      </c>
      <c r="AH182" s="77" t="inlineStr">
        <is>
          <t>undated</t>
        </is>
      </c>
      <c r="AI182" s="77" t="inlineStr">
        <is>
          <t>Yes</t>
        </is>
      </c>
      <c r="AJ182" s="77">
        <f>IF(AND(AI182="Yes",AF182="Meets all three",AG182="Current delivery confirmed"),"Yes","No")</f>
        <v/>
      </c>
      <c r="AK182" s="77" t="inlineStr"/>
      <c r="AL182" s="77" t="inlineStr">
        <is>
          <t>RG11-S13-R1</t>
        </is>
      </c>
      <c r="AM182" s="77" t="inlineStr">
        <is>
          <t>Module code, group format, client type and delivery year not retrieved (LUBS2931 is Evidence-based Consultancy, a different module).</t>
        </is>
      </c>
      <c r="AN182" s="77" t="inlineStr"/>
      <c r="AO182" s="77" t="inlineStr">
        <is>
          <t>UK</t>
        </is>
      </c>
      <c r="AP182" s="77" t="inlineStr">
        <is>
          <t>UK – Russell Group</t>
        </is>
      </c>
      <c r="AQ182" s="77" t="inlineStr">
        <is>
          <t>Unclear</t>
        </is>
      </c>
      <c r="AR182" s="77" t="inlineStr">
        <is>
          <t>Unclear</t>
        </is>
      </c>
      <c r="AS182" s="77" t="inlineStr"/>
    </row>
    <row r="183">
      <c r="A183" s="77" t="inlineStr">
        <is>
          <t>RG12</t>
        </is>
      </c>
      <c r="B183" s="77" t="inlineStr">
        <is>
          <t>Liverpool</t>
        </is>
      </c>
      <c r="C183" s="77" t="inlineStr">
        <is>
          <t>University-wide</t>
        </is>
      </c>
      <c r="D183" s="77" t="inlineStr">
        <is>
          <t>RG12-S01</t>
        </is>
      </c>
      <c r="E183" s="77" t="inlineStr"/>
      <c r="F183" s="77" t="inlineStr">
        <is>
          <t>Yes</t>
        </is>
      </c>
      <c r="G183" s="79" t="inlineStr">
        <is>
          <t>Liverpool Launchpad employer-led Grand Challenges (Careers and Employability)</t>
        </is>
      </c>
      <c r="H183" s="77" t="inlineStr">
        <is>
          <t>Liverpool Launchpad Grand Challenges</t>
        </is>
      </c>
      <c r="I183" s="77" t="inlineStr"/>
      <c r="J183"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183" s="77" t="inlineStr">
        <is>
          <t>Careers and Employability</t>
        </is>
      </c>
      <c r="L183" s="77" t="inlineStr">
        <is>
          <t>Launchpad announced as open to all current University of Liverpool students; individual challenges have their own limits (places limited; some priority groups).</t>
        </is>
      </c>
      <c r="M183" s="77" t="inlineStr">
        <is>
          <t>Central provision</t>
        </is>
      </c>
      <c r="N183" s="77" t="inlineStr">
        <is>
          <t>Unclear</t>
        </is>
      </c>
      <c r="O183" s="77" t="inlineStr"/>
      <c r="P183" s="77" t="inlineStr"/>
      <c r="Q183" s="77" t="inlineStr">
        <is>
          <t>Selective/competitive</t>
        </is>
      </c>
      <c r="R183" s="77" t="inlineStr">
        <is>
          <t>Extracurricular</t>
        </is>
      </c>
      <c r="S183" s="77" t="inlineStr">
        <is>
          <t>No credit evidenced</t>
        </is>
      </c>
      <c r="T183" s="77" t="inlineStr">
        <is>
          <t>Varies by challenge</t>
        </is>
      </c>
      <c r="U183" s="77" t="inlineStr">
        <is>
          <t>Short employer challenges; pitches</t>
        </is>
      </c>
      <c r="V183" s="77" t="inlineStr">
        <is>
          <t>Yes</t>
        </is>
      </c>
      <c r="W183" s="77" t="inlineStr">
        <is>
          <t>Child challenges set briefs and require pitches (src 1,2).</t>
        </is>
      </c>
      <c r="X183" s="77" t="inlineStr">
        <is>
          <t>Yes</t>
        </is>
      </c>
      <c r="Y183" s="77" t="inlineStr">
        <is>
          <t>Teams in child challenges (src 1,2).</t>
        </is>
      </c>
      <c r="Z183" s="77" t="inlineStr">
        <is>
          <t>Yes</t>
        </is>
      </c>
      <c r="AA183" s="77" t="inlineStr">
        <is>
          <t>Partner-set briefs and expert feedback in child challenges (src 1,2).</t>
        </is>
      </c>
      <c r="AB183" s="77" t="inlineStr">
        <is>
          <t>Mixed</t>
        </is>
      </c>
      <c r="AC183" s="77" t="inlineStr"/>
      <c r="AD183" s="77" t="inlineStr"/>
      <c r="AE183" s="77" t="inlineStr"/>
      <c r="AF183" s="77">
        <f>IF(OR(V183="No",X183="No",Z183="No"),"Outside strict definition",IF(AND(V183="Yes",X183="Yes",Z183="Yes"),"Meets all three","Potentially relevant; evidence incomplete"))</f>
        <v/>
      </c>
      <c r="AG183" s="77" t="inlineStr">
        <is>
          <t>Current delivery confirmed</t>
        </is>
      </c>
      <c r="AH183" s="77" t="inlineStr">
        <is>
          <t>2026</t>
        </is>
      </c>
      <c r="AI183" s="77" t="inlineStr">
        <is>
          <t>No</t>
        </is>
      </c>
      <c r="AJ183" s="77">
        <f>IF(AND(AI183="Yes",AF183="Meets all three",AG183="Current delivery confirmed"),"Yes","No")</f>
        <v/>
      </c>
      <c r="AK183" s="77" t="inlineStr"/>
      <c r="AL183" s="77" t="inlineStr">
        <is>
          <t>RG12-S01-R1; RG12-S01-R2</t>
        </is>
      </c>
      <c r="AM183"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183" s="77" t="inlineStr">
        <is>
          <t>Grand Challenges</t>
        </is>
      </c>
      <c r="AO183" s="77" t="inlineStr">
        <is>
          <t>UK</t>
        </is>
      </c>
      <c r="AP183" s="77" t="inlineStr">
        <is>
          <t>UK – Russell Group</t>
        </is>
      </c>
      <c r="AQ183" s="77" t="inlineStr">
        <is>
          <t>Unclear</t>
        </is>
      </c>
      <c r="AR183" s="77" t="inlineStr">
        <is>
          <t>Some projects</t>
        </is>
      </c>
      <c r="AS183" s="77" t="inlineStr">
        <is>
          <t>No (umbrella; children counted)</t>
        </is>
      </c>
    </row>
    <row r="184">
      <c r="A184" s="77" t="inlineStr">
        <is>
          <t>RG12</t>
        </is>
      </c>
      <c r="B184" s="77" t="inlineStr">
        <is>
          <t>Liverpool</t>
        </is>
      </c>
      <c r="C184" s="77" t="inlineStr">
        <is>
          <t>Unclear</t>
        </is>
      </c>
      <c r="D184" s="77" t="inlineStr">
        <is>
          <t>RG12-S02</t>
        </is>
      </c>
      <c r="E184" s="77" t="inlineStr">
        <is>
          <t>RG12-S01</t>
        </is>
      </c>
      <c r="F184" s="77" t="inlineStr">
        <is>
          <t>No</t>
        </is>
      </c>
      <c r="G184" s="79" t="inlineStr">
        <is>
          <t>The Big Events Challenge with Culture Liverpool</t>
        </is>
      </c>
      <c r="H184" s="77" t="inlineStr">
        <is>
          <t>The Big Events Challenge</t>
        </is>
      </c>
      <c r="I184" s="77" t="inlineStr"/>
      <c r="J184"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184" s="77" t="inlineStr">
        <is>
          <t>Careers and Employability</t>
        </is>
      </c>
      <c r="L184" s="77" t="inlineStr">
        <is>
          <t>Interdisciplinary student teams; places limited, application deadline 26 January (Dec 2025 call). Eligibility criteria not stated in extracts.</t>
        </is>
      </c>
      <c r="M184" s="77" t="inlineStr">
        <is>
          <t>Central provision</t>
        </is>
      </c>
      <c r="N184" s="77" t="inlineStr">
        <is>
          <t>Unclear</t>
        </is>
      </c>
      <c r="O184" s="77" t="inlineStr"/>
      <c r="P184" s="77" t="inlineStr"/>
      <c r="Q184" s="77" t="inlineStr">
        <is>
          <t>Selective/competitive</t>
        </is>
      </c>
      <c r="R184" s="77" t="inlineStr">
        <is>
          <t>Extracurricular</t>
        </is>
      </c>
      <c r="S184" s="77" t="inlineStr">
        <is>
          <t>No credit evidenced</t>
        </is>
      </c>
      <c r="T184" s="77" t="inlineStr">
        <is>
          <t>2 days (March 2026)</t>
        </is>
      </c>
      <c r="U184" s="77" t="inlineStr">
        <is>
          <t>In person, two-day team challenge with finale pitch</t>
        </is>
      </c>
      <c r="V184" s="77" t="inlineStr">
        <is>
          <t>Yes</t>
        </is>
      </c>
      <c r="W184" s="77" t="inlineStr">
        <is>
          <t>Defined brief (accessibility/inclusion of large events) and pitched solutions to a panel (src 1,2). Very short format; output goes to a judging panel, recipient organisation's use of outputs not evidenced.</t>
        </is>
      </c>
      <c r="X184" s="77" t="inlineStr">
        <is>
          <t>Yes</t>
        </is>
      </c>
      <c r="Y184" s="77" t="inlineStr">
        <is>
          <t>Students 'worked in newly formed, interdisciplinary teams' (src 1).</t>
        </is>
      </c>
      <c r="Z184" s="77" t="inlineStr">
        <is>
          <t>Yes</t>
        </is>
      </c>
      <c r="AA184" s="77" t="inlineStr">
        <is>
          <t>Brief set by Culture Liverpool ('genuine brief rather than hypothetical'); industry experts gave feedback to groups; run in partnership with Culture Liverpool (src 1,2).</t>
        </is>
      </c>
      <c r="AB184" s="77" t="inlineStr">
        <is>
          <t>Unclear</t>
        </is>
      </c>
      <c r="AC184" s="77" t="inlineStr">
        <is>
          <t>Sets brief; supplies industry experts for feedback; partner in delivery.</t>
        </is>
      </c>
      <c r="AD184" s="77" t="inlineStr">
        <is>
          <t>Culture Liverpool (2026)</t>
        </is>
      </c>
      <c r="AE184" s="77" t="inlineStr">
        <is>
          <t>Team pitch of an idea (e.g. accessibility app) to finale panel</t>
        </is>
      </c>
      <c r="AF184" s="77">
        <f>IF(OR(V184="No",X184="No",Z184="No"),"Outside strict definition",IF(AND(V184="Yes",X184="Yes",Z184="Yes"),"Meets all three","Potentially relevant; evidence incomplete"))</f>
        <v/>
      </c>
      <c r="AG184" s="77" t="inlineStr">
        <is>
          <t>Current delivery confirmed</t>
        </is>
      </c>
      <c r="AH184" s="77" t="inlineStr">
        <is>
          <t>2026</t>
        </is>
      </c>
      <c r="AI184" s="77" t="inlineStr">
        <is>
          <t>Yes</t>
        </is>
      </c>
      <c r="AJ184" s="77">
        <f>IF(AND(AI184="Yes",AF184="Meets all three",AG184="Current delivery confirmed"),"Yes","No")</f>
        <v/>
      </c>
      <c r="AK184" s="77" t="inlineStr">
        <is>
          <t>Places limited; number not published in extracts.</t>
        </is>
      </c>
      <c r="AL184" s="77" t="inlineStr">
        <is>
          <t>RG12-S02-R1; RG12-S02-R2</t>
        </is>
      </c>
      <c r="AM184" s="77" t="inlineStr">
        <is>
          <t>Partner type of Culture Liverpool not stated in extracts (likely a city culture body but not evidenced). Whether challenge open to all students not stated. Only one brief/year evidenced; short duration.</t>
        </is>
      </c>
      <c r="AN184" s="77" t="inlineStr"/>
      <c r="AO184" s="77" t="inlineStr">
        <is>
          <t>UK</t>
        </is>
      </c>
      <c r="AP184" s="77" t="inlineStr">
        <is>
          <t>UK – Russell Group</t>
        </is>
      </c>
      <c r="AQ184" s="77" t="inlineStr">
        <is>
          <t>&lt;1 week</t>
        </is>
      </c>
      <c r="AR184" s="77" t="inlineStr">
        <is>
          <t>All/standard</t>
        </is>
      </c>
      <c r="AS184" s="77" t="inlineStr"/>
    </row>
    <row r="185">
      <c r="A185" s="77" t="inlineStr">
        <is>
          <t>RG12</t>
        </is>
      </c>
      <c r="B185" s="77" t="inlineStr">
        <is>
          <t>Liverpool</t>
        </is>
      </c>
      <c r="C185" s="77" t="inlineStr">
        <is>
          <t>University-wide</t>
        </is>
      </c>
      <c r="D185" s="77" t="inlineStr">
        <is>
          <t>RG12-S03</t>
        </is>
      </c>
      <c r="E185" s="77" t="inlineStr">
        <is>
          <t>RG12-S01</t>
        </is>
      </c>
      <c r="F185" s="77" t="inlineStr">
        <is>
          <t>No</t>
        </is>
      </c>
      <c r="G185" s="79" t="inlineStr">
        <is>
          <t>Sustainable Innovation Challenge</t>
        </is>
      </c>
      <c r="H185" s="77" t="inlineStr">
        <is>
          <t>Sustainable Innovation Challenge</t>
        </is>
      </c>
      <c r="I185" s="77" t="inlineStr"/>
      <c r="J185"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185" s="77" t="inlineStr">
        <is>
          <t>Careers and Employability (EQ+)</t>
        </is>
      </c>
      <c r="L185" s="77" t="inlineStr">
        <is>
          <t>Open to students from across the University; all degree subjects welcome, no prior experience; places limited with priority to EQ+/widening participation students.</t>
        </is>
      </c>
      <c r="M185" s="77" t="inlineStr">
        <is>
          <t>Central provision</t>
        </is>
      </c>
      <c r="N185" s="77" t="inlineStr">
        <is>
          <t>Unclear</t>
        </is>
      </c>
      <c r="O185" s="77" t="inlineStr"/>
      <c r="P185" s="77" t="inlineStr"/>
      <c r="Q185" s="77" t="inlineStr">
        <is>
          <t>Selective/competitive</t>
        </is>
      </c>
      <c r="R185" s="77" t="inlineStr">
        <is>
          <t>Extracurricular</t>
        </is>
      </c>
      <c r="S185" s="77" t="inlineStr">
        <is>
          <t>No credit evidenced</t>
        </is>
      </c>
      <c r="T185" s="77" t="inlineStr">
        <is>
          <t>Annual spring programme including 3-day Manchester trip (June 2026)</t>
        </is>
      </c>
      <c r="U185" s="77" t="inlineStr">
        <is>
          <t>Multi-university team challenge; mentoring; final pitch</t>
        </is>
      </c>
      <c r="V185" s="77" t="inlineStr">
        <is>
          <t>Yes</t>
        </is>
      </c>
      <c r="W185" s="77" t="inlineStr">
        <is>
          <t>Team brief on a defined site problem (CityLink) with pitch to a panel (src 1,2).</t>
        </is>
      </c>
      <c r="X185" s="77" t="inlineStr">
        <is>
          <t>Yes</t>
        </is>
      </c>
      <c r="Y185" s="77" t="inlineStr">
        <is>
          <t>'Teams collaborate with peers from partner universities' (src 1).</t>
        </is>
      </c>
      <c r="Z185" s="77" t="inlineStr">
        <is>
          <t>Yes</t>
        </is>
      </c>
      <c r="AA185" s="77" t="inlineStr">
        <is>
          <t>Employers and industry mentors guide teams; 2026 brief delivered in partnership with Manchester City FC; pitch to judging panel (src 1,2). Exact split of who sets the brief not stated; recorded as partner-set/mentored.</t>
        </is>
      </c>
      <c r="AB185" s="77" t="inlineStr">
        <is>
          <t>Mixed</t>
        </is>
      </c>
      <c r="AC185" s="77" t="inlineStr">
        <is>
          <t>Industry mentors/employers guide teams; Manchester City FC partner on 2026 brief; judging panel.</t>
        </is>
      </c>
      <c r="AD185" s="77" t="inlineStr">
        <is>
          <t>Manchester City Football Club (2026); partner universities Manchester Metropolitan, Ulster, Berlin School of Economics and Law (2026)</t>
        </is>
      </c>
      <c r="AE185" s="77" t="inlineStr">
        <is>
          <t>Team pitch of solution/proposal</t>
        </is>
      </c>
      <c r="AF185" s="77">
        <f>IF(OR(V185="No",X185="No",Z185="No"),"Outside strict definition",IF(AND(V185="Yes",X185="Yes",Z185="Yes"),"Meets all three","Potentially relevant; evidence incomplete"))</f>
        <v/>
      </c>
      <c r="AG185" s="77" t="inlineStr">
        <is>
          <t>Current delivery confirmed</t>
        </is>
      </c>
      <c r="AH185" s="77" t="inlineStr">
        <is>
          <t>2026</t>
        </is>
      </c>
      <c r="AI185" s="77" t="inlineStr">
        <is>
          <t>Yes</t>
        </is>
      </c>
      <c r="AJ185" s="77">
        <f>IF(AND(AI185="Yes",AF185="Meets all three",AG185="Current delivery confirmed"),"Yes","No")</f>
        <v/>
      </c>
      <c r="AK185" s="77" t="inlineStr">
        <is>
          <t>Programme self-reports 80% of participants progressed to graduate roles, placements or further study (not a participation count).</t>
        </is>
      </c>
      <c r="AL185" s="77" t="inlineStr">
        <is>
          <t>RG12-S03-R1; RG12-S03-R2</t>
        </is>
      </c>
      <c r="AM185" s="77" t="inlineStr">
        <is>
          <t>Total programme length not stated; place numbers not published. Brief-setter role of Man City FC inferred from 'in partnership' wording; mentors/employers' participation is explicit.</t>
        </is>
      </c>
      <c r="AN185" s="77" t="inlineStr"/>
      <c r="AO185" s="77" t="inlineStr">
        <is>
          <t>UK</t>
        </is>
      </c>
      <c r="AP185" s="77" t="inlineStr">
        <is>
          <t>UK – Russell Group</t>
        </is>
      </c>
      <c r="AQ185" s="77" t="inlineStr">
        <is>
          <t>1–4 weeks</t>
        </is>
      </c>
      <c r="AR185" s="77" t="inlineStr">
        <is>
          <t>All/standard</t>
        </is>
      </c>
      <c r="AS185" s="77" t="inlineStr"/>
    </row>
    <row r="186">
      <c r="A186" s="77" t="inlineStr">
        <is>
          <t>RG12</t>
        </is>
      </c>
      <c r="B186" s="77" t="inlineStr">
        <is>
          <t>Liverpool</t>
        </is>
      </c>
      <c r="C186" s="77" t="inlineStr">
        <is>
          <t>Cross-faculty</t>
        </is>
      </c>
      <c r="D186" s="77" t="inlineStr">
        <is>
          <t>RG12-S04</t>
        </is>
      </c>
      <c r="E186" s="77" t="inlineStr"/>
      <c r="F186" s="77" t="inlineStr">
        <is>
          <t>Yes</t>
        </is>
      </c>
      <c r="G186" s="79" t="inlineStr">
        <is>
          <t>Real-World Challenges in Curriculum (Careers and Employability employer offer)</t>
        </is>
      </c>
      <c r="H186" s="77" t="inlineStr">
        <is>
          <t>Real-World Challenges in Curriculum</t>
        </is>
      </c>
      <c r="I186" s="77" t="inlineStr"/>
      <c r="J186"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186" s="77" t="inlineStr">
        <is>
          <t>Careers and Employability (Employer Connections)</t>
        </is>
      </c>
      <c r="L186" s="77" t="inlineStr">
        <is>
          <t>Targets particular degree disciplines per project; no list of participating modules published on the page.</t>
        </is>
      </c>
      <c r="M186" s="77" t="inlineStr">
        <is>
          <t>Central provision</t>
        </is>
      </c>
      <c r="N186" s="77" t="inlineStr">
        <is>
          <t>Unclear</t>
        </is>
      </c>
      <c r="O186" s="77" t="inlineStr"/>
      <c r="P186" s="77" t="inlineStr"/>
      <c r="Q186" s="77" t="inlineStr">
        <is>
          <t>Unclear</t>
        </is>
      </c>
      <c r="R186" s="77" t="inlineStr">
        <is>
          <t>Curricular</t>
        </is>
      </c>
      <c r="S186" s="77" t="inlineStr">
        <is>
          <t>Assessed module activity (module-specific)</t>
        </is>
      </c>
      <c r="T186" s="77" t="inlineStr">
        <is>
          <t>Module-length</t>
        </is>
      </c>
      <c r="U186" s="77" t="inlineStr">
        <is>
          <t>Employer project embedded in module</t>
        </is>
      </c>
      <c r="V186" s="77" t="inlineStr">
        <is>
          <t>Yes</t>
        </is>
      </c>
      <c r="W186" s="77" t="inlineStr">
        <is>
          <t>Employer project embedded in module (src 1).</t>
        </is>
      </c>
      <c r="X186" s="77" t="inlineStr">
        <is>
          <t>Yes</t>
        </is>
      </c>
      <c r="Y186" s="77" t="inlineStr">
        <is>
          <t>'Students typically work in groups' (src 1).</t>
        </is>
      </c>
      <c r="Z186" s="77" t="inlineStr">
        <is>
          <t>Yes</t>
        </is>
      </c>
      <c r="AA186" s="77" t="inlineStr">
        <is>
          <t>Employer brings current challenge (src 1).</t>
        </is>
      </c>
      <c r="AB186" s="77" t="inlineStr">
        <is>
          <t>Unclear</t>
        </is>
      </c>
      <c r="AC186" s="77" t="inlineStr"/>
      <c r="AD186" s="77" t="inlineStr"/>
      <c r="AE186" s="77" t="inlineStr"/>
      <c r="AF186" s="77">
        <f>IF(OR(V186="No",X186="No",Z186="No"),"Outside strict definition",IF(AND(V186="Yes",X186="Yes",Z186="Yes"),"Meets all three","Potentially relevant; evidence incomplete"))</f>
        <v/>
      </c>
      <c r="AG186" s="77" t="inlineStr">
        <is>
          <t>Current status unclear</t>
        </is>
      </c>
      <c r="AH186" s="77" t="inlineStr">
        <is>
          <t>undated</t>
        </is>
      </c>
      <c r="AI186" s="77" t="inlineStr">
        <is>
          <t>No</t>
        </is>
      </c>
      <c r="AJ186" s="77">
        <f>IF(AND(AI186="Yes",AF186="Meets all three",AG186="Current delivery confirmed"),"Yes","No")</f>
        <v/>
      </c>
      <c r="AK186" s="77" t="inlineStr"/>
      <c r="AL186" s="77" t="inlineStr">
        <is>
          <t>RG12-S04-R1</t>
        </is>
      </c>
      <c r="AM186" s="77" t="inlineStr">
        <is>
          <t>Employer-facing marketing page; participating modules not listed (only MATH390 identified via other sources). Umbrella, not counted.</t>
        </is>
      </c>
      <c r="AN186" s="77" t="inlineStr"/>
      <c r="AO186" s="77" t="inlineStr">
        <is>
          <t>UK</t>
        </is>
      </c>
      <c r="AP186" s="77" t="inlineStr">
        <is>
          <t>UK – Russell Group</t>
        </is>
      </c>
      <c r="AQ186" s="77" t="inlineStr">
        <is>
          <t>Unclear</t>
        </is>
      </c>
      <c r="AR186" s="77" t="inlineStr">
        <is>
          <t>Unclear</t>
        </is>
      </c>
      <c r="AS186" s="77" t="inlineStr">
        <is>
          <t>No (umbrella; children counted)</t>
        </is>
      </c>
    </row>
    <row r="187">
      <c r="A187" s="77" t="inlineStr">
        <is>
          <t>RG12</t>
        </is>
      </c>
      <c r="B187" s="77" t="inlineStr">
        <is>
          <t>Liverpool</t>
        </is>
      </c>
      <c r="C187" s="77" t="inlineStr">
        <is>
          <t>Programme/course</t>
        </is>
      </c>
      <c r="D187" s="77" t="inlineStr">
        <is>
          <t>RG12-S05</t>
        </is>
      </c>
      <c r="E187" s="77" t="inlineStr">
        <is>
          <t>RG12-S04</t>
        </is>
      </c>
      <c r="F187" s="77" t="inlineStr">
        <is>
          <t>No</t>
        </is>
      </c>
      <c r="G187" s="79" t="inlineStr">
        <is>
          <t>Professional Projects and Employability in Mathematics</t>
        </is>
      </c>
      <c r="H187" s="77" t="inlineStr">
        <is>
          <t>Professional Projects and Employability in Mathematics</t>
        </is>
      </c>
      <c r="I187" s="77" t="inlineStr">
        <is>
          <t>MATH390</t>
        </is>
      </c>
      <c r="J187"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187" s="77" t="inlineStr">
        <is>
          <t>Department of Mathematical Sciences</t>
        </is>
      </c>
      <c r="L187" s="77" t="inlineStr">
        <is>
          <t>Optional year 3 module in several Mathematics programmes (including Mathematics and Computer Science).</t>
        </is>
      </c>
      <c r="M187" s="77" t="inlineStr">
        <is>
          <t>Science</t>
        </is>
      </c>
      <c r="N187" s="77" t="inlineStr">
        <is>
          <t>Undergraduate</t>
        </is>
      </c>
      <c r="O187" s="77" t="inlineStr">
        <is>
          <t>Year 3 (Level 6)</t>
        </is>
      </c>
      <c r="P187" s="77" t="inlineStr"/>
      <c r="Q187" s="77" t="inlineStr">
        <is>
          <t>Optional/elective</t>
        </is>
      </c>
      <c r="R187" s="77" t="inlineStr">
        <is>
          <t>Curricular</t>
        </is>
      </c>
      <c r="S187" s="77" t="inlineStr">
        <is>
          <t>15 credits, semester 1; assessed by three group projects, reflective pieces and individual portfolio</t>
        </is>
      </c>
      <c r="T187" s="77" t="inlineStr">
        <is>
          <t>One semester</t>
        </is>
      </c>
      <c r="U187" s="77" t="inlineStr">
        <is>
          <t>PC-lab based active learning with employer projects</t>
        </is>
      </c>
      <c r="V187" s="77" t="inlineStr">
        <is>
          <t>Yes</t>
        </is>
      </c>
      <c r="W187" s="77" t="inlineStr">
        <is>
          <t>Three authentic employer-set projects with client reports (src 1,2).</t>
        </is>
      </c>
      <c r="X187" s="77" t="inlineStr">
        <is>
          <t>Yes</t>
        </is>
      </c>
      <c r="Y187" s="77" t="inlineStr">
        <is>
          <t>'Students work in groups on authentic mathematical projects set by employers' (src 1,2).</t>
        </is>
      </c>
      <c r="Z187" s="77" t="inlineStr">
        <is>
          <t>Yes</t>
        </is>
      </c>
      <c r="AA187" s="77" t="inlineStr">
        <is>
          <t>Employers set projects, input on reports/presentations, lead Q&amp;A (src 2).</t>
        </is>
      </c>
      <c r="AB187" s="77" t="inlineStr">
        <is>
          <t>Unclear</t>
        </is>
      </c>
      <c r="AC187" s="77" t="inlineStr">
        <is>
          <t>Co-design projects from real questions in their organisations; feedback and Q&amp;A on presentations.</t>
        </is>
      </c>
      <c r="AD187" s="77" t="inlineStr">
        <is>
          <t>Not named in extracts for current year (a 2021-era Shop Direct example surfaced in a search summary but was not tied to a source).</t>
        </is>
      </c>
      <c r="AE187" s="77" t="inlineStr">
        <is>
          <t>Client reports and group presentations</t>
        </is>
      </c>
      <c r="AF187" s="77">
        <f>IF(OR(V187="No",X187="No",Z187="No"),"Outside strict definition",IF(AND(V187="Yes",X187="Yes",Z187="Yes"),"Meets all three","Potentially relevant; evidence incomplete"))</f>
        <v/>
      </c>
      <c r="AG187" s="77" t="inlineStr">
        <is>
          <t>Current delivery confirmed</t>
        </is>
      </c>
      <c r="AH187" s="77" t="inlineStr">
        <is>
          <t>2025/26</t>
        </is>
      </c>
      <c r="AI187" s="77" t="inlineStr">
        <is>
          <t>Yes</t>
        </is>
      </c>
      <c r="AJ187" s="77">
        <f>IF(AND(AI187="Yes",AF187="Meets all three",AG187="Current delivery confirmed"),"Yes","No")</f>
        <v/>
      </c>
      <c r="AK187" s="77" t="inlineStr"/>
      <c r="AL187" s="77" t="inlineStr">
        <is>
          <t>RG12-S05-R1; RG12-S05-R2; RG12-S05-R3</t>
        </is>
      </c>
      <c r="AM187"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187" s="77" t="inlineStr"/>
      <c r="AO187" s="77" t="inlineStr">
        <is>
          <t>UK</t>
        </is>
      </c>
      <c r="AP187" s="77" t="inlineStr">
        <is>
          <t>UK – Russell Group</t>
        </is>
      </c>
      <c r="AQ187" s="77" t="inlineStr">
        <is>
          <t>~1 term/semester</t>
        </is>
      </c>
      <c r="AR187" s="77" t="inlineStr">
        <is>
          <t>All/standard</t>
        </is>
      </c>
      <c r="AS187" s="77" t="inlineStr"/>
    </row>
    <row r="188">
      <c r="A188" s="77" t="inlineStr">
        <is>
          <t>RG12</t>
        </is>
      </c>
      <c r="B188" s="77" t="inlineStr">
        <is>
          <t>Liverpool</t>
        </is>
      </c>
      <c r="C188" s="77" t="inlineStr">
        <is>
          <t>Programme/course</t>
        </is>
      </c>
      <c r="D188" s="77" t="inlineStr">
        <is>
          <t>RG12-S06</t>
        </is>
      </c>
      <c r="E188" s="77" t="inlineStr"/>
      <c r="F188" s="77" t="inlineStr">
        <is>
          <t>No</t>
        </is>
      </c>
      <c r="G188" s="79" t="inlineStr">
        <is>
          <t>Electrical Engineering &amp; Electronics industry 'Dragons' Den' group project module</t>
        </is>
      </c>
      <c r="H188" s="77" t="inlineStr">
        <is>
          <t>EEE module group projects pitched to industry panel</t>
        </is>
      </c>
      <c r="I188" s="77" t="inlineStr"/>
      <c r="J188"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188" s="77" t="inlineStr">
        <is>
          <t>Department of Electrical Engineering and Electronics</t>
        </is>
      </c>
      <c r="L188" s="77" t="inlineStr">
        <is>
          <t>Module in EEE programmes (module code not stated in extract).</t>
        </is>
      </c>
      <c r="M188" s="77" t="inlineStr">
        <is>
          <t>Engineering/computing</t>
        </is>
      </c>
      <c r="N188" s="77" t="inlineStr">
        <is>
          <t>Undergraduate</t>
        </is>
      </c>
      <c r="O188" s="77" t="inlineStr"/>
      <c r="P188" s="77" t="inlineStr"/>
      <c r="Q188" s="77" t="inlineStr">
        <is>
          <t>Unclear</t>
        </is>
      </c>
      <c r="R188" s="77" t="inlineStr">
        <is>
          <t>Curricular</t>
        </is>
      </c>
      <c r="S188" s="77" t="inlineStr">
        <is>
          <t>Assessed module activity; weighting not stated</t>
        </is>
      </c>
      <c r="T188" s="77" t="inlineStr">
        <is>
          <t>Module-length with pitch session</t>
        </is>
      </c>
      <c r="U188" s="77" t="inlineStr">
        <is>
          <t>Group projects with industry panel pitch</t>
        </is>
      </c>
      <c r="V188" s="77" t="inlineStr">
        <is>
          <t>Yes</t>
        </is>
      </c>
      <c r="W188" s="77" t="inlineStr">
        <is>
          <t>Groups developed solutions/demonstrators to an industry-relevant problem (src 1).</t>
        </is>
      </c>
      <c r="X188" s="77" t="inlineStr">
        <is>
          <t>Yes</t>
        </is>
      </c>
      <c r="Y188" s="77" t="inlineStr">
        <is>
          <t>'Students worked in groups' (src 1).</t>
        </is>
      </c>
      <c r="Z188" s="77" t="inlineStr">
        <is>
          <t>Yes</t>
        </is>
      </c>
      <c r="AA188" s="77" t="inlineStr">
        <is>
          <t>Industry representatives sat as 'dragons', questioned groups and gave feedback on viability (src 1); who set the problem not stated.</t>
        </is>
      </c>
      <c r="AB188" s="77" t="inlineStr">
        <is>
          <t>Mixed</t>
        </is>
      </c>
      <c r="AC188" s="77" t="inlineStr">
        <is>
          <t>Receive pitches, question and give feedback; assess alongside academics.</t>
        </is>
      </c>
      <c r="AD188" s="77" t="inlineStr">
        <is>
          <t>Crover, DefProc Engineering, Liverpool University NHS Foundation Trust, MBDA, STFC (undated session)</t>
        </is>
      </c>
      <c r="AE188" s="77" t="inlineStr">
        <is>
          <t>Group solution/demonstrator and pitch</t>
        </is>
      </c>
      <c r="AF188" s="77">
        <f>IF(OR(V188="No",X188="No",Z188="No"),"Outside strict definition",IF(AND(V188="Yes",X188="Yes",Z188="Yes"),"Meets all three","Potentially relevant; evidence incomplete"))</f>
        <v/>
      </c>
      <c r="AG188" s="77" t="inlineStr">
        <is>
          <t>Current status unclear</t>
        </is>
      </c>
      <c r="AH188" s="77" t="inlineStr">
        <is>
          <t>undated</t>
        </is>
      </c>
      <c r="AI188" s="77" t="inlineStr">
        <is>
          <t>Yes</t>
        </is>
      </c>
      <c r="AJ188" s="77">
        <f>IF(AND(AI188="Yes",AF188="Meets all three",AG188="Current delivery confirmed"),"Yes","No")</f>
        <v/>
      </c>
      <c r="AK188" s="77" t="inlineStr"/>
      <c r="AL188" s="77" t="inlineStr">
        <is>
          <t>RG12-S06-R1</t>
        </is>
      </c>
      <c r="AM188"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188" s="77" t="inlineStr"/>
      <c r="AO188" s="77" t="inlineStr">
        <is>
          <t>UK</t>
        </is>
      </c>
      <c r="AP188" s="77" t="inlineStr">
        <is>
          <t>UK – Russell Group</t>
        </is>
      </c>
      <c r="AQ188" s="77" t="inlineStr">
        <is>
          <t>Unclear</t>
        </is>
      </c>
      <c r="AR188" s="77" t="inlineStr">
        <is>
          <t>Unclear</t>
        </is>
      </c>
      <c r="AS188" s="77" t="inlineStr"/>
    </row>
    <row r="189">
      <c r="A189" s="77" t="inlineStr">
        <is>
          <t>RG12</t>
        </is>
      </c>
      <c r="B189" s="77" t="inlineStr">
        <is>
          <t>Liverpool</t>
        </is>
      </c>
      <c r="C189" s="77" t="inlineStr">
        <is>
          <t>Programme/course</t>
        </is>
      </c>
      <c r="D189" s="77" t="inlineStr">
        <is>
          <t>RG12-S07</t>
        </is>
      </c>
      <c r="E189" s="77" t="inlineStr"/>
      <c r="F189" s="77" t="inlineStr">
        <is>
          <t>No</t>
        </is>
      </c>
      <c r="G189" s="79" t="inlineStr">
        <is>
          <t>HRM Consultancy Day Workshop (MSc Human Resource Management)</t>
        </is>
      </c>
      <c r="H189" s="77" t="inlineStr">
        <is>
          <t>HRM Consultancy Day</t>
        </is>
      </c>
      <c r="I189" s="77" t="inlineStr"/>
      <c r="J189"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189" s="77" t="inlineStr">
        <is>
          <t>University of Liverpool Management School</t>
        </is>
      </c>
      <c r="L189" s="77" t="inlineStr">
        <is>
          <t>MSc Human Resource Management students.</t>
        </is>
      </c>
      <c r="M189" s="77" t="inlineStr">
        <is>
          <t>Business/management</t>
        </is>
      </c>
      <c r="N189" s="77" t="inlineStr">
        <is>
          <t>Postgraduate taught</t>
        </is>
      </c>
      <c r="O189" s="77" t="inlineStr"/>
      <c r="P189" s="77" t="inlineStr"/>
      <c r="Q189" s="77" t="inlineStr">
        <is>
          <t>Unclear</t>
        </is>
      </c>
      <c r="R189" s="77" t="inlineStr">
        <is>
          <t>Curricular</t>
        </is>
      </c>
      <c r="S189" s="77" t="inlineStr">
        <is>
          <t>Part of 'HRM: Academic and Practitioner Perspectives' module; assessment weight not stated</t>
        </is>
      </c>
      <c r="T189" s="77" t="inlineStr">
        <is>
          <t>1 day</t>
        </is>
      </c>
      <c r="U189" s="77" t="inlineStr">
        <is>
          <t>On-campus workshop</t>
        </is>
      </c>
      <c r="V189" s="77" t="inlineStr">
        <is>
          <t>Yes</t>
        </is>
      </c>
      <c r="W189" s="77" t="inlineStr">
        <is>
          <t>Defined live problem and tailored strategy presentation (src 1); very short, so A is borderline.</t>
        </is>
      </c>
      <c r="X189" s="77" t="inlineStr">
        <is>
          <t>Yes</t>
        </is>
      </c>
      <c r="Y189" s="77" t="inlineStr">
        <is>
          <t>Students 'split into teams' (src 1).</t>
        </is>
      </c>
      <c r="Z189" s="77" t="inlineStr">
        <is>
          <t>Yes</t>
        </is>
      </c>
      <c r="AA189" s="77" t="inlineStr">
        <is>
          <t>Client organisations briefed students on a current live problem; external independent panel gave feedback (src 1).</t>
        </is>
      </c>
      <c r="AB189" s="77" t="inlineStr">
        <is>
          <t>Business/commercial</t>
        </is>
      </c>
      <c r="AC189" s="77" t="inlineStr">
        <is>
          <t>Present live problem; panel feedback.</t>
        </is>
      </c>
      <c r="AD189" s="77" t="inlineStr">
        <is>
          <t>Enterprise Mobility, BDO, Hilton (2025)</t>
        </is>
      </c>
      <c r="AE189" s="77" t="inlineStr">
        <is>
          <t>Team HR strategy presentation</t>
        </is>
      </c>
      <c r="AF189" s="77">
        <f>IF(OR(V189="No",X189="No",Z189="No"),"Outside strict definition",IF(AND(V189="Yes",X189="Yes",Z189="Yes"),"Meets all three","Potentially relevant; evidence incomplete"))</f>
        <v/>
      </c>
      <c r="AG189" s="77" t="inlineStr">
        <is>
          <t>Current status unclear</t>
        </is>
      </c>
      <c r="AH189" s="77" t="inlineStr">
        <is>
          <t>2024/25 (March 2025)</t>
        </is>
      </c>
      <c r="AI189" s="77" t="inlineStr">
        <is>
          <t>Yes</t>
        </is>
      </c>
      <c r="AJ189" s="77">
        <f>IF(AND(AI189="Yes",AF189="Meets all three",AG189="Current delivery confirmed"),"Yes","No")</f>
        <v/>
      </c>
      <c r="AK189" s="77" t="inlineStr">
        <is>
          <t>About 50 students (2025).</t>
        </is>
      </c>
      <c r="AL189" s="77" t="inlineStr">
        <is>
          <t>RG12-S07-R1</t>
        </is>
      </c>
      <c r="AM189" s="77" t="inlineStr">
        <is>
          <t>Latest evidenced run is March 2025 (third consecutive annual run); no 2025/26 evidence found. Compulsory status within module/programme not stated. Recipient of output is the panel, not clearly the client.</t>
        </is>
      </c>
      <c r="AN189" s="77" t="inlineStr"/>
      <c r="AO189" s="77" t="inlineStr">
        <is>
          <t>UK</t>
        </is>
      </c>
      <c r="AP189" s="77" t="inlineStr">
        <is>
          <t>UK – Russell Group</t>
        </is>
      </c>
      <c r="AQ189" s="77" t="inlineStr">
        <is>
          <t>&lt;1 week</t>
        </is>
      </c>
      <c r="AR189" s="77" t="inlineStr">
        <is>
          <t>All/standard</t>
        </is>
      </c>
      <c r="AS189" s="77" t="inlineStr"/>
    </row>
    <row r="190">
      <c r="A190" s="77" t="inlineStr">
        <is>
          <t>RG12</t>
        </is>
      </c>
      <c r="B190" s="77" t="inlineStr">
        <is>
          <t>Liverpool</t>
        </is>
      </c>
      <c r="C190" s="77" t="inlineStr">
        <is>
          <t>Programme/course</t>
        </is>
      </c>
      <c r="D190" s="77" t="inlineStr">
        <is>
          <t>RG12-S08</t>
        </is>
      </c>
      <c r="E190" s="77" t="inlineStr"/>
      <c r="F190" s="77" t="inlineStr">
        <is>
          <t>No</t>
        </is>
      </c>
      <c r="G190" s="79" t="inlineStr">
        <is>
          <t>Liverpool MBA consultancy-based project (with ULMS850 Management Consulting in Practice)</t>
        </is>
      </c>
      <c r="H190" s="77" t="inlineStr">
        <is>
          <t>MBA consultancy-based project</t>
        </is>
      </c>
      <c r="I190" s="77" t="inlineStr">
        <is>
          <t>ULMS850</t>
        </is>
      </c>
      <c r="J190"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190" s="77" t="inlineStr">
        <is>
          <t>University of Liverpool Management School</t>
        </is>
      </c>
      <c r="L190" s="77" t="inlineStr">
        <is>
          <t>Liverpool MBA (and MBA Football Industries) candidates choosing the consultancy route.</t>
        </is>
      </c>
      <c r="M190" s="77" t="inlineStr">
        <is>
          <t>Business/management</t>
        </is>
      </c>
      <c r="N190" s="77" t="inlineStr">
        <is>
          <t>Postgraduate taught</t>
        </is>
      </c>
      <c r="O190" s="77" t="inlineStr"/>
      <c r="P190" s="77" t="inlineStr"/>
      <c r="Q190" s="77" t="inlineStr">
        <is>
          <t>Optional/elective</t>
        </is>
      </c>
      <c r="R190" s="77" t="inlineStr">
        <is>
          <t>Curricular</t>
        </is>
      </c>
      <c r="S190" s="77" t="inlineStr">
        <is>
          <t>ULMS850 10 credits; project report 10,000 words</t>
        </is>
      </c>
      <c r="T190" s="77" t="inlineStr">
        <is>
          <t>Jan-Apr module plus summer project</t>
        </is>
      </c>
      <c r="U190" s="77" t="inlineStr">
        <is>
          <t>Module then client project</t>
        </is>
      </c>
      <c r="V190" s="77" t="inlineStr">
        <is>
          <t>Yes</t>
        </is>
      </c>
      <c r="W190" s="77" t="inlineStr">
        <is>
          <t>Client project with consultancy report and client-format output (src 1).</t>
        </is>
      </c>
      <c r="X190" s="77" t="inlineStr">
        <is>
          <t>Unclear</t>
        </is>
      </c>
      <c r="Y190" s="77" t="inlineStr">
        <is>
          <t>ULMS850 uses small groups for module project work but the summer client project appears to be individual with an advisor; cannot separate (src 1).</t>
        </is>
      </c>
      <c r="Z190" s="77" t="inlineStr">
        <is>
          <t>Yes</t>
        </is>
      </c>
      <c r="AA190" s="77" t="inlineStr">
        <is>
          <t>Student secures a client organisation, which acts as client; outputs in client-acceptable format (src 1). Clients are student-sourced; sectors include creative, pharma, tech, finance, charities, sports clubs.</t>
        </is>
      </c>
      <c r="AB190" s="77" t="inlineStr">
        <is>
          <t>Mixed</t>
        </is>
      </c>
      <c r="AC190" s="77" t="inlineStr">
        <is>
          <t>Client organisation for the project.</t>
        </is>
      </c>
      <c r="AD190" s="77" t="inlineStr"/>
      <c r="AE190" s="77" t="inlineStr">
        <is>
          <t>10,000-word consultancy report plus 1,000-word client output</t>
        </is>
      </c>
      <c r="AF190" s="77">
        <f>IF(OR(V190="No",X190="No",Z190="No"),"Outside strict definition",IF(AND(V190="Yes",X190="Yes",Z190="Yes"),"Meets all three","Potentially relevant; evidence incomplete"))</f>
        <v/>
      </c>
      <c r="AG190" s="77" t="inlineStr">
        <is>
          <t>Current status unclear</t>
        </is>
      </c>
      <c r="AH190" s="77" t="inlineStr">
        <is>
          <t>2023/24 (module page)</t>
        </is>
      </c>
      <c r="AI190" s="77" t="inlineStr">
        <is>
          <t>Yes</t>
        </is>
      </c>
      <c r="AJ190" s="77">
        <f>IF(AND(AI190="Yes",AF190="Meets all three",AG190="Current delivery confirmed"),"Yes","No")</f>
        <v/>
      </c>
      <c r="AK190" s="77" t="inlineStr"/>
      <c r="AL190" s="77" t="inlineStr">
        <is>
          <t>RG12-S08-R1</t>
        </is>
      </c>
      <c r="AM190" s="77" t="inlineStr">
        <is>
          <t>Group vs individual for the client project unresolved; module page seen is for 2023-24; programme page undated.</t>
        </is>
      </c>
      <c r="AN190" s="77" t="inlineStr"/>
      <c r="AO190" s="77" t="inlineStr">
        <is>
          <t>UK</t>
        </is>
      </c>
      <c r="AP190" s="77" t="inlineStr">
        <is>
          <t>UK – Russell Group</t>
        </is>
      </c>
      <c r="AQ190" s="77" t="inlineStr">
        <is>
          <t>&gt;1 term</t>
        </is>
      </c>
      <c r="AR190" s="77" t="inlineStr">
        <is>
          <t>All/standard</t>
        </is>
      </c>
      <c r="AS190" s="77" t="inlineStr"/>
    </row>
    <row r="191">
      <c r="A191" s="77" t="inlineStr">
        <is>
          <t>RG12</t>
        </is>
      </c>
      <c r="B191" s="77" t="inlineStr">
        <is>
          <t>Liverpool</t>
        </is>
      </c>
      <c r="C191" s="77" t="inlineStr">
        <is>
          <t>Programme/course</t>
        </is>
      </c>
      <c r="D191" s="77" t="inlineStr">
        <is>
          <t>RG12-S09</t>
        </is>
      </c>
      <c r="E191" s="77" t="inlineStr"/>
      <c r="F191" s="77" t="inlineStr">
        <is>
          <t>No</t>
        </is>
      </c>
      <c r="G191" s="79" t="inlineStr">
        <is>
          <t>International Business/Management Consultancy Project</t>
        </is>
      </c>
      <c r="H191" s="77" t="inlineStr">
        <is>
          <t>International Management Consultancy Project</t>
        </is>
      </c>
      <c r="I191" s="77" t="inlineStr">
        <is>
          <t>MKIB306</t>
        </is>
      </c>
      <c r="J191"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191" s="77" t="inlineStr">
        <is>
          <t>University of Liverpool Management School</t>
        </is>
      </c>
      <c r="L191" s="77" t="inlineStr">
        <is>
          <t>BA International Management/International Business programmes (listed compulsory on one page, optional elsewhere).</t>
        </is>
      </c>
      <c r="M191" s="77" t="inlineStr">
        <is>
          <t>Business/management</t>
        </is>
      </c>
      <c r="N191" s="77" t="inlineStr">
        <is>
          <t>Undergraduate</t>
        </is>
      </c>
      <c r="O191" s="77" t="inlineStr">
        <is>
          <t>Final year</t>
        </is>
      </c>
      <c r="P191" s="77" t="inlineStr"/>
      <c r="Q191" s="77" t="inlineStr">
        <is>
          <t>Optional/elective</t>
        </is>
      </c>
      <c r="R191" s="77" t="inlineStr">
        <is>
          <t>Curricular</t>
        </is>
      </c>
      <c r="S191" s="77" t="inlineStr">
        <is>
          <t>30 credits; pitch 20%, report 60%</t>
        </is>
      </c>
      <c r="T191" s="77" t="inlineStr">
        <is>
          <t>Year-long</t>
        </is>
      </c>
      <c r="U191" s="77" t="inlineStr">
        <is>
          <t>Client-brief consultancy module</t>
        </is>
      </c>
      <c r="V191" s="77" t="inlineStr">
        <is>
          <t>Yes</t>
        </is>
      </c>
      <c r="W191" s="77" t="inlineStr">
        <is>
          <t>Client brief and consultancy report (src 1).</t>
        </is>
      </c>
      <c r="X191" s="77" t="inlineStr">
        <is>
          <t>Unclear</t>
        </is>
      </c>
      <c r="Y191" s="77" t="inlineStr">
        <is>
          <t>Module record shows individual pitch and report; programme pages mention group presentations (src 1,2).</t>
        </is>
      </c>
      <c r="Z191" s="77" t="inlineStr">
        <is>
          <t>Yes</t>
        </is>
      </c>
      <c r="AA191" s="77" t="inlineStr">
        <is>
          <t>Client organisation presents the brief; students present to the client (src 1).</t>
        </is>
      </c>
      <c r="AB191" s="77" t="inlineStr">
        <is>
          <t>Unclear</t>
        </is>
      </c>
      <c r="AC191" s="77" t="inlineStr">
        <is>
          <t>Sets brief; receives presentation.</t>
        </is>
      </c>
      <c r="AD191" s="77" t="inlineStr"/>
      <c r="AE191" s="77" t="inlineStr">
        <is>
          <t>Client report and pitch</t>
        </is>
      </c>
      <c r="AF191" s="77">
        <f>IF(OR(V191="No",X191="No",Z191="No"),"Outside strict definition",IF(AND(V191="Yes",X191="Yes",Z191="Yes"),"Meets all three","Potentially relevant; evidence incomplete"))</f>
        <v/>
      </c>
      <c r="AG191" s="77" t="inlineStr">
        <is>
          <t>Current delivery confirmed</t>
        </is>
      </c>
      <c r="AH191" s="77" t="inlineStr">
        <is>
          <t>2025/26</t>
        </is>
      </c>
      <c r="AI191" s="77" t="inlineStr">
        <is>
          <t>Yes</t>
        </is>
      </c>
      <c r="AJ191" s="77">
        <f>IF(AND(AI191="Yes",AF191="Meets all three",AG191="Current delivery confirmed"),"Yes","No")</f>
        <v/>
      </c>
      <c r="AK191" s="77" t="inlineStr"/>
      <c r="AL191" s="77" t="inlineStr">
        <is>
          <t>RG12-S09-R1; RG12-S09-R2</t>
        </is>
      </c>
      <c r="AM191" s="77" t="inlineStr">
        <is>
          <t>Whether any assessed output is a team output not resolved; compulsory vs optional conflicts between pages; client sectors not named.</t>
        </is>
      </c>
      <c r="AN191" s="77" t="inlineStr"/>
      <c r="AO191" s="77" t="inlineStr">
        <is>
          <t>UK</t>
        </is>
      </c>
      <c r="AP191" s="77" t="inlineStr">
        <is>
          <t>UK – Russell Group</t>
        </is>
      </c>
      <c r="AQ191" s="77" t="inlineStr">
        <is>
          <t>&gt;1 term</t>
        </is>
      </c>
      <c r="AR191" s="77" t="inlineStr">
        <is>
          <t>All/standard</t>
        </is>
      </c>
      <c r="AS191" s="77" t="inlineStr"/>
    </row>
    <row r="192">
      <c r="A192" s="77" t="inlineStr">
        <is>
          <t>RG12</t>
        </is>
      </c>
      <c r="B192" s="77" t="inlineStr">
        <is>
          <t>Liverpool</t>
        </is>
      </c>
      <c r="C192" s="77" t="inlineStr">
        <is>
          <t>Faculty/school</t>
        </is>
      </c>
      <c r="D192" s="77" t="inlineStr">
        <is>
          <t>RG12-S10</t>
        </is>
      </c>
      <c r="E192" s="77" t="inlineStr"/>
      <c r="F192" s="77" t="inlineStr">
        <is>
          <t>No</t>
        </is>
      </c>
      <c r="G192" s="79" t="inlineStr">
        <is>
          <t>Management School Project Partners</t>
        </is>
      </c>
      <c r="H192" s="77" t="inlineStr">
        <is>
          <t>Project Partners</t>
        </is>
      </c>
      <c r="I192" s="77" t="inlineStr"/>
      <c r="J192" s="77" t="inlineStr">
        <is>
          <t>Management School scheme pairing organisations (no fee, time commitment) with undergraduate or postgraduate students on real business challenges under academic supervision; matching depends on student numbers and interests.</t>
        </is>
      </c>
      <c r="K192" s="77" t="inlineStr">
        <is>
          <t>Management School External Engagement team</t>
        </is>
      </c>
      <c r="L192" s="77" t="inlineStr">
        <is>
          <t>Management School UG and PG students.</t>
        </is>
      </c>
      <c r="M192" s="77" t="inlineStr">
        <is>
          <t>Business/management</t>
        </is>
      </c>
      <c r="N192" s="77" t="inlineStr">
        <is>
          <t>Mixed</t>
        </is>
      </c>
      <c r="O192" s="77" t="inlineStr"/>
      <c r="P192" s="77" t="inlineStr"/>
      <c r="Q192" s="77" t="inlineStr">
        <is>
          <t>Unclear</t>
        </is>
      </c>
      <c r="R192" s="77" t="inlineStr">
        <is>
          <t>Unclear</t>
        </is>
      </c>
      <c r="S192" s="77" t="inlineStr">
        <is>
          <t>Not stated</t>
        </is>
      </c>
      <c r="T192" s="77" t="inlineStr">
        <is>
          <t>Not stated</t>
        </is>
      </c>
      <c r="U192" s="77" t="inlineStr">
        <is>
          <t>Organisation-matched student projects</t>
        </is>
      </c>
      <c r="V192" s="77" t="inlineStr">
        <is>
          <t>Yes</t>
        </is>
      </c>
      <c r="W192" s="77" t="inlineStr">
        <is>
          <t>Real business challenges with academic supervision (src 1).</t>
        </is>
      </c>
      <c r="X192" s="77" t="inlineStr">
        <is>
          <t>Unclear</t>
        </is>
      </c>
      <c r="Y192" s="77" t="inlineStr">
        <is>
          <t>'Matched with a student'; individual vs team not stated (src 1).</t>
        </is>
      </c>
      <c r="Z192" s="77" t="inlineStr">
        <is>
          <t>Yes</t>
        </is>
      </c>
      <c r="AA192" s="77" t="inlineStr">
        <is>
          <t>Organisations supply project and time (src 1).</t>
        </is>
      </c>
      <c r="AB192" s="77" t="inlineStr">
        <is>
          <t>Business/commercial</t>
        </is>
      </c>
      <c r="AC192" s="77" t="inlineStr">
        <is>
          <t>Supply project and time.</t>
        </is>
      </c>
      <c r="AD192" s="77" t="inlineStr"/>
      <c r="AE192" s="77" t="inlineStr"/>
      <c r="AF192" s="77">
        <f>IF(OR(V192="No",X192="No",Z192="No"),"Outside strict definition",IF(AND(V192="Yes",X192="Yes",Z192="Yes"),"Meets all three","Potentially relevant; evidence incomplete"))</f>
        <v/>
      </c>
      <c r="AG192" s="77" t="inlineStr">
        <is>
          <t>Current status unclear</t>
        </is>
      </c>
      <c r="AH192" s="77" t="inlineStr">
        <is>
          <t>undated</t>
        </is>
      </c>
      <c r="AI192" s="77" t="inlineStr">
        <is>
          <t>Yes</t>
        </is>
      </c>
      <c r="AJ192" s="77">
        <f>IF(AND(AI192="Yes",AF192="Meets all three",AG192="Current delivery confirmed"),"Yes","No")</f>
        <v/>
      </c>
      <c r="AK192" s="77" t="inlineStr"/>
      <c r="AL192" s="77" t="inlineStr">
        <is>
          <t>RG12-S10-R1</t>
        </is>
      </c>
      <c r="AM192" s="77" t="inlineStr">
        <is>
          <t>Whether projects are individual (likely dissertation/consultancy route) or team; no credit or cohort data; may overlap with MBA consultancy route and dissertations.</t>
        </is>
      </c>
      <c r="AN192" s="77" t="inlineStr"/>
      <c r="AO192" s="77" t="inlineStr">
        <is>
          <t>UK</t>
        </is>
      </c>
      <c r="AP192" s="77" t="inlineStr">
        <is>
          <t>UK – Russell Group</t>
        </is>
      </c>
      <c r="AQ192" s="77" t="inlineStr">
        <is>
          <t>Unclear</t>
        </is>
      </c>
      <c r="AR192" s="77" t="inlineStr">
        <is>
          <t>All/standard</t>
        </is>
      </c>
      <c r="AS192" s="77" t="inlineStr"/>
    </row>
    <row r="193">
      <c r="A193" s="77" t="inlineStr">
        <is>
          <t>RG12</t>
        </is>
      </c>
      <c r="B193" s="77" t="inlineStr">
        <is>
          <t>Liverpool</t>
        </is>
      </c>
      <c r="C193" s="77" t="inlineStr">
        <is>
          <t>Programme/course</t>
        </is>
      </c>
      <c r="D193" s="77" t="inlineStr">
        <is>
          <t>RG12-S11</t>
        </is>
      </c>
      <c r="E193" s="77" t="inlineStr"/>
      <c r="F193" s="77" t="inlineStr">
        <is>
          <t>No</t>
        </is>
      </c>
      <c r="G193" s="79" t="inlineStr">
        <is>
          <t>Spatial Planning in Action / Spatial Planning and Design Project (client-based group plan-making)</t>
        </is>
      </c>
      <c r="H193" s="77" t="inlineStr">
        <is>
          <t>Spatial Planning and Design Project</t>
        </is>
      </c>
      <c r="I193" s="77" t="inlineStr">
        <is>
          <t>ENVS467</t>
        </is>
      </c>
      <c r="J193"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193" s="77" t="inlineStr">
        <is>
          <t>Department of Geography and Planning</t>
        </is>
      </c>
      <c r="L193" s="77" t="inlineStr">
        <is>
          <t>MPlan Year 4 and Master of Civic Design (Town and Regional Planning / Urban Design and Planning).</t>
        </is>
      </c>
      <c r="M193" s="77" t="inlineStr">
        <is>
          <t>Arts/humanities/social sciences</t>
        </is>
      </c>
      <c r="N193" s="77" t="inlineStr">
        <is>
          <t>Postgraduate taught</t>
        </is>
      </c>
      <c r="O193" s="77" t="inlineStr">
        <is>
          <t>Year 4 MPlan / MCD</t>
        </is>
      </c>
      <c r="P193" s="77" t="inlineStr"/>
      <c r="Q193" s="77" t="inlineStr">
        <is>
          <t>Compulsory within specified programmes</t>
        </is>
      </c>
      <c r="R193" s="77" t="inlineStr">
        <is>
          <t>Curricular</t>
        </is>
      </c>
      <c r="S193" s="77" t="inlineStr">
        <is>
          <t>30 credits</t>
        </is>
      </c>
      <c r="T193" s="77" t="inlineStr">
        <is>
          <t>Semester 2</t>
        </is>
      </c>
      <c r="U193" s="77" t="inlineStr">
        <is>
          <t>Client group project with residential field visit</t>
        </is>
      </c>
      <c r="V193" s="77" t="inlineStr">
        <is>
          <t>Yes</t>
        </is>
      </c>
      <c r="W193" s="77" t="inlineStr">
        <is>
          <t>Client-based plan-making exercise (src 1).</t>
        </is>
      </c>
      <c r="X193" s="77" t="inlineStr">
        <is>
          <t>Yes</t>
        </is>
      </c>
      <c r="Y193" s="77" t="inlineStr">
        <is>
          <t>'Client based group plan making exercise' (src 1).</t>
        </is>
      </c>
      <c r="Z193" s="77" t="inlineStr">
        <is>
          <t>Yes</t>
        </is>
      </c>
      <c r="AA193" s="77" t="inlineStr">
        <is>
          <t>Named public-sector/charity clients; meetings with planning staff and stakeholders (src 1).</t>
        </is>
      </c>
      <c r="AB193" s="77" t="inlineStr">
        <is>
          <t>Mixed</t>
        </is>
      </c>
      <c r="AC193" s="77" t="inlineStr">
        <is>
          <t>Clients for plan-making brief; stakeholder meetings.</t>
        </is>
      </c>
      <c r="AD193" s="77" t="inlineStr">
        <is>
          <t>Canal and River Trust (charity), St Helens Council, Mersey Travel (undated list)</t>
        </is>
      </c>
      <c r="AE193" s="77" t="inlineStr">
        <is>
          <t>Group plan for client</t>
        </is>
      </c>
      <c r="AF193" s="77">
        <f>IF(OR(V193="No",X193="No",Z193="No"),"Outside strict definition",IF(AND(V193="Yes",X193="Yes",Z193="Yes"),"Meets all three","Potentially relevant; evidence incomplete"))</f>
        <v/>
      </c>
      <c r="AG193" s="77" t="inlineStr">
        <is>
          <t>Current status unclear</t>
        </is>
      </c>
      <c r="AH193" s="77" t="inlineStr">
        <is>
          <t>undated</t>
        </is>
      </c>
      <c r="AI193" s="77" t="inlineStr">
        <is>
          <t>Yes</t>
        </is>
      </c>
      <c r="AJ193" s="77">
        <f>IF(AND(AI193="Yes",AF193="Meets all three",AG193="Current delivery confirmed"),"Yes","No")</f>
        <v/>
      </c>
      <c r="AK193" s="77" t="inlineStr"/>
      <c r="AL193" s="77" t="inlineStr">
        <is>
          <t>RG12-S11-R1; RG12-S11-R2</t>
        </is>
      </c>
      <c r="AM193" s="77" t="inlineStr">
        <is>
          <t>Fieldwork page undated; client list varies by year and is not tied to a dated cohort; MPlan 2025 course page corroborates the module's compulsory status only for 2025 entry. Partner types mixed (council, charity): recorded as Mixed.</t>
        </is>
      </c>
      <c r="AN193" s="77" t="inlineStr"/>
      <c r="AO193" s="77" t="inlineStr">
        <is>
          <t>UK</t>
        </is>
      </c>
      <c r="AP193" s="77" t="inlineStr">
        <is>
          <t>UK – Russell Group</t>
        </is>
      </c>
      <c r="AQ193" s="77" t="inlineStr">
        <is>
          <t>~1 term/semester</t>
        </is>
      </c>
      <c r="AR193" s="77" t="inlineStr">
        <is>
          <t>All/standard</t>
        </is>
      </c>
      <c r="AS193" s="77" t="inlineStr"/>
    </row>
    <row r="194">
      <c r="A194" s="77" t="inlineStr">
        <is>
          <t>RG12</t>
        </is>
      </c>
      <c r="B194" s="77" t="inlineStr">
        <is>
          <t>Liverpool</t>
        </is>
      </c>
      <c r="C194" s="77" t="inlineStr">
        <is>
          <t>Programme/course</t>
        </is>
      </c>
      <c r="D194" s="77" t="inlineStr">
        <is>
          <t>RG12-S12</t>
        </is>
      </c>
      <c r="E194" s="77" t="inlineStr"/>
      <c r="F194" s="77" t="inlineStr">
        <is>
          <t>No</t>
        </is>
      </c>
      <c r="G194" s="79" t="inlineStr">
        <is>
          <t>Environmental Planning and Management Project (client-led group module)</t>
        </is>
      </c>
      <c r="H194" s="77" t="inlineStr">
        <is>
          <t>Environmental Planning and Management Project</t>
        </is>
      </c>
      <c r="I194" s="77" t="inlineStr">
        <is>
          <t>ENVS360 (BA Environment and Planning); ENVS560 (MSc Environmental Assessment and Management); SOES394/594 (MPlan)</t>
        </is>
      </c>
      <c r="J194"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194" s="77" t="inlineStr">
        <is>
          <t>Department of Geography and Planning</t>
        </is>
      </c>
      <c r="L194" s="77" t="inlineStr">
        <is>
          <t>BA Environment and Planning, MSc Environmental Assessment and Management, MPlan.</t>
        </is>
      </c>
      <c r="M194" s="77" t="inlineStr">
        <is>
          <t>Arts/humanities/social sciences</t>
        </is>
      </c>
      <c r="N194" s="77" t="inlineStr">
        <is>
          <t>Mixed</t>
        </is>
      </c>
      <c r="O194" s="77" t="inlineStr"/>
      <c r="P194" s="77" t="inlineStr"/>
      <c r="Q194" s="77" t="inlineStr">
        <is>
          <t>Unclear</t>
        </is>
      </c>
      <c r="R194" s="77" t="inlineStr">
        <is>
          <t>Curricular</t>
        </is>
      </c>
      <c r="S194" s="77" t="inlineStr">
        <is>
          <t>Not stated in extract</t>
        </is>
      </c>
      <c r="T194" s="77" t="inlineStr">
        <is>
          <t>Module-length (semester)</t>
        </is>
      </c>
      <c r="U194" s="77" t="inlineStr">
        <is>
          <t>Group consultancy mini-project</t>
        </is>
      </c>
      <c r="V194" s="77" t="inlineStr">
        <is>
          <t>Yes</t>
        </is>
      </c>
      <c r="W194" s="77" t="inlineStr">
        <is>
          <t>Brief-based mini-project with report/presentation or tender (src 1,2).</t>
        </is>
      </c>
      <c r="X194" s="77" t="inlineStr">
        <is>
          <t>Yes</t>
        </is>
      </c>
      <c r="Y194" s="77" t="inlineStr">
        <is>
          <t>Groups of environmental consultants; marking considers group member strengths (src 1).</t>
        </is>
      </c>
      <c r="Z194" s="77" t="inlineStr">
        <is>
          <t>Yes</t>
        </is>
      </c>
      <c r="AA194" s="77" t="inlineStr">
        <is>
          <t>Client co-develops the brief, reviews work and feeds into marking (src 1).</t>
        </is>
      </c>
      <c r="AB194" s="77" t="inlineStr">
        <is>
          <t>Unclear</t>
        </is>
      </c>
      <c r="AC194" s="77" t="inlineStr">
        <is>
          <t>Co-develop brief; review work; influence marking.</t>
        </is>
      </c>
      <c r="AD194" s="77" t="inlineStr"/>
      <c r="AE194" s="77" t="inlineStr">
        <is>
          <t>Group report and presentation (tender for MSc)</t>
        </is>
      </c>
      <c r="AF194" s="77">
        <f>IF(OR(V194="No",X194="No",Z194="No"),"Outside strict definition",IF(AND(V194="Yes",X194="Yes",Z194="Yes"),"Meets all three","Potentially relevant; evidence incomplete"))</f>
        <v/>
      </c>
      <c r="AG194" s="77" t="inlineStr">
        <is>
          <t>Current status unclear</t>
        </is>
      </c>
      <c r="AH194" s="77" t="inlineStr">
        <is>
          <t>2021 (award) / undated</t>
        </is>
      </c>
      <c r="AI194" s="77" t="inlineStr">
        <is>
          <t>Yes</t>
        </is>
      </c>
      <c r="AJ194" s="77">
        <f>IF(AND(AI194="Yes",AF194="Meets all three",AG194="Current delivery confirmed"),"Yes","No")</f>
        <v/>
      </c>
      <c r="AK194" s="77" t="inlineStr"/>
      <c r="AL194" s="77" t="inlineStr">
        <is>
          <t>RG12-S12-R1; RG12-S12-R2</t>
        </is>
      </c>
      <c r="AM194" s="77" t="inlineStr">
        <is>
          <t>Case study undated and client identities not named; participation requirement per programme not evidenced. Programme pages (MPlan 2026 update) still list the module but delivery year unconfirmed.</t>
        </is>
      </c>
      <c r="AN194" s="77" t="inlineStr"/>
      <c r="AO194" s="77" t="inlineStr">
        <is>
          <t>UK</t>
        </is>
      </c>
      <c r="AP194" s="77" t="inlineStr">
        <is>
          <t>UK – Russell Group</t>
        </is>
      </c>
      <c r="AQ194" s="77" t="inlineStr">
        <is>
          <t>~1 term/semester</t>
        </is>
      </c>
      <c r="AR194" s="77" t="inlineStr">
        <is>
          <t>All/standard</t>
        </is>
      </c>
      <c r="AS194" s="77" t="inlineStr"/>
    </row>
    <row r="195">
      <c r="A195" s="77" t="inlineStr">
        <is>
          <t>RG12</t>
        </is>
      </c>
      <c r="B195" s="77" t="inlineStr">
        <is>
          <t>Liverpool</t>
        </is>
      </c>
      <c r="C195" s="77" t="inlineStr">
        <is>
          <t>Programme/course</t>
        </is>
      </c>
      <c r="D195" s="77" t="inlineStr">
        <is>
          <t>RG12-S13</t>
        </is>
      </c>
      <c r="E195" s="77" t="inlineStr"/>
      <c r="F195" s="77" t="inlineStr">
        <is>
          <t>No</t>
        </is>
      </c>
      <c r="G195" s="79" t="inlineStr">
        <is>
          <t>Ideas for Huyton: BA3 Studio Pen &amp; Inc live collaboration with Knowsley Council</t>
        </is>
      </c>
      <c r="H195" s="77" t="inlineStr">
        <is>
          <t>Ideas for Huyton architecture studio</t>
        </is>
      </c>
      <c r="I195" s="77" t="inlineStr"/>
      <c r="J195"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195" s="77" t="inlineStr">
        <is>
          <t>Liverpool School of Architecture</t>
        </is>
      </c>
      <c r="L195" s="77" t="inlineStr">
        <is>
          <t>BA3 Architecture studio (Pen &amp; Inc).</t>
        </is>
      </c>
      <c r="M195" s="77" t="inlineStr">
        <is>
          <t>Other (law, health, design, architecture…)</t>
        </is>
      </c>
      <c r="N195" s="77" t="inlineStr">
        <is>
          <t>Undergraduate</t>
        </is>
      </c>
      <c r="O195" s="77" t="inlineStr">
        <is>
          <t>BA3</t>
        </is>
      </c>
      <c r="P195" s="77" t="inlineStr"/>
      <c r="Q195" s="77" t="inlineStr">
        <is>
          <t>Unclear</t>
        </is>
      </c>
      <c r="R195" s="77" t="inlineStr">
        <is>
          <t>Curricular</t>
        </is>
      </c>
      <c r="S195" s="77" t="inlineStr">
        <is>
          <t>Studio; not stated</t>
        </is>
      </c>
      <c r="T195" s="77" t="inlineStr">
        <is>
          <t>Academic year cycles (2021-22 to 2023-24)</t>
        </is>
      </c>
      <c r="U195" s="77" t="inlineStr">
        <is>
          <t>Design studio with council and stakeholders</t>
        </is>
      </c>
      <c r="V195" s="77" t="inlineStr">
        <is>
          <t>Yes</t>
        </is>
      </c>
      <c r="W195" s="77" t="inlineStr">
        <is>
          <t>Defined design briefs with outputs (micro-plan, hub) and exhibition (src 1).</t>
        </is>
      </c>
      <c r="X195" s="77" t="inlineStr">
        <is>
          <t>Unclear</t>
        </is>
      </c>
      <c r="Y195" s="77" t="inlineStr">
        <is>
          <t>Studio work; team vs individual designs not stated (src 1).</t>
        </is>
      </c>
      <c r="Z195" s="77" t="inlineStr">
        <is>
          <t>Yes</t>
        </is>
      </c>
      <c r="AA195" s="77" t="inlineStr">
        <is>
          <t>Knowsley Council and local stakeholders engaged; council acts on ideas; exhibition/launch for council members (src 1).</t>
        </is>
      </c>
      <c r="AB195" s="77" t="inlineStr">
        <is>
          <t>Public sector</t>
        </is>
      </c>
      <c r="AC195" s="77" t="inlineStr">
        <is>
          <t>Live client/collaborator; receives proposals.</t>
        </is>
      </c>
      <c r="AD195" s="77" t="inlineStr">
        <is>
          <t>Knowsley MBC; Architectural Emporium; One Day Regeneration</t>
        </is>
      </c>
      <c r="AE195" s="77" t="inlineStr">
        <is>
          <t>Design proposals, exhibition, catalogue</t>
        </is>
      </c>
      <c r="AF195" s="77">
        <f>IF(OR(V195="No",X195="No",Z195="No"),"Outside strict definition",IF(AND(V195="Yes",X195="Yes",Z195="Yes"),"Meets all three","Potentially relevant; evidence incomplete"))</f>
        <v/>
      </c>
      <c r="AG195" s="77" t="inlineStr">
        <is>
          <t>Current status unclear</t>
        </is>
      </c>
      <c r="AH195" s="77" t="inlineStr">
        <is>
          <t>2023/24</t>
        </is>
      </c>
      <c r="AI195" s="77" t="inlineStr">
        <is>
          <t>Yes</t>
        </is>
      </c>
      <c r="AJ195" s="77">
        <f>IF(AND(AI195="Yes",AF195="Meets all three",AG195="Current delivery confirmed"),"Yes","No")</f>
        <v/>
      </c>
      <c r="AK195" s="77" t="inlineStr"/>
      <c r="AL195" s="77" t="inlineStr">
        <is>
          <t>RG12-S13-R1</t>
        </is>
      </c>
      <c r="AM195" s="77" t="inlineStr">
        <is>
          <t>Whether students work in teams; whether studio runs in 2025/26; other live studios in the School likely (see gaps).</t>
        </is>
      </c>
      <c r="AN195" s="77" t="inlineStr"/>
      <c r="AO195" s="77" t="inlineStr">
        <is>
          <t>UK</t>
        </is>
      </c>
      <c r="AP195" s="77" t="inlineStr">
        <is>
          <t>UK – Russell Group</t>
        </is>
      </c>
      <c r="AQ195" s="77" t="inlineStr">
        <is>
          <t>&gt;1 term</t>
        </is>
      </c>
      <c r="AR195" s="77" t="inlineStr">
        <is>
          <t>Some projects</t>
        </is>
      </c>
      <c r="AS195" s="77" t="inlineStr"/>
    </row>
    <row r="196">
      <c r="A196" s="77" t="inlineStr">
        <is>
          <t>RG12</t>
        </is>
      </c>
      <c r="B196" s="77" t="inlineStr">
        <is>
          <t>Liverpool</t>
        </is>
      </c>
      <c r="C196" s="77" t="inlineStr">
        <is>
          <t>Programme/course</t>
        </is>
      </c>
      <c r="D196" s="77" t="inlineStr">
        <is>
          <t>RG12-S14</t>
        </is>
      </c>
      <c r="E196" s="77" t="inlineStr"/>
      <c r="F196" s="77" t="inlineStr">
        <is>
          <t>No</t>
        </is>
      </c>
      <c r="G196" s="79" t="inlineStr">
        <is>
          <t>Constructionarium (Civil Engineering)</t>
        </is>
      </c>
      <c r="H196" s="77" t="inlineStr">
        <is>
          <t>Constructionarium</t>
        </is>
      </c>
      <c r="I196" s="77" t="inlineStr"/>
      <c r="J196"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196" s="77" t="inlineStr">
        <is>
          <t>Department of Civil Engineering</t>
        </is>
      </c>
      <c r="L196" s="77" t="inlineStr">
        <is>
          <t>Civil Engineering programmes (year given as 2 or 3 on different pages).</t>
        </is>
      </c>
      <c r="M196" s="77" t="inlineStr">
        <is>
          <t>Engineering/computing</t>
        </is>
      </c>
      <c r="N196" s="77" t="inlineStr">
        <is>
          <t>Undergraduate</t>
        </is>
      </c>
      <c r="O196" s="77" t="inlineStr"/>
      <c r="P196" s="77" t="inlineStr"/>
      <c r="Q196" s="77" t="inlineStr">
        <is>
          <t>Unclear</t>
        </is>
      </c>
      <c r="R196" s="77" t="inlineStr">
        <is>
          <t>Curricular</t>
        </is>
      </c>
      <c r="S196" s="77" t="inlineStr">
        <is>
          <t>Not stated</t>
        </is>
      </c>
      <c r="T196" s="77" t="inlineStr">
        <is>
          <t>1 week</t>
        </is>
      </c>
      <c r="U196" s="77" t="inlineStr">
        <is>
          <t>Residential site-based build</t>
        </is>
      </c>
      <c r="V196" s="77" t="inlineStr">
        <is>
          <t>Yes</t>
        </is>
      </c>
      <c r="W196" s="77" t="inlineStr">
        <is>
          <t>Bounded construction build with method statement (src 1).</t>
        </is>
      </c>
      <c r="X196" s="77" t="inlineStr">
        <is>
          <t>Yes</t>
        </is>
      </c>
      <c r="Y196" s="77" t="inlineStr">
        <is>
          <t>Students 'built a scale model' as a group (testimonial) (src 1).</t>
        </is>
      </c>
      <c r="Z196" s="77" t="inlineStr">
        <is>
          <t>Unclear</t>
        </is>
      </c>
      <c r="AA196" s="77" t="inlineStr">
        <is>
          <t>Only evidence is a photo caption referencing a Murphy Group industry mentor; role not documented on a page.</t>
        </is>
      </c>
      <c r="AB196" s="77" t="inlineStr">
        <is>
          <t>Business/commercial</t>
        </is>
      </c>
      <c r="AC196" s="77" t="inlineStr"/>
      <c r="AD196" s="77" t="inlineStr"/>
      <c r="AE196" s="77" t="inlineStr"/>
      <c r="AF196" s="77">
        <f>IF(OR(V196="No",X196="No",Z196="No"),"Outside strict definition",IF(AND(V196="Yes",X196="Yes",Z196="Yes"),"Meets all three","Potentially relevant; evidence incomplete"))</f>
        <v/>
      </c>
      <c r="AG196" s="77" t="inlineStr">
        <is>
          <t>Current status unclear</t>
        </is>
      </c>
      <c r="AH196" s="77" t="inlineStr">
        <is>
          <t>undated</t>
        </is>
      </c>
      <c r="AI196" s="77" t="inlineStr">
        <is>
          <t>Yes</t>
        </is>
      </c>
      <c r="AJ196" s="77">
        <f>IF(AND(AI196="Yes",AF196="Meets all three",AG196="Current delivery confirmed"),"Yes","No")</f>
        <v/>
      </c>
      <c r="AK196" s="77" t="inlineStr"/>
      <c r="AL196" s="77" t="inlineStr">
        <is>
          <t>RG12-S14-R1</t>
        </is>
      </c>
      <c r="AM196" s="77" t="inlineStr">
        <is>
          <t>Mentor role undocumented; year of study conflict; the build is a teaching exercise run by a national programme, not a Liverpool-client brief.</t>
        </is>
      </c>
      <c r="AN196" s="77" t="inlineStr"/>
      <c r="AO196" s="77" t="inlineStr">
        <is>
          <t>UK</t>
        </is>
      </c>
      <c r="AP196" s="77" t="inlineStr">
        <is>
          <t>UK – Russell Group</t>
        </is>
      </c>
      <c r="AQ196" s="77" t="inlineStr">
        <is>
          <t>1–4 weeks</t>
        </is>
      </c>
      <c r="AR196" s="77" t="inlineStr">
        <is>
          <t>Unclear</t>
        </is>
      </c>
      <c r="AS196" s="77" t="inlineStr"/>
    </row>
    <row r="197">
      <c r="A197" s="77" t="inlineStr">
        <is>
          <t>RG13</t>
        </is>
      </c>
      <c r="B197" s="77" t="inlineStr">
        <is>
          <t>London School of Economics</t>
        </is>
      </c>
      <c r="C197" s="77" t="inlineStr">
        <is>
          <t>University-wide</t>
        </is>
      </c>
      <c r="D197" s="77" t="inlineStr">
        <is>
          <t>RG13-S01</t>
        </is>
      </c>
      <c r="E197" s="77" t="inlineStr"/>
      <c r="F197" s="77" t="inlineStr">
        <is>
          <t>No</t>
        </is>
      </c>
      <c r="G197" s="79" t="inlineStr">
        <is>
          <t>LSE100: The LSE Course</t>
        </is>
      </c>
      <c r="H197" s="77" t="inlineStr">
        <is>
          <t>LSE100: The LSE Course</t>
        </is>
      </c>
      <c r="I197" s="77" t="inlineStr">
        <is>
          <t>LSE100 (LSE100A/B/C themed variants)</t>
        </is>
      </c>
      <c r="J197"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197" s="77" t="inlineStr">
        <is>
          <t>LSE100 (central, School-level course)</t>
        </is>
      </c>
      <c r="L197" s="77" t="inlineStr">
        <is>
          <t>All undergraduate programmes</t>
        </is>
      </c>
      <c r="M197" s="77" t="inlineStr">
        <is>
          <t>Central provision</t>
        </is>
      </c>
      <c r="N197" s="77" t="inlineStr">
        <is>
          <t>Undergraduate</t>
        </is>
      </c>
      <c r="O197" s="77" t="inlineStr">
        <is>
          <t>Year 1</t>
        </is>
      </c>
      <c r="P197" s="77" t="inlineStr">
        <is>
          <t>All first-year LSE undergraduates (not postgraduates). Counts as one half-unit-equivalent first-year mark (not towards classification for LLB).</t>
        </is>
      </c>
      <c r="Q197" s="77" t="inlineStr">
        <is>
          <t>Compulsory for all students (at stated level)</t>
        </is>
      </c>
      <c r="R197" s="77" t="inlineStr">
        <is>
          <t>Curricular</t>
        </is>
      </c>
      <c r="S197" s="77" t="inlineStr">
        <is>
          <t>Half-unit equivalent. 2025/26 LSE100A: critical evaluation 50% (1,000 words) + project 50% (3,000 words). 2024 policy: group project mark = presentation 25% + digital report 75%; single group mark.</t>
        </is>
      </c>
      <c r="T197" s="77" t="inlineStr">
        <is>
          <t>Autumn and Winter Terms; group project over Winter Term</t>
        </is>
      </c>
      <c r="U197" s="77" t="inlineStr">
        <is>
          <t>In person seminars</t>
        </is>
      </c>
      <c r="V197" s="77" t="inlineStr">
        <is>
          <t>Yes</t>
        </is>
      </c>
      <c r="W197" s="77" t="inlineStr">
        <is>
          <t>Group research project with defined task (analyse a system, propose a policy proposal or strategic plan) and identifiable outputs: digital report and presentation [1][2][3].</t>
        </is>
      </c>
      <c r="X197" s="77" t="inlineStr">
        <is>
          <t>Yes</t>
        </is>
      </c>
      <c r="Y197" s="77" t="inlineStr">
        <is>
          <t>Groups of 4-5 students allocated by seminar teacher; single group mark for joint digital report and presentation [1][2].</t>
        </is>
      </c>
      <c r="Z197" s="77" t="inlineStr">
        <is>
          <t>No</t>
        </is>
      </c>
      <c r="AA197"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197" s="77" t="inlineStr">
        <is>
          <t>None</t>
        </is>
      </c>
      <c r="AC197" s="77" t="inlineStr">
        <is>
          <t>None evidenced</t>
        </is>
      </c>
      <c r="AD197" s="77" t="inlineStr"/>
      <c r="AE197" s="77" t="inlineStr">
        <is>
          <t>Group digital report + 10-minute group presentation</t>
        </is>
      </c>
      <c r="AF197" s="77">
        <f>IF(OR(V197="No",X197="No",Z197="No"),"Outside strict definition",IF(AND(V197="Yes",X197="Yes",Z197="Yes"),"Meets all three","Potentially relevant; evidence incomplete"))</f>
        <v/>
      </c>
      <c r="AG197" s="77" t="inlineStr">
        <is>
          <t>Current delivery confirmed</t>
        </is>
      </c>
      <c r="AH197" s="77" t="inlineStr">
        <is>
          <t>2025/26</t>
        </is>
      </c>
      <c r="AI197" s="77" t="inlineStr">
        <is>
          <t>Yes</t>
        </is>
      </c>
      <c r="AJ197" s="77">
        <f>IF(AND(AI197="Yes",AF197="Meets all three",AG197="Current delivery confirmed"),"Yes","No")</f>
        <v/>
      </c>
      <c r="AK197" s="77" t="inlineStr"/>
      <c r="AL197" s="77" t="inlineStr">
        <is>
          <t>RG13-S01-R1; RG13-S01-R2; RG13-S01-R3; RG13-S01-R4</t>
        </is>
      </c>
      <c r="AM197" s="77" t="inlineStr">
        <is>
          <t>Whether any individual LSE100 themes involve external organisations as audiences/judges (Moodle-only material).</t>
        </is>
      </c>
      <c r="AN197" s="77" t="inlineStr">
        <is>
          <t>LSE100</t>
        </is>
      </c>
      <c r="AO197" s="77" t="inlineStr">
        <is>
          <t>UK</t>
        </is>
      </c>
      <c r="AP197" s="77" t="inlineStr">
        <is>
          <t>UK – Russell Group</t>
        </is>
      </c>
      <c r="AQ197" s="77" t="inlineStr">
        <is>
          <t>Unclear</t>
        </is>
      </c>
      <c r="AR197" s="77" t="inlineStr">
        <is>
          <t>Unclear</t>
        </is>
      </c>
      <c r="AS197" s="77" t="inlineStr"/>
    </row>
    <row r="198">
      <c r="A198" s="77" t="inlineStr">
        <is>
          <t>RG13</t>
        </is>
      </c>
      <c r="B198" s="77" t="inlineStr">
        <is>
          <t>London School of Economics</t>
        </is>
      </c>
      <c r="C198" s="77" t="inlineStr">
        <is>
          <t>University-wide</t>
        </is>
      </c>
      <c r="D198" s="77" t="inlineStr">
        <is>
          <t>RG13-S02</t>
        </is>
      </c>
      <c r="E198" s="77" t="inlineStr"/>
      <c r="F198" s="77" t="inlineStr">
        <is>
          <t>No</t>
        </is>
      </c>
      <c r="G198" s="79" t="inlineStr">
        <is>
          <t>Future17</t>
        </is>
      </c>
      <c r="H198" s="77" t="inlineStr">
        <is>
          <t>Future17</t>
        </is>
      </c>
      <c r="I198" s="77" t="inlineStr"/>
      <c r="J198"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198" s="77" t="inlineStr">
        <is>
          <t>LSE100 (LSE recruitment) / QS and international university consortium (delivery)</t>
        </is>
      </c>
      <c r="L198" s="77" t="inlineStr">
        <is>
          <t>All LSE undergraduate programmes</t>
        </is>
      </c>
      <c r="M198" s="77" t="inlineStr">
        <is>
          <t>Central provision</t>
        </is>
      </c>
      <c r="N198" s="77" t="inlineStr">
        <is>
          <t>Undergraduate</t>
        </is>
      </c>
      <c r="O198" s="77" t="inlineStr">
        <is>
          <t>Any undergraduate year (not restricted in evidence)</t>
        </is>
      </c>
      <c r="P198" s="77" t="inlineStr">
        <is>
          <t>Open to all LSE undergraduates via application; criteria: interest in SDGs, collaboration/communication, leadership potential, analytical skills.</t>
        </is>
      </c>
      <c r="Q198" s="77" t="inlineStr">
        <is>
          <t>Selective/competitive</t>
        </is>
      </c>
      <c r="R198" s="77" t="inlineStr">
        <is>
          <t>Unclear</t>
        </is>
      </c>
      <c r="S198" s="77" t="inlineStr">
        <is>
          <t>No evidence of credit; described as accessible 'alongside your studies' (probably extracurricular).</t>
        </is>
      </c>
      <c r="T198" s="77" t="inlineStr">
        <is>
          <t>~12 weeks; LSE recruits two cohorts per academic year</t>
        </is>
      </c>
      <c r="U198" s="77" t="inlineStr">
        <is>
          <t>Fully online, international teams</t>
        </is>
      </c>
      <c r="V198" s="77" t="inlineStr">
        <is>
          <t>Yes</t>
        </is>
      </c>
      <c r="W198" s="77" t="inlineStr">
        <is>
          <t>Teams address a specific sustainability challenge set by a partner and present solutions at the Future17 Solution Showcase [1].</t>
        </is>
      </c>
      <c r="X198" s="77" t="inlineStr">
        <is>
          <t>Yes</t>
        </is>
      </c>
      <c r="Y198" s="77" t="inlineStr">
        <is>
          <t>Students work in teams of about five with students from other universities, each team with 1-2 academic mentors [1].</t>
        </is>
      </c>
      <c r="Z198" s="77" t="inlineStr">
        <is>
          <t>Yes</t>
        </is>
      </c>
      <c r="AA198" s="77" t="inlineStr">
        <is>
          <t>Challenges are set by global organisations (business, charity or NGO partners); students work with the partner on its SDG challenge [1].</t>
        </is>
      </c>
      <c r="AB198" s="77" t="inlineStr">
        <is>
          <t>Mixed</t>
        </is>
      </c>
      <c r="AC198" s="77" t="inlineStr">
        <is>
          <t>Sets live challenge; works with team; receives solutions at showcase</t>
        </is>
      </c>
      <c r="AD198" s="77" t="inlineStr"/>
      <c r="AE198" s="77" t="inlineStr">
        <is>
          <t>Solution/recommendations presented at Future17 Solution Showcase</t>
        </is>
      </c>
      <c r="AF198" s="77">
        <f>IF(OR(V198="No",X198="No",Z198="No"),"Outside strict definition",IF(AND(V198="Yes",X198="Yes",Z198="Yes"),"Meets all three","Potentially relevant; evidence incomplete"))</f>
        <v/>
      </c>
      <c r="AG198" s="77" t="inlineStr">
        <is>
          <t>Current delivery confirmed</t>
        </is>
      </c>
      <c r="AH198" s="77" t="inlineStr">
        <is>
          <t>2026/27 (application call closing 7 Sept 2026)</t>
        </is>
      </c>
      <c r="AI198" s="77" t="inlineStr">
        <is>
          <t>Yes</t>
        </is>
      </c>
      <c r="AJ198" s="77">
        <f>IF(AND(AI198="Yes",AF198="Meets all three",AG198="Current delivery confirmed"),"Yes","No")</f>
        <v/>
      </c>
      <c r="AK198" s="77" t="inlineStr"/>
      <c r="AL198" s="77" t="inlineStr">
        <is>
          <t>RG13-S02-R1</t>
        </is>
      </c>
      <c r="AM198" s="77" t="inlineStr">
        <is>
          <t>Credit status; number of LSE participants; named partner organisations for LSE cohorts; whether the September 2026 call is for the autumn 2026 cohort (assumed).</t>
        </is>
      </c>
      <c r="AN198" s="77" t="inlineStr">
        <is>
          <t>Future17</t>
        </is>
      </c>
      <c r="AO198" s="77" t="inlineStr">
        <is>
          <t>UK</t>
        </is>
      </c>
      <c r="AP198" s="77" t="inlineStr">
        <is>
          <t>UK – Russell Group</t>
        </is>
      </c>
      <c r="AQ198" s="77" t="inlineStr">
        <is>
          <t>Unclear</t>
        </is>
      </c>
      <c r="AR198" s="77" t="inlineStr">
        <is>
          <t>Unclear</t>
        </is>
      </c>
      <c r="AS198" s="77" t="inlineStr"/>
    </row>
    <row r="199">
      <c r="A199" s="77" t="inlineStr">
        <is>
          <t>RG13</t>
        </is>
      </c>
      <c r="B199" s="77" t="inlineStr">
        <is>
          <t>London School of Economics</t>
        </is>
      </c>
      <c r="C199" s="77" t="inlineStr">
        <is>
          <t>University-wide</t>
        </is>
      </c>
      <c r="D199" s="77" t="inlineStr">
        <is>
          <t>RG13-S03</t>
        </is>
      </c>
      <c r="E199" s="77" t="inlineStr"/>
      <c r="F199" s="77" t="inlineStr">
        <is>
          <t>No</t>
        </is>
      </c>
      <c r="G199" s="79" t="inlineStr">
        <is>
          <t>LSE Community Engagement Programme (CEP)</t>
        </is>
      </c>
      <c r="H199" s="77" t="inlineStr">
        <is>
          <t>LSE Community Engagement Programme (CEP)</t>
        </is>
      </c>
      <c r="I199" s="77" t="inlineStr"/>
      <c r="J199"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199" s="77" t="inlineStr">
        <is>
          <t>LSE Volunteer Centre (LSE Careers)</t>
        </is>
      </c>
      <c r="L199" s="77" t="inlineStr">
        <is>
          <t>All current LSE students</t>
        </is>
      </c>
      <c r="M199" s="77" t="inlineStr">
        <is>
          <t>Central provision</t>
        </is>
      </c>
      <c r="N199" s="77" t="inlineStr">
        <is>
          <t>Mixed</t>
        </is>
      </c>
      <c r="O199" s="77" t="inlineStr">
        <is>
          <t>Any</t>
        </is>
      </c>
      <c r="P199" s="77" t="inlineStr">
        <is>
          <t>Current LSE students; application via CareerHub</t>
        </is>
      </c>
      <c r="Q199" s="77" t="inlineStr">
        <is>
          <t>Selective/competitive</t>
        </is>
      </c>
      <c r="R199" s="77" t="inlineStr">
        <is>
          <t>Extracurricular</t>
        </is>
      </c>
      <c r="S199" s="77" t="inlineStr">
        <is>
          <t>None (extracurricular)</t>
        </is>
      </c>
      <c r="T199" s="77" t="inlineStr">
        <is>
          <t>c. 10-16 weeks (26 Nov 2025-25 Mar 2026; 13 Jan-17 Mar 2027)</t>
        </is>
      </c>
      <c r="U199" s="77" t="inlineStr">
        <is>
          <t>Team consultancy, hybrid</t>
        </is>
      </c>
      <c r="V199" s="77" t="inlineStr">
        <is>
          <t>Yes</t>
        </is>
      </c>
      <c r="W199" s="77" t="inlineStr">
        <is>
          <t>Teams answer a charity's project brief and produce actionable recommendations in consultancy reports and presentations [1][2].</t>
        </is>
      </c>
      <c r="X199" s="77" t="inlineStr">
        <is>
          <t>Yes</t>
        </is>
      </c>
      <c r="Y199" s="77" t="inlineStr">
        <is>
          <t>Delivered by student teams; team support from Volunteer Centre, alumni mentor and the charity [1][2].</t>
        </is>
      </c>
      <c r="Z199" s="77" t="inlineStr">
        <is>
          <t>Yes</t>
        </is>
      </c>
      <c r="AA199" s="77" t="inlineStr">
        <is>
          <t>Charities apply with project briefs, act as clients with whom teams liaise, and receive the consultancy report/presentation [1][2][3].</t>
        </is>
      </c>
      <c r="AB199" s="77" t="inlineStr">
        <is>
          <t>Charity/community</t>
        </is>
      </c>
      <c r="AC199" s="77" t="inlineStr">
        <is>
          <t>Client: sets brief, liaises with team, receives report/presentation</t>
        </is>
      </c>
      <c r="AD199" s="77" t="inlineStr"/>
      <c r="AE199" s="77" t="inlineStr">
        <is>
          <t>Consultancy report and presentation to the charity</t>
        </is>
      </c>
      <c r="AF199" s="77">
        <f>IF(OR(V199="No",X199="No",Z199="No"),"Outside strict definition",IF(AND(V199="Yes",X199="Yes",Z199="Yes"),"Meets all three","Potentially relevant; evidence incomplete"))</f>
        <v/>
      </c>
      <c r="AG199" s="77" t="inlineStr">
        <is>
          <t>Current delivery confirmed</t>
        </is>
      </c>
      <c r="AH199" s="77" t="inlineStr">
        <is>
          <t>2025/26 (ran Nov 2025-Mar 2026); 2026/27 round recruiting</t>
        </is>
      </c>
      <c r="AI199" s="77" t="inlineStr">
        <is>
          <t>Yes</t>
        </is>
      </c>
      <c r="AJ199" s="77">
        <f>IF(AND(AI199="Yes",AF199="Meets all three",AG199="Current delivery confirmed"),"Yes","No")</f>
        <v/>
      </c>
      <c r="AK199" s="77" t="inlineStr">
        <is>
          <t>Team size 6-7 students reported in Volunteer Centre blog posts (2023-2024); number of teams/charities not published in sources found.</t>
        </is>
      </c>
      <c r="AL199" s="77" t="inlineStr">
        <is>
          <t>RG13-S03-R1; RG13-S03-R2; RG13-S03-R3</t>
        </is>
      </c>
      <c r="AM199" s="77" t="inlineStr"/>
      <c r="AN199" s="77" t="inlineStr"/>
      <c r="AO199" s="77" t="inlineStr">
        <is>
          <t>UK</t>
        </is>
      </c>
      <c r="AP199" s="77" t="inlineStr">
        <is>
          <t>UK – Russell Group</t>
        </is>
      </c>
      <c r="AQ199" s="77" t="inlineStr">
        <is>
          <t>Unclear</t>
        </is>
      </c>
      <c r="AR199" s="77" t="inlineStr">
        <is>
          <t>Unclear</t>
        </is>
      </c>
      <c r="AS199" s="77" t="inlineStr"/>
    </row>
    <row r="200">
      <c r="A200" s="77" t="inlineStr">
        <is>
          <t>RG13</t>
        </is>
      </c>
      <c r="B200" s="77" t="inlineStr">
        <is>
          <t>London School of Economics</t>
        </is>
      </c>
      <c r="C200" s="77" t="inlineStr">
        <is>
          <t>University-wide</t>
        </is>
      </c>
      <c r="D200" s="77" t="inlineStr">
        <is>
          <t>RG13-S04</t>
        </is>
      </c>
      <c r="E200" s="77" t="inlineStr"/>
      <c r="F200" s="77" t="inlineStr">
        <is>
          <t>No</t>
        </is>
      </c>
      <c r="G200" s="79" t="inlineStr">
        <is>
          <t>Research Volunteering Scheme (RVS)</t>
        </is>
      </c>
      <c r="H200" s="77" t="inlineStr">
        <is>
          <t>Research Volunteering Scheme (RVS)</t>
        </is>
      </c>
      <c r="I200" s="77" t="inlineStr"/>
      <c r="J200"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00" s="77" t="inlineStr">
        <is>
          <t>LSE Volunteer Centre (LSE Careers)</t>
        </is>
      </c>
      <c r="L200" s="77" t="inlineStr">
        <is>
          <t>All current LSE postgraduate students</t>
        </is>
      </c>
      <c r="M200" s="77" t="inlineStr">
        <is>
          <t>Central provision</t>
        </is>
      </c>
      <c r="N200" s="77" t="inlineStr">
        <is>
          <t>Mixed</t>
        </is>
      </c>
      <c r="O200" s="77" t="inlineStr">
        <is>
          <t>Any postgraduate year</t>
        </is>
      </c>
      <c r="P200" s="77" t="inlineStr">
        <is>
          <t>Postgraduates only (taught and research); current LSE students</t>
        </is>
      </c>
      <c r="Q200" s="77" t="inlineStr">
        <is>
          <t>Selective/competitive</t>
        </is>
      </c>
      <c r="R200" s="77" t="inlineStr">
        <is>
          <t>Extracurricular</t>
        </is>
      </c>
      <c r="S200" s="77" t="inlineStr">
        <is>
          <t>None (extracurricular)</t>
        </is>
      </c>
      <c r="T200" s="77" t="inlineStr">
        <is>
          <t>November to March (2025/26: 12 Nov 2025 - mid-March 2026)</t>
        </is>
      </c>
      <c r="U200" s="77" t="inlineStr">
        <is>
          <t>Team research project</t>
        </is>
      </c>
      <c r="V200" s="77" t="inlineStr">
        <is>
          <t>Yes</t>
        </is>
      </c>
      <c r="W200" s="77" t="inlineStr">
        <is>
          <t>Each team answers a defined charity research question and submits a research paper, plus a presentation [1].</t>
        </is>
      </c>
      <c r="X200" s="77" t="inlineStr">
        <is>
          <t>Yes</t>
        </is>
      </c>
      <c r="Y200" s="77" t="inlineStr">
        <is>
          <t>'Teams of LSE postgraduates' answer each question [1].</t>
        </is>
      </c>
      <c r="Z200" s="77" t="inlineStr">
        <is>
          <t>Yes</t>
        </is>
      </c>
      <c r="AA200" s="77" t="inlineStr">
        <is>
          <t>Charities apply to submit the academic question and receive the paper and presentation [1][2].</t>
        </is>
      </c>
      <c r="AB200" s="77" t="inlineStr">
        <is>
          <t>Charity/community</t>
        </is>
      </c>
      <c r="AC200" s="77" t="inlineStr">
        <is>
          <t>Poses research question; receives research paper and presentation</t>
        </is>
      </c>
      <c r="AD200" s="77" t="inlineStr"/>
      <c r="AE200" s="77" t="inlineStr">
        <is>
          <t>Secondary-research paper (literature review) + presentation to charity</t>
        </is>
      </c>
      <c r="AF200" s="77">
        <f>IF(OR(V200="No",X200="No",Z200="No"),"Outside strict definition",IF(AND(V200="Yes",X200="Yes",Z200="Yes"),"Meets all three","Potentially relevant; evidence incomplete"))</f>
        <v/>
      </c>
      <c r="AG200" s="77" t="inlineStr">
        <is>
          <t>Current delivery confirmed</t>
        </is>
      </c>
      <c r="AH200" s="77" t="inlineStr">
        <is>
          <t>2025/26 (2026/27 round recruiting)</t>
        </is>
      </c>
      <c r="AI200" s="77" t="inlineStr">
        <is>
          <t>Yes</t>
        </is>
      </c>
      <c r="AJ200" s="77">
        <f>IF(AND(AI200="Yes",AF200="Meets all three",AG200="Current delivery confirmed"),"Yes","No")</f>
        <v/>
      </c>
      <c r="AK200" s="77" t="inlineStr">
        <is>
          <t>10 charity questions (projects), 2025/26 round [1].</t>
        </is>
      </c>
      <c r="AL200" s="77" t="inlineStr">
        <is>
          <t>RG13-S04-R1; RG13-S04-R2; RG13-S04-R3</t>
        </is>
      </c>
      <c r="AM200" s="77" t="inlineStr">
        <is>
          <t>Student level is postgraduate only (taught + research), recorded as Mixed; borderline on 'substantive project' because output is a literature review.</t>
        </is>
      </c>
      <c r="AN200" s="77" t="inlineStr"/>
      <c r="AO200" s="77" t="inlineStr">
        <is>
          <t>UK</t>
        </is>
      </c>
      <c r="AP200" s="77" t="inlineStr">
        <is>
          <t>UK – Russell Group</t>
        </is>
      </c>
      <c r="AQ200" s="77" t="inlineStr">
        <is>
          <t>Unclear</t>
        </is>
      </c>
      <c r="AR200" s="77" t="inlineStr">
        <is>
          <t>Unclear</t>
        </is>
      </c>
      <c r="AS200" s="77" t="inlineStr"/>
    </row>
    <row r="201">
      <c r="A201" s="77" t="inlineStr">
        <is>
          <t>RG13</t>
        </is>
      </c>
      <c r="B201" s="77" t="inlineStr">
        <is>
          <t>London School of Economics</t>
        </is>
      </c>
      <c r="C201" s="77" t="inlineStr">
        <is>
          <t>Faculty/school</t>
        </is>
      </c>
      <c r="D201" s="77" t="inlineStr">
        <is>
          <t>RG13-S05</t>
        </is>
      </c>
      <c r="E201" s="77" t="inlineStr"/>
      <c r="F201" s="77" t="inlineStr">
        <is>
          <t>Yes</t>
        </is>
      </c>
      <c r="G201" s="79" t="inlineStr">
        <is>
          <t>Department of Management Business Projects (Employer Partnerships)</t>
        </is>
      </c>
      <c r="H201" s="77" t="inlineStr">
        <is>
          <t>Department of Management Business Projects (Employer Partnerships)</t>
        </is>
      </c>
      <c r="I201" s="77" t="inlineStr"/>
      <c r="J201"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01" s="77" t="inlineStr">
        <is>
          <t>Department of Management, Employer Relations</t>
        </is>
      </c>
      <c r="L201" s="77" t="inlineStr">
        <is>
          <t>Students on specified Department of Management MSc programmes</t>
        </is>
      </c>
      <c r="M201" s="77" t="inlineStr">
        <is>
          <t>Business/management</t>
        </is>
      </c>
      <c r="N201" s="77" t="inlineStr">
        <is>
          <t>Postgraduate taught</t>
        </is>
      </c>
      <c r="O201" s="77" t="inlineStr"/>
      <c r="P201" s="77" t="inlineStr"/>
      <c r="Q201" s="77" t="inlineStr">
        <is>
          <t>Compulsory within specified programmes</t>
        </is>
      </c>
      <c r="R201" s="77" t="inlineStr">
        <is>
          <t>Curricular</t>
        </is>
      </c>
      <c r="S201" s="77" t="inlineStr"/>
      <c r="T201" s="77" t="inlineStr"/>
      <c r="U201" s="77" t="inlineStr"/>
      <c r="V201" s="77" t="inlineStr">
        <is>
          <t>Yes</t>
        </is>
      </c>
      <c r="W201" s="77" t="inlineStr">
        <is>
          <t>Students work on a business project or challenge provided by an organisation [1].</t>
        </is>
      </c>
      <c r="X201" s="77" t="inlineStr">
        <is>
          <t>Yes</t>
        </is>
      </c>
      <c r="Y201" s="77" t="inlineStr">
        <is>
          <t>GMiM projects 4-6 students; HRO Links teams of two [1].</t>
        </is>
      </c>
      <c r="Z201" s="77" t="inlineStr">
        <is>
          <t>Yes</t>
        </is>
      </c>
      <c r="AA201" s="77" t="inlineStr">
        <is>
          <t>Sponsors supply the brief and a Project Supervisor who checks in throughout; students give final presentation and/or business report to the organisation [1].</t>
        </is>
      </c>
      <c r="AB201" s="77" t="inlineStr">
        <is>
          <t>Mixed</t>
        </is>
      </c>
      <c r="AC201" s="77" t="inlineStr">
        <is>
          <t>Sponsor/client</t>
        </is>
      </c>
      <c r="AD201" s="77" t="inlineStr"/>
      <c r="AE201" s="77" t="inlineStr"/>
      <c r="AF201" s="77">
        <f>IF(OR(V201="No",X201="No",Z201="No"),"Outside strict definition",IF(AND(V201="Yes",X201="Yes",Z201="Yes"),"Meets all three","Potentially relevant; evidence incomplete"))</f>
        <v/>
      </c>
      <c r="AG201" s="77" t="inlineStr">
        <is>
          <t>Current delivery confirmed</t>
        </is>
      </c>
      <c r="AH201" s="77" t="inlineStr">
        <is>
          <t>2026/27 (GMiM proposals due 26 Aug 2026; projects Oct 2026-Jan 2027)</t>
        </is>
      </c>
      <c r="AI201" s="77" t="inlineStr">
        <is>
          <t>No</t>
        </is>
      </c>
      <c r="AJ201" s="77">
        <f>IF(AND(AI201="Yes",AF201="Meets all three",AG201="Current delivery confirmed"),"Yes","No")</f>
        <v/>
      </c>
      <c r="AK201" s="77" t="inlineStr"/>
      <c r="AL201" s="77" t="inlineStr">
        <is>
          <t>RG13-S05-R1</t>
        </is>
      </c>
      <c r="AM201" s="77" t="inlineStr">
        <is>
          <t>Open Innovation (OI) stream not separately evidenced (programme/course not identified).</t>
        </is>
      </c>
      <c r="AN201" s="77" t="inlineStr"/>
      <c r="AO201" s="77" t="inlineStr">
        <is>
          <t>UK</t>
        </is>
      </c>
      <c r="AP201" s="77" t="inlineStr">
        <is>
          <t>UK – Russell Group</t>
        </is>
      </c>
      <c r="AQ201" s="77" t="inlineStr">
        <is>
          <t>Unclear</t>
        </is>
      </c>
      <c r="AR201" s="77" t="inlineStr">
        <is>
          <t>Unclear</t>
        </is>
      </c>
      <c r="AS201" s="77" t="inlineStr">
        <is>
          <t>No (umbrella; children counted)</t>
        </is>
      </c>
    </row>
    <row r="202">
      <c r="A202" s="77" t="inlineStr">
        <is>
          <t>RG13</t>
        </is>
      </c>
      <c r="B202" s="77" t="inlineStr">
        <is>
          <t>London School of Economics</t>
        </is>
      </c>
      <c r="C202" s="77" t="inlineStr">
        <is>
          <t>Programme/course</t>
        </is>
      </c>
      <c r="D202" s="77" t="inlineStr">
        <is>
          <t>RG13-S06</t>
        </is>
      </c>
      <c r="E202" s="77" t="inlineStr">
        <is>
          <t>RG13-S05</t>
        </is>
      </c>
      <c r="F202" s="77" t="inlineStr">
        <is>
          <t>No</t>
        </is>
      </c>
      <c r="G202" s="79" t="inlineStr">
        <is>
          <t>GMiM Capstone Course - Management in Action</t>
        </is>
      </c>
      <c r="H202" s="77" t="inlineStr">
        <is>
          <t>GMiM Capstone Course - Management in Action</t>
        </is>
      </c>
      <c r="I202" s="77" t="inlineStr">
        <is>
          <t>MG488B (with MG488A)</t>
        </is>
      </c>
      <c r="J202"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02" s="77" t="inlineStr">
        <is>
          <t>Department of Management</t>
        </is>
      </c>
      <c r="L202" s="77" t="inlineStr">
        <is>
          <t>Global Master's in Management (GMiM)</t>
        </is>
      </c>
      <c r="M202" s="77" t="inlineStr">
        <is>
          <t>Business/management</t>
        </is>
      </c>
      <c r="N202" s="77" t="inlineStr">
        <is>
          <t>Postgraduate taught</t>
        </is>
      </c>
      <c r="O202" s="77" t="inlineStr">
        <is>
          <t>Year 2 of GMiM</t>
        </is>
      </c>
      <c r="P202" s="77" t="inlineStr"/>
      <c r="Q202" s="77" t="inlineStr">
        <is>
          <t>Compulsory within specified programmes</t>
        </is>
      </c>
      <c r="R202" s="77" t="inlineStr">
        <is>
          <t>Curricular</t>
        </is>
      </c>
      <c r="S202" s="77" t="inlineStr">
        <is>
          <t>Capstone project 65% of combined grade; MG488A 35% (participation 10%, 2,000-word essay 25%). Criteria include 'Effectiveness of Client Management'.</t>
        </is>
      </c>
      <c r="T202" s="77" t="inlineStr">
        <is>
          <t>Autumn Term (Oct-Jan)</t>
        </is>
      </c>
      <c r="U202" s="77" t="inlineStr">
        <is>
          <t>Team consultancy project</t>
        </is>
      </c>
      <c r="V202" s="77" t="inlineStr">
        <is>
          <t>Yes</t>
        </is>
      </c>
      <c r="W202" s="77" t="inlineStr">
        <is>
          <t>Client project with scoped objectives, research methodology and recommendations; assessed via oral presentation and slides [1].</t>
        </is>
      </c>
      <c r="X202" s="77" t="inlineStr">
        <is>
          <t>Yes</t>
        </is>
      </c>
      <c r="Y202" s="77" t="inlineStr">
        <is>
          <t>Projects allocated, on average, to groups of 4-6 students; group assessment [1][2].</t>
        </is>
      </c>
      <c r="Z202" s="77" t="inlineStr">
        <is>
          <t>Yes</t>
        </is>
      </c>
      <c r="AA202" s="77" t="inlineStr">
        <is>
          <t>Projects sourced by LSE from client partners; client management assessed; final presentations to sponsors [1][2].</t>
        </is>
      </c>
      <c r="AB202" s="77" t="inlineStr">
        <is>
          <t>Mixed</t>
        </is>
      </c>
      <c r="AC202" s="77" t="inlineStr">
        <is>
          <t>Client: supplies business problem, interacts with team, receives presentation</t>
        </is>
      </c>
      <c r="AD202" s="77" t="inlineStr"/>
      <c r="AE202" s="77" t="inlineStr">
        <is>
          <t>Client presentation (c.30 min) + slides and appendices</t>
        </is>
      </c>
      <c r="AF202" s="77">
        <f>IF(OR(V202="No",X202="No",Z202="No"),"Outside strict definition",IF(AND(V202="Yes",X202="Yes",Z202="Yes"),"Meets all three","Potentially relevant; evidence incomplete"))</f>
        <v/>
      </c>
      <c r="AG202" s="77" t="inlineStr">
        <is>
          <t>Current delivery confirmed</t>
        </is>
      </c>
      <c r="AH202" s="77" t="inlineStr">
        <is>
          <t>2025/26 (2026/27 recruiting sponsors)</t>
        </is>
      </c>
      <c r="AI202" s="77" t="inlineStr">
        <is>
          <t>Yes</t>
        </is>
      </c>
      <c r="AJ202" s="77">
        <f>IF(AND(AI202="Yes",AF202="Meets all three",AG202="Current delivery confirmed"),"Yes","No")</f>
        <v/>
      </c>
      <c r="AK202" s="77" t="inlineStr"/>
      <c r="AL202" s="77" t="inlineStr">
        <is>
          <t>RG13-S06-R1; RG13-S06-R2</t>
        </is>
      </c>
      <c r="AM202" s="77" t="inlineStr">
        <is>
          <t>Whether compulsory for all GMiM students (inferred from 'capstone' and assessment wording, not from regulations).</t>
        </is>
      </c>
      <c r="AN202" s="77" t="inlineStr"/>
      <c r="AO202" s="77" t="inlineStr">
        <is>
          <t>UK</t>
        </is>
      </c>
      <c r="AP202" s="77" t="inlineStr">
        <is>
          <t>UK – Russell Group</t>
        </is>
      </c>
      <c r="AQ202" s="77" t="inlineStr">
        <is>
          <t>Unclear</t>
        </is>
      </c>
      <c r="AR202" s="77" t="inlineStr">
        <is>
          <t>Unclear</t>
        </is>
      </c>
      <c r="AS202" s="77" t="inlineStr"/>
    </row>
    <row r="203">
      <c r="A203" s="77" t="inlineStr">
        <is>
          <t>RG13</t>
        </is>
      </c>
      <c r="B203" s="77" t="inlineStr">
        <is>
          <t>London School of Economics</t>
        </is>
      </c>
      <c r="C203" s="77" t="inlineStr">
        <is>
          <t>Programme/course</t>
        </is>
      </c>
      <c r="D203" s="77" t="inlineStr">
        <is>
          <t>RG13-S07</t>
        </is>
      </c>
      <c r="E203" s="77" t="inlineStr">
        <is>
          <t>RG13-S05</t>
        </is>
      </c>
      <c r="F203" s="77" t="inlineStr">
        <is>
          <t>No</t>
        </is>
      </c>
      <c r="G203" s="79" t="inlineStr">
        <is>
          <t>CEMS &amp; MBA Business Projects</t>
        </is>
      </c>
      <c r="H203" s="77" t="inlineStr">
        <is>
          <t>CEMS &amp; MBA Business Projects</t>
        </is>
      </c>
      <c r="I203" s="77" t="inlineStr"/>
      <c r="J203" s="77" t="inlineStr">
        <is>
          <t>Sponsored business projects for CEMS (Master's in International Management) students at LSE and MBA students: teams of 4-6 work February-May on an organisation's business problem and present final recommendations to sponsors.</t>
        </is>
      </c>
      <c r="K203" s="77" t="inlineStr">
        <is>
          <t>Department of Management</t>
        </is>
      </c>
      <c r="L203" s="77" t="inlineStr">
        <is>
          <t>CEMS MIM students at LSE; 'MBA' students (programme not identified)</t>
        </is>
      </c>
      <c r="M203" s="77" t="inlineStr">
        <is>
          <t>Business/management</t>
        </is>
      </c>
      <c r="N203" s="77" t="inlineStr">
        <is>
          <t>Postgraduate taught</t>
        </is>
      </c>
      <c r="O203" s="77" t="inlineStr"/>
      <c r="P203" s="77" t="inlineStr"/>
      <c r="Q203" s="77" t="inlineStr">
        <is>
          <t>Unclear</t>
        </is>
      </c>
      <c r="R203" s="77" t="inlineStr">
        <is>
          <t>Unclear</t>
        </is>
      </c>
      <c r="S203" s="77" t="inlineStr"/>
      <c r="T203" s="77" t="inlineStr">
        <is>
          <t>February - May (Winter/Spring Term)</t>
        </is>
      </c>
      <c r="U203" s="77" t="inlineStr">
        <is>
          <t>Team consultancy project</t>
        </is>
      </c>
      <c r="V203" s="77" t="inlineStr">
        <is>
          <t>Yes</t>
        </is>
      </c>
      <c r="W203" s="77" t="inlineStr">
        <is>
          <t>Organisation-proposed business project culminating in final presentations [1].</t>
        </is>
      </c>
      <c r="X203" s="77" t="inlineStr">
        <is>
          <t>Yes</t>
        </is>
      </c>
      <c r="Y203" s="77" t="inlineStr">
        <is>
          <t>4-6 students are assigned to a project [1].</t>
        </is>
      </c>
      <c r="Z203" s="77" t="inlineStr">
        <is>
          <t>Yes</t>
        </is>
      </c>
      <c r="AA203" s="77" t="inlineStr">
        <is>
          <t>Sponsors submit proposals, meet students (typically fortnightly) and receive final presentations (4-18 May 2026) [1].</t>
        </is>
      </c>
      <c r="AB203" s="77" t="inlineStr">
        <is>
          <t>Mixed</t>
        </is>
      </c>
      <c r="AC203" s="77" t="inlineStr">
        <is>
          <t>Sponsor/client</t>
        </is>
      </c>
      <c r="AD203" s="77" t="inlineStr"/>
      <c r="AE203" s="77" t="inlineStr">
        <is>
          <t>Final presentation to sponsor</t>
        </is>
      </c>
      <c r="AF203" s="77">
        <f>IF(OR(V203="No",X203="No",Z203="No"),"Outside strict definition",IF(AND(V203="Yes",X203="Yes",Z203="Yes"),"Meets all three","Potentially relevant; evidence incomplete"))</f>
        <v/>
      </c>
      <c r="AG203" s="77" t="inlineStr">
        <is>
          <t>Current delivery confirmed</t>
        </is>
      </c>
      <c r="AH203" s="77" t="inlineStr">
        <is>
          <t>2025/26</t>
        </is>
      </c>
      <c r="AI203" s="77" t="inlineStr">
        <is>
          <t>Yes</t>
        </is>
      </c>
      <c r="AJ203" s="77">
        <f>IF(AND(AI203="Yes",AF203="Meets all three",AG203="Current delivery confirmed"),"Yes","No")</f>
        <v/>
      </c>
      <c r="AK203" s="77" t="inlineStr"/>
      <c r="AL203" s="77" t="inlineStr">
        <is>
          <t>RG13-S07-R1</t>
        </is>
      </c>
      <c r="AM203" s="77" t="inlineStr">
        <is>
          <t>Credit/assessment and course code; which 'MBA' students participate (LSE has no standalone MBA); whether compulsory for CEMS students.</t>
        </is>
      </c>
      <c r="AN203" s="77" t="inlineStr"/>
      <c r="AO203" s="77" t="inlineStr">
        <is>
          <t>UK</t>
        </is>
      </c>
      <c r="AP203" s="77" t="inlineStr">
        <is>
          <t>UK – Russell Group</t>
        </is>
      </c>
      <c r="AQ203" s="77" t="inlineStr">
        <is>
          <t>Unclear</t>
        </is>
      </c>
      <c r="AR203" s="77" t="inlineStr">
        <is>
          <t>Unclear</t>
        </is>
      </c>
      <c r="AS203" s="77" t="inlineStr"/>
    </row>
    <row r="204">
      <c r="A204" s="77" t="inlineStr">
        <is>
          <t>RG13</t>
        </is>
      </c>
      <c r="B204" s="77" t="inlineStr">
        <is>
          <t>London School of Economics</t>
        </is>
      </c>
      <c r="C204" s="77" t="inlineStr">
        <is>
          <t>Programme/course</t>
        </is>
      </c>
      <c r="D204" s="77" t="inlineStr">
        <is>
          <t>RG13-S08</t>
        </is>
      </c>
      <c r="E204" s="77" t="inlineStr">
        <is>
          <t>RG13-S05</t>
        </is>
      </c>
      <c r="F204" s="77" t="inlineStr">
        <is>
          <t>No</t>
        </is>
      </c>
      <c r="G204" s="79" t="inlineStr">
        <is>
          <t>HRO Links Scheme (Links Project)</t>
        </is>
      </c>
      <c r="H204" s="77" t="inlineStr">
        <is>
          <t>HRO Links Scheme (Links Project)</t>
        </is>
      </c>
      <c r="I204" s="77" t="inlineStr">
        <is>
          <t>MG493 (Dissertation, Links route)</t>
        </is>
      </c>
      <c r="J204" s="77" t="inlineStr">
        <is>
          <t>MSc Human Resources and Organisations option: 1-2 students conduct consultancy research on an HR question posed by an external sponsor, producing a business report for the organisation and a joint LSE dissertation.</t>
        </is>
      </c>
      <c r="K204" s="77" t="inlineStr">
        <is>
          <t>Department of Management</t>
        </is>
      </c>
      <c r="L204" s="77" t="inlineStr">
        <is>
          <t>MSc Human Resources and Organisations</t>
        </is>
      </c>
      <c r="M204" s="77" t="inlineStr">
        <is>
          <t>Business/management</t>
        </is>
      </c>
      <c r="N204" s="77" t="inlineStr">
        <is>
          <t>Postgraduate taught</t>
        </is>
      </c>
      <c r="O204" s="77" t="inlineStr"/>
      <c r="P204" s="77" t="inlineStr"/>
      <c r="Q204" s="77" t="inlineStr">
        <is>
          <t>Selective/competitive</t>
        </is>
      </c>
      <c r="R204" s="77" t="inlineStr">
        <is>
          <t>Curricular</t>
        </is>
      </c>
      <c r="S204" s="77" t="inlineStr">
        <is>
          <t>Within MG493 Dissertation (1 unit); Links students write a joint dissertation with their project partner.</t>
        </is>
      </c>
      <c r="T204" s="77" t="inlineStr">
        <is>
          <t>October - January (2026/27 stream)</t>
        </is>
      </c>
      <c r="U204" s="77" t="inlineStr">
        <is>
          <t>Pair consultancy project</t>
        </is>
      </c>
      <c r="V204" s="77" t="inlineStr">
        <is>
          <t>Yes</t>
        </is>
      </c>
      <c r="W204" s="77" t="inlineStr">
        <is>
          <t>Research on an HR question posed by the Links sponsor, business report to organisation [2][3].</t>
        </is>
      </c>
      <c r="X204" s="77" t="inlineStr">
        <is>
          <t>Unclear</t>
        </is>
      </c>
      <c r="Y204" s="77" t="inlineStr">
        <is>
          <t>Typically completed in pairs (programme page) but brochure says 1-2 students per project, so some routes may be individual; whether a pair counts as a 'team' needs a coordinator ruling [1][2].</t>
        </is>
      </c>
      <c r="Z204" s="77" t="inlineStr">
        <is>
          <t>Yes</t>
        </is>
      </c>
      <c r="AA204" s="77" t="inlineStr">
        <is>
          <t>Sponsors submit project proposals (deadline 7 Nov 2025), pose the HR question and receive a business report [2][3].</t>
        </is>
      </c>
      <c r="AB204" s="77" t="inlineStr">
        <is>
          <t>Business/commercial</t>
        </is>
      </c>
      <c r="AC204" s="77" t="inlineStr">
        <is>
          <t>Sponsor/client</t>
        </is>
      </c>
      <c r="AD204" s="77" t="inlineStr">
        <is>
          <t>ABB (Department of Management case page 'ABB: Transforming HR communications', undated)</t>
        </is>
      </c>
      <c r="AE204" s="77" t="inlineStr">
        <is>
          <t>Business report to sponsor + joint dissertation</t>
        </is>
      </c>
      <c r="AF204" s="77">
        <f>IF(OR(V204="No",X204="No",Z204="No"),"Outside strict definition",IF(AND(V204="Yes",X204="Yes",Z204="Yes"),"Meets all three","Potentially relevant; evidence incomplete"))</f>
        <v/>
      </c>
      <c r="AG204" s="77" t="inlineStr">
        <is>
          <t>Current delivery confirmed</t>
        </is>
      </c>
      <c r="AH204" s="77" t="inlineStr">
        <is>
          <t>2026/27 (proposal deadline 26 Aug 2026)</t>
        </is>
      </c>
      <c r="AI204" s="77" t="inlineStr">
        <is>
          <t>Yes</t>
        </is>
      </c>
      <c r="AJ204" s="77">
        <f>IF(AND(AI204="Yes",AF204="Meets all three",AG204="Current delivery confirmed"),"Yes","No")</f>
        <v/>
      </c>
      <c r="AK204" s="77" t="inlineStr"/>
      <c r="AL204" s="77" t="inlineStr">
        <is>
          <t>RG13-S08-R1; RG13-S08-R2; RG13-S08-R3</t>
        </is>
      </c>
      <c r="AM204" s="77" t="inlineStr"/>
      <c r="AN204" s="77" t="inlineStr"/>
      <c r="AO204" s="77" t="inlineStr">
        <is>
          <t>UK</t>
        </is>
      </c>
      <c r="AP204" s="77" t="inlineStr">
        <is>
          <t>UK – Russell Group</t>
        </is>
      </c>
      <c r="AQ204" s="77" t="inlineStr">
        <is>
          <t>Unclear</t>
        </is>
      </c>
      <c r="AR204" s="77" t="inlineStr">
        <is>
          <t>Unclear</t>
        </is>
      </c>
      <c r="AS204" s="77" t="inlineStr"/>
    </row>
    <row r="205">
      <c r="A205" s="77" t="inlineStr">
        <is>
          <t>RG13</t>
        </is>
      </c>
      <c r="B205" s="77" t="inlineStr">
        <is>
          <t>London School of Economics</t>
        </is>
      </c>
      <c r="C205" s="77" t="inlineStr">
        <is>
          <t>Programme/course</t>
        </is>
      </c>
      <c r="D205" s="77" t="inlineStr">
        <is>
          <t>RG13-S09</t>
        </is>
      </c>
      <c r="E205" s="77" t="inlineStr">
        <is>
          <t>RG13-S05</t>
        </is>
      </c>
      <c r="F205" s="77" t="inlineStr">
        <is>
          <t>No</t>
        </is>
      </c>
      <c r="G205" s="79" t="inlineStr">
        <is>
          <t>Marketing Action Learning Project (MALP)</t>
        </is>
      </c>
      <c r="H205" s="77" t="inlineStr">
        <is>
          <t>Marketing Action Learning Project (MALP)</t>
        </is>
      </c>
      <c r="I205" s="77" t="inlineStr">
        <is>
          <t>MG4F1</t>
        </is>
      </c>
      <c r="J205"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05" s="77" t="inlineStr">
        <is>
          <t>Department of Management</t>
        </is>
      </c>
      <c r="L205" s="77" t="inlineStr">
        <is>
          <t>MSc Marketing</t>
        </is>
      </c>
      <c r="M205" s="77" t="inlineStr">
        <is>
          <t>Business/management</t>
        </is>
      </c>
      <c r="N205" s="77" t="inlineStr">
        <is>
          <t>Postgraduate taught</t>
        </is>
      </c>
      <c r="O205" s="77" t="inlineStr"/>
      <c r="P205" s="77" t="inlineStr"/>
      <c r="Q205" s="77" t="inlineStr">
        <is>
          <t>Compulsory within specified programmes</t>
        </is>
      </c>
      <c r="R205" s="77" t="inlineStr">
        <is>
          <t>Curricular</t>
        </is>
      </c>
      <c r="S205" s="77" t="inlineStr">
        <is>
          <t>Half unit; oral examination 40% + project 60% (report August)</t>
        </is>
      </c>
      <c r="T205" s="77" t="inlineStr">
        <is>
          <t>Winter Term to August (presentations early July)</t>
        </is>
      </c>
      <c r="U205" s="77" t="inlineStr">
        <is>
          <t>Team client project</t>
        </is>
      </c>
      <c r="V205" s="77" t="inlineStr">
        <is>
          <t>Yes</t>
        </is>
      </c>
      <c r="W205" s="77" t="inlineStr">
        <is>
          <t>Real marketing challenge; research and marketing strategy report [1].</t>
        </is>
      </c>
      <c r="X205" s="77" t="inlineStr">
        <is>
          <t>Yes</t>
        </is>
      </c>
      <c r="Y205" s="77" t="inlineStr">
        <is>
          <t>'Teams of students work with vetted company sponsors' [1]; teams of six [3].</t>
        </is>
      </c>
      <c r="Z205" s="77" t="inlineStr">
        <is>
          <t>Yes</t>
        </is>
      </c>
      <c r="AA205" s="77" t="inlineStr">
        <is>
          <t>Company sponsors supply the marketing challenge; teams work with them [1][2].</t>
        </is>
      </c>
      <c r="AB205" s="77" t="inlineStr">
        <is>
          <t>Business/commercial</t>
        </is>
      </c>
      <c r="AC205" s="77" t="inlineStr">
        <is>
          <t>Sponsor/client</t>
        </is>
      </c>
      <c r="AD205" s="77" t="inlineStr">
        <is>
          <t>Colgate-Palmolive, Cartier, Tata Group, Unilever (programme page, undated, 'have worked with')</t>
        </is>
      </c>
      <c r="AE205" s="77" t="inlineStr">
        <is>
          <t>Marketing strategy report and presentation</t>
        </is>
      </c>
      <c r="AF205" s="77">
        <f>IF(OR(V205="No",X205="No",Z205="No"),"Outside strict definition",IF(AND(V205="Yes",X205="Yes",Z205="Yes"),"Meets all three","Potentially relevant; evidence incomplete"))</f>
        <v/>
      </c>
      <c r="AG205" s="77" t="inlineStr">
        <is>
          <t>Current delivery confirmed</t>
        </is>
      </c>
      <c r="AH205" s="77" t="inlineStr">
        <is>
          <t>2026/27</t>
        </is>
      </c>
      <c r="AI205" s="77" t="inlineStr">
        <is>
          <t>Yes</t>
        </is>
      </c>
      <c r="AJ205" s="77">
        <f>IF(AND(AI205="Yes",AF205="Meets all three",AG205="Current delivery confirmed"),"Yes","No")</f>
        <v/>
      </c>
      <c r="AK205" s="77" t="inlineStr">
        <is>
          <t>94 students (2025/26) per course guide</t>
        </is>
      </c>
      <c r="AL205" s="77" t="inlineStr">
        <is>
          <t>RG13-S09-R1; RG13-S09-R2; RG13-S09-R3</t>
        </is>
      </c>
      <c r="AM205" s="77" t="inlineStr"/>
      <c r="AN205" s="77" t="inlineStr"/>
      <c r="AO205" s="77" t="inlineStr">
        <is>
          <t>UK</t>
        </is>
      </c>
      <c r="AP205" s="77" t="inlineStr">
        <is>
          <t>UK – Russell Group</t>
        </is>
      </c>
      <c r="AQ205" s="77" t="inlineStr">
        <is>
          <t>Unclear</t>
        </is>
      </c>
      <c r="AR205" s="77" t="inlineStr">
        <is>
          <t>Unclear</t>
        </is>
      </c>
      <c r="AS205" s="77" t="inlineStr"/>
    </row>
    <row r="206">
      <c r="A206" s="77" t="inlineStr">
        <is>
          <t>RG13</t>
        </is>
      </c>
      <c r="B206" s="77" t="inlineStr">
        <is>
          <t>London School of Economics</t>
        </is>
      </c>
      <c r="C206" s="77" t="inlineStr">
        <is>
          <t>Programme/course</t>
        </is>
      </c>
      <c r="D206" s="77" t="inlineStr">
        <is>
          <t>RG13-S10</t>
        </is>
      </c>
      <c r="E206" s="77" t="inlineStr"/>
      <c r="F206" s="77" t="inlineStr">
        <is>
          <t>No</t>
        </is>
      </c>
      <c r="G206" s="79" t="inlineStr">
        <is>
          <t>MiM Capstone Course - International Management in Action (incl. London Consulting Project)</t>
        </is>
      </c>
      <c r="H206" s="77" t="inlineStr">
        <is>
          <t>MiM Capstone Course - International Management in Action (incl. London Consulting Project)</t>
        </is>
      </c>
      <c r="I206" s="77" t="inlineStr">
        <is>
          <t>MG4J4</t>
        </is>
      </c>
      <c r="J206"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06" s="77" t="inlineStr">
        <is>
          <t>Department of Management</t>
        </is>
      </c>
      <c r="L206" s="77" t="inlineStr">
        <is>
          <t>MSc in Management (1 Year Programme)</t>
        </is>
      </c>
      <c r="M206" s="77" t="inlineStr">
        <is>
          <t>Business/management</t>
        </is>
      </c>
      <c r="N206" s="77" t="inlineStr">
        <is>
          <t>Postgraduate taught</t>
        </is>
      </c>
      <c r="O206" s="77" t="inlineStr"/>
      <c r="P206" s="77" t="inlineStr"/>
      <c r="Q206" s="77" t="inlineStr">
        <is>
          <t>Compulsory within specified programmes</t>
        </is>
      </c>
      <c r="R206" s="77" t="inlineStr">
        <is>
          <t>Curricular</t>
        </is>
      </c>
      <c r="S206" s="77" t="inlineStr">
        <is>
          <t>Project 60% (2,000 words), individual essay 30%, reflective learning report 10%</t>
        </is>
      </c>
      <c r="T206" s="77" t="inlineStr">
        <is>
          <t>Winter Term (overseas visit then London Consulting Project)</t>
        </is>
      </c>
      <c r="U206" s="77" t="inlineStr">
        <is>
          <t>Team client projects incl. international trip</t>
        </is>
      </c>
      <c r="V206" s="77" t="inlineStr">
        <is>
          <t>Yes</t>
        </is>
      </c>
      <c r="W206" s="77" t="inlineStr">
        <is>
          <t>Groups work on a client company's business problem; project assessed at 60% [1]; teams analyse problem and make recommendations [3].</t>
        </is>
      </c>
      <c r="X206" s="77" t="inlineStr">
        <is>
          <t>Yes</t>
        </is>
      </c>
      <c r="Y206" s="77" t="inlineStr">
        <is>
          <t>'student groups work on a client company's business problem(s)' [1]; 'working in teams' [3].</t>
        </is>
      </c>
      <c r="Z206" s="77" t="inlineStr">
        <is>
          <t>Yes</t>
        </is>
      </c>
      <c r="AA206" s="77" t="inlineStr">
        <is>
          <t>Client company supplies business problem(s) [1]; company provides list of real business challenges and recommendations 'very likely be acted upon' [3]; external organisation presents challenge [2].</t>
        </is>
      </c>
      <c r="AB206" s="77" t="inlineStr">
        <is>
          <t>Business/commercial</t>
        </is>
      </c>
      <c r="AC206" s="77" t="inlineStr">
        <is>
          <t>Client: sets challenges, receives recommendations</t>
        </is>
      </c>
      <c r="AD206" s="77" t="inlineStr"/>
      <c r="AE206" s="77" t="inlineStr">
        <is>
          <t>Client recommendations / project report</t>
        </is>
      </c>
      <c r="AF206" s="77">
        <f>IF(OR(V206="No",X206="No",Z206="No"),"Outside strict definition",IF(AND(V206="Yes",X206="Yes",Z206="Yes"),"Meets all three","Potentially relevant; evidence incomplete"))</f>
        <v/>
      </c>
      <c r="AG206" s="77" t="inlineStr">
        <is>
          <t>Current delivery confirmed</t>
        </is>
      </c>
      <c r="AH206" s="77" t="inlineStr">
        <is>
          <t>2025/26</t>
        </is>
      </c>
      <c r="AI206" s="77" t="inlineStr">
        <is>
          <t>Yes</t>
        </is>
      </c>
      <c r="AJ206" s="77">
        <f>IF(AND(AI206="Yes",AF206="Meets all three",AG206="Current delivery confirmed"),"Yes","No")</f>
        <v/>
      </c>
      <c r="AK206" s="77" t="inlineStr">
        <is>
          <t>74 students (2024/25) per course guide</t>
        </is>
      </c>
      <c r="AL206" s="77" t="inlineStr">
        <is>
          <t>RG13-S10-R1; RG13-S10-R2; RG13-S10-R3</t>
        </is>
      </c>
      <c r="AM206" s="77" t="inlineStr">
        <is>
          <t>Whether the international-trip client project and the London Consulting Project are one assessed project or two; MG4J4 is not listed among the five Business Projects streams, so recorded separately.</t>
        </is>
      </c>
      <c r="AN206" s="77" t="inlineStr"/>
      <c r="AO206" s="77" t="inlineStr">
        <is>
          <t>UK</t>
        </is>
      </c>
      <c r="AP206" s="77" t="inlineStr">
        <is>
          <t>UK – Russell Group</t>
        </is>
      </c>
      <c r="AQ206" s="77" t="inlineStr">
        <is>
          <t>Unclear</t>
        </is>
      </c>
      <c r="AR206" s="77" t="inlineStr">
        <is>
          <t>Unclear</t>
        </is>
      </c>
      <c r="AS206" s="77" t="inlineStr"/>
    </row>
    <row r="207">
      <c r="A207" s="77" t="inlineStr">
        <is>
          <t>RG13</t>
        </is>
      </c>
      <c r="B207" s="77" t="inlineStr">
        <is>
          <t>London School of Economics</t>
        </is>
      </c>
      <c r="C207" s="77" t="inlineStr">
        <is>
          <t>Programme/course</t>
        </is>
      </c>
      <c r="D207" s="77" t="inlineStr">
        <is>
          <t>RG13-S11</t>
        </is>
      </c>
      <c r="E207" s="77" t="inlineStr"/>
      <c r="F207" s="77" t="inlineStr">
        <is>
          <t>No</t>
        </is>
      </c>
      <c r="G207" s="79" t="inlineStr">
        <is>
          <t>Social Innovation and Entrepreneurship Fundamentals (year-long partner group project)</t>
        </is>
      </c>
      <c r="H207" s="77" t="inlineStr">
        <is>
          <t>Social Innovation and Entrepreneurship Fundamentals (year-long partner group project)</t>
        </is>
      </c>
      <c r="I207" s="77" t="inlineStr">
        <is>
          <t>MG4G6</t>
        </is>
      </c>
      <c r="J207"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07" s="77" t="inlineStr">
        <is>
          <t>Department of Management</t>
        </is>
      </c>
      <c r="L207" s="77" t="inlineStr">
        <is>
          <t>MSc Social Innovation and Entrepreneurship</t>
        </is>
      </c>
      <c r="M207" s="77" t="inlineStr">
        <is>
          <t>Business/management</t>
        </is>
      </c>
      <c r="N207" s="77" t="inlineStr">
        <is>
          <t>Postgraduate taught</t>
        </is>
      </c>
      <c r="O207" s="77" t="inlineStr"/>
      <c r="P207" s="77" t="inlineStr"/>
      <c r="Q207" s="77" t="inlineStr">
        <is>
          <t>Compulsory within specified programmes</t>
        </is>
      </c>
      <c r="R207" s="77" t="inlineStr">
        <is>
          <t>Curricular</t>
        </is>
      </c>
      <c r="S207" s="77" t="inlineStr">
        <is>
          <t>Project component 45% of MG4G6 assessment, including an element of group work</t>
        </is>
      </c>
      <c r="T207" s="77" t="inlineStr">
        <is>
          <t>Autumn and Winter Terms</t>
        </is>
      </c>
      <c r="U207" s="77" t="inlineStr">
        <is>
          <t>Group project with virtual research week and international field trip</t>
        </is>
      </c>
      <c r="V207" s="77" t="inlineStr">
        <is>
          <t>Yes</t>
        </is>
      </c>
      <c r="W207" s="77" t="inlineStr">
        <is>
          <t>Year-long applied project on a social impact challenge; project worth 45% [1][2].</t>
        </is>
      </c>
      <c r="X207" s="77" t="inlineStr">
        <is>
          <t>Yes</t>
        </is>
      </c>
      <c r="Y207" s="77" t="inlineStr">
        <is>
          <t>'year-long applied group project' [2]; project component includes group work [1].</t>
        </is>
      </c>
      <c r="Z207" s="77" t="inlineStr">
        <is>
          <t>Yes</t>
        </is>
      </c>
      <c r="AA207" s="77" t="inlineStr">
        <is>
          <t>Students 'work with a real organisation on a social impact challenge' [2]; partner organisation in a developing-country setting with fieldwork [1][3].</t>
        </is>
      </c>
      <c r="AB207" s="77" t="inlineStr">
        <is>
          <t>Unclear</t>
        </is>
      </c>
      <c r="AC207" s="77" t="inlineStr">
        <is>
          <t>Partner organisation sets/hosts social impact challenge</t>
        </is>
      </c>
      <c r="AD207" s="77" t="inlineStr"/>
      <c r="AE207" s="77" t="inlineStr">
        <is>
          <t>Group project output (form not specified)</t>
        </is>
      </c>
      <c r="AF207" s="77">
        <f>IF(OR(V207="No",X207="No",Z207="No"),"Outside strict definition",IF(AND(V207="Yes",X207="Yes",Z207="Yes"),"Meets all three","Potentially relevant; evidence incomplete"))</f>
        <v/>
      </c>
      <c r="AG207" s="77" t="inlineStr">
        <is>
          <t>Current delivery confirmed</t>
        </is>
      </c>
      <c r="AH207" s="77" t="inlineStr">
        <is>
          <t>2026/27</t>
        </is>
      </c>
      <c r="AI207" s="77" t="inlineStr">
        <is>
          <t>Yes</t>
        </is>
      </c>
      <c r="AJ207" s="77">
        <f>IF(AND(AI207="Yes",AF207="Meets all three",AG207="Current delivery confirmed"),"Yes","No")</f>
        <v/>
      </c>
      <c r="AK207" s="77" t="inlineStr"/>
      <c r="AL207" s="77" t="inlineStr">
        <is>
          <t>RG13-S11-R1; RG13-S11-R2; RG13-S11-R3</t>
        </is>
      </c>
      <c r="AM207" s="77" t="inlineStr">
        <is>
          <t>Partner type (social enterprise, NGO or business) and what output the partner receives; separate 'consulting Capstone' option with a client organisation (course code not found; group basis unknown).</t>
        </is>
      </c>
      <c r="AN207" s="77" t="inlineStr"/>
      <c r="AO207" s="77" t="inlineStr">
        <is>
          <t>UK</t>
        </is>
      </c>
      <c r="AP207" s="77" t="inlineStr">
        <is>
          <t>UK – Russell Group</t>
        </is>
      </c>
      <c r="AQ207" s="77" t="inlineStr">
        <is>
          <t>Unclear</t>
        </is>
      </c>
      <c r="AR207" s="77" t="inlineStr">
        <is>
          <t>Unclear</t>
        </is>
      </c>
      <c r="AS207" s="77" t="inlineStr"/>
    </row>
    <row r="208">
      <c r="A208" s="77" t="inlineStr">
        <is>
          <t>RG13</t>
        </is>
      </c>
      <c r="B208" s="77" t="inlineStr">
        <is>
          <t>London School of Economics</t>
        </is>
      </c>
      <c r="C208" s="77" t="inlineStr">
        <is>
          <t>Programme/course</t>
        </is>
      </c>
      <c r="D208" s="77" t="inlineStr">
        <is>
          <t>RG13-S12</t>
        </is>
      </c>
      <c r="E208" s="77" t="inlineStr"/>
      <c r="F208" s="77" t="inlineStr">
        <is>
          <t>No</t>
        </is>
      </c>
      <c r="G208" s="79" t="inlineStr">
        <is>
          <t>Capstone Project (MSc Data Science)</t>
        </is>
      </c>
      <c r="H208" s="77" t="inlineStr">
        <is>
          <t>Capstone Project (MSc Data Science)</t>
        </is>
      </c>
      <c r="I208" s="77" t="inlineStr">
        <is>
          <t>ST498</t>
        </is>
      </c>
      <c r="J208"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08" s="77" t="inlineStr">
        <is>
          <t>Department of Statistics</t>
        </is>
      </c>
      <c r="L208" s="77" t="inlineStr">
        <is>
          <t>MSc Data Science</t>
        </is>
      </c>
      <c r="M208" s="77" t="inlineStr">
        <is>
          <t>Science</t>
        </is>
      </c>
      <c r="N208" s="77" t="inlineStr">
        <is>
          <t>Postgraduate taught</t>
        </is>
      </c>
      <c r="O208" s="77" t="inlineStr"/>
      <c r="P208" s="77" t="inlineStr"/>
      <c r="Q208" s="77" t="inlineStr">
        <is>
          <t>Compulsory within specified programmes</t>
        </is>
      </c>
      <c r="R208" s="77" t="inlineStr">
        <is>
          <t>Curricular</t>
        </is>
      </c>
      <c r="S208" s="77" t="inlineStr">
        <is>
          <t>1 unit; project 100% (group report, max 50 pages, August)</t>
        </is>
      </c>
      <c r="T208" s="77" t="inlineStr">
        <is>
          <t>c. November to August</t>
        </is>
      </c>
      <c r="U208" s="77" t="inlineStr">
        <is>
          <t>Group project with partner</t>
        </is>
      </c>
      <c r="V208" s="77" t="inlineStr">
        <is>
          <t>Yes</t>
        </is>
      </c>
      <c r="W208" s="77" t="inlineStr">
        <is>
          <t>Partner-suggested research project with data; draft (June) and final (August) group report [1].</t>
        </is>
      </c>
      <c r="X208" s="77" t="inlineStr">
        <is>
          <t>Yes</t>
        </is>
      </c>
      <c r="Y208" s="77" t="inlineStr">
        <is>
          <t>Assessed by a group report [1].</t>
        </is>
      </c>
      <c r="Z208" s="77" t="inlineStr">
        <is>
          <t>Yes</t>
        </is>
      </c>
      <c r="AA208" s="77" t="inlineStr">
        <is>
          <t>Industry partner suggests the project, may provide data and co-supervises with weekly/bi-weekly meetings [1]; 20+ partners listed [2]. Caveat: some partners are internal LSE academics/professional services [3], so C holds for most but not all teams.</t>
        </is>
      </c>
      <c r="AB208" s="77" t="inlineStr">
        <is>
          <t>Mixed</t>
        </is>
      </c>
      <c r="AC208" s="77" t="inlineStr">
        <is>
          <t>Proposes project, provides data, co-supervises</t>
        </is>
      </c>
      <c r="AD208" s="77" t="inlineStr">
        <is>
          <t>Deloitte, Mastercard, Meta, Microsoft, Moody's, Sky, Transport for London, Wise, World Trade Organization (partnerships page, undated)</t>
        </is>
      </c>
      <c r="AE208" s="77" t="inlineStr">
        <is>
          <t>Group report</t>
        </is>
      </c>
      <c r="AF208" s="77">
        <f>IF(OR(V208="No",X208="No",Z208="No"),"Outside strict definition",IF(AND(V208="Yes",X208="Yes",Z208="Yes"),"Meets all three","Potentially relevant; evidence incomplete"))</f>
        <v/>
      </c>
      <c r="AG208" s="77" t="inlineStr">
        <is>
          <t>Current delivery confirmed</t>
        </is>
      </c>
      <c r="AH208" s="77" t="inlineStr">
        <is>
          <t>2025/26</t>
        </is>
      </c>
      <c r="AI208" s="77" t="inlineStr">
        <is>
          <t>Yes</t>
        </is>
      </c>
      <c r="AJ208" s="77">
        <f>IF(AND(AI208="Yes",AF208="Meets all three",AG208="Current delivery confirmed"),"Yes","No")</f>
        <v/>
      </c>
      <c r="AK208" s="77" t="inlineStr">
        <is>
          <t>49 students (2024/25) per course guide</t>
        </is>
      </c>
      <c r="AL208" s="77" t="inlineStr">
        <is>
          <t>RG13-S12-R1; RG13-S12-R2; RG13-S12-R3; RG13-S12-R4</t>
        </is>
      </c>
      <c r="AM208" s="77" t="inlineStr"/>
      <c r="AN208" s="77" t="inlineStr"/>
      <c r="AO208" s="77" t="inlineStr">
        <is>
          <t>UK</t>
        </is>
      </c>
      <c r="AP208" s="77" t="inlineStr">
        <is>
          <t>UK – Russell Group</t>
        </is>
      </c>
      <c r="AQ208" s="77" t="inlineStr">
        <is>
          <t>Unclear</t>
        </is>
      </c>
      <c r="AR208" s="77" t="inlineStr">
        <is>
          <t>Unclear</t>
        </is>
      </c>
      <c r="AS208" s="77" t="inlineStr"/>
    </row>
    <row r="209">
      <c r="A209" s="77" t="inlineStr">
        <is>
          <t>RG13</t>
        </is>
      </c>
      <c r="B209" s="77" t="inlineStr">
        <is>
          <t>London School of Economics</t>
        </is>
      </c>
      <c r="C209" s="77" t="inlineStr">
        <is>
          <t>Programme/course</t>
        </is>
      </c>
      <c r="D209" s="77" t="inlineStr">
        <is>
          <t>RG13-S13</t>
        </is>
      </c>
      <c r="E209" s="77" t="inlineStr"/>
      <c r="F209" s="77" t="inlineStr">
        <is>
          <t>No</t>
        </is>
      </c>
      <c r="G209" s="79" t="inlineStr">
        <is>
          <t>Project in Operations Research &amp; Analytics</t>
        </is>
      </c>
      <c r="H209" s="77" t="inlineStr">
        <is>
          <t>Project in Operations Research &amp; Analytics</t>
        </is>
      </c>
      <c r="I209" s="77" t="inlineStr">
        <is>
          <t>MA425</t>
        </is>
      </c>
      <c r="J209" s="77" t="inlineStr">
        <is>
          <t>MSc Operations Research &amp; Analytics summer project, typically a consulting-like placement with an industry, government or non-profit partner, full-time June-August, possibly at the client site; alternative to MA426 dissertation.</t>
        </is>
      </c>
      <c r="K209" s="77" t="inlineStr">
        <is>
          <t>Department of Mathematics</t>
        </is>
      </c>
      <c r="L209" s="77" t="inlineStr">
        <is>
          <t>MSc Operations Research &amp; Analytics</t>
        </is>
      </c>
      <c r="M209" s="77" t="inlineStr">
        <is>
          <t>Science</t>
        </is>
      </c>
      <c r="N209" s="77" t="inlineStr">
        <is>
          <t>Postgraduate taught</t>
        </is>
      </c>
      <c r="O209" s="77" t="inlineStr"/>
      <c r="P209" s="77" t="inlineStr"/>
      <c r="Q209" s="77" t="inlineStr">
        <is>
          <t>Optional/elective</t>
        </is>
      </c>
      <c r="R209" s="77" t="inlineStr">
        <is>
          <t>Curricular</t>
        </is>
      </c>
      <c r="S209" s="77" t="inlineStr">
        <is>
          <t>1 unit; project 100%</t>
        </is>
      </c>
      <c r="T209" s="77" t="inlineStr">
        <is>
          <t>Early June - end of August</t>
        </is>
      </c>
      <c r="U209" s="77" t="inlineStr">
        <is>
          <t>Consulting-style placement project</t>
        </is>
      </c>
      <c r="V209" s="77" t="inlineStr">
        <is>
          <t>Yes</t>
        </is>
      </c>
      <c r="W209" s="77" t="inlineStr">
        <is>
          <t>Consulting-like project for a partner, assessed as project 100% [1].</t>
        </is>
      </c>
      <c r="X209" s="77" t="inlineStr">
        <is>
          <t>Unclear</t>
        </is>
      </c>
      <c r="Y209" s="77" t="inlineStr">
        <is>
          <t>No evidence whether projects are done individually or in teams; placement format suggests individual work.</t>
        </is>
      </c>
      <c r="Z209" s="77" t="inlineStr">
        <is>
          <t>Yes</t>
        </is>
      </c>
      <c r="AA209" s="77" t="inlineStr">
        <is>
          <t>Projects with industry, government or non-profit partners, possibly at client site [1][2].</t>
        </is>
      </c>
      <c r="AB209" s="77" t="inlineStr">
        <is>
          <t>Mixed</t>
        </is>
      </c>
      <c r="AC209" s="77" t="inlineStr">
        <is>
          <t>Client/host</t>
        </is>
      </c>
      <c r="AD209" s="77" t="inlineStr">
        <is>
          <t>Amazon, BT, British Airways, Emirates, FICO, Ford, Just Eat, Legal and General, National Audit Office, Transport for London ('past and present', undated)</t>
        </is>
      </c>
      <c r="AE209" s="77" t="inlineStr">
        <is>
          <t>Project report</t>
        </is>
      </c>
      <c r="AF209" s="77">
        <f>IF(OR(V209="No",X209="No",Z209="No"),"Outside strict definition",IF(AND(V209="Yes",X209="Yes",Z209="Yes"),"Meets all three","Potentially relevant; evidence incomplete"))</f>
        <v/>
      </c>
      <c r="AG209" s="77" t="inlineStr">
        <is>
          <t>Current delivery confirmed</t>
        </is>
      </c>
      <c r="AH209" s="77" t="inlineStr">
        <is>
          <t>2026/27</t>
        </is>
      </c>
      <c r="AI209" s="77" t="inlineStr">
        <is>
          <t>Yes</t>
        </is>
      </c>
      <c r="AJ209" s="77">
        <f>IF(AND(AI209="Yes",AF209="Meets all three",AG209="Current delivery confirmed"),"Yes","No")</f>
        <v/>
      </c>
      <c r="AK209" s="77" t="inlineStr"/>
      <c r="AL209" s="77" t="inlineStr">
        <is>
          <t>RG13-S13-R1; RG13-S13-R2</t>
        </is>
      </c>
      <c r="AM209" s="77" t="inlineStr"/>
      <c r="AN209" s="77" t="inlineStr"/>
      <c r="AO209" s="77" t="inlineStr">
        <is>
          <t>UK</t>
        </is>
      </c>
      <c r="AP209" s="77" t="inlineStr">
        <is>
          <t>UK – Russell Group</t>
        </is>
      </c>
      <c r="AQ209" s="77" t="inlineStr">
        <is>
          <t>Unclear</t>
        </is>
      </c>
      <c r="AR209" s="77" t="inlineStr">
        <is>
          <t>Unclear</t>
        </is>
      </c>
      <c r="AS209" s="77" t="inlineStr"/>
    </row>
    <row r="210">
      <c r="A210" s="77" t="inlineStr">
        <is>
          <t>RG13</t>
        </is>
      </c>
      <c r="B210" s="77" t="inlineStr">
        <is>
          <t>London School of Economics</t>
        </is>
      </c>
      <c r="C210" s="77" t="inlineStr">
        <is>
          <t>Programme/course</t>
        </is>
      </c>
      <c r="D210" s="77" t="inlineStr">
        <is>
          <t>RG13-S14</t>
        </is>
      </c>
      <c r="E210" s="77" t="inlineStr"/>
      <c r="F210" s="77" t="inlineStr">
        <is>
          <t>No</t>
        </is>
      </c>
      <c r="G210" s="79" t="inlineStr">
        <is>
          <t>MPA Capstone Project</t>
        </is>
      </c>
      <c r="H210" s="77" t="inlineStr">
        <is>
          <t>MPA Capstone Project</t>
        </is>
      </c>
      <c r="I210" s="77" t="inlineStr">
        <is>
          <t>PP4B3</t>
        </is>
      </c>
      <c r="J210"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10" s="77" t="inlineStr">
        <is>
          <t>School of Public Policy</t>
        </is>
      </c>
      <c r="L210" s="77" t="inlineStr">
        <is>
          <t>MPA; LSE-Sciences Po, Hertie, NUS and Tokyo dual MPAs</t>
        </is>
      </c>
      <c r="M210" s="77" t="inlineStr">
        <is>
          <t>Arts/humanities/social sciences</t>
        </is>
      </c>
      <c r="N210" s="77" t="inlineStr">
        <is>
          <t>Postgraduate taught</t>
        </is>
      </c>
      <c r="O210" s="77" t="inlineStr">
        <is>
          <t>Year 2 of MPA</t>
        </is>
      </c>
      <c r="P210" s="77" t="inlineStr"/>
      <c r="Q210" s="77" t="inlineStr">
        <is>
          <t>Compulsory within specified programmes</t>
        </is>
      </c>
      <c r="R210" s="77" t="inlineStr">
        <is>
          <t>Curricular</t>
        </is>
      </c>
      <c r="S210" s="77" t="inlineStr">
        <is>
          <t>1 unit; project 100% (15,000 words): client 20%, two academic readers 50%, supervisor 30%</t>
        </is>
      </c>
      <c r="T210" s="77" t="inlineStr">
        <is>
          <t>October - March</t>
        </is>
      </c>
      <c r="U210" s="77" t="inlineStr">
        <is>
          <t>Team client consultancy</t>
        </is>
      </c>
      <c r="V210" s="77" t="inlineStr">
        <is>
          <t>Yes</t>
        </is>
      </c>
      <c r="W210" s="77" t="inlineStr">
        <is>
          <t>Public policy problem defined by client; project report and presentation [1][2].</t>
        </is>
      </c>
      <c r="X210" s="77" t="inlineStr">
        <is>
          <t>Yes</t>
        </is>
      </c>
      <c r="Y210" s="77" t="inlineStr">
        <is>
          <t>Group project in teams usually of 3 to 6 [1][2].</t>
        </is>
      </c>
      <c r="Z210" s="77" t="inlineStr">
        <is>
          <t>Yes</t>
        </is>
      </c>
      <c r="AA210" s="77" t="inlineStr">
        <is>
          <t>Issue defined by the client organisation; client assesses 20% of mark based on presentation and report [1][2].</t>
        </is>
      </c>
      <c r="AB210" s="77" t="inlineStr">
        <is>
          <t>Mixed</t>
        </is>
      </c>
      <c r="AC210" s="77" t="inlineStr">
        <is>
          <t>Client: defines problem, receives report/presentation, marks 20%</t>
        </is>
      </c>
      <c r="AD210" s="77" t="inlineStr">
        <is>
          <t>Recent partners listed: Goldman Sachs, Unilever, UNDP, UNICEF, OECD, Migration Policy Institute, NHS England (capstone page, undated)</t>
        </is>
      </c>
      <c r="AE210" s="77" t="inlineStr">
        <is>
          <t>15,000-word report + group presentation to client</t>
        </is>
      </c>
      <c r="AF210" s="77">
        <f>IF(OR(V210="No",X210="No",Z210="No"),"Outside strict definition",IF(AND(V210="Yes",X210="Yes",Z210="Yes"),"Meets all three","Potentially relevant; evidence incomplete"))</f>
        <v/>
      </c>
      <c r="AG210" s="77" t="inlineStr">
        <is>
          <t>Current delivery confirmed</t>
        </is>
      </c>
      <c r="AH210" s="77" t="inlineStr">
        <is>
          <t>2025/26 (2026/27 guide published)</t>
        </is>
      </c>
      <c r="AI210" s="77" t="inlineStr">
        <is>
          <t>Yes</t>
        </is>
      </c>
      <c r="AJ210" s="77">
        <f>IF(AND(AI210="Yes",AF210="Meets all three",AG210="Current delivery confirmed"),"Yes","No")</f>
        <v/>
      </c>
      <c r="AK210" s="77" t="inlineStr"/>
      <c r="AL210" s="77" t="inlineStr">
        <is>
          <t>RG13-S14-R1; RG13-S14-R2</t>
        </is>
      </c>
      <c r="AM210" s="77" t="inlineStr"/>
      <c r="AN210" s="77" t="inlineStr"/>
      <c r="AO210" s="77" t="inlineStr">
        <is>
          <t>UK</t>
        </is>
      </c>
      <c r="AP210" s="77" t="inlineStr">
        <is>
          <t>UK – Russell Group</t>
        </is>
      </c>
      <c r="AQ210" s="77" t="inlineStr">
        <is>
          <t>Unclear</t>
        </is>
      </c>
      <c r="AR210" s="77" t="inlineStr">
        <is>
          <t>Unclear</t>
        </is>
      </c>
      <c r="AS210" s="77" t="inlineStr"/>
    </row>
    <row r="211">
      <c r="A211" s="77" t="inlineStr">
        <is>
          <t>RG13</t>
        </is>
      </c>
      <c r="B211" s="77" t="inlineStr">
        <is>
          <t>London School of Economics</t>
        </is>
      </c>
      <c r="C211" s="77" t="inlineStr">
        <is>
          <t>Programme/course</t>
        </is>
      </c>
      <c r="D211" s="77" t="inlineStr">
        <is>
          <t>RG13-S15</t>
        </is>
      </c>
      <c r="E211" s="77" t="inlineStr"/>
      <c r="F211" s="77" t="inlineStr">
        <is>
          <t>No</t>
        </is>
      </c>
      <c r="G211" s="79" t="inlineStr">
        <is>
          <t>Capstone Project: MPA - Data Science for Public Policy</t>
        </is>
      </c>
      <c r="H211" s="77" t="inlineStr">
        <is>
          <t>Capstone Project: MPA - Data Science for Public Policy</t>
        </is>
      </c>
      <c r="I211" s="77" t="inlineStr">
        <is>
          <t>PP4B5</t>
        </is>
      </c>
      <c r="J211" s="77" t="inlineStr">
        <is>
          <t>Capstone for the MPA in Data Science for Public Policy: groups of 3-6 undertake a project for an external client that can be tackled with quantitative/data-science tools.</t>
        </is>
      </c>
      <c r="K211" s="77" t="inlineStr">
        <is>
          <t>School of Public Policy</t>
        </is>
      </c>
      <c r="L211" s="77" t="inlineStr">
        <is>
          <t>MPA in Data Science for Public Policy</t>
        </is>
      </c>
      <c r="M211" s="77" t="inlineStr">
        <is>
          <t>Arts/humanities/social sciences</t>
        </is>
      </c>
      <c r="N211" s="77" t="inlineStr">
        <is>
          <t>Postgraduate taught</t>
        </is>
      </c>
      <c r="O211" s="77" t="inlineStr"/>
      <c r="P211" s="77" t="inlineStr"/>
      <c r="Q211" s="77" t="inlineStr">
        <is>
          <t>Unclear</t>
        </is>
      </c>
      <c r="R211" s="77" t="inlineStr">
        <is>
          <t>Curricular</t>
        </is>
      </c>
      <c r="S211" s="77" t="inlineStr"/>
      <c r="T211" s="77" t="inlineStr"/>
      <c r="U211" s="77" t="inlineStr"/>
      <c r="V211" s="77" t="inlineStr">
        <is>
          <t>Yes</t>
        </is>
      </c>
      <c r="W211" s="77" t="inlineStr">
        <is>
          <t>Client project tackled with data-science tools [1].</t>
        </is>
      </c>
      <c r="X211" s="77" t="inlineStr">
        <is>
          <t>Yes</t>
        </is>
      </c>
      <c r="Y211" s="77" t="inlineStr">
        <is>
          <t>Group project in teams usually of 3 to 6 [1].</t>
        </is>
      </c>
      <c r="Z211" s="77" t="inlineStr">
        <is>
          <t>Yes</t>
        </is>
      </c>
      <c r="AA211" s="77" t="inlineStr">
        <is>
          <t>Project for an external client; clients include public bodies, companies, international organisations, think tanks, NGOs [1].</t>
        </is>
      </c>
      <c r="AB211" s="77" t="inlineStr">
        <is>
          <t>Mixed</t>
        </is>
      </c>
      <c r="AC211" s="77" t="inlineStr">
        <is>
          <t>Client</t>
        </is>
      </c>
      <c r="AD211" s="77" t="inlineStr"/>
      <c r="AE211" s="77" t="inlineStr">
        <is>
          <t>Client report/presentation (details not retrieved)</t>
        </is>
      </c>
      <c r="AF211" s="77">
        <f>IF(OR(V211="No",X211="No",Z211="No"),"Outside strict definition",IF(AND(V211="Yes",X211="Yes",Z211="Yes"),"Meets all three","Potentially relevant; evidence incomplete"))</f>
        <v/>
      </c>
      <c r="AG211" s="77" t="inlineStr">
        <is>
          <t>Current delivery confirmed</t>
        </is>
      </c>
      <c r="AH211" s="77" t="inlineStr">
        <is>
          <t>2025/26</t>
        </is>
      </c>
      <c r="AI211" s="77" t="inlineStr">
        <is>
          <t>Yes</t>
        </is>
      </c>
      <c r="AJ211" s="77">
        <f>IF(AND(AI211="Yes",AF211="Meets all three",AG211="Current delivery confirmed"),"Yes","No")</f>
        <v/>
      </c>
      <c r="AK211" s="77" t="inlineStr"/>
      <c r="AL211" s="77" t="inlineStr">
        <is>
          <t>RG13-S15-R1</t>
        </is>
      </c>
      <c r="AM211" s="77" t="inlineStr">
        <is>
          <t>Assessment split and whether compulsory (likely, by analogy with PP4B3; not evidenced).</t>
        </is>
      </c>
      <c r="AN211" s="77" t="inlineStr"/>
      <c r="AO211" s="77" t="inlineStr">
        <is>
          <t>UK</t>
        </is>
      </c>
      <c r="AP211" s="77" t="inlineStr">
        <is>
          <t>UK – Russell Group</t>
        </is>
      </c>
      <c r="AQ211" s="77" t="inlineStr">
        <is>
          <t>Unclear</t>
        </is>
      </c>
      <c r="AR211" s="77" t="inlineStr">
        <is>
          <t>Unclear</t>
        </is>
      </c>
      <c r="AS211" s="77" t="inlineStr"/>
    </row>
    <row r="212">
      <c r="A212" s="77" t="inlineStr">
        <is>
          <t>RG13</t>
        </is>
      </c>
      <c r="B212" s="77" t="inlineStr">
        <is>
          <t>London School of Economics</t>
        </is>
      </c>
      <c r="C212" s="77" t="inlineStr">
        <is>
          <t>Programme/course</t>
        </is>
      </c>
      <c r="D212" s="77" t="inlineStr">
        <is>
          <t>RG13-S16</t>
        </is>
      </c>
      <c r="E212" s="77" t="inlineStr"/>
      <c r="F212" s="77" t="inlineStr">
        <is>
          <t>No</t>
        </is>
      </c>
      <c r="G212" s="79" t="inlineStr">
        <is>
          <t>Executive MPP Capstone Project</t>
        </is>
      </c>
      <c r="H212" s="77" t="inlineStr">
        <is>
          <t>Executive MPP Capstone Project</t>
        </is>
      </c>
      <c r="I212" s="77" t="inlineStr">
        <is>
          <t>PP4B3E</t>
        </is>
      </c>
      <c r="J212" s="77" t="inlineStr">
        <is>
          <t>Half-unit capstone for the Executive Master of Public Policy: teams of c.3-5 work intensively for one week on a public policy problem identified jointly by the Civil Service and LSE academics.</t>
        </is>
      </c>
      <c r="K212" s="77" t="inlineStr">
        <is>
          <t>School of Public Policy</t>
        </is>
      </c>
      <c r="L212" s="77" t="inlineStr">
        <is>
          <t>Executive Master of Public Policy</t>
        </is>
      </c>
      <c r="M212" s="77" t="inlineStr">
        <is>
          <t>Arts/humanities/social sciences</t>
        </is>
      </c>
      <c r="N212" s="77" t="inlineStr">
        <is>
          <t>Postgraduate taught</t>
        </is>
      </c>
      <c r="O212" s="77" t="inlineStr"/>
      <c r="P212" s="77" t="inlineStr"/>
      <c r="Q212" s="77" t="inlineStr">
        <is>
          <t>Unclear</t>
        </is>
      </c>
      <c r="R212" s="77" t="inlineStr">
        <is>
          <t>Curricular</t>
        </is>
      </c>
      <c r="S212" s="77" t="inlineStr">
        <is>
          <t>Half unit</t>
        </is>
      </c>
      <c r="T212" s="77" t="inlineStr">
        <is>
          <t>One week (intensive)</t>
        </is>
      </c>
      <c r="U212" s="77" t="inlineStr">
        <is>
          <t>Team policy project</t>
        </is>
      </c>
      <c r="V212" s="77" t="inlineStr">
        <is>
          <t>Yes</t>
        </is>
      </c>
      <c r="W212" s="77" t="inlineStr">
        <is>
          <t>Defined public policy problem worked on as a capstone project [1].</t>
        </is>
      </c>
      <c r="X212" s="77" t="inlineStr">
        <is>
          <t>Yes</t>
        </is>
      </c>
      <c r="Y212" s="77" t="inlineStr">
        <is>
          <t>Teams of roughly 3 to 5 [1].</t>
        </is>
      </c>
      <c r="Z212" s="77" t="inlineStr">
        <is>
          <t>Yes</t>
        </is>
      </c>
      <c r="AA212" s="77" t="inlineStr">
        <is>
          <t>The Civil Service is the client and jointly identifies the problem with LSE academics [1].</t>
        </is>
      </c>
      <c r="AB212" s="77" t="inlineStr">
        <is>
          <t>Public sector</t>
        </is>
      </c>
      <c r="AC212" s="77" t="inlineStr">
        <is>
          <t>Client; co-defines problem</t>
        </is>
      </c>
      <c r="AD212" s="77" t="inlineStr"/>
      <c r="AE212" s="77" t="inlineStr">
        <is>
          <t>Not specified in extract</t>
        </is>
      </c>
      <c r="AF212" s="77">
        <f>IF(OR(V212="No",X212="No",Z212="No"),"Outside strict definition",IF(AND(V212="Yes",X212="Yes",Z212="Yes"),"Meets all three","Potentially relevant; evidence incomplete"))</f>
        <v/>
      </c>
      <c r="AG212" s="77" t="inlineStr">
        <is>
          <t>Current delivery confirmed</t>
        </is>
      </c>
      <c r="AH212" s="77" t="inlineStr">
        <is>
          <t>2025/26</t>
        </is>
      </c>
      <c r="AI212" s="77" t="inlineStr">
        <is>
          <t>Yes</t>
        </is>
      </c>
      <c r="AJ212" s="77">
        <f>IF(AND(AI212="Yes",AF212="Meets all three",AG212="Current delivery confirmed"),"Yes","No")</f>
        <v/>
      </c>
      <c r="AK212" s="77" t="inlineStr"/>
      <c r="AL212" s="77" t="inlineStr">
        <is>
          <t>RG13-S16-R1</t>
        </is>
      </c>
      <c r="AM212" s="77" t="inlineStr">
        <is>
          <t>Short duration (one week) makes 'substantive' borderline; output and client role in assessment not retrieved.</t>
        </is>
      </c>
      <c r="AN212" s="77" t="inlineStr"/>
      <c r="AO212" s="77" t="inlineStr">
        <is>
          <t>UK</t>
        </is>
      </c>
      <c r="AP212" s="77" t="inlineStr">
        <is>
          <t>UK – Russell Group</t>
        </is>
      </c>
      <c r="AQ212" s="77" t="inlineStr">
        <is>
          <t>Unclear</t>
        </is>
      </c>
      <c r="AR212" s="77" t="inlineStr">
        <is>
          <t>Unclear</t>
        </is>
      </c>
      <c r="AS212" s="77" t="inlineStr"/>
    </row>
    <row r="213">
      <c r="A213" s="77" t="inlineStr">
        <is>
          <t>RG13</t>
        </is>
      </c>
      <c r="B213" s="77" t="inlineStr">
        <is>
          <t>London School of Economics</t>
        </is>
      </c>
      <c r="C213" s="77" t="inlineStr">
        <is>
          <t>Programme/course</t>
        </is>
      </c>
      <c r="D213" s="77" t="inlineStr">
        <is>
          <t>RG13-S17</t>
        </is>
      </c>
      <c r="E213" s="77" t="inlineStr"/>
      <c r="F213" s="77" t="inlineStr">
        <is>
          <t>No</t>
        </is>
      </c>
      <c r="G213" s="79" t="inlineStr">
        <is>
          <t>Philosophy, Politics and Economics: Capstone</t>
        </is>
      </c>
      <c r="H213" s="77" t="inlineStr">
        <is>
          <t>Philosophy, Politics and Economics: Capstone</t>
        </is>
      </c>
      <c r="I213" s="77" t="inlineStr">
        <is>
          <t>GV343</t>
        </is>
      </c>
      <c r="J213"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13" s="77" t="inlineStr">
        <is>
          <t>Department of Government / PPE</t>
        </is>
      </c>
      <c r="L213" s="77" t="inlineStr">
        <is>
          <t>BSc Philosophy, Politics and Economics (incl. with Year Abroad)</t>
        </is>
      </c>
      <c r="M213" s="77" t="inlineStr">
        <is>
          <t>Arts/humanities/social sciences</t>
        </is>
      </c>
      <c r="N213" s="77" t="inlineStr">
        <is>
          <t>Undergraduate</t>
        </is>
      </c>
      <c r="O213" s="77" t="inlineStr">
        <is>
          <t>Year 4</t>
        </is>
      </c>
      <c r="P213" s="77" t="inlineStr"/>
      <c r="Q213" s="77" t="inlineStr">
        <is>
          <t>Compulsory within specified programmes</t>
        </is>
      </c>
      <c r="R213" s="77" t="inlineStr">
        <is>
          <t>Curricular</t>
        </is>
      </c>
      <c r="S213" s="77" t="inlineStr">
        <is>
          <t>Half unit; presentation 20% (AT Week 11) + project 80% (8,000-word report)</t>
        </is>
      </c>
      <c r="T213" s="77" t="inlineStr">
        <is>
          <t>Autumn Term (11 weeks)</t>
        </is>
      </c>
      <c r="U213" s="77" t="inlineStr">
        <is>
          <t>Team client policy project</t>
        </is>
      </c>
      <c r="V213" s="77" t="inlineStr">
        <is>
          <t>Yes</t>
        </is>
      </c>
      <c r="W213" s="77" t="inlineStr">
        <is>
          <t>Research and analysis to address a practical policy issue for a client; 8,000-word report and presentation [1][2].</t>
        </is>
      </c>
      <c r="X213" s="77" t="inlineStr">
        <is>
          <t>Yes</t>
        </is>
      </c>
      <c r="Y213" s="77" t="inlineStr">
        <is>
          <t>Requires groups of students to carry out research; each team works under a faculty supervisor [1][2].</t>
        </is>
      </c>
      <c r="Z213" s="77" t="inlineStr">
        <is>
          <t>Yes</t>
        </is>
      </c>
      <c r="AA213" s="77" t="inlineStr">
        <is>
          <t>Practical policy problem set by an external client; written report submitted to the client [2]; past client projects e.g. Twaweza, Amazon Web Services (2023 showcase) [3].</t>
        </is>
      </c>
      <c r="AB213" s="77" t="inlineStr">
        <is>
          <t>Mixed</t>
        </is>
      </c>
      <c r="AC213" s="77" t="inlineStr">
        <is>
          <t>Client: sets problem, receives report</t>
        </is>
      </c>
      <c r="AD213" s="77" t="inlineStr">
        <is>
          <t>Twaweza; Amazon Web Services (2023 showcase)</t>
        </is>
      </c>
      <c r="AE213" s="77" t="inlineStr">
        <is>
          <t>8,000-word report and presentation to client</t>
        </is>
      </c>
      <c r="AF213" s="77">
        <f>IF(OR(V213="No",X213="No",Z213="No"),"Outside strict definition",IF(AND(V213="Yes",X213="Yes",Z213="Yes"),"Meets all three","Potentially relevant; evidence incomplete"))</f>
        <v/>
      </c>
      <c r="AG213" s="77" t="inlineStr">
        <is>
          <t>Current delivery confirmed</t>
        </is>
      </c>
      <c r="AH213" s="77" t="inlineStr">
        <is>
          <t>2025/26 (2026 showcase 8 May 2026)</t>
        </is>
      </c>
      <c r="AI213" s="77" t="inlineStr">
        <is>
          <t>Yes</t>
        </is>
      </c>
      <c r="AJ213" s="77">
        <f>IF(AND(AI213="Yes",AF213="Meets all three",AG213="Current delivery confirmed"),"Yes","No")</f>
        <v/>
      </c>
      <c r="AK213" s="77" t="inlineStr"/>
      <c r="AL213" s="77" t="inlineStr">
        <is>
          <t>RG13-S17-R1; RG13-S17-R2; RG13-S17-R3; RG13-S17-R4</t>
        </is>
      </c>
      <c r="AM213" s="77" t="inlineStr"/>
      <c r="AN213" s="77" t="inlineStr"/>
      <c r="AO213" s="77" t="inlineStr">
        <is>
          <t>UK</t>
        </is>
      </c>
      <c r="AP213" s="77" t="inlineStr">
        <is>
          <t>UK – Russell Group</t>
        </is>
      </c>
      <c r="AQ213" s="77" t="inlineStr">
        <is>
          <t>Unclear</t>
        </is>
      </c>
      <c r="AR213" s="77" t="inlineStr">
        <is>
          <t>Unclear</t>
        </is>
      </c>
      <c r="AS213" s="77" t="inlineStr"/>
    </row>
    <row r="214">
      <c r="A214" s="77" t="inlineStr">
        <is>
          <t>RG13</t>
        </is>
      </c>
      <c r="B214" s="77" t="inlineStr">
        <is>
          <t>London School of Economics</t>
        </is>
      </c>
      <c r="C214" s="77" t="inlineStr">
        <is>
          <t>Faculty/school</t>
        </is>
      </c>
      <c r="D214" s="77" t="inlineStr">
        <is>
          <t>RG13-S18</t>
        </is>
      </c>
      <c r="E214" s="77" t="inlineStr"/>
      <c r="F214" s="77" t="inlineStr">
        <is>
          <t>Yes</t>
        </is>
      </c>
      <c r="G214" s="79" t="inlineStr">
        <is>
          <t>International Development Consultancy Projects</t>
        </is>
      </c>
      <c r="H214" s="77" t="inlineStr">
        <is>
          <t>International Development Consultancy Projects</t>
        </is>
      </c>
      <c r="I214" s="77" t="inlineStr">
        <is>
          <t>DV443 / DV453 / DV466</t>
        </is>
      </c>
      <c r="J214"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14" s="77" t="inlineStr">
        <is>
          <t>Department of International Development</t>
        </is>
      </c>
      <c r="L214" s="77" t="inlineStr">
        <is>
          <t>Specified ID MSc programmes (see children)</t>
        </is>
      </c>
      <c r="M214" s="77" t="inlineStr">
        <is>
          <t>Arts/humanities/social sciences</t>
        </is>
      </c>
      <c r="N214" s="77" t="inlineStr">
        <is>
          <t>Postgraduate taught</t>
        </is>
      </c>
      <c r="O214" s="77" t="inlineStr"/>
      <c r="P214" s="77" t="inlineStr"/>
      <c r="Q214" s="77" t="inlineStr">
        <is>
          <t>Compulsory within specified programmes</t>
        </is>
      </c>
      <c r="R214" s="77" t="inlineStr">
        <is>
          <t>Curricular</t>
        </is>
      </c>
      <c r="S214" s="77" t="inlineStr">
        <is>
          <t>Department assessment page: group project and report 80%, reflective learning report 10%, group presentation 10%</t>
        </is>
      </c>
      <c r="T214" s="77" t="inlineStr"/>
      <c r="U214" s="77" t="inlineStr"/>
      <c r="V214" s="77" t="inlineStr">
        <is>
          <t>Yes</t>
        </is>
      </c>
      <c r="W214" s="77" t="inlineStr">
        <is>
          <t>Report for a client on a problem relevant to its activities [1].</t>
        </is>
      </c>
      <c r="X214" s="77" t="inlineStr">
        <is>
          <t>Yes</t>
        </is>
      </c>
      <c r="Y214" s="77" t="inlineStr">
        <is>
          <t>Teams of 3-5 [1].</t>
        </is>
      </c>
      <c r="Z214" s="77" t="inlineStr">
        <is>
          <t>Yes</t>
        </is>
      </c>
      <c r="AA214" s="77" t="inlineStr">
        <is>
          <t>Clients submit proposals/draft Terms of Reference and refine scope with the team; report and presentation to client [1].</t>
        </is>
      </c>
      <c r="AB214" s="77" t="inlineStr">
        <is>
          <t>Mixed</t>
        </is>
      </c>
      <c r="AC214" s="77" t="inlineStr">
        <is>
          <t>Client</t>
        </is>
      </c>
      <c r="AD214" s="77" t="inlineStr">
        <is>
          <t>Past clients (undated page): DfID, UNOCHA, World Bank, UNDP, UNICEF, UNHCR, NATO, UK Foreign Office, CARE, Oxfam, MSF, Fairtrade Foundation, Shell, Wedu</t>
        </is>
      </c>
      <c r="AE214" s="77" t="inlineStr"/>
      <c r="AF214" s="77">
        <f>IF(OR(V214="No",X214="No",Z214="No"),"Outside strict definition",IF(AND(V214="Yes",X214="Yes",Z214="Yes"),"Meets all three","Potentially relevant; evidence incomplete"))</f>
        <v/>
      </c>
      <c r="AG214" s="77" t="inlineStr">
        <is>
          <t>Current delivery confirmed</t>
        </is>
      </c>
      <c r="AH214" s="77" t="inlineStr">
        <is>
          <t>2025/26</t>
        </is>
      </c>
      <c r="AI214" s="77" t="inlineStr">
        <is>
          <t>No</t>
        </is>
      </c>
      <c r="AJ214" s="77">
        <f>IF(AND(AI214="Yes",AF214="Meets all three",AG214="Current delivery confirmed"),"Yes","No")</f>
        <v/>
      </c>
      <c r="AK214" s="77" t="inlineStr"/>
      <c r="AL214" s="77" t="inlineStr">
        <is>
          <t>RG13-S18-R1; RG13-S18-R2</t>
        </is>
      </c>
      <c r="AM214" s="77" t="inlineStr"/>
      <c r="AN214" s="77" t="inlineStr"/>
      <c r="AO214" s="77" t="inlineStr">
        <is>
          <t>UK</t>
        </is>
      </c>
      <c r="AP214" s="77" t="inlineStr">
        <is>
          <t>UK – Russell Group</t>
        </is>
      </c>
      <c r="AQ214" s="77" t="inlineStr">
        <is>
          <t>Unclear</t>
        </is>
      </c>
      <c r="AR214" s="77" t="inlineStr">
        <is>
          <t>Unclear</t>
        </is>
      </c>
      <c r="AS214" s="77" t="inlineStr">
        <is>
          <t>No (umbrella; children counted)</t>
        </is>
      </c>
    </row>
    <row r="215">
      <c r="A215" s="77" t="inlineStr">
        <is>
          <t>RG13</t>
        </is>
      </c>
      <c r="B215" s="77" t="inlineStr">
        <is>
          <t>London School of Economics</t>
        </is>
      </c>
      <c r="C215" s="77" t="inlineStr">
        <is>
          <t>Programme/course</t>
        </is>
      </c>
      <c r="D215" s="77" t="inlineStr">
        <is>
          <t>RG13-S19</t>
        </is>
      </c>
      <c r="E215" s="77" t="inlineStr">
        <is>
          <t>RG13-S18</t>
        </is>
      </c>
      <c r="F215" s="77" t="inlineStr">
        <is>
          <t>No</t>
        </is>
      </c>
      <c r="G215" s="79" t="inlineStr">
        <is>
          <t>Development Management Consultancy Project</t>
        </is>
      </c>
      <c r="H215" s="77" t="inlineStr">
        <is>
          <t>Development Management Consultancy Project</t>
        </is>
      </c>
      <c r="I215" s="77" t="inlineStr">
        <is>
          <t>DV443</t>
        </is>
      </c>
      <c r="J215" s="77" t="inlineStr">
        <is>
          <t>Half unit: teams of 3-6 undertake a live consultancy project for a real client under client-provided Terms of Reference, starting Autumn Term with client reports due in Winter Term and final client presentations.</t>
        </is>
      </c>
      <c r="K215" s="77" t="inlineStr">
        <is>
          <t>Department of International Development</t>
        </is>
      </c>
      <c r="L215" s="77" t="inlineStr">
        <is>
          <t>MSc Development Management (Applied Development Economics) and LSE-Sciences Po variants (compulsory); MSc Development Management (Political Economy) (available)</t>
        </is>
      </c>
      <c r="M215" s="77" t="inlineStr">
        <is>
          <t>Arts/humanities/social sciences</t>
        </is>
      </c>
      <c r="N215" s="77" t="inlineStr">
        <is>
          <t>Postgraduate taught</t>
        </is>
      </c>
      <c r="O215" s="77" t="inlineStr"/>
      <c r="P215" s="77" t="inlineStr"/>
      <c r="Q215" s="77" t="inlineStr">
        <is>
          <t>Compulsory within specified programmes</t>
        </is>
      </c>
      <c r="R215" s="77" t="inlineStr">
        <is>
          <t>Curricular</t>
        </is>
      </c>
      <c r="S215" s="77" t="inlineStr">
        <is>
          <t>Half unit; weightings inconsistent across sources (guide: project 70% 8,000 words, oral 20%, presentation 10%; dept page: 80/10/10)</t>
        </is>
      </c>
      <c r="T215" s="77" t="inlineStr">
        <is>
          <t>Autumn - Winter Term</t>
        </is>
      </c>
      <c r="U215" s="77" t="inlineStr">
        <is>
          <t>Team client consultancy</t>
        </is>
      </c>
      <c r="V215" s="77" t="inlineStr">
        <is>
          <t>Yes</t>
        </is>
      </c>
      <c r="W215" s="77" t="inlineStr">
        <is>
          <t>Live consultancy project with ToR; client report [1].</t>
        </is>
      </c>
      <c r="X215" s="77" t="inlineStr">
        <is>
          <t>Yes</t>
        </is>
      </c>
      <c r="Y215" s="77" t="inlineStr">
        <is>
          <t>Working as part of a team; teams usually 3-6 [1].</t>
        </is>
      </c>
      <c r="Z215" s="77" t="inlineStr">
        <is>
          <t>Yes</t>
        </is>
      </c>
      <c r="AA215" s="77" t="inlineStr">
        <is>
          <t>Real client provides Terms of Reference; client reports and presentations scheduled with client [1].</t>
        </is>
      </c>
      <c r="AB215" s="77" t="inlineStr">
        <is>
          <t>Mixed</t>
        </is>
      </c>
      <c r="AC215" s="77" t="inlineStr">
        <is>
          <t>Client</t>
        </is>
      </c>
      <c r="AD215" s="77" t="inlineStr"/>
      <c r="AE215" s="77" t="inlineStr">
        <is>
          <t>Client report (8,000 words) + presentation</t>
        </is>
      </c>
      <c r="AF215" s="77">
        <f>IF(OR(V215="No",X215="No",Z215="No"),"Outside strict definition",IF(AND(V215="Yes",X215="Yes",Z215="Yes"),"Meets all three","Potentially relevant; evidence incomplete"))</f>
        <v/>
      </c>
      <c r="AG215" s="77" t="inlineStr">
        <is>
          <t>Current delivery confirmed</t>
        </is>
      </c>
      <c r="AH215" s="77" t="inlineStr">
        <is>
          <t>2025/26</t>
        </is>
      </c>
      <c r="AI215" s="77" t="inlineStr">
        <is>
          <t>Yes</t>
        </is>
      </c>
      <c r="AJ215" s="77">
        <f>IF(AND(AI215="Yes",AF215="Meets all three",AG215="Current delivery confirmed"),"Yes","No")</f>
        <v/>
      </c>
      <c r="AK215" s="77" t="inlineStr">
        <is>
          <t>101 students (2024/25) per course guide</t>
        </is>
      </c>
      <c r="AL215" s="77" t="inlineStr">
        <is>
          <t>RG13-S19-R1</t>
        </is>
      </c>
      <c r="AM215" s="77" t="inlineStr"/>
      <c r="AN215" s="77" t="inlineStr"/>
      <c r="AO215" s="77" t="inlineStr">
        <is>
          <t>UK</t>
        </is>
      </c>
      <c r="AP215" s="77" t="inlineStr">
        <is>
          <t>UK – Russell Group</t>
        </is>
      </c>
      <c r="AQ215" s="77" t="inlineStr">
        <is>
          <t>Unclear</t>
        </is>
      </c>
      <c r="AR215" s="77" t="inlineStr">
        <is>
          <t>Unclear</t>
        </is>
      </c>
      <c r="AS215" s="77" t="inlineStr"/>
    </row>
    <row r="216">
      <c r="A216" s="77" t="inlineStr">
        <is>
          <t>RG13</t>
        </is>
      </c>
      <c r="B216" s="77" t="inlineStr">
        <is>
          <t>London School of Economics</t>
        </is>
      </c>
      <c r="C216" s="77" t="inlineStr">
        <is>
          <t>Programme/course</t>
        </is>
      </c>
      <c r="D216" s="77" t="inlineStr">
        <is>
          <t>RG13-S20</t>
        </is>
      </c>
      <c r="E216" s="77" t="inlineStr">
        <is>
          <t>RG13-S18</t>
        </is>
      </c>
      <c r="F216" s="77" t="inlineStr">
        <is>
          <t>No</t>
        </is>
      </c>
      <c r="G216" s="79" t="inlineStr">
        <is>
          <t>Health and International Development Consultancy Project</t>
        </is>
      </c>
      <c r="H216" s="77" t="inlineStr">
        <is>
          <t>Health and International Development Consultancy Project</t>
        </is>
      </c>
      <c r="I216" s="77" t="inlineStr">
        <is>
          <t>DV453</t>
        </is>
      </c>
      <c r="J216" s="77" t="inlineStr">
        <is>
          <t>Half-unit consultancy project in the same format (team report for an external client) for MSc Health and International Development (guaranteed place) and MSc Development Studies (optional, controlled access).</t>
        </is>
      </c>
      <c r="K216" s="77" t="inlineStr">
        <is>
          <t>Department of International Development</t>
        </is>
      </c>
      <c r="L216" s="77" t="inlineStr">
        <is>
          <t>MSc Health and International Development; MSc Development Studies</t>
        </is>
      </c>
      <c r="M216" s="77" t="inlineStr">
        <is>
          <t>Arts/humanities/social sciences</t>
        </is>
      </c>
      <c r="N216" s="77" t="inlineStr">
        <is>
          <t>Postgraduate taught</t>
        </is>
      </c>
      <c r="O216" s="77" t="inlineStr"/>
      <c r="P216" s="77" t="inlineStr"/>
      <c r="Q216" s="77" t="inlineStr">
        <is>
          <t>Optional/elective</t>
        </is>
      </c>
      <c r="R216" s="77" t="inlineStr">
        <is>
          <t>Curricular</t>
        </is>
      </c>
      <c r="S216" s="77" t="inlineStr">
        <is>
          <t>Half unit; report 80% (8,000 words), presentation 10%, learning log 10% (2026/27 guide)</t>
        </is>
      </c>
      <c r="T216" s="77" t="inlineStr"/>
      <c r="U216" s="77" t="inlineStr"/>
      <c r="V216" s="77" t="inlineStr">
        <is>
          <t>Yes</t>
        </is>
      </c>
      <c r="W216" s="77" t="inlineStr">
        <is>
          <t>Consultancy report and presentation [1][2].</t>
        </is>
      </c>
      <c r="X216" s="77" t="inlineStr">
        <is>
          <t>Yes</t>
        </is>
      </c>
      <c r="Y216" s="77" t="inlineStr">
        <is>
          <t>Department consultancy-project model: teams of 3-5 [3]; DV453-specific team wording not retrieved.</t>
        </is>
      </c>
      <c r="Z216" s="77" t="inlineStr">
        <is>
          <t>Yes</t>
        </is>
      </c>
      <c r="AA216" s="77" t="inlineStr">
        <is>
          <t>Department consultancy-project page: clients submit proposals/draft ToR and receive the report [3]; DV453 course-guide client wording not retrieved verbatim.</t>
        </is>
      </c>
      <c r="AB216" s="77" t="inlineStr">
        <is>
          <t>Mixed</t>
        </is>
      </c>
      <c r="AC216" s="77" t="inlineStr">
        <is>
          <t>Client</t>
        </is>
      </c>
      <c r="AD216" s="77" t="inlineStr"/>
      <c r="AE216" s="77" t="inlineStr"/>
      <c r="AF216" s="77">
        <f>IF(OR(V216="No",X216="No",Z216="No"),"Outside strict definition",IF(AND(V216="Yes",X216="Yes",Z216="Yes"),"Meets all three","Potentially relevant; evidence incomplete"))</f>
        <v/>
      </c>
      <c r="AG216" s="77" t="inlineStr">
        <is>
          <t>Current delivery confirmed</t>
        </is>
      </c>
      <c r="AH216" s="77" t="inlineStr">
        <is>
          <t>2026/27</t>
        </is>
      </c>
      <c r="AI216" s="77" t="inlineStr">
        <is>
          <t>Yes</t>
        </is>
      </c>
      <c r="AJ216" s="77">
        <f>IF(AND(AI216="Yes",AF216="Meets all three",AG216="Current delivery confirmed"),"Yes","No")</f>
        <v/>
      </c>
      <c r="AK216" s="77" t="inlineStr"/>
      <c r="AL216" s="77" t="inlineStr">
        <is>
          <t>RG13-S20-R1; RG13-S20-R2; RG13-S20-R3</t>
        </is>
      </c>
      <c r="AM216" s="77" t="inlineStr">
        <is>
          <t>Compulsory vs optional status conflicts across 2023 handbook/2024-25 info; course-guide extract does not itself quote client involvement.</t>
        </is>
      </c>
      <c r="AN216" s="77" t="inlineStr"/>
      <c r="AO216" s="77" t="inlineStr">
        <is>
          <t>UK</t>
        </is>
      </c>
      <c r="AP216" s="77" t="inlineStr">
        <is>
          <t>UK – Russell Group</t>
        </is>
      </c>
      <c r="AQ216" s="77" t="inlineStr">
        <is>
          <t>Unclear</t>
        </is>
      </c>
      <c r="AR216" s="77" t="inlineStr">
        <is>
          <t>Unclear</t>
        </is>
      </c>
      <c r="AS216" s="77" t="inlineStr"/>
    </row>
    <row r="217">
      <c r="A217" s="77" t="inlineStr">
        <is>
          <t>RG13</t>
        </is>
      </c>
      <c r="B217" s="77" t="inlineStr">
        <is>
          <t>London School of Economics</t>
        </is>
      </c>
      <c r="C217" s="77" t="inlineStr">
        <is>
          <t>Programme/course</t>
        </is>
      </c>
      <c r="D217" s="77" t="inlineStr">
        <is>
          <t>RG13-S21</t>
        </is>
      </c>
      <c r="E217" s="77" t="inlineStr">
        <is>
          <t>RG13-S18</t>
        </is>
      </c>
      <c r="F217" s="77" t="inlineStr">
        <is>
          <t>No</t>
        </is>
      </c>
      <c r="G217" s="79" t="inlineStr">
        <is>
          <t>Humanitarian Consultancy Project</t>
        </is>
      </c>
      <c r="H217" s="77" t="inlineStr">
        <is>
          <t>Humanitarian Consultancy Project</t>
        </is>
      </c>
      <c r="I217" s="77" t="inlineStr">
        <is>
          <t>DV466</t>
        </is>
      </c>
      <c r="J217" s="77" t="inlineStr">
        <is>
          <t>Compulsory half unit for MSc International Development and Humanitarian Emergencies: students work in a small team on a live consultancy project for a real humanitarian, development or emergency-based organisation.</t>
        </is>
      </c>
      <c r="K217" s="77" t="inlineStr">
        <is>
          <t>Department of International Development</t>
        </is>
      </c>
      <c r="L217" s="77" t="inlineStr">
        <is>
          <t>MSc International Development and Humanitarian Emergencies</t>
        </is>
      </c>
      <c r="M217" s="77" t="inlineStr">
        <is>
          <t>Arts/humanities/social sciences</t>
        </is>
      </c>
      <c r="N217" s="77" t="inlineStr">
        <is>
          <t>Postgraduate taught</t>
        </is>
      </c>
      <c r="O217" s="77" t="inlineStr"/>
      <c r="P217" s="77" t="inlineStr"/>
      <c r="Q217" s="77" t="inlineStr">
        <is>
          <t>Compulsory within specified programmes</t>
        </is>
      </c>
      <c r="R217" s="77" t="inlineStr">
        <is>
          <t>Curricular</t>
        </is>
      </c>
      <c r="S217" s="77" t="inlineStr">
        <is>
          <t>Half unit (Paper 2 of programme regulations)</t>
        </is>
      </c>
      <c r="T217" s="77" t="inlineStr"/>
      <c r="U217" s="77" t="inlineStr"/>
      <c r="V217" s="77" t="inlineStr">
        <is>
          <t>Yes</t>
        </is>
      </c>
      <c r="W217" s="77" t="inlineStr">
        <is>
          <t>Live consultancy project on a current policy issue [1][3].</t>
        </is>
      </c>
      <c r="X217" s="77" t="inlineStr">
        <is>
          <t>Yes</t>
        </is>
      </c>
      <c r="Y217" s="77" t="inlineStr">
        <is>
          <t>Work in a small team [3].</t>
        </is>
      </c>
      <c r="Z217" s="77" t="inlineStr">
        <is>
          <t>Yes</t>
        </is>
      </c>
      <c r="AA217" s="77" t="inlineStr">
        <is>
          <t>Live consultancy project for a real client (humanitarian/development/emergency organisation) [1][3].</t>
        </is>
      </c>
      <c r="AB217" s="77" t="inlineStr">
        <is>
          <t>Mixed</t>
        </is>
      </c>
      <c r="AC217" s="77" t="inlineStr">
        <is>
          <t>Client</t>
        </is>
      </c>
      <c r="AD217" s="77" t="inlineStr">
        <is>
          <t>Programme page lists e.g. UNICEF, UNHCR, ICRC, Save the Children (undated)</t>
        </is>
      </c>
      <c r="AE217" s="77" t="inlineStr"/>
      <c r="AF217" s="77">
        <f>IF(OR(V217="No",X217="No",Z217="No"),"Outside strict definition",IF(AND(V217="Yes",X217="Yes",Z217="Yes"),"Meets all three","Potentially relevant; evidence incomplete"))</f>
        <v/>
      </c>
      <c r="AG217" s="77" t="inlineStr">
        <is>
          <t>Current delivery confirmed</t>
        </is>
      </c>
      <c r="AH217" s="77" t="inlineStr">
        <is>
          <t>2025/26</t>
        </is>
      </c>
      <c r="AI217" s="77" t="inlineStr">
        <is>
          <t>Yes</t>
        </is>
      </c>
      <c r="AJ217" s="77">
        <f>IF(AND(AI217="Yes",AF217="Meets all three",AG217="Current delivery confirmed"),"Yes","No")</f>
        <v/>
      </c>
      <c r="AK217" s="77" t="inlineStr"/>
      <c r="AL217" s="77" t="inlineStr">
        <is>
          <t>RG13-S21-R1; RG13-S21-R2; RG13-S21-R3</t>
        </is>
      </c>
      <c r="AM217" s="77" t="inlineStr"/>
      <c r="AN217" s="77" t="inlineStr"/>
      <c r="AO217" s="77" t="inlineStr">
        <is>
          <t>UK</t>
        </is>
      </c>
      <c r="AP217" s="77" t="inlineStr">
        <is>
          <t>UK – Russell Group</t>
        </is>
      </c>
      <c r="AQ217" s="77" t="inlineStr">
        <is>
          <t>Unclear</t>
        </is>
      </c>
      <c r="AR217" s="77" t="inlineStr">
        <is>
          <t>Unclear</t>
        </is>
      </c>
      <c r="AS217" s="77" t="inlineStr"/>
    </row>
    <row r="218">
      <c r="A218" s="77" t="inlineStr">
        <is>
          <t>RG13</t>
        </is>
      </c>
      <c r="B218" s="77" t="inlineStr">
        <is>
          <t>London School of Economics</t>
        </is>
      </c>
      <c r="C218" s="77" t="inlineStr">
        <is>
          <t>Programme/course</t>
        </is>
      </c>
      <c r="D218" s="77" t="inlineStr">
        <is>
          <t>RG13-S22</t>
        </is>
      </c>
      <c r="E218" s="77" t="inlineStr"/>
      <c r="F218" s="77" t="inlineStr">
        <is>
          <t>No</t>
        </is>
      </c>
      <c r="G218" s="79" t="inlineStr">
        <is>
          <t>Urban Policy and Planning (applied consultancy project)</t>
        </is>
      </c>
      <c r="H218" s="77" t="inlineStr">
        <is>
          <t>Urban Policy and Planning (applied consultancy project)</t>
        </is>
      </c>
      <c r="I218" s="77" t="inlineStr">
        <is>
          <t>GY454</t>
        </is>
      </c>
      <c r="J218" s="77" t="inlineStr">
        <is>
          <t>Half-unit Winter Term course whose centrepiece assessment is a team consultancy exercise in which students act as planning consultants responding to a 'live or archival' planning brief set by a 'typical type of client'.</t>
        </is>
      </c>
      <c r="K218" s="77" t="inlineStr">
        <is>
          <t>Department of Geography and Environment</t>
        </is>
      </c>
      <c r="L218" s="77" t="inlineStr">
        <is>
          <t>Geography &amp; Environment MSc programmes (not confirmed)</t>
        </is>
      </c>
      <c r="M218" s="77" t="inlineStr">
        <is>
          <t>Arts/humanities/social sciences</t>
        </is>
      </c>
      <c r="N218" s="77" t="inlineStr">
        <is>
          <t>Postgraduate taught</t>
        </is>
      </c>
      <c r="O218" s="77" t="inlineStr"/>
      <c r="P218" s="77" t="inlineStr"/>
      <c r="Q218" s="77" t="inlineStr">
        <is>
          <t>Unclear</t>
        </is>
      </c>
      <c r="R218" s="77" t="inlineStr">
        <is>
          <t>Curricular</t>
        </is>
      </c>
      <c r="S218" s="77" t="inlineStr">
        <is>
          <t>Half unit; assessment includes an element of group work</t>
        </is>
      </c>
      <c r="T218" s="77" t="inlineStr">
        <is>
          <t>Winter Term</t>
        </is>
      </c>
      <c r="U218" s="77" t="inlineStr"/>
      <c r="V218" s="77" t="inlineStr">
        <is>
          <t>Yes</t>
        </is>
      </c>
      <c r="W218" s="77" t="inlineStr">
        <is>
          <t>Applied consultancy project responding to a planning brief [1].</t>
        </is>
      </c>
      <c r="X218" s="77" t="inlineStr">
        <is>
          <t>Yes</t>
        </is>
      </c>
      <c r="Y218" s="77" t="inlineStr">
        <is>
          <t>'Working in teams, students act as professional planning consultants' [1].</t>
        </is>
      </c>
      <c r="Z218" s="77" t="inlineStr">
        <is>
          <t>Unclear</t>
        </is>
      </c>
      <c r="AA218" s="77" t="inlineStr">
        <is>
          <t>Brief may be live or archival and is set by 'a typical type of client' - no evidence a real organisation supplies it or receives outputs [1].</t>
        </is>
      </c>
      <c r="AB218" s="77" t="inlineStr">
        <is>
          <t>Unclear</t>
        </is>
      </c>
      <c r="AC218" s="77" t="inlineStr">
        <is>
          <t>Not evidenced</t>
        </is>
      </c>
      <c r="AD218" s="77" t="inlineStr"/>
      <c r="AE218" s="77" t="inlineStr"/>
      <c r="AF218" s="77">
        <f>IF(OR(V218="No",X218="No",Z218="No"),"Outside strict definition",IF(AND(V218="Yes",X218="Yes",Z218="Yes"),"Meets all three","Potentially relevant; evidence incomplete"))</f>
        <v/>
      </c>
      <c r="AG218" s="77" t="inlineStr">
        <is>
          <t>Current delivery confirmed</t>
        </is>
      </c>
      <c r="AH218" s="77" t="inlineStr">
        <is>
          <t>2026/27</t>
        </is>
      </c>
      <c r="AI218" s="77" t="inlineStr">
        <is>
          <t>Yes</t>
        </is>
      </c>
      <c r="AJ218" s="77">
        <f>IF(AND(AI218="Yes",AF218="Meets all three",AG218="Current delivery confirmed"),"Yes","No")</f>
        <v/>
      </c>
      <c r="AK218" s="77" t="inlineStr"/>
      <c r="AL218" s="77" t="inlineStr">
        <is>
          <t>RG13-S22-R1</t>
        </is>
      </c>
      <c r="AM218" s="77" t="inlineStr">
        <is>
          <t>Whether live briefs come from real planning authorities/developers in any year.</t>
        </is>
      </c>
      <c r="AN218" s="77" t="inlineStr"/>
      <c r="AO218" s="77" t="inlineStr">
        <is>
          <t>UK</t>
        </is>
      </c>
      <c r="AP218" s="77" t="inlineStr">
        <is>
          <t>UK – Russell Group</t>
        </is>
      </c>
      <c r="AQ218" s="77" t="inlineStr">
        <is>
          <t>Unclear</t>
        </is>
      </c>
      <c r="AR218" s="77" t="inlineStr">
        <is>
          <t>Unclear</t>
        </is>
      </c>
      <c r="AS218" s="77" t="inlineStr"/>
    </row>
    <row r="219">
      <c r="A219" s="77" t="inlineStr">
        <is>
          <t>RG13</t>
        </is>
      </c>
      <c r="B219" s="77" t="inlineStr">
        <is>
          <t>London School of Economics</t>
        </is>
      </c>
      <c r="C219" s="77" t="inlineStr">
        <is>
          <t>Cross-faculty</t>
        </is>
      </c>
      <c r="D219" s="77" t="inlineStr">
        <is>
          <t>RG13-S23</t>
        </is>
      </c>
      <c r="E219" s="77" t="inlineStr"/>
      <c r="F219" s="77" t="inlineStr">
        <is>
          <t>No</t>
        </is>
      </c>
      <c r="G219" s="79" t="inlineStr">
        <is>
          <t>LSE Legal Advice Centre Sustainability Clinic</t>
        </is>
      </c>
      <c r="H219" s="77" t="inlineStr">
        <is>
          <t>LSE Legal Advice Centre Sustainability Clinic</t>
        </is>
      </c>
      <c r="I219" s="77" t="inlineStr"/>
      <c r="J219"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19" s="77" t="inlineStr">
        <is>
          <t>LSE Law School - Legal Advice Centre</t>
        </is>
      </c>
      <c r="L219" s="77" t="inlineStr">
        <is>
          <t>LLB, BA Anthropology and Law, LLM and various Master's programmes</t>
        </is>
      </c>
      <c r="M219" s="77" t="inlineStr">
        <is>
          <t>Other (law, health, design, architecture…)</t>
        </is>
      </c>
      <c r="N219" s="77" t="inlineStr">
        <is>
          <t>Mixed</t>
        </is>
      </c>
      <c r="O219" s="77" t="inlineStr"/>
      <c r="P219" s="77" t="inlineStr"/>
      <c r="Q219" s="77" t="inlineStr">
        <is>
          <t>Selective/competitive</t>
        </is>
      </c>
      <c r="R219" s="77" t="inlineStr">
        <is>
          <t>Unclear</t>
        </is>
      </c>
      <c r="S219" s="77" t="inlineStr"/>
      <c r="T219" s="77" t="inlineStr"/>
      <c r="U219" s="77" t="inlineStr"/>
      <c r="V219" s="77" t="inlineStr">
        <is>
          <t>Yes</t>
        </is>
      </c>
      <c r="W219" s="77" t="inlineStr">
        <is>
          <t>Policy reports, memos and amicus briefs on defined issues; ClientEarth report [1][2].</t>
        </is>
      </c>
      <c r="X219" s="77" t="inlineStr">
        <is>
          <t>Yes</t>
        </is>
      </c>
      <c r="Y219" s="77" t="inlineStr">
        <is>
          <t>Students work in collaborative teams [1].</t>
        </is>
      </c>
      <c r="Z219" s="77" t="inlineStr">
        <is>
          <t>Yes</t>
        </is>
      </c>
      <c r="AA219" s="77" t="inlineStr">
        <is>
          <t>Reports drafted for environmental NGOs and charities [1]; ClientEarth collaboration with ClientEarth specialists training students [2].</t>
        </is>
      </c>
      <c r="AB219" s="77" t="inlineStr">
        <is>
          <t>Charity/community</t>
        </is>
      </c>
      <c r="AC219" s="77" t="inlineStr">
        <is>
          <t>NGO partner sets issue, trains/advises, receives report</t>
        </is>
      </c>
      <c r="AD219" s="77" t="inlineStr">
        <is>
          <t>ClientEarth (year not shown)</t>
        </is>
      </c>
      <c r="AE219" s="77" t="inlineStr">
        <is>
          <t>Policy reports, memos, amicus briefs</t>
        </is>
      </c>
      <c r="AF219" s="77">
        <f>IF(OR(V219="No",X219="No",Z219="No"),"Outside strict definition",IF(AND(V219="Yes",X219="Yes",Z219="Yes"),"Meets all three","Potentially relevant; evidence incomplete"))</f>
        <v/>
      </c>
      <c r="AG219" s="77" t="inlineStr">
        <is>
          <t>Current status unclear</t>
        </is>
      </c>
      <c r="AH219" s="77" t="inlineStr"/>
      <c r="AI219" s="77" t="inlineStr">
        <is>
          <t>Yes</t>
        </is>
      </c>
      <c r="AJ219" s="77">
        <f>IF(AND(AI219="Yes",AF219="Meets all three",AG219="Current delivery confirmed"),"Yes","No")</f>
        <v/>
      </c>
      <c r="AK219" s="77" t="inlineStr">
        <is>
          <t>Approx. 20 students (clinic page, undated); a LAC diary entry gives twelve</t>
        </is>
      </c>
      <c r="AL219" s="77" t="inlineStr">
        <is>
          <t>RG13-S23-R1; RG13-S23-R2</t>
        </is>
      </c>
      <c r="AM219" s="77" t="inlineStr">
        <is>
          <t>Dates of ClientEarth project and current cohort; credit status; course-level eligibility rules.</t>
        </is>
      </c>
      <c r="AN219" s="77" t="inlineStr"/>
      <c r="AO219" s="77" t="inlineStr">
        <is>
          <t>UK</t>
        </is>
      </c>
      <c r="AP219" s="77" t="inlineStr">
        <is>
          <t>UK – Russell Group</t>
        </is>
      </c>
      <c r="AQ219" s="77" t="inlineStr">
        <is>
          <t>Unclear</t>
        </is>
      </c>
      <c r="AR219" s="77" t="inlineStr">
        <is>
          <t>Unclear</t>
        </is>
      </c>
      <c r="AS219" s="77" t="inlineStr"/>
    </row>
    <row r="220">
      <c r="A220" s="77" t="inlineStr">
        <is>
          <t>RG13</t>
        </is>
      </c>
      <c r="B220" s="77" t="inlineStr">
        <is>
          <t>London School of Economics</t>
        </is>
      </c>
      <c r="C220" s="77" t="inlineStr">
        <is>
          <t>Programme/course</t>
        </is>
      </c>
      <c r="D220" s="77" t="inlineStr">
        <is>
          <t>RG13-S24</t>
        </is>
      </c>
      <c r="E220" s="77" t="inlineStr"/>
      <c r="F220" s="77" t="inlineStr">
        <is>
          <t>No</t>
        </is>
      </c>
      <c r="G220" s="79" t="inlineStr">
        <is>
          <t>ECtHR Intervention Clinic</t>
        </is>
      </c>
      <c r="H220" s="77" t="inlineStr">
        <is>
          <t>ECtHR Intervention Clinic</t>
        </is>
      </c>
      <c r="I220" s="77" t="inlineStr"/>
      <c r="J220"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20" s="77" t="inlineStr">
        <is>
          <t>LSE Law School</t>
        </is>
      </c>
      <c r="L220" s="77" t="inlineStr">
        <is>
          <t>LLM</t>
        </is>
      </c>
      <c r="M220" s="77" t="inlineStr">
        <is>
          <t>Other (law, health, design, architecture…)</t>
        </is>
      </c>
      <c r="N220" s="77" t="inlineStr">
        <is>
          <t>Postgraduate taught</t>
        </is>
      </c>
      <c r="O220" s="77" t="inlineStr"/>
      <c r="P220" s="77" t="inlineStr"/>
      <c r="Q220" s="77" t="inlineStr">
        <is>
          <t>Selective/competitive</t>
        </is>
      </c>
      <c r="R220" s="77" t="inlineStr">
        <is>
          <t>Extracurricular</t>
        </is>
      </c>
      <c r="S220" s="77" t="inlineStr"/>
      <c r="T220" s="77" t="inlineStr"/>
      <c r="U220" s="77" t="inlineStr"/>
      <c r="V220" s="77" t="inlineStr">
        <is>
          <t>Yes</t>
        </is>
      </c>
      <c r="W220" s="77" t="inlineStr">
        <is>
          <t>Third-party intervention briefs filed in specific ECtHR cases [1][2].</t>
        </is>
      </c>
      <c r="X220" s="77" t="inlineStr">
        <is>
          <t>Yes</t>
        </is>
      </c>
      <c r="Y220" s="77" t="inlineStr">
        <is>
          <t>Brief prepared by five LLM students for Podchasov v Russia (2021) [2].</t>
        </is>
      </c>
      <c r="Z220" s="77" t="inlineStr">
        <is>
          <t>Unclear</t>
        </is>
      </c>
      <c r="AA220" s="77" t="inlineStr">
        <is>
          <t>Clinic run with EISi (NGO); not clear whether EISi acts as client/filing party or co-convenor [1].</t>
        </is>
      </c>
      <c r="AB220" s="77" t="inlineStr">
        <is>
          <t>Charity/community</t>
        </is>
      </c>
      <c r="AC220" s="77" t="inlineStr">
        <is>
          <t>NGO co-runs clinic (role unclear)</t>
        </is>
      </c>
      <c r="AD220" s="77" t="inlineStr">
        <is>
          <t>European Information Society Institute (EISi)</t>
        </is>
      </c>
      <c r="AE220" s="77" t="inlineStr">
        <is>
          <t>Third-party intervention submissions to ECtHR</t>
        </is>
      </c>
      <c r="AF220" s="77">
        <f>IF(OR(V220="No",X220="No",Z220="No"),"Outside strict definition",IF(AND(V220="Yes",X220="Yes",Z220="Yes"),"Meets all three","Potentially relevant; evidence incomplete"))</f>
        <v/>
      </c>
      <c r="AG220" s="77" t="inlineStr">
        <is>
          <t>Current status unclear</t>
        </is>
      </c>
      <c r="AH220" s="77" t="inlineStr">
        <is>
          <t>2021 (dated); later Sanchez v France undated</t>
        </is>
      </c>
      <c r="AI220" s="77" t="inlineStr">
        <is>
          <t>Yes</t>
        </is>
      </c>
      <c r="AJ220" s="77">
        <f>IF(AND(AI220="Yes",AF220="Meets all three",AG220="Current delivery confirmed"),"Yes","No")</f>
        <v/>
      </c>
      <c r="AK220" s="77" t="inlineStr"/>
      <c r="AL220" s="77" t="inlineStr">
        <is>
          <t>RG13-S24-R1; RG13-S24-R2</t>
        </is>
      </c>
      <c r="AM220" s="77" t="inlineStr"/>
      <c r="AN220" s="77" t="inlineStr"/>
      <c r="AO220" s="77" t="inlineStr">
        <is>
          <t>UK</t>
        </is>
      </c>
      <c r="AP220" s="77" t="inlineStr">
        <is>
          <t>UK – Russell Group</t>
        </is>
      </c>
      <c r="AQ220" s="77" t="inlineStr">
        <is>
          <t>Unclear</t>
        </is>
      </c>
      <c r="AR220" s="77" t="inlineStr">
        <is>
          <t>Unclear</t>
        </is>
      </c>
      <c r="AS220" s="77" t="inlineStr"/>
    </row>
    <row r="221">
      <c r="A221" s="77" t="inlineStr">
        <is>
          <t>RG14</t>
        </is>
      </c>
      <c r="B221" s="77" t="inlineStr">
        <is>
          <t>Manchester</t>
        </is>
      </c>
      <c r="C221" s="77" t="inlineStr">
        <is>
          <t>Programme/course</t>
        </is>
      </c>
      <c r="D221" s="77" t="inlineStr">
        <is>
          <t>RG14-S01</t>
        </is>
      </c>
      <c r="E221" s="77" t="inlineStr"/>
      <c r="F221" s="77" t="inlineStr">
        <is>
          <t>Yes</t>
        </is>
      </c>
      <c r="G221" s="79" t="inlineStr">
        <is>
          <t>Full-time MBA live client consultancy projects</t>
        </is>
      </c>
      <c r="H221" s="77" t="inlineStr">
        <is>
          <t>Full-time MBA live client consultancy projects</t>
        </is>
      </c>
      <c r="I221" s="77" t="inlineStr"/>
      <c r="J221"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21" s="77" t="inlineStr">
        <is>
          <t>Alliance Manchester Business School</t>
        </is>
      </c>
      <c r="L221" s="77" t="inlineStr">
        <is>
          <t>Full-time MBA (MBA Manchester)</t>
        </is>
      </c>
      <c r="M221" s="77" t="inlineStr">
        <is>
          <t>Business/management</t>
        </is>
      </c>
      <c r="N221" s="77" t="inlineStr">
        <is>
          <t>Postgraduate taught</t>
        </is>
      </c>
      <c r="O221" s="77" t="inlineStr">
        <is>
          <t>Throughout the programme</t>
        </is>
      </c>
      <c r="P221" s="77" t="inlineStr">
        <is>
          <t>Full-time MBA students only</t>
        </is>
      </c>
      <c r="Q221" s="77" t="inlineStr">
        <is>
          <t>Compulsory within specified programmes</t>
        </is>
      </c>
      <c r="R221" s="77" t="inlineStr">
        <is>
          <t>Curricular</t>
        </is>
      </c>
      <c r="S221" s="77" t="inlineStr">
        <is>
          <t>Core programme components; credit weighting not retrieved</t>
        </is>
      </c>
      <c r="T221" s="77" t="inlineStr">
        <is>
          <t>Several projects across the programme</t>
        </is>
      </c>
      <c r="U221" s="77" t="inlineStr">
        <is>
          <t>In person, client-facing</t>
        </is>
      </c>
      <c r="V221" s="77" t="inlineStr">
        <is>
          <t>Yes</t>
        </is>
      </c>
      <c r="W221" s="77" t="inlineStr">
        <is>
          <t>Group consultancy projects with real clients [1][3].</t>
        </is>
      </c>
      <c r="X221" s="77" t="inlineStr">
        <is>
          <t>Yes</t>
        </is>
      </c>
      <c r="Y221" s="77" t="inlineStr">
        <is>
          <t>'three group consultancy projects' [1]; MBAs work in multinational groups [3].</t>
        </is>
      </c>
      <c r="Z221" s="77" t="inlineStr">
        <is>
          <t>Yes</t>
        </is>
      </c>
      <c r="AA221" s="77" t="inlineStr">
        <is>
          <t>Real clients commission consultancy projects [1][3].</t>
        </is>
      </c>
      <c r="AB221" s="77" t="inlineStr">
        <is>
          <t>Mixed</t>
        </is>
      </c>
      <c r="AC221" s="77" t="inlineStr">
        <is>
          <t>Clients supply briefs and receive consultancy outputs</t>
        </is>
      </c>
      <c r="AD221" s="77" t="inlineStr"/>
      <c r="AE221" s="77" t="inlineStr">
        <is>
          <t>Client presentations and reports</t>
        </is>
      </c>
      <c r="AF221" s="77">
        <f>IF(OR(V221="No",X221="No",Z221="No"),"Outside strict definition",IF(AND(V221="Yes",X221="Yes",Z221="Yes"),"Meets all three","Potentially relevant; evidence incomplete"))</f>
        <v/>
      </c>
      <c r="AG221" s="77" t="inlineStr">
        <is>
          <t>Current delivery confirmed</t>
        </is>
      </c>
      <c r="AH221" s="77" t="inlineStr">
        <is>
          <t>2027 entry (programme page)</t>
        </is>
      </c>
      <c r="AI221" s="77" t="inlineStr">
        <is>
          <t>No</t>
        </is>
      </c>
      <c r="AJ221" s="77">
        <f>IF(AND(AI221="Yes",AF221="Meets all three",AG221="Current delivery confirmed"),"Yes","No")</f>
        <v/>
      </c>
      <c r="AK221" s="77" t="inlineStr"/>
      <c r="AL221" s="77" t="inlineStr">
        <is>
          <t>RG14-S01-R1; RG14-S01-R2; RG14-S01-R3</t>
        </is>
      </c>
      <c r="AM221" s="77" t="inlineStr">
        <is>
          <t>Current-status basis is the 2027-entry programme course-details page (prospectus-level), not a dated cohort; whether the M&amp;A and Strategic Innovation projects always have external clients not verified individually.</t>
        </is>
      </c>
      <c r="AN221" s="77" t="inlineStr"/>
      <c r="AO221" s="77" t="inlineStr">
        <is>
          <t>UK</t>
        </is>
      </c>
      <c r="AP221" s="77" t="inlineStr">
        <is>
          <t>UK – Russell Group</t>
        </is>
      </c>
      <c r="AQ221" s="77" t="inlineStr">
        <is>
          <t>&gt;1 term</t>
        </is>
      </c>
      <c r="AR221" s="77" t="inlineStr">
        <is>
          <t>All/standard</t>
        </is>
      </c>
      <c r="AS221" s="77" t="inlineStr">
        <is>
          <t>No (umbrella; children counted)</t>
        </is>
      </c>
    </row>
    <row r="222">
      <c r="A222" s="77" t="inlineStr">
        <is>
          <t>RG14</t>
        </is>
      </c>
      <c r="B222" s="77" t="inlineStr">
        <is>
          <t>Manchester</t>
        </is>
      </c>
      <c r="C222" s="77" t="inlineStr">
        <is>
          <t>Programme/course</t>
        </is>
      </c>
      <c r="D222" s="77" t="inlineStr">
        <is>
          <t>RG14-S02</t>
        </is>
      </c>
      <c r="E222" s="77" t="inlineStr">
        <is>
          <t>RG14-S01</t>
        </is>
      </c>
      <c r="F222" s="77" t="inlineStr">
        <is>
          <t>No</t>
        </is>
      </c>
      <c r="G222" s="79" t="inlineStr">
        <is>
          <t>International Business Consultancy Project (International Business Project, IBP)</t>
        </is>
      </c>
      <c r="H222" s="77" t="inlineStr">
        <is>
          <t>International Business Project</t>
        </is>
      </c>
      <c r="I222" s="77" t="inlineStr"/>
      <c r="J222"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22" s="77" t="inlineStr">
        <is>
          <t>Alliance Manchester Business School</t>
        </is>
      </c>
      <c r="L222" s="77" t="inlineStr">
        <is>
          <t>Full-time MBA</t>
        </is>
      </c>
      <c r="M222" s="77" t="inlineStr">
        <is>
          <t>Business/management</t>
        </is>
      </c>
      <c r="N222" s="77" t="inlineStr">
        <is>
          <t>Postgraduate taught</t>
        </is>
      </c>
      <c r="O222" s="77" t="inlineStr">
        <is>
          <t>Final months of the programme</t>
        </is>
      </c>
      <c r="P222" s="77" t="inlineStr">
        <is>
          <t>Full-time MBA students</t>
        </is>
      </c>
      <c r="Q222" s="77" t="inlineStr">
        <is>
          <t>Compulsory within specified programmes</t>
        </is>
      </c>
      <c r="R222" s="77" t="inlineStr">
        <is>
          <t>Curricular</t>
        </is>
      </c>
      <c r="S222" s="77" t="inlineStr">
        <is>
          <t>Not retrieved</t>
        </is>
      </c>
      <c r="T222" s="77" t="inlineStr">
        <is>
          <t>Final months of the MBA; AMBS cites 2,000+ hours of team work / 550 hours live client experience (AMBS estimates; figures vary by page)</t>
        </is>
      </c>
      <c r="U222" s="77" t="inlineStr">
        <is>
          <t>In person; may involve international client</t>
        </is>
      </c>
      <c r="V222" s="77" t="inlineStr">
        <is>
          <t>Yes</t>
        </is>
      </c>
      <c r="W222" s="77" t="inlineStr">
        <is>
          <t>Consultancy project on a client's international challenge/opportunity [1][4].</t>
        </is>
      </c>
      <c r="X222" s="77" t="inlineStr">
        <is>
          <t>Yes</t>
        </is>
      </c>
      <c r="Y222" s="77" t="inlineStr">
        <is>
          <t>Teams of five to six bid for projects [4]; five MBAs per project [4].</t>
        </is>
      </c>
      <c r="Z222" s="77" t="inlineStr">
        <is>
          <t>Yes</t>
        </is>
      </c>
      <c r="AA222" s="77" t="inlineStr">
        <is>
          <t>Clients submit briefs, receive bids/pitches, and receive the consultancy outputs; example Singapore seafood company go-to-market project [5].</t>
        </is>
      </c>
      <c r="AB222" s="77" t="inlineStr">
        <is>
          <t>Business/commercial</t>
        </is>
      </c>
      <c r="AC222" s="77" t="inlineStr">
        <is>
          <t>Client sets the brief, selects among team bids, receives presentation/report</t>
        </is>
      </c>
      <c r="AD222" s="77" t="inlineStr">
        <is>
          <t>LAD Bible Group cited as past client (undated); Singapore seafood company (blog, undated)</t>
        </is>
      </c>
      <c r="AE222" s="77" t="inlineStr">
        <is>
          <t>Consultancy recommendations, client presentation and report</t>
        </is>
      </c>
      <c r="AF222" s="77">
        <f>IF(OR(V222="No",X222="No",Z222="No"),"Outside strict definition",IF(AND(V222="Yes",X222="Yes",Z222="Yes"),"Meets all three","Potentially relevant; evidence incomplete"))</f>
        <v/>
      </c>
      <c r="AG222" s="77" t="inlineStr">
        <is>
          <t>Current delivery confirmed</t>
        </is>
      </c>
      <c r="AH222" s="77" t="inlineStr">
        <is>
          <t>2027 entry (programme page)</t>
        </is>
      </c>
      <c r="AI222" s="77" t="inlineStr">
        <is>
          <t>Yes</t>
        </is>
      </c>
      <c r="AJ222" s="77">
        <f>IF(AND(AI222="Yes",AF222="Meets all three",AG222="Current delivery confirmed"),"Yes","No")</f>
        <v/>
      </c>
      <c r="AK222" s="77" t="inlineStr"/>
      <c r="AL222" s="77" t="inlineStr">
        <is>
          <t>RG14-S02-R1; RG14-S02-R2; RG14-S02-R3</t>
        </is>
      </c>
      <c r="AM222" s="77" t="inlineStr">
        <is>
          <t>Hour/fee figures are AMBS marketing estimates; current-status basis is the 2027-entry course-details page.</t>
        </is>
      </c>
      <c r="AN222" s="77" t="inlineStr"/>
      <c r="AO222" s="77" t="inlineStr">
        <is>
          <t>UK</t>
        </is>
      </c>
      <c r="AP222" s="77" t="inlineStr">
        <is>
          <t>UK – Russell Group</t>
        </is>
      </c>
      <c r="AQ222" s="77" t="inlineStr">
        <is>
          <t>~1 term/semester</t>
        </is>
      </c>
      <c r="AR222" s="77" t="inlineStr">
        <is>
          <t>All/standard</t>
        </is>
      </c>
      <c r="AS222" s="77" t="inlineStr"/>
    </row>
    <row r="223">
      <c r="A223" s="77" t="inlineStr">
        <is>
          <t>RG14</t>
        </is>
      </c>
      <c r="B223" s="77" t="inlineStr">
        <is>
          <t>Manchester</t>
        </is>
      </c>
      <c r="C223" s="77" t="inlineStr">
        <is>
          <t>Programme/course</t>
        </is>
      </c>
      <c r="D223" s="77" t="inlineStr">
        <is>
          <t>RG14-S03</t>
        </is>
      </c>
      <c r="E223" s="77" t="inlineStr">
        <is>
          <t>RG14-S01</t>
        </is>
      </c>
      <c r="F223" s="77" t="inlineStr">
        <is>
          <t>No</t>
        </is>
      </c>
      <c r="G223" s="79" t="inlineStr">
        <is>
          <t>Social Impact Project (formerly Not-for-Profit project)</t>
        </is>
      </c>
      <c r="H223" s="77" t="inlineStr">
        <is>
          <t>Social Impact Project</t>
        </is>
      </c>
      <c r="I223" s="77" t="inlineStr"/>
      <c r="J223" s="77" t="inlineStr">
        <is>
          <t>First Full-time MBA live consultancy: student teams work as consultants for a not-for-profit / third-sector client (about 150 hours of live client experience).</t>
        </is>
      </c>
      <c r="K223" s="77" t="inlineStr">
        <is>
          <t>Alliance Manchester Business School</t>
        </is>
      </c>
      <c r="L223" s="77" t="inlineStr">
        <is>
          <t>Full-time MBA</t>
        </is>
      </c>
      <c r="M223" s="77" t="inlineStr">
        <is>
          <t>Business/management</t>
        </is>
      </c>
      <c r="N223" s="77" t="inlineStr">
        <is>
          <t>Postgraduate taught</t>
        </is>
      </c>
      <c r="O223" s="77" t="inlineStr">
        <is>
          <t>Early in the programme</t>
        </is>
      </c>
      <c r="P223" s="77" t="inlineStr">
        <is>
          <t>Full-time MBA students</t>
        </is>
      </c>
      <c r="Q223" s="77" t="inlineStr">
        <is>
          <t>Compulsory within specified programmes</t>
        </is>
      </c>
      <c r="R223" s="77" t="inlineStr">
        <is>
          <t>Curricular</t>
        </is>
      </c>
      <c r="S223" s="77" t="inlineStr">
        <is>
          <t>Not retrieved</t>
        </is>
      </c>
      <c r="T223" s="77" t="inlineStr">
        <is>
          <t>c.150 hours live client experience</t>
        </is>
      </c>
      <c r="U223" s="77" t="inlineStr">
        <is>
          <t>In person</t>
        </is>
      </c>
      <c r="V223" s="77" t="inlineStr">
        <is>
          <t>Yes</t>
        </is>
      </c>
      <c r="W223" s="77" t="inlineStr">
        <is>
          <t>Consultancy project for a third-sector client [2][6].</t>
        </is>
      </c>
      <c r="X223" s="77" t="inlineStr">
        <is>
          <t>Yes</t>
        </is>
      </c>
      <c r="Y223" s="77" t="inlineStr">
        <is>
          <t>Part of the 'three group consultancy projects' [1]; earlier projects in teams of five (search summary) [6].</t>
        </is>
      </c>
      <c r="Z223" s="77" t="inlineStr">
        <is>
          <t>Yes</t>
        </is>
      </c>
      <c r="AA223" s="77" t="inlineStr">
        <is>
          <t>Not-for-profit/third-sector organisations act as clients [6].</t>
        </is>
      </c>
      <c r="AB223" s="77" t="inlineStr">
        <is>
          <t>Charity/community</t>
        </is>
      </c>
      <c r="AC223" s="77" t="inlineStr">
        <is>
          <t>Client sets problem and receives recommendations</t>
        </is>
      </c>
      <c r="AD223" s="77" t="inlineStr"/>
      <c r="AE223" s="77" t="inlineStr">
        <is>
          <t>Consultancy recommendations to client</t>
        </is>
      </c>
      <c r="AF223" s="77">
        <f>IF(OR(V223="No",X223="No",Z223="No"),"Outside strict definition",IF(AND(V223="Yes",X223="Yes",Z223="Yes"),"Meets all three","Potentially relevant; evidence incomplete"))</f>
        <v/>
      </c>
      <c r="AG223" s="77" t="inlineStr">
        <is>
          <t>Current delivery confirmed</t>
        </is>
      </c>
      <c r="AH223" s="77" t="inlineStr">
        <is>
          <t>2027 entry (programme page)</t>
        </is>
      </c>
      <c r="AI223" s="77" t="inlineStr">
        <is>
          <t>Yes</t>
        </is>
      </c>
      <c r="AJ223" s="77">
        <f>IF(AND(AI223="Yes",AF223="Meets all three",AG223="Current delivery confirmed"),"Yes","No")</f>
        <v/>
      </c>
      <c r="AK223" s="77" t="inlineStr"/>
      <c r="AL223" s="77" t="inlineStr">
        <is>
          <t>RG14-S03-R1; RG14-S03-R2; RG14-S03-R3</t>
        </is>
      </c>
      <c r="AM223" s="77" t="inlineStr">
        <is>
          <t>Team-size evidence is a summary of mixed AMBS pages; 150 hours spread unknown.</t>
        </is>
      </c>
      <c r="AN223" s="77" t="inlineStr"/>
      <c r="AO223" s="77" t="inlineStr">
        <is>
          <t>UK</t>
        </is>
      </c>
      <c r="AP223" s="77" t="inlineStr">
        <is>
          <t>UK – Russell Group</t>
        </is>
      </c>
      <c r="AQ223" s="77" t="inlineStr">
        <is>
          <t>Unclear</t>
        </is>
      </c>
      <c r="AR223" s="77" t="inlineStr">
        <is>
          <t>All/standard</t>
        </is>
      </c>
      <c r="AS223" s="77" t="inlineStr"/>
    </row>
    <row r="224">
      <c r="A224" s="77" t="inlineStr">
        <is>
          <t>RG14</t>
        </is>
      </c>
      <c r="B224" s="77" t="inlineStr">
        <is>
          <t>Manchester</t>
        </is>
      </c>
      <c r="C224" s="77" t="inlineStr">
        <is>
          <t>Programme/course</t>
        </is>
      </c>
      <c r="D224" s="77" t="inlineStr">
        <is>
          <t>RG14-S04</t>
        </is>
      </c>
      <c r="E224" s="77" t="inlineStr">
        <is>
          <t>RG14-S01</t>
        </is>
      </c>
      <c r="F224" s="77" t="inlineStr">
        <is>
          <t>No</t>
        </is>
      </c>
      <c r="G224" s="79" t="inlineStr">
        <is>
          <t>Commercial Business Project</t>
        </is>
      </c>
      <c r="H224" s="77" t="inlineStr">
        <is>
          <t>Commercial Business Project</t>
        </is>
      </c>
      <c r="I224" s="77" t="inlineStr"/>
      <c r="J224"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24" s="77" t="inlineStr">
        <is>
          <t>Alliance Manchester Business School</t>
        </is>
      </c>
      <c r="L224" s="77" t="inlineStr">
        <is>
          <t>Full-time MBA</t>
        </is>
      </c>
      <c r="M224" s="77" t="inlineStr">
        <is>
          <t>Business/management</t>
        </is>
      </c>
      <c r="N224" s="77" t="inlineStr">
        <is>
          <t>Postgraduate taught</t>
        </is>
      </c>
      <c r="O224" s="77" t="inlineStr"/>
      <c r="P224" s="77" t="inlineStr">
        <is>
          <t>Full-time MBA students</t>
        </is>
      </c>
      <c r="Q224" s="77" t="inlineStr">
        <is>
          <t>Compulsory within specified programmes</t>
        </is>
      </c>
      <c r="R224" s="77" t="inlineStr">
        <is>
          <t>Curricular</t>
        </is>
      </c>
      <c r="S224" s="77" t="inlineStr">
        <is>
          <t>Not retrieved</t>
        </is>
      </c>
      <c r="T224" s="77" t="inlineStr">
        <is>
          <t>Late January brief to June presentation / July report</t>
        </is>
      </c>
      <c r="U224" s="77" t="inlineStr">
        <is>
          <t>In person, UK-based</t>
        </is>
      </c>
      <c r="V224" s="77" t="inlineStr">
        <is>
          <t>Yes</t>
        </is>
      </c>
      <c r="W224" s="77" t="inlineStr">
        <is>
          <t>Client business issue requiring a data-driven solution; presentation and formal report [7].</t>
        </is>
      </c>
      <c r="X224" s="77" t="inlineStr">
        <is>
          <t>Yes</t>
        </is>
      </c>
      <c r="Y224" s="77" t="inlineStr">
        <is>
          <t>Teams of five MBAs bid and are selected by the client [7].</t>
        </is>
      </c>
      <c r="Z224" s="77" t="inlineStr">
        <is>
          <t>Yes</t>
        </is>
      </c>
      <c r="AA224" s="77" t="inlineStr">
        <is>
          <t>Client submits the issue, chooses a team from bids, receives presentation and report [7]; 2021 example with a not-for-profit research organisation [8].</t>
        </is>
      </c>
      <c r="AB224" s="77" t="inlineStr">
        <is>
          <t>Mixed</t>
        </is>
      </c>
      <c r="AC224" s="77" t="inlineStr">
        <is>
          <t>Client sets brief, selects team, receives outputs</t>
        </is>
      </c>
      <c r="AD224" s="77" t="inlineStr"/>
      <c r="AE224" s="77" t="inlineStr">
        <is>
          <t>Presentation and formal report</t>
        </is>
      </c>
      <c r="AF224" s="77">
        <f>IF(OR(V224="No",X224="No",Z224="No"),"Outside strict definition",IF(AND(V224="Yes",X224="Yes",Z224="Yes"),"Meets all three","Potentially relevant; evidence incomplete"))</f>
        <v/>
      </c>
      <c r="AG224" s="77" t="inlineStr">
        <is>
          <t>Current status unclear</t>
        </is>
      </c>
      <c r="AH224" s="77" t="inlineStr">
        <is>
          <t>2021 (news example)</t>
        </is>
      </c>
      <c r="AI224" s="77" t="inlineStr">
        <is>
          <t>Yes</t>
        </is>
      </c>
      <c r="AJ224" s="77">
        <f>IF(AND(AI224="Yes",AF224="Meets all three",AG224="Current delivery confirmed"),"Yes","No")</f>
        <v/>
      </c>
      <c r="AK224" s="77" t="inlineStr"/>
      <c r="AL224" s="77" t="inlineStr">
        <is>
          <t>RG14-S04-R1; RG14-S04-R2</t>
        </is>
      </c>
      <c r="AM224" s="77" t="inlineStr">
        <is>
          <t>Page undated and project name absent from current Full-time MBA structure; may be historical or renamed. Possible duplicate of the current Strategic Innovation Consultancy Project.</t>
        </is>
      </c>
      <c r="AN224" s="77" t="inlineStr"/>
      <c r="AO224" s="77" t="inlineStr">
        <is>
          <t>UK</t>
        </is>
      </c>
      <c r="AP224" s="77" t="inlineStr">
        <is>
          <t>UK – Russell Group</t>
        </is>
      </c>
      <c r="AQ224" s="77" t="inlineStr">
        <is>
          <t>&gt;1 term</t>
        </is>
      </c>
      <c r="AR224" s="77" t="inlineStr">
        <is>
          <t>All/standard</t>
        </is>
      </c>
      <c r="AS224" s="77" t="inlineStr"/>
    </row>
    <row r="225">
      <c r="A225" s="77" t="inlineStr">
        <is>
          <t>RG14</t>
        </is>
      </c>
      <c r="B225" s="77" t="inlineStr">
        <is>
          <t>Manchester</t>
        </is>
      </c>
      <c r="C225" s="77" t="inlineStr">
        <is>
          <t>Programme/course</t>
        </is>
      </c>
      <c r="D225" s="77" t="inlineStr">
        <is>
          <t>RG14-S05</t>
        </is>
      </c>
      <c r="E225" s="77" t="inlineStr"/>
      <c r="F225" s="77" t="inlineStr">
        <is>
          <t>No</t>
        </is>
      </c>
      <c r="G225" s="79" t="inlineStr">
        <is>
          <t>MSc Business Analysis and Strategic Management client consultancy project</t>
        </is>
      </c>
      <c r="H225" s="77" t="inlineStr">
        <is>
          <t>MSc BASM consultancy project (capstone option)</t>
        </is>
      </c>
      <c r="I225" s="77" t="inlineStr"/>
      <c r="J225"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25" s="77" t="inlineStr">
        <is>
          <t>Alliance Manchester Business School</t>
        </is>
      </c>
      <c r="L225" s="77" t="inlineStr">
        <is>
          <t>MSc Business Analysis and Strategic Management</t>
        </is>
      </c>
      <c r="M225" s="77" t="inlineStr">
        <is>
          <t>Business/management</t>
        </is>
      </c>
      <c r="N225" s="77" t="inlineStr">
        <is>
          <t>Postgraduate taught</t>
        </is>
      </c>
      <c r="O225" s="77" t="inlineStr">
        <is>
          <t>Final (summer) period of 1-year MSc</t>
        </is>
      </c>
      <c r="P225" s="77" t="inlineStr">
        <is>
          <t>MSc BASM students choosing the consultancy option</t>
        </is>
      </c>
      <c r="Q225" s="77" t="inlineStr">
        <is>
          <t>Optional/elective</t>
        </is>
      </c>
      <c r="R225" s="77" t="inlineStr">
        <is>
          <t>Curricular</t>
        </is>
      </c>
      <c r="S225" s="77" t="inlineStr">
        <is>
          <t>60 credits; group project report up to 10,000 words + individual professional reflective report up to 2,000 words</t>
        </is>
      </c>
      <c r="T225" s="77" t="inlineStr">
        <is>
          <t>May to September</t>
        </is>
      </c>
      <c r="U225" s="77" t="inlineStr">
        <is>
          <t>Client-facing, faculty-supervised; expenses-only basis for client</t>
        </is>
      </c>
      <c r="V225" s="77" t="inlineStr">
        <is>
          <t>Yes</t>
        </is>
      </c>
      <c r="W225" s="77" t="inlineStr">
        <is>
          <t>Client consultancy project with group report [9][10].</t>
        </is>
      </c>
      <c r="X225" s="77" t="inlineStr">
        <is>
          <t>Yes</t>
        </is>
      </c>
      <c r="Y225" s="77" t="inlineStr">
        <is>
          <t>Assessment is a group project report of up to 10,000 words plus individual reflection [10].</t>
        </is>
      </c>
      <c r="Z225" s="77" t="inlineStr">
        <is>
          <t>Yes</t>
        </is>
      </c>
      <c r="AA225" s="77" t="inlineStr">
        <is>
          <t>Organisations supply the project, set the number of students and location, and receive interim and final presentations [9][11].</t>
        </is>
      </c>
      <c r="AB225" s="77" t="inlineStr">
        <is>
          <t>Unclear</t>
        </is>
      </c>
      <c r="AC225" s="77" t="inlineStr">
        <is>
          <t>Client organisation supplies brief, hosts team, receives presentations</t>
        </is>
      </c>
      <c r="AD225" s="77" t="inlineStr"/>
      <c r="AE225" s="77" t="inlineStr">
        <is>
          <t>Group consultancy report and client presentations</t>
        </is>
      </c>
      <c r="AF225" s="77">
        <f>IF(OR(V225="No",X225="No",Z225="No"),"Outside strict definition",IF(AND(V225="Yes",X225="Yes",Z225="Yes"),"Meets all three","Potentially relevant; evidence incomplete"))</f>
        <v/>
      </c>
      <c r="AG225" s="77" t="inlineStr">
        <is>
          <t>Current delivery confirmed</t>
        </is>
      </c>
      <c r="AH225" s="77" t="inlineStr">
        <is>
          <t>2027 entry (programme page)</t>
        </is>
      </c>
      <c r="AI225" s="77" t="inlineStr">
        <is>
          <t>Yes</t>
        </is>
      </c>
      <c r="AJ225" s="77">
        <f>IF(AND(AI225="Yes",AF225="Meets all three",AG225="Current delivery confirmed"),"Yes","No")</f>
        <v/>
      </c>
      <c r="AK225" s="77" t="inlineStr"/>
      <c r="AL225" s="77" t="inlineStr">
        <is>
          <t>RG14-S05-R1; RG14-S05-R2; RG14-S05-R3</t>
        </is>
      </c>
      <c r="AM225" s="77" t="inlineStr">
        <is>
          <t>Status basis is the 2027-entry programme page; client sectors not evidenced; MSc Business Analytics &amp; AI summer projects are dissertations (excluded).</t>
        </is>
      </c>
      <c r="AN225" s="77" t="inlineStr"/>
      <c r="AO225" s="77" t="inlineStr">
        <is>
          <t>UK</t>
        </is>
      </c>
      <c r="AP225" s="77" t="inlineStr">
        <is>
          <t>UK – Russell Group</t>
        </is>
      </c>
      <c r="AQ225" s="77" t="inlineStr">
        <is>
          <t>&gt;1 term</t>
        </is>
      </c>
      <c r="AR225" s="77" t="inlineStr">
        <is>
          <t>All/standard</t>
        </is>
      </c>
      <c r="AS225" s="77" t="inlineStr"/>
    </row>
    <row r="226">
      <c r="A226" s="77" t="inlineStr">
        <is>
          <t>RG14</t>
        </is>
      </c>
      <c r="B226" s="77" t="inlineStr">
        <is>
          <t>Manchester</t>
        </is>
      </c>
      <c r="C226" s="77" t="inlineStr">
        <is>
          <t>Programme/course</t>
        </is>
      </c>
      <c r="D226" s="77" t="inlineStr">
        <is>
          <t>RG14-S06</t>
        </is>
      </c>
      <c r="E226" s="77" t="inlineStr"/>
      <c r="F226" s="77" t="inlineStr">
        <is>
          <t>No</t>
        </is>
      </c>
      <c r="G226" s="79" t="inlineStr">
        <is>
          <t>BSc Management final-year live consultancy project</t>
        </is>
      </c>
      <c r="H226" s="77" t="inlineStr">
        <is>
          <t>BSc Management live consultancy project</t>
        </is>
      </c>
      <c r="I226" s="77" t="inlineStr"/>
      <c r="J226" s="77" t="inlineStr">
        <is>
          <t>Final-year option (alternative to dissertation or taught units) across BSc Management pathways: students are assigned to a client company and work alongside it to apply their learning to deliver change and new business processes.</t>
        </is>
      </c>
      <c r="K226" s="77" t="inlineStr">
        <is>
          <t>Alliance Manchester Business School</t>
        </is>
      </c>
      <c r="L226" s="77" t="inlineStr">
        <is>
          <t>BSc Management and specialist pathways (e.g. Accounting and Finance; with Industrial/Professional Experience)</t>
        </is>
      </c>
      <c r="M226" s="77" t="inlineStr">
        <is>
          <t>Business/management</t>
        </is>
      </c>
      <c r="N226" s="77" t="inlineStr">
        <is>
          <t>Undergraduate</t>
        </is>
      </c>
      <c r="O226" s="77" t="inlineStr">
        <is>
          <t>Final year</t>
        </is>
      </c>
      <c r="P226" s="77" t="inlineStr">
        <is>
          <t>BSc Management students choosing the consultancy route</t>
        </is>
      </c>
      <c r="Q226" s="77" t="inlineStr">
        <is>
          <t>Optional/elective</t>
        </is>
      </c>
      <c r="R226" s="77" t="inlineStr">
        <is>
          <t>Curricular</t>
        </is>
      </c>
      <c r="S226" s="77" t="inlineStr">
        <is>
          <t>Not retrieved</t>
        </is>
      </c>
      <c r="T226" s="77" t="inlineStr">
        <is>
          <t>Not retrieved</t>
        </is>
      </c>
      <c r="U226" s="77" t="inlineStr">
        <is>
          <t>Client-based</t>
        </is>
      </c>
      <c r="V226" s="77" t="inlineStr">
        <is>
          <t>Yes</t>
        </is>
      </c>
      <c r="W226" s="77" t="inlineStr">
        <is>
          <t>Live consultancy project delivering change for a client company [12].</t>
        </is>
      </c>
      <c r="X226" s="77" t="inlineStr">
        <is>
          <t>Unclear</t>
        </is>
      </c>
      <c r="Y226" s="77" t="inlineStr">
        <is>
          <t>No source states whether students work in teams or individually on the consultancy project.</t>
        </is>
      </c>
      <c r="Z226" s="77" t="inlineStr">
        <is>
          <t>Yes</t>
        </is>
      </c>
      <c r="AA226" s="77" t="inlineStr">
        <is>
          <t>Students 'assigned to a client company and work alongside it' [12]; 'live consultancy project, working with real organisations' [13].</t>
        </is>
      </c>
      <c r="AB226" s="77" t="inlineStr">
        <is>
          <t>Business/commercial</t>
        </is>
      </c>
      <c r="AC226" s="77" t="inlineStr">
        <is>
          <t>Client company hosts and sets the change problem</t>
        </is>
      </c>
      <c r="AD226" s="77" t="inlineStr"/>
      <c r="AE226" s="77" t="inlineStr">
        <is>
          <t>Not specified</t>
        </is>
      </c>
      <c r="AF226" s="77">
        <f>IF(OR(V226="No",X226="No",Z226="No"),"Outside strict definition",IF(AND(V226="Yes",X226="Yes",Z226="Yes"),"Meets all three","Potentially relevant; evidence incomplete"))</f>
        <v/>
      </c>
      <c r="AG226" s="77" t="inlineStr">
        <is>
          <t>Current delivery confirmed</t>
        </is>
      </c>
      <c r="AH226" s="77" t="inlineStr">
        <is>
          <t>2026/27 (2026-entry course page)</t>
        </is>
      </c>
      <c r="AI226" s="77" t="inlineStr">
        <is>
          <t>Yes</t>
        </is>
      </c>
      <c r="AJ226" s="77">
        <f>IF(AND(AI226="Yes",AF226="Meets all three",AG226="Current delivery confirmed"),"Yes","No")</f>
        <v/>
      </c>
      <c r="AK226" s="77" t="inlineStr"/>
      <c r="AL226" s="77" t="inlineStr">
        <is>
          <t>RG14-S06-R1; RG14-S06-R2</t>
        </is>
      </c>
      <c r="AM226" s="77" t="inlineStr">
        <is>
          <t>Group vs individual format; unit code; credits.</t>
        </is>
      </c>
      <c r="AN226" s="77" t="inlineStr"/>
      <c r="AO226" s="77" t="inlineStr">
        <is>
          <t>UK</t>
        </is>
      </c>
      <c r="AP226" s="77" t="inlineStr">
        <is>
          <t>UK – Russell Group</t>
        </is>
      </c>
      <c r="AQ226" s="77" t="inlineStr">
        <is>
          <t>Unclear</t>
        </is>
      </c>
      <c r="AR226" s="77" t="inlineStr">
        <is>
          <t>All/standard</t>
        </is>
      </c>
      <c r="AS226" s="77" t="inlineStr"/>
    </row>
    <row r="227">
      <c r="A227" s="77" t="inlineStr">
        <is>
          <t>RG14</t>
        </is>
      </c>
      <c r="B227" s="77" t="inlineStr">
        <is>
          <t>Manchester</t>
        </is>
      </c>
      <c r="C227" s="77" t="inlineStr">
        <is>
          <t>University-wide</t>
        </is>
      </c>
      <c r="D227" s="77" t="inlineStr">
        <is>
          <t>RG14-S07</t>
        </is>
      </c>
      <c r="E227" s="77" t="inlineStr"/>
      <c r="F227" s="77" t="inlineStr">
        <is>
          <t>No</t>
        </is>
      </c>
      <c r="G227" s="79" t="inlineStr">
        <is>
          <t>Manchester Enterprise Challenge</t>
        </is>
      </c>
      <c r="H227" s="77" t="inlineStr">
        <is>
          <t>Manchester Enterprise Challenge</t>
        </is>
      </c>
      <c r="I227" s="77" t="inlineStr"/>
      <c r="J227"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27" s="77" t="inlineStr">
        <is>
          <t>UCIL / Masood Entrepreneurship Centre (Alliance MBS)</t>
        </is>
      </c>
      <c r="L227" s="77" t="inlineStr">
        <is>
          <t>Undergraduates enrolled on a UCIL enterprise unit (UCIL units are open across faculties subject to optional credit)</t>
        </is>
      </c>
      <c r="M227" s="77" t="inlineStr">
        <is>
          <t>Central provision</t>
        </is>
      </c>
      <c r="N227" s="77" t="inlineStr">
        <is>
          <t>Undergraduate</t>
        </is>
      </c>
      <c r="O227" s="77" t="inlineStr">
        <is>
          <t>Not specified</t>
        </is>
      </c>
      <c r="P227" s="77" t="inlineStr">
        <is>
          <t>Must enrol on an eligible 10-credit UCIL enterprise unit via Course Unit Selection; check with Undergraduate Office / Academic Advisor</t>
        </is>
      </c>
      <c r="Q227" s="77" t="inlineStr">
        <is>
          <t>Optional/elective</t>
        </is>
      </c>
      <c r="R227" s="77" t="inlineStr">
        <is>
          <t>Mixed</t>
        </is>
      </c>
      <c r="S227" s="77" t="inlineStr">
        <is>
          <t>10-credit UCIL unit component; project component credit not stated</t>
        </is>
      </c>
      <c r="T227" s="77" t="inlineStr">
        <is>
          <t>Approximately 20 hours of project work per student</t>
        </is>
      </c>
      <c r="U227" s="77" t="inlineStr">
        <is>
          <t>Group work with community organisation; showcase pitch</t>
        </is>
      </c>
      <c r="V227" s="77" t="inlineStr">
        <is>
          <t>Yes</t>
        </is>
      </c>
      <c r="W227" s="77" t="inlineStr">
        <is>
          <t>Specific improvement opportunity for a host organisation; outcome presented as pitch deck [14][15].</t>
        </is>
      </c>
      <c r="X227" s="77" t="inlineStr">
        <is>
          <t>Yes</t>
        </is>
      </c>
      <c r="Y227" s="77" t="inlineStr">
        <is>
          <t>'working as part of a group' completing about 20 hours each [14].</t>
        </is>
      </c>
      <c r="Z227" s="77" t="inlineStr">
        <is>
          <t>Yes</t>
        </is>
      </c>
      <c r="AA227" s="77" t="inlineStr">
        <is>
          <t>Local charities/social enterprises/not-for-profits host the projects and project hosts sit on the judging panel [14][15].</t>
        </is>
      </c>
      <c r="AB227" s="77" t="inlineStr">
        <is>
          <t>Charity/community</t>
        </is>
      </c>
      <c r="AC227" s="77" t="inlineStr">
        <is>
          <t>Host organisation sets the improvement opportunity and judges final pitches</t>
        </is>
      </c>
      <c r="AD227" s="77" t="inlineStr">
        <is>
          <t>Action for Conservation (showcase on 7 May, year not stated in extract)</t>
        </is>
      </c>
      <c r="AE227" s="77" t="inlineStr">
        <is>
          <t>Pitch deck presentation of project outcomes</t>
        </is>
      </c>
      <c r="AF227" s="77">
        <f>IF(OR(V227="No",X227="No",Z227="No"),"Outside strict definition",IF(AND(V227="Yes",X227="Yes",Z227="Yes"),"Meets all three","Potentially relevant; evidence incomplete"))</f>
        <v/>
      </c>
      <c r="AG227" s="77" t="inlineStr">
        <is>
          <t>Current status unclear</t>
        </is>
      </c>
      <c r="AH227" s="77" t="inlineStr">
        <is>
          <t>Undated (7 May showcase; year not stated)</t>
        </is>
      </c>
      <c r="AI227" s="77" t="inlineStr">
        <is>
          <t>Yes</t>
        </is>
      </c>
      <c r="AJ227" s="77">
        <f>IF(AND(AI227="Yes",AF227="Meets all three",AG227="Current delivery confirmed"),"Yes","No")</f>
        <v/>
      </c>
      <c r="AK227" s="77" t="inlineStr"/>
      <c r="AL227" s="77" t="inlineStr">
        <is>
          <t>RG14-S07-R1; RG14-S07-R2; RG14-S07-R3</t>
        </is>
      </c>
      <c r="AM227"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27" s="77" t="inlineStr">
        <is>
          <t>University College for Interdisciplinary Learning (UCIL)</t>
        </is>
      </c>
      <c r="AO227" s="77" t="inlineStr">
        <is>
          <t>UK</t>
        </is>
      </c>
      <c r="AP227" s="77" t="inlineStr">
        <is>
          <t>UK – Russell Group</t>
        </is>
      </c>
      <c r="AQ227" s="77" t="inlineStr">
        <is>
          <t>Unclear</t>
        </is>
      </c>
      <c r="AR227" s="77" t="inlineStr">
        <is>
          <t>All/standard</t>
        </is>
      </c>
      <c r="AS227" s="77" t="inlineStr"/>
    </row>
    <row r="228">
      <c r="A228" s="77" t="inlineStr">
        <is>
          <t>RG14</t>
        </is>
      </c>
      <c r="B228" s="77" t="inlineStr">
        <is>
          <t>Manchester</t>
        </is>
      </c>
      <c r="C228" s="77" t="inlineStr">
        <is>
          <t>Programme/course</t>
        </is>
      </c>
      <c r="D228" s="77" t="inlineStr">
        <is>
          <t>RG14-S08</t>
        </is>
      </c>
      <c r="E228" s="77" t="inlineStr"/>
      <c r="F228" s="77" t="inlineStr">
        <is>
          <t>No</t>
        </is>
      </c>
      <c r="G228" s="79" t="inlineStr">
        <is>
          <t>Civil Group Design Project</t>
        </is>
      </c>
      <c r="H228" s="77" t="inlineStr">
        <is>
          <t>Civil Group Design Project</t>
        </is>
      </c>
      <c r="I228" s="77" t="inlineStr">
        <is>
          <t>CIVL41530</t>
        </is>
      </c>
      <c r="J228" s="77" t="inlineStr">
        <is>
          <t>Final-year (Year 4) industry-supervised group design project in the MEng Civil Engineering family (Civil and Structural; Civil Engineering (Enterprise); with Industrial Experience variants).</t>
        </is>
      </c>
      <c r="K228" s="77" t="inlineStr">
        <is>
          <t>Department of Civil Engineering and Management (Faculty of Science and Engineering)</t>
        </is>
      </c>
      <c r="L228" s="77" t="inlineStr">
        <is>
          <t>MEng Civil and Structural Engineering, MEng Civil Engineering, MEng Civil Engineering (Enterprise) and Industrial Experience variants</t>
        </is>
      </c>
      <c r="M228" s="77" t="inlineStr">
        <is>
          <t>Engineering/computing</t>
        </is>
      </c>
      <c r="N228" s="77" t="inlineStr">
        <is>
          <t>Undergraduate</t>
        </is>
      </c>
      <c r="O228" s="77" t="inlineStr">
        <is>
          <t>Year 4 (final MEng year)</t>
        </is>
      </c>
      <c r="P228" s="77" t="inlineStr">
        <is>
          <t>MEng Civil students</t>
        </is>
      </c>
      <c r="Q228" s="77" t="inlineStr">
        <is>
          <t>Compulsory within specified programmes</t>
        </is>
      </c>
      <c r="R228" s="77" t="inlineStr">
        <is>
          <t>Curricular</t>
        </is>
      </c>
      <c r="S228" s="77" t="inlineStr">
        <is>
          <t>30 credits, mandatory (2025-entry Civil Engineering (Enterprise) listing)</t>
        </is>
      </c>
      <c r="T228" s="77" t="inlineStr">
        <is>
          <t>Final year</t>
        </is>
      </c>
      <c r="U228" s="77" t="inlineStr">
        <is>
          <t>In person group design</t>
        </is>
      </c>
      <c r="V228" s="77" t="inlineStr">
        <is>
          <t>Yes</t>
        </is>
      </c>
      <c r="W228" s="77" t="inlineStr">
        <is>
          <t>Group design project [17][18].</t>
        </is>
      </c>
      <c r="X228" s="77" t="inlineStr">
        <is>
          <t>Yes</t>
        </is>
      </c>
      <c r="Y228" s="77" t="inlineStr">
        <is>
          <t>'industry-supervised group design project' [17].</t>
        </is>
      </c>
      <c r="Z228" s="77" t="inlineStr">
        <is>
          <t>Yes</t>
        </is>
      </c>
      <c r="AA228" s="77" t="inlineStr">
        <is>
          <t>Project is industry-supervised (industry participates in supervision) [17][18].</t>
        </is>
      </c>
      <c r="AB228" s="77" t="inlineStr">
        <is>
          <t>Business/commercial</t>
        </is>
      </c>
      <c r="AC228" s="77" t="inlineStr">
        <is>
          <t>Industry practitioners supervise the design project</t>
        </is>
      </c>
      <c r="AD228" s="77" t="inlineStr"/>
      <c r="AE228" s="77" t="inlineStr">
        <is>
          <t>Design project outputs (not detailed)</t>
        </is>
      </c>
      <c r="AF228" s="77">
        <f>IF(OR(V228="No",X228="No",Z228="No"),"Outside strict definition",IF(AND(V228="Yes",X228="Yes",Z228="Yes"),"Meets all three","Potentially relevant; evidence incomplete"))</f>
        <v/>
      </c>
      <c r="AG228" s="77" t="inlineStr">
        <is>
          <t>Current delivery confirmed</t>
        </is>
      </c>
      <c r="AH228" s="77" t="inlineStr">
        <is>
          <t>2025/26 (2025-entry course structure listing)</t>
        </is>
      </c>
      <c r="AI228" s="77" t="inlineStr">
        <is>
          <t>Yes</t>
        </is>
      </c>
      <c r="AJ228" s="77">
        <f>IF(AND(AI228="Yes",AF228="Meets all three",AG228="Current delivery confirmed"),"Yes","No")</f>
        <v/>
      </c>
      <c r="AK228" s="77" t="inlineStr"/>
      <c r="AL228" s="77" t="inlineStr">
        <is>
          <t>RG14-S08-R1; RG14-S08-R2</t>
        </is>
      </c>
      <c r="AM228" s="77" t="inlineStr">
        <is>
          <t>Whether industry sets the brief or only supervises; unit-level assessment details not retrieved; current status based on dated course-structure listings rather than a cohort report.</t>
        </is>
      </c>
      <c r="AN228" s="77" t="inlineStr"/>
      <c r="AO228" s="77" t="inlineStr">
        <is>
          <t>UK</t>
        </is>
      </c>
      <c r="AP228" s="77" t="inlineStr">
        <is>
          <t>UK – Russell Group</t>
        </is>
      </c>
      <c r="AQ228" s="77" t="inlineStr">
        <is>
          <t>&gt;1 term</t>
        </is>
      </c>
      <c r="AR228" s="77" t="inlineStr">
        <is>
          <t>All/standard</t>
        </is>
      </c>
      <c r="AS228" s="77" t="inlineStr"/>
    </row>
    <row r="229">
      <c r="A229" s="77" t="inlineStr">
        <is>
          <t>RG14</t>
        </is>
      </c>
      <c r="B229" s="77" t="inlineStr">
        <is>
          <t>Manchester</t>
        </is>
      </c>
      <c r="C229" s="77" t="inlineStr">
        <is>
          <t>Programme/course</t>
        </is>
      </c>
      <c r="D229" s="77" t="inlineStr">
        <is>
          <t>RG14-S09</t>
        </is>
      </c>
      <c r="E229" s="77" t="inlineStr"/>
      <c r="F229" s="77" t="inlineStr">
        <is>
          <t>No</t>
        </is>
      </c>
      <c r="G229" s="79" t="inlineStr">
        <is>
          <t>Software Engineering 1 with industrial mentoring</t>
        </is>
      </c>
      <c r="H229" s="77" t="inlineStr">
        <is>
          <t>Software Engineering 1 (industrial mentoring)</t>
        </is>
      </c>
      <c r="I229" s="77" t="inlineStr">
        <is>
          <t>COMP23311</t>
        </is>
      </c>
      <c r="J229"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29" s="77" t="inlineStr">
        <is>
          <t>Department of Computer Science</t>
        </is>
      </c>
      <c r="L229" s="77" t="inlineStr">
        <is>
          <t>Computer Science undergraduate programmes</t>
        </is>
      </c>
      <c r="M229" s="77" t="inlineStr">
        <is>
          <t>Engineering/computing</t>
        </is>
      </c>
      <c r="N229" s="77" t="inlineStr">
        <is>
          <t>Undergraduate</t>
        </is>
      </c>
      <c r="O229" s="77" t="inlineStr">
        <is>
          <t>Year 2</t>
        </is>
      </c>
      <c r="P229" s="77" t="inlineStr">
        <is>
          <t>Computer Science students taking COMP23311</t>
        </is>
      </c>
      <c r="Q229" s="77" t="inlineStr">
        <is>
          <t>Unclear</t>
        </is>
      </c>
      <c r="R229" s="77" t="inlineStr">
        <is>
          <t>Curricular</t>
        </is>
      </c>
      <c r="S229" s="77" t="inlineStr">
        <is>
          <t>10 credits</t>
        </is>
      </c>
      <c r="T229" s="77" t="inlineStr">
        <is>
          <t>12 weeks</t>
        </is>
      </c>
      <c r="U229" s="77" t="inlineStr">
        <is>
          <t>Team project with online industry mentor sessions</t>
        </is>
      </c>
      <c r="V229" s="77" t="inlineStr">
        <is>
          <t>Yes</t>
        </is>
      </c>
      <c r="W229" s="77" t="inlineStr">
        <is>
          <t>12-week team software engineering project on an open-source application [19].</t>
        </is>
      </c>
      <c r="X229" s="77" t="inlineStr">
        <is>
          <t>Yes</t>
        </is>
      </c>
      <c r="Y229" s="77" t="inlineStr">
        <is>
          <t>Small teams of six [19]; older mentor guide says teams of 5 or 6 [20].</t>
        </is>
      </c>
      <c r="Z229" s="77" t="inlineStr">
        <is>
          <t>Yes</t>
        </is>
      </c>
      <c r="AA229" s="77" t="inlineStr">
        <is>
          <t>Professional software engineers from industry mentor each team (around two sessions per semester) [19][20]. The brief is academic (open-source codebase); industry role is mentoring only, and mentors are asked not to help with assessed coursework.</t>
        </is>
      </c>
      <c r="AB229" s="77" t="inlineStr">
        <is>
          <t>Business/commercial</t>
        </is>
      </c>
      <c r="AC229" s="77" t="inlineStr">
        <is>
          <t>Mentoring only; no client brief</t>
        </is>
      </c>
      <c r="AD229" s="77" t="inlineStr"/>
      <c r="AE229" s="77" t="inlineStr">
        <is>
          <t>Team software contributions (assessed by university)</t>
        </is>
      </c>
      <c r="AF229" s="77">
        <f>IF(OR(V229="No",X229="No",Z229="No"),"Outside strict definition",IF(AND(V229="Yes",X229="Yes",Z229="Yes"),"Meets all three","Potentially relevant; evidence incomplete"))</f>
        <v/>
      </c>
      <c r="AG229" s="77" t="inlineStr">
        <is>
          <t>Current status unclear</t>
        </is>
      </c>
      <c r="AH229" s="77" t="inlineStr">
        <is>
          <t>Undated (unit listed in 2027-entry course details)</t>
        </is>
      </c>
      <c r="AI229" s="77" t="inlineStr">
        <is>
          <t>Yes</t>
        </is>
      </c>
      <c r="AJ229" s="77">
        <f>IF(AND(AI229="Yes",AF229="Meets all three",AG229="Current delivery confirmed"),"Yes","No")</f>
        <v/>
      </c>
      <c r="AK229" s="77" t="inlineStr">
        <is>
          <t>Over 200 students (undated departmental page)</t>
        </is>
      </c>
      <c r="AL229" s="77" t="inlineStr">
        <is>
          <t>RG14-S09-R1; RG14-S09-R2; RG14-S09-R3</t>
        </is>
      </c>
      <c r="AM229"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29" s="77" t="inlineStr"/>
      <c r="AO229" s="77" t="inlineStr">
        <is>
          <t>UK</t>
        </is>
      </c>
      <c r="AP229" s="77" t="inlineStr">
        <is>
          <t>UK – Russell Group</t>
        </is>
      </c>
      <c r="AQ229" s="77" t="inlineStr">
        <is>
          <t>~1 term/semester</t>
        </is>
      </c>
      <c r="AR229" s="77" t="inlineStr">
        <is>
          <t>All/standard</t>
        </is>
      </c>
      <c r="AS229" s="77" t="inlineStr"/>
    </row>
    <row r="230">
      <c r="A230" s="77" t="inlineStr">
        <is>
          <t>RG14</t>
        </is>
      </c>
      <c r="B230" s="77" t="inlineStr">
        <is>
          <t>Manchester</t>
        </is>
      </c>
      <c r="C230" s="77" t="inlineStr">
        <is>
          <t>Programme/course</t>
        </is>
      </c>
      <c r="D230" s="77" t="inlineStr">
        <is>
          <t>RG14-S10</t>
        </is>
      </c>
      <c r="E230" s="77" t="inlineStr"/>
      <c r="F230" s="77" t="inlineStr">
        <is>
          <t>No</t>
        </is>
      </c>
      <c r="G230" s="79" t="inlineStr">
        <is>
          <t>Commercialisation in the Life Sciences</t>
        </is>
      </c>
      <c r="H230" s="77" t="inlineStr">
        <is>
          <t>Commercialisation in the Life Sciences</t>
        </is>
      </c>
      <c r="I230" s="77" t="inlineStr">
        <is>
          <t>BIOL60760</t>
        </is>
      </c>
      <c r="J230" s="77" t="inlineStr">
        <is>
          <t>Masters-level life-sciences unit delivered through lectures, case studies and a group project working with an external company, built around developing a business plan for a biotechnology product.</t>
        </is>
      </c>
      <c r="K230" s="77" t="inlineStr">
        <is>
          <t>Faculty of Biology, Medicine and Health / Masood Entrepreneurship Centre listing</t>
        </is>
      </c>
      <c r="L230" s="77" t="inlineStr">
        <is>
          <t>Not retrieved (Masters programmes offering BIOL60760)</t>
        </is>
      </c>
      <c r="M230" s="77" t="inlineStr">
        <is>
          <t>Science</t>
        </is>
      </c>
      <c r="N230" s="77" t="inlineStr">
        <is>
          <t>Postgraduate taught</t>
        </is>
      </c>
      <c r="O230" s="77" t="inlineStr"/>
      <c r="P230" s="77" t="inlineStr">
        <is>
          <t>Not retrieved</t>
        </is>
      </c>
      <c r="Q230" s="77" t="inlineStr">
        <is>
          <t>Unclear</t>
        </is>
      </c>
      <c r="R230" s="77" t="inlineStr">
        <is>
          <t>Curricular</t>
        </is>
      </c>
      <c r="S230" s="77" t="inlineStr">
        <is>
          <t>Not retrieved</t>
        </is>
      </c>
      <c r="T230" s="77" t="inlineStr">
        <is>
          <t>Not retrieved</t>
        </is>
      </c>
      <c r="U230" s="77" t="inlineStr">
        <is>
          <t>Lectures, case study work, group project</t>
        </is>
      </c>
      <c r="V230" s="77" t="inlineStr">
        <is>
          <t>Yes</t>
        </is>
      </c>
      <c r="W230" s="77" t="inlineStr">
        <is>
          <t>Business plan for a biotechnology product developed in a group project [22].</t>
        </is>
      </c>
      <c r="X230" s="77" t="inlineStr">
        <is>
          <t>Yes</t>
        </is>
      </c>
      <c r="Y230" s="77" t="inlineStr">
        <is>
          <t>'participation in a group project' [22].</t>
        </is>
      </c>
      <c r="Z230" s="77" t="inlineStr">
        <is>
          <t>Yes</t>
        </is>
      </c>
      <c r="AA230" s="77" t="inlineStr">
        <is>
          <t>Group project is 'working with an external company' [22]; exact company role (brief-setting/feedback) not specified.</t>
        </is>
      </c>
      <c r="AB230" s="77" t="inlineStr">
        <is>
          <t>Business/commercial</t>
        </is>
      </c>
      <c r="AC230" s="77" t="inlineStr">
        <is>
          <t>External company works with the group on the project</t>
        </is>
      </c>
      <c r="AD230" s="77" t="inlineStr"/>
      <c r="AE230" s="77" t="inlineStr">
        <is>
          <t>Business plan</t>
        </is>
      </c>
      <c r="AF230" s="77">
        <f>IF(OR(V230="No",X230="No",Z230="No"),"Outside strict definition",IF(AND(V230="Yes",X230="Yes",Z230="Yes"),"Meets all three","Potentially relevant; evidence incomplete"))</f>
        <v/>
      </c>
      <c r="AG230" s="77" t="inlineStr">
        <is>
          <t>Current status unclear</t>
        </is>
      </c>
      <c r="AH230" s="77" t="inlineStr">
        <is>
          <t>Undated</t>
        </is>
      </c>
      <c r="AI230" s="77" t="inlineStr">
        <is>
          <t>Yes</t>
        </is>
      </c>
      <c r="AJ230" s="77">
        <f>IF(AND(AI230="Yes",AF230="Meets all three",AG230="Current delivery confirmed"),"Yes","No")</f>
        <v/>
      </c>
      <c r="AK230" s="77" t="inlineStr"/>
      <c r="AL230" s="77" t="inlineStr">
        <is>
          <t>RG14-S10-R1</t>
        </is>
      </c>
      <c r="AM230" s="77" t="inlineStr">
        <is>
          <t>Undated unit page; host programmes, credits and company role not retrieved.</t>
        </is>
      </c>
      <c r="AN230" s="77" t="inlineStr"/>
      <c r="AO230" s="77" t="inlineStr">
        <is>
          <t>UK</t>
        </is>
      </c>
      <c r="AP230" s="77" t="inlineStr">
        <is>
          <t>UK – Russell Group</t>
        </is>
      </c>
      <c r="AQ230" s="77" t="inlineStr">
        <is>
          <t>Unclear</t>
        </is>
      </c>
      <c r="AR230" s="77" t="inlineStr">
        <is>
          <t>All/standard</t>
        </is>
      </c>
      <c r="AS230" s="77" t="inlineStr"/>
    </row>
    <row r="231">
      <c r="A231" s="77" t="inlineStr">
        <is>
          <t>RG14</t>
        </is>
      </c>
      <c r="B231" s="77" t="inlineStr">
        <is>
          <t>Manchester</t>
        </is>
      </c>
      <c r="C231" s="77" t="inlineStr">
        <is>
          <t>Cross-faculty</t>
        </is>
      </c>
      <c r="D231" s="77" t="inlineStr">
        <is>
          <t>RG14-S11</t>
        </is>
      </c>
      <c r="E231" s="77" t="inlineStr"/>
      <c r="F231" s="77" t="inlineStr">
        <is>
          <t>No</t>
        </is>
      </c>
      <c r="G231" s="79" t="inlineStr">
        <is>
          <t>University Living Lab</t>
        </is>
      </c>
      <c r="H231" s="77" t="inlineStr">
        <is>
          <t>University Living Lab</t>
        </is>
      </c>
      <c r="I231" s="77" t="inlineStr"/>
      <c r="J231"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31" s="77" t="inlineStr">
        <is>
          <t>School of Environment, Education and Development (SEED)</t>
        </is>
      </c>
      <c r="L231" s="77" t="inlineStr">
        <is>
          <t>Course units that adopt Living Lab projects (SEED; also engineering foundation year)</t>
        </is>
      </c>
      <c r="M231" s="77" t="inlineStr">
        <is>
          <t>Arts/humanities/social sciences; Engineering/computing</t>
        </is>
      </c>
      <c r="N231" s="77" t="inlineStr">
        <is>
          <t>Mixed</t>
        </is>
      </c>
      <c r="O231" s="77" t="inlineStr">
        <is>
          <t>Various</t>
        </is>
      </c>
      <c r="P231" s="77" t="inlineStr">
        <is>
          <t>Via participating course units</t>
        </is>
      </c>
      <c r="Q231" s="77" t="inlineStr">
        <is>
          <t>Unclear</t>
        </is>
      </c>
      <c r="R231" s="77" t="inlineStr">
        <is>
          <t>Curricular</t>
        </is>
      </c>
      <c r="S231" s="77" t="inlineStr">
        <is>
          <t>Embedded in unit assessment (unit-level details not retrieved)</t>
        </is>
      </c>
      <c r="T231" s="77" t="inlineStr">
        <is>
          <t>Unit-dependent</t>
        </is>
      </c>
      <c r="U231" s="77" t="inlineStr">
        <is>
          <t>Applied research projects for external stakeholders</t>
        </is>
      </c>
      <c r="V231" s="77" t="inlineStr">
        <is>
          <t>Yes</t>
        </is>
      </c>
      <c r="W231" s="77" t="inlineStr">
        <is>
          <t>Projects with defined questions from external stakeholders requiring policy/data analysis or data collection [23].</t>
        </is>
      </c>
      <c r="X231" s="77" t="inlineStr">
        <is>
          <t>Unclear</t>
        </is>
      </c>
      <c r="Y231" s="77" t="inlineStr">
        <is>
          <t>No retrieved source states whether Living Lab projects are done in groups or individually.</t>
        </is>
      </c>
      <c r="Z231" s="77" t="inlineStr">
        <is>
          <t>Yes</t>
        </is>
      </c>
      <c r="AA231" s="77" t="inlineStr">
        <is>
          <t>Projects are set by around 50 external stakeholders; outputs used by organisations (e.g. presentation to the Rockefeller Foundation; shaping food bank location and practice) [23][24]; engineering foundation-year students 'work with an external organisation' [25].</t>
        </is>
      </c>
      <c r="AB231" s="77" t="inlineStr">
        <is>
          <t>Mixed</t>
        </is>
      </c>
      <c r="AC231" s="77" t="inlineStr">
        <is>
          <t>External organisations set project questions and use outputs</t>
        </is>
      </c>
      <c r="AD231" s="77" t="inlineStr">
        <is>
          <t>Rockefeller Foundation (presentation of student work; undated)</t>
        </is>
      </c>
      <c r="AE231" s="77" t="inlineStr">
        <is>
          <t>Research/analysis outputs for partner organisations</t>
        </is>
      </c>
      <c r="AF231" s="77">
        <f>IF(OR(V231="No",X231="No",Z231="No"),"Outside strict definition",IF(AND(V231="Yes",X231="Yes",Z231="Yes"),"Meets all three","Potentially relevant; evidence incomplete"))</f>
        <v/>
      </c>
      <c r="AG231" s="77" t="inlineStr">
        <is>
          <t>Current status unclear</t>
        </is>
      </c>
      <c r="AH231" s="77" t="inlineStr">
        <is>
          <t>2027 entry (engineering foundation year page mentions Living Lab)</t>
        </is>
      </c>
      <c r="AI231" s="77" t="inlineStr">
        <is>
          <t>Yes</t>
        </is>
      </c>
      <c r="AJ231" s="77">
        <f>IF(AND(AI231="Yes",AF231="Meets all three",AG231="Current delivery confirmed"),"Yes","No")</f>
        <v/>
      </c>
      <c r="AK231" s="77" t="inlineStr"/>
      <c r="AL231" s="77" t="inlineStr">
        <is>
          <t>RG14-S11-R1; RG14-S11-R2; RG14-S11-R3</t>
        </is>
      </c>
      <c r="AM231" s="77" t="inlineStr">
        <is>
          <t>Group format and the specific SEED units using the Living Lab not identified (search budget exhausted); Living Lab pages undated.</t>
        </is>
      </c>
      <c r="AN231" s="77" t="inlineStr"/>
      <c r="AO231" s="77" t="inlineStr">
        <is>
          <t>UK</t>
        </is>
      </c>
      <c r="AP231" s="77" t="inlineStr">
        <is>
          <t>UK – Russell Group</t>
        </is>
      </c>
      <c r="AQ231" s="77" t="inlineStr">
        <is>
          <t>Unclear</t>
        </is>
      </c>
      <c r="AR231" s="77" t="inlineStr">
        <is>
          <t>All/standard</t>
        </is>
      </c>
      <c r="AS231" s="77" t="inlineStr"/>
    </row>
    <row r="232">
      <c r="A232" s="77" t="inlineStr">
        <is>
          <t>RG14</t>
        </is>
      </c>
      <c r="B232" s="77" t="inlineStr">
        <is>
          <t>Manchester</t>
        </is>
      </c>
      <c r="C232" s="77" t="inlineStr">
        <is>
          <t>Programme/course</t>
        </is>
      </c>
      <c r="D232" s="77" t="inlineStr">
        <is>
          <t>RG14-S12</t>
        </is>
      </c>
      <c r="E232" s="77" t="inlineStr"/>
      <c r="F232" s="77" t="inlineStr">
        <is>
          <t>No</t>
        </is>
      </c>
      <c r="G232" s="79" t="inlineStr">
        <is>
          <t>Final-year engineering team project (Electrical &amp; Electronic / Mechatronic Engineering)</t>
        </is>
      </c>
      <c r="H232" s="77" t="inlineStr">
        <is>
          <t>Final-year engineering team project (EEE / Mechatronics)</t>
        </is>
      </c>
      <c r="I232" s="77" t="inlineStr"/>
      <c r="J232" s="77" t="inlineStr">
        <is>
          <t>Year-long final-year MEng team project in Electrical and Electronic / Mechatronic Engineering that is either directly funded by industry or inspired by industrial needs (examples: training wheelchair for para-athletes; haptic glove for remote handling).</t>
        </is>
      </c>
      <c r="K232" s="77" t="inlineStr">
        <is>
          <t>Department of Electrical and Electronic Engineering</t>
        </is>
      </c>
      <c r="L232" s="77" t="inlineStr">
        <is>
          <t>MEng Electrical and Electronic Engineering; MEng Mechatronic Engineering (incl. Industrial Experience)</t>
        </is>
      </c>
      <c r="M232" s="77" t="inlineStr">
        <is>
          <t>Engineering/computing</t>
        </is>
      </c>
      <c r="N232" s="77" t="inlineStr">
        <is>
          <t>Undergraduate</t>
        </is>
      </c>
      <c r="O232" s="77" t="inlineStr">
        <is>
          <t>Final year</t>
        </is>
      </c>
      <c r="P232" s="77" t="inlineStr">
        <is>
          <t>MEng EEE/Mechatronics students</t>
        </is>
      </c>
      <c r="Q232" s="77" t="inlineStr">
        <is>
          <t>Compulsory within specified programmes</t>
        </is>
      </c>
      <c r="R232" s="77" t="inlineStr">
        <is>
          <t>Curricular</t>
        </is>
      </c>
      <c r="S232" s="77" t="inlineStr">
        <is>
          <t>Not retrieved</t>
        </is>
      </c>
      <c r="T232" s="77" t="inlineStr">
        <is>
          <t>Year-long</t>
        </is>
      </c>
      <c r="U232" s="77" t="inlineStr">
        <is>
          <t>Team design project</t>
        </is>
      </c>
      <c r="V232" s="77" t="inlineStr">
        <is>
          <t>Yes</t>
        </is>
      </c>
      <c r="W232" s="77" t="inlineStr">
        <is>
          <t>Team engineering projects producing prototypes (e.g. haptic glove) [26].</t>
        </is>
      </c>
      <c r="X232" s="77" t="inlineStr">
        <is>
          <t>Yes</t>
        </is>
      </c>
      <c r="Y232" s="77" t="inlineStr">
        <is>
          <t>'team project' [26][27].</t>
        </is>
      </c>
      <c r="Z232" s="77" t="inlineStr">
        <is>
          <t>Unclear</t>
        </is>
      </c>
      <c r="AA232" s="77" t="inlineStr">
        <is>
          <t>Projects 'either directly funded by industry or inspired by industrial needs' [26]; 'industrially related' [27]. Only some are industry-funded; industry role in brief/supervision not documented.</t>
        </is>
      </c>
      <c r="AB232" s="77" t="inlineStr">
        <is>
          <t>Business/commercial</t>
        </is>
      </c>
      <c r="AC232" s="77" t="inlineStr">
        <is>
          <t>Some projects industry-funded</t>
        </is>
      </c>
      <c r="AD232" s="77" t="inlineStr"/>
      <c r="AE232" s="77" t="inlineStr">
        <is>
          <t>Engineering prototype/design</t>
        </is>
      </c>
      <c r="AF232" s="77">
        <f>IF(OR(V232="No",X232="No",Z232="No"),"Outside strict definition",IF(AND(V232="Yes",X232="Yes",Z232="Yes"),"Meets all three","Potentially relevant; evidence incomplete"))</f>
        <v/>
      </c>
      <c r="AG232" s="77" t="inlineStr">
        <is>
          <t>Current delivery confirmed</t>
        </is>
      </c>
      <c r="AH232" s="77" t="inlineStr">
        <is>
          <t>2026/27 (2026-entry course page)</t>
        </is>
      </c>
      <c r="AI232" s="77" t="inlineStr">
        <is>
          <t>Yes</t>
        </is>
      </c>
      <c r="AJ232" s="77">
        <f>IF(AND(AI232="Yes",AF232="Meets all three",AG232="Current delivery confirmed"),"Yes","No")</f>
        <v/>
      </c>
      <c r="AK232" s="77" t="inlineStr"/>
      <c r="AL232" s="77" t="inlineStr">
        <is>
          <t>RG14-S12-R1; RG14-S12-R2</t>
        </is>
      </c>
      <c r="AM232" s="77" t="inlineStr">
        <is>
          <t>Share of industry-funded projects and company role.</t>
        </is>
      </c>
      <c r="AN232" s="77" t="inlineStr"/>
      <c r="AO232" s="77" t="inlineStr">
        <is>
          <t>UK</t>
        </is>
      </c>
      <c r="AP232" s="77" t="inlineStr">
        <is>
          <t>UK – Russell Group</t>
        </is>
      </c>
      <c r="AQ232" s="77" t="inlineStr">
        <is>
          <t>&gt;1 term</t>
        </is>
      </c>
      <c r="AR232" s="77" t="inlineStr">
        <is>
          <t>Some projects</t>
        </is>
      </c>
      <c r="AS232" s="77" t="inlineStr"/>
    </row>
    <row r="233">
      <c r="A233" s="77" t="inlineStr">
        <is>
          <t>RG14</t>
        </is>
      </c>
      <c r="B233" s="77" t="inlineStr">
        <is>
          <t>Manchester</t>
        </is>
      </c>
      <c r="C233" s="77" t="inlineStr">
        <is>
          <t>Faculty/school</t>
        </is>
      </c>
      <c r="D233" s="77" t="inlineStr">
        <is>
          <t>RG14-S13</t>
        </is>
      </c>
      <c r="E233" s="77" t="inlineStr"/>
      <c r="F233" s="77" t="inlineStr">
        <is>
          <t>No</t>
        </is>
      </c>
      <c r="G233" s="79" t="inlineStr">
        <is>
          <t>MSA LIVE (Manchester School of Architecture live projects)</t>
        </is>
      </c>
      <c r="H233" s="77" t="inlineStr">
        <is>
          <t>MSA LIVE</t>
        </is>
      </c>
      <c r="I233" s="77" t="inlineStr"/>
      <c r="J233"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33" s="77" t="inlineStr">
        <is>
          <t>Manchester School of Architecture (joint UoM/MMU)</t>
        </is>
      </c>
      <c r="L233" s="77" t="inlineStr">
        <is>
          <t>Architecture and landscape students across several cohorts</t>
        </is>
      </c>
      <c r="M233" s="77" t="inlineStr">
        <is>
          <t>Other (law, health, design, architecture…)</t>
        </is>
      </c>
      <c r="N233" s="77" t="inlineStr">
        <is>
          <t>Mixed</t>
        </is>
      </c>
      <c r="O233" s="77" t="inlineStr">
        <is>
          <t>Foundation, BA1, MLA1, MArch1, MA+AR</t>
        </is>
      </c>
      <c r="P233" s="77" t="inlineStr">
        <is>
          <t>Architecture school students; not evidenced which are University of Manchester</t>
        </is>
      </c>
      <c r="Q233" s="77" t="inlineStr">
        <is>
          <t>Unclear</t>
        </is>
      </c>
      <c r="R233" s="77" t="inlineStr">
        <is>
          <t>Curricular</t>
        </is>
      </c>
      <c r="S233" s="77" t="inlineStr">
        <is>
          <t>Not retrieved</t>
        </is>
      </c>
      <c r="T233" s="77" t="inlineStr">
        <is>
          <t>February to May</t>
        </is>
      </c>
      <c r="U233" s="77" t="inlineStr">
        <is>
          <t>Group live projects with external collaborators</t>
        </is>
      </c>
      <c r="V233" s="77" t="inlineStr">
        <is>
          <t>Yes</t>
        </is>
      </c>
      <c r="W233" s="77" t="inlineStr">
        <is>
          <t>Live projects with brief and outcome developed with partner [2][3].</t>
        </is>
      </c>
      <c r="X233" s="77" t="inlineStr">
        <is>
          <t>Yes</t>
        </is>
      </c>
      <c r="Y233" s="77" t="inlineStr">
        <is>
          <t>Students work in groups with peers from other cohorts; group contracts and per-group blogs [3].</t>
        </is>
      </c>
      <c r="Z233" s="77" t="inlineStr">
        <is>
          <t>Yes</t>
        </is>
      </c>
      <c r="AA233" s="77" t="inlineStr">
        <is>
          <t>External partners develop the brief and outcome and meet groups; clients include community groups, charities, councils [1][3].</t>
        </is>
      </c>
      <c r="AB233" s="77" t="inlineStr">
        <is>
          <t>Charity/community</t>
        </is>
      </c>
      <c r="AC233" s="77" t="inlineStr">
        <is>
          <t>Collaborators co-develop brief and receive outcome</t>
        </is>
      </c>
      <c r="AD233" s="77" t="inlineStr">
        <is>
          <t>Stockport Council (Merseyway, 2024, from search summary)</t>
        </is>
      </c>
      <c r="AE233" s="77" t="inlineStr">
        <is>
          <t>Design proposals/live project outcomes</t>
        </is>
      </c>
      <c r="AF233" s="77">
        <f>IF(OR(V233="No",X233="No",Z233="No"),"Outside strict definition",IF(AND(V233="Yes",X233="Yes",Z233="Yes"),"Meets all three","Potentially relevant; evidence incomplete"))</f>
        <v/>
      </c>
      <c r="AG233" s="77" t="inlineStr">
        <is>
          <t>Current delivery confirmed</t>
        </is>
      </c>
      <c r="AH233" s="77" t="inlineStr">
        <is>
          <t>2026</t>
        </is>
      </c>
      <c r="AI233" s="77" t="inlineStr">
        <is>
          <t>Yes</t>
        </is>
      </c>
      <c r="AJ233" s="77">
        <f>IF(AND(AI233="Yes",AF233="Meets all three",AG233="Current delivery confirmed"),"Yes","No")</f>
        <v/>
      </c>
      <c r="AK233" s="77" t="inlineStr">
        <is>
          <t>About 400 students, 34 projects, over 50 collaborators (MSA LIVE 26)</t>
        </is>
      </c>
      <c r="AL233" s="77" t="inlineStr">
        <is>
          <t>RG14-S13-R1; RG14-S13-R2; RG14-S13-R3</t>
        </is>
      </c>
      <c r="AM233" s="77" t="inlineStr">
        <is>
          <t>Which students are University of Manchester vs MMU; compulsory status; credits; 2025 page says over 40 community groups, 2026 over 50 collaborators.</t>
        </is>
      </c>
      <c r="AN233" s="77" t="inlineStr"/>
      <c r="AO233" s="77" t="inlineStr">
        <is>
          <t>UK</t>
        </is>
      </c>
      <c r="AP233" s="77" t="inlineStr">
        <is>
          <t>UK – Russell Group</t>
        </is>
      </c>
      <c r="AQ233" s="77" t="inlineStr">
        <is>
          <t>~1 term/semester</t>
        </is>
      </c>
      <c r="AR233" s="77" t="inlineStr">
        <is>
          <t>All/standard</t>
        </is>
      </c>
      <c r="AS233" s="77" t="inlineStr"/>
    </row>
    <row r="234">
      <c r="A234" s="77" t="inlineStr">
        <is>
          <t>RG14</t>
        </is>
      </c>
      <c r="B234" s="77" t="inlineStr">
        <is>
          <t>Manchester</t>
        </is>
      </c>
      <c r="C234" s="77" t="inlineStr">
        <is>
          <t>Programme/course</t>
        </is>
      </c>
      <c r="D234" s="77" t="inlineStr">
        <is>
          <t>RG14-S14</t>
        </is>
      </c>
      <c r="E234" s="77" t="inlineStr"/>
      <c r="F234" s="77" t="inlineStr">
        <is>
          <t>No</t>
        </is>
      </c>
      <c r="G234" s="79" t="inlineStr">
        <is>
          <t>Integrative Team Project 1 and 2 (BSc Information Technology Management for Business)</t>
        </is>
      </c>
      <c r="H234" s="77" t="inlineStr">
        <is>
          <t>Integrative Team Project</t>
        </is>
      </c>
      <c r="I234" s="77" t="inlineStr">
        <is>
          <t>BMAN10690 / BMAN24650</t>
        </is>
      </c>
      <c r="J234" s="77" t="inlineStr">
        <is>
          <t>Year 1 team project developing an application for a real business problem (supported by Lloyds Bank) and Year 2 year-long team consultancy project (supported by Procter &amp; Gamble); results shown to employers at showcases.</t>
        </is>
      </c>
      <c r="K234" s="77" t="inlineStr">
        <is>
          <t>Alliance Manchester Business School</t>
        </is>
      </c>
      <c r="L234" s="77" t="inlineStr">
        <is>
          <t>BSc IT Management for Business (and Industrial Experience variant)</t>
        </is>
      </c>
      <c r="M234" s="77" t="inlineStr">
        <is>
          <t>Business/management</t>
        </is>
      </c>
      <c r="N234" s="77" t="inlineStr">
        <is>
          <t>Undergraduate</t>
        </is>
      </c>
      <c r="O234" s="77" t="inlineStr">
        <is>
          <t>Years 1 and 2</t>
        </is>
      </c>
      <c r="P234" s="77" t="inlineStr">
        <is>
          <t>Programme students</t>
        </is>
      </c>
      <c r="Q234" s="77" t="inlineStr">
        <is>
          <t>Compulsory within specified programmes</t>
        </is>
      </c>
      <c r="R234" s="77" t="inlineStr">
        <is>
          <t>Curricular</t>
        </is>
      </c>
      <c r="S234" s="77" t="inlineStr">
        <is>
          <t>20 credits each, mandatory</t>
        </is>
      </c>
      <c r="T234" s="77" t="inlineStr">
        <is>
          <t>Year-long</t>
        </is>
      </c>
      <c r="U234" s="77" t="inlineStr">
        <is>
          <t>Team project with employer showcases</t>
        </is>
      </c>
      <c r="V234" s="77" t="inlineStr">
        <is>
          <t>Yes</t>
        </is>
      </c>
      <c r="W234" s="77" t="inlineStr">
        <is>
          <t>App for a real business problem; consultancy project [1].</t>
        </is>
      </c>
      <c r="X234" s="77" t="inlineStr">
        <is>
          <t>Yes</t>
        </is>
      </c>
      <c r="Y234" s="77" t="inlineStr">
        <is>
          <t>'team project' / 'team consultancy project' [1].</t>
        </is>
      </c>
      <c r="Z234" s="77" t="inlineStr">
        <is>
          <t>Unclear</t>
        </is>
      </c>
      <c r="AA234" s="77" t="inlineStr">
        <is>
          <t>Lloyds Bank and P&amp;G 'support' the units and employers see outputs at showcases [1]; whether they set briefs is not stated.</t>
        </is>
      </c>
      <c r="AB234" s="77" t="inlineStr">
        <is>
          <t>Business/commercial</t>
        </is>
      </c>
      <c r="AC234" s="77" t="inlineStr">
        <is>
          <t>Supporting companies; employers view showcases</t>
        </is>
      </c>
      <c r="AD234" s="77" t="inlineStr">
        <is>
          <t>Lloyds Bank; Procter &amp; Gamble (2027-entry page)</t>
        </is>
      </c>
      <c r="AE234" s="77" t="inlineStr">
        <is>
          <t>Application / consultancy output</t>
        </is>
      </c>
      <c r="AF234" s="77">
        <f>IF(OR(V234="No",X234="No",Z234="No"),"Outside strict definition",IF(AND(V234="Yes",X234="Yes",Z234="Yes"),"Meets all three","Potentially relevant; evidence incomplete"))</f>
        <v/>
      </c>
      <c r="AG234" s="77" t="inlineStr">
        <is>
          <t>Current delivery confirmed</t>
        </is>
      </c>
      <c r="AH234" s="77" t="inlineStr">
        <is>
          <t>2027 entry (course page)</t>
        </is>
      </c>
      <c r="AI234" s="77" t="inlineStr">
        <is>
          <t>Yes</t>
        </is>
      </c>
      <c r="AJ234" s="77">
        <f>IF(AND(AI234="Yes",AF234="Meets all three",AG234="Current delivery confirmed"),"Yes","No")</f>
        <v/>
      </c>
      <c r="AK234" s="77" t="inlineStr"/>
      <c r="AL234" s="77" t="inlineStr">
        <is>
          <t>RG14-S14-R1</t>
        </is>
      </c>
      <c r="AM234" s="77" t="inlineStr">
        <is>
          <t>Whether partners set briefs or assess; team size.</t>
        </is>
      </c>
      <c r="AN234" s="77" t="inlineStr"/>
      <c r="AO234" s="77" t="inlineStr">
        <is>
          <t>UK</t>
        </is>
      </c>
      <c r="AP234" s="77" t="inlineStr">
        <is>
          <t>UK – Russell Group</t>
        </is>
      </c>
      <c r="AQ234" s="77" t="inlineStr">
        <is>
          <t>&gt;1 term</t>
        </is>
      </c>
      <c r="AR234" s="77" t="inlineStr">
        <is>
          <t>Unclear</t>
        </is>
      </c>
      <c r="AS234" s="77" t="inlineStr"/>
    </row>
    <row r="235">
      <c r="A235" s="77" t="inlineStr">
        <is>
          <t>RG15</t>
        </is>
      </c>
      <c r="B235" s="77" t="inlineStr">
        <is>
          <t>Newcastle</t>
        </is>
      </c>
      <c r="C235" s="77" t="inlineStr">
        <is>
          <t>Faculty/school</t>
        </is>
      </c>
      <c r="D235" s="77" t="inlineStr">
        <is>
          <t>RG15-S01</t>
        </is>
      </c>
      <c r="E235" s="77" t="inlineStr"/>
      <c r="F235" s="77" t="inlineStr">
        <is>
          <t>No</t>
        </is>
      </c>
      <c r="G235" s="79" t="inlineStr">
        <is>
          <t>BUS3053 Management Consultancy Project</t>
        </is>
      </c>
      <c r="H235" s="77" t="inlineStr">
        <is>
          <t>Management Consultancy Project (Newcastle University Business School)</t>
        </is>
      </c>
      <c r="I235" s="77" t="inlineStr">
        <is>
          <t>BUS3053</t>
        </is>
      </c>
      <c r="J235"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35" s="77" t="inlineStr">
        <is>
          <t>Newcastle University Business School</t>
        </is>
      </c>
      <c r="L235" s="77" t="inlineStr">
        <is>
          <t>Business School final-year undergraduate programmes where the module is offered (specific degree list not retrieved).</t>
        </is>
      </c>
      <c r="M235" s="77" t="inlineStr">
        <is>
          <t>Business/management</t>
        </is>
      </c>
      <c r="N235" s="77" t="inlineStr">
        <is>
          <t>Undergraduate</t>
        </is>
      </c>
      <c r="O235" s="77" t="inlineStr">
        <is>
          <t>Final year (Stage 3)</t>
        </is>
      </c>
      <c r="P235" s="77" t="inlineStr">
        <is>
          <t>40 places stated on module page; offered as an alternative to the dissertation.</t>
        </is>
      </c>
      <c r="Q235" s="77" t="inlineStr">
        <is>
          <t>Optional/elective</t>
        </is>
      </c>
      <c r="R235" s="77" t="inlineStr">
        <is>
          <t>Curricular</t>
        </is>
      </c>
      <c r="S235"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35" s="77" t="inlineStr">
        <is>
          <t>Academic year (final-year module; exact length not stated)</t>
        </is>
      </c>
      <c r="U235" s="77" t="inlineStr">
        <is>
          <t>In-person, City Campus; client project in small teams</t>
        </is>
      </c>
      <c r="V235" s="77" t="inlineStr">
        <is>
          <t>Yes</t>
        </is>
      </c>
      <c r="W235" s="77" t="inlineStr">
        <is>
          <t>Real business issue for an external client; group management report is the output (source 1).</t>
        </is>
      </c>
      <c r="X235" s="77" t="inlineStr">
        <is>
          <t>Yes</t>
        </is>
      </c>
      <c r="Y235" s="77" t="inlineStr">
        <is>
          <t>Group report (40%) and group oral presentation (10%) with peer-review adjustment of marks (source 1); small teams, ideally eight (source 2).</t>
        </is>
      </c>
      <c r="Z235" s="77" t="inlineStr">
        <is>
          <t>Yes</t>
        </is>
      </c>
      <c r="AA235" s="77" t="inlineStr">
        <is>
          <t>External client supplies a real business issue (vetted by the School), receives the group presentation/report (source 1); named charity/arts clients in Business School case studies (sources 2, 3).</t>
        </is>
      </c>
      <c r="AB235" s="77" t="inlineStr">
        <is>
          <t>Mixed</t>
        </is>
      </c>
      <c r="AC235" s="77" t="inlineStr">
        <is>
          <t>Clients supply a live problem and receive the report and presentation. Case studies show commercial and charity/cultural clients (e.g. a charity in 'Bringing Words to Life', Seven Stories, Natural History Society of Northumbria).</t>
        </is>
      </c>
      <c r="AD235" s="77" t="inlineStr">
        <is>
          <t>Seven Stories (2017/18 cohort, per Vital North blog); Natural History Society of Northumbria and 'Bringing Words to Life' charity (undated case studies; the Natural History Society case relates to the marketing consultancy module).</t>
        </is>
      </c>
      <c r="AE235" s="77" t="inlineStr">
        <is>
          <t>Group management consultancy report and group presentation to the client; individual reflective account</t>
        </is>
      </c>
      <c r="AF235" s="77">
        <f>IF(OR(V235="No",X235="No",Z235="No"),"Outside strict definition",IF(AND(V235="Yes",X235="Yes",Z235="Yes"),"Meets all three","Potentially relevant; evidence incomplete"))</f>
        <v/>
      </c>
      <c r="AG235" s="77" t="inlineStr">
        <is>
          <t>Current delivery confirmed</t>
        </is>
      </c>
      <c r="AH235" s="77" t="inlineStr">
        <is>
          <t>2025/26</t>
        </is>
      </c>
      <c r="AI235" s="77" t="inlineStr">
        <is>
          <t>Yes</t>
        </is>
      </c>
      <c r="AJ235" s="77">
        <f>IF(AND(AI235="Yes",AF235="Meets all three",AG235="Current delivery confirmed"),"Yes","No")</f>
        <v/>
      </c>
      <c r="AK235" s="77" t="inlineStr">
        <is>
          <t>No participation numbers published beyond any stated cap/places.</t>
        </is>
      </c>
      <c r="AL235" s="77" t="inlineStr">
        <is>
          <t>RG15-S01-R1; RG15-S01-R2; RG15-S01-R3; RG15-S01-R4</t>
        </is>
      </c>
      <c r="AM235" s="77" t="inlineStr">
        <is>
          <t>Programmes in which the module can be taken, and credit value, not confirmed from the extract.</t>
        </is>
      </c>
      <c r="AN235" s="77" t="inlineStr"/>
      <c r="AO235" s="77" t="inlineStr">
        <is>
          <t>UK</t>
        </is>
      </c>
      <c r="AP235" s="77" t="inlineStr">
        <is>
          <t>UK – Russell Group</t>
        </is>
      </c>
      <c r="AQ235" s="77" t="inlineStr">
        <is>
          <t>~1 term/semester</t>
        </is>
      </c>
      <c r="AR235" s="77" t="inlineStr">
        <is>
          <t>All/standard</t>
        </is>
      </c>
      <c r="AS235" s="77" t="inlineStr"/>
    </row>
    <row r="236">
      <c r="A236" s="77" t="inlineStr">
        <is>
          <t>RG15</t>
        </is>
      </c>
      <c r="B236" s="77" t="inlineStr">
        <is>
          <t>Newcastle</t>
        </is>
      </c>
      <c r="C236" s="77" t="inlineStr">
        <is>
          <t>Programme/course</t>
        </is>
      </c>
      <c r="D236" s="77" t="inlineStr">
        <is>
          <t>RG15-S02</t>
        </is>
      </c>
      <c r="E236" s="77" t="inlineStr"/>
      <c r="F236" s="77" t="inlineStr">
        <is>
          <t>No</t>
        </is>
      </c>
      <c r="G236" s="79" t="inlineStr">
        <is>
          <t>MKT3097 Marketing Consultancy Project</t>
        </is>
      </c>
      <c r="H236" s="77" t="inlineStr">
        <is>
          <t>Marketing Consultancy Project</t>
        </is>
      </c>
      <c r="I236" s="77" t="inlineStr">
        <is>
          <t>MKT3097</t>
        </is>
      </c>
      <c r="J236"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36" s="77" t="inlineStr">
        <is>
          <t>Newcastle University Business School</t>
        </is>
      </c>
      <c r="L236" s="77" t="inlineStr">
        <is>
          <t>Marketing BSc; Marketing and Management BSc (optional consultancy route in place of dissertation)</t>
        </is>
      </c>
      <c r="M236" s="77" t="inlineStr">
        <is>
          <t>Business/management</t>
        </is>
      </c>
      <c r="N236" s="77" t="inlineStr">
        <is>
          <t>Undergraduate</t>
        </is>
      </c>
      <c r="O236" s="77" t="inlineStr">
        <is>
          <t>Final year (Stage 3)</t>
        </is>
      </c>
      <c r="P236" s="77" t="inlineStr">
        <is>
          <t>Optional alternative to dissertation; June 2025 news item reportedly said 11 further students signed up for September 2025.</t>
        </is>
      </c>
      <c r="Q236" s="77" t="inlineStr">
        <is>
          <t>Optional/elective</t>
        </is>
      </c>
      <c r="R236" s="77" t="inlineStr">
        <is>
          <t>Curricular</t>
        </is>
      </c>
      <c r="S236" s="77" t="inlineStr">
        <is>
          <t>Group report 40% (March), group oral presentation to the live client 10%, individual reflective report 50% (May); group mark adjusted by peer group assessment. Marketing and Management BSc page lists a 40-credit option.</t>
        </is>
      </c>
      <c r="T236" s="77" t="inlineStr">
        <is>
          <t>About six months (client case study)</t>
        </is>
      </c>
      <c r="U236" s="77" t="inlineStr">
        <is>
          <t>Client project in groups</t>
        </is>
      </c>
      <c r="V236" s="77" t="inlineStr">
        <is>
          <t>Yes</t>
        </is>
      </c>
      <c r="W236" s="77" t="inlineStr">
        <is>
          <t>Client-facing consultancy report plus research portfolio and presentation (sources 1, 2).</t>
        </is>
      </c>
      <c r="X236" s="77" t="inlineStr">
        <is>
          <t>Yes</t>
        </is>
      </c>
      <c r="Y236" s="77" t="inlineStr">
        <is>
          <t>Group report and group presentation with peer group assessment adjusting individual marks (source 1).</t>
        </is>
      </c>
      <c r="Z236" s="77" t="inlineStr">
        <is>
          <t>Yes</t>
        </is>
      </c>
      <c r="AA236" s="77" t="inlineStr">
        <is>
          <t>Live client: the group presentation is given to the live client and the client receives an 8,000-word report, research portfolio and presentation (sources 1, 2).</t>
        </is>
      </c>
      <c r="AB236" s="77" t="inlineStr">
        <is>
          <t>Mixed</t>
        </is>
      </c>
      <c r="AC236" s="77" t="inlineStr">
        <is>
          <t>Live clients receive consultancy report and presentation; Natural History Society of Northumbria (charity/community) shown as an example.</t>
        </is>
      </c>
      <c r="AD236" s="77" t="inlineStr">
        <is>
          <t>Natural History Society of Northumbria (undated case study)</t>
        </is>
      </c>
      <c r="AE236" s="77" t="inlineStr">
        <is>
          <t>Group consultancy report (c.8,000 words), research portfolio, presentation of recommendations; individual reflective report</t>
        </is>
      </c>
      <c r="AF236" s="77">
        <f>IF(OR(V236="No",X236="No",Z236="No"),"Outside strict definition",IF(AND(V236="Yes",X236="Yes",Z236="Yes"),"Meets all three","Potentially relevant; evidence incomplete"))</f>
        <v/>
      </c>
      <c r="AG236" s="77" t="inlineStr">
        <is>
          <t>Current status unclear</t>
        </is>
      </c>
      <c r="AH236" s="77" t="inlineStr">
        <is>
          <t>2024/25</t>
        </is>
      </c>
      <c r="AI236" s="77" t="inlineStr">
        <is>
          <t>Yes</t>
        </is>
      </c>
      <c r="AJ236" s="77">
        <f>IF(AND(AI236="Yes",AF236="Meets all three",AG236="Current delivery confirmed"),"Yes","No")</f>
        <v/>
      </c>
      <c r="AK236" s="77" t="inlineStr">
        <is>
          <t>No participation numbers published beyond any stated cap/places.</t>
        </is>
      </c>
      <c r="AL236" s="77" t="inlineStr">
        <is>
          <t>RG15-S02-R1; RG15-S02-R2; RG15-S02-R3; RG15-S02-R4</t>
        </is>
      </c>
      <c r="AM236"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36" s="77" t="inlineStr"/>
      <c r="AO236" s="77" t="inlineStr">
        <is>
          <t>UK</t>
        </is>
      </c>
      <c r="AP236" s="77" t="inlineStr">
        <is>
          <t>UK – Russell Group</t>
        </is>
      </c>
      <c r="AQ236" s="77" t="inlineStr">
        <is>
          <t>&gt;1 term</t>
        </is>
      </c>
      <c r="AR236" s="77" t="inlineStr">
        <is>
          <t>All/standard</t>
        </is>
      </c>
      <c r="AS236" s="77" t="inlineStr"/>
    </row>
    <row r="237">
      <c r="A237" s="77" t="inlineStr">
        <is>
          <t>RG15</t>
        </is>
      </c>
      <c r="B237" s="77" t="inlineStr">
        <is>
          <t>Newcastle</t>
        </is>
      </c>
      <c r="C237" s="77" t="inlineStr">
        <is>
          <t>Programme/course</t>
        </is>
      </c>
      <c r="D237" s="77" t="inlineStr">
        <is>
          <t>RG15-S03</t>
        </is>
      </c>
      <c r="E237" s="77" t="inlineStr"/>
      <c r="F237" s="77" t="inlineStr">
        <is>
          <t>No</t>
        </is>
      </c>
      <c r="G237" s="79" t="inlineStr">
        <is>
          <t>NBS8130 Management Consultancy Project (MBA)</t>
        </is>
      </c>
      <c r="H237" s="77" t="inlineStr">
        <is>
          <t>MBA Management Consultancy Project</t>
        </is>
      </c>
      <c r="I237" s="77" t="inlineStr">
        <is>
          <t>NBS8130</t>
        </is>
      </c>
      <c r="J237"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37" s="77" t="inlineStr">
        <is>
          <t>Newcastle University Business School (MBA)</t>
        </is>
      </c>
      <c r="L237" s="77" t="inlineStr">
        <is>
          <t>Master of Business Administration (MBA)</t>
        </is>
      </c>
      <c r="M237" s="77" t="inlineStr">
        <is>
          <t>Business/management</t>
        </is>
      </c>
      <c r="N237" s="77" t="inlineStr">
        <is>
          <t>Postgraduate taught</t>
        </is>
      </c>
      <c r="O237" s="77" t="inlineStr">
        <is>
          <t>MBA</t>
        </is>
      </c>
      <c r="P237" s="77" t="inlineStr">
        <is>
          <t>MBA students; projects from corporate partners or students may source their own organisation.</t>
        </is>
      </c>
      <c r="Q237" s="77" t="inlineStr">
        <is>
          <t>Compulsory within specified programmes</t>
        </is>
      </c>
      <c r="R237" s="77" t="inlineStr">
        <is>
          <t>Curricular</t>
        </is>
      </c>
      <c r="S237" s="77" t="inlineStr">
        <is>
          <t>10 credits, level 7, block mode; assessment pattern in module outline (not retrieved).</t>
        </is>
      </c>
      <c r="T237" s="77" t="inlineStr">
        <is>
          <t>Block-taught; about two weeks of intensive research within the project (2025 case study)</t>
        </is>
      </c>
      <c r="U237" s="77" t="inlineStr">
        <is>
          <t>Block teaching; team consulting project</t>
        </is>
      </c>
      <c r="V237" s="77" t="inlineStr">
        <is>
          <t>Yes</t>
        </is>
      </c>
      <c r="W237" s="77" t="inlineStr">
        <is>
          <t>Team responds to client's project brief and presents recommendations tied to client objectives (sources 1, 2).</t>
        </is>
      </c>
      <c r="X237" s="77" t="inlineStr">
        <is>
          <t>Yes</t>
        </is>
      </c>
      <c r="Y237" s="77" t="inlineStr">
        <is>
          <t>'Students work in teams with other Newcastle MBA students' (source 1); rail company case study describes a team pitch and presentation (source 2).</t>
        </is>
      </c>
      <c r="Z237" s="77" t="inlineStr">
        <is>
          <t>Yes</t>
        </is>
      </c>
      <c r="AA237" s="77" t="inlineStr">
        <is>
          <t>External organisation sets the brief, gives feedback on proposal and work plan, takes project update meetings and receives final presentation at its offices (source 2).</t>
        </is>
      </c>
      <c r="AB237" s="77" t="inlineStr">
        <is>
          <t>Business/commercial</t>
        </is>
      </c>
      <c r="AC237" s="77" t="inlineStr">
        <is>
          <t>Corporate client sets brief and receives recommendations; some students source their own organisation, or an individual corporate consultancy route exists (excluded separately).</t>
        </is>
      </c>
      <c r="AD237" s="77" t="inlineStr">
        <is>
          <t>A rail company (2025 case study; not named in the extract)</t>
        </is>
      </c>
      <c r="AE237" s="77" t="inlineStr">
        <is>
          <t>Team recommendations/report and client presentation</t>
        </is>
      </c>
      <c r="AF237" s="77">
        <f>IF(OR(V237="No",X237="No",Z237="No"),"Outside strict definition",IF(AND(V237="Yes",X237="Yes",Z237="Yes"),"Meets all three","Potentially relevant; evidence incomplete"))</f>
        <v/>
      </c>
      <c r="AG237" s="77" t="inlineStr">
        <is>
          <t>Current delivery confirmed</t>
        </is>
      </c>
      <c r="AH237" s="77" t="inlineStr">
        <is>
          <t>2025/26</t>
        </is>
      </c>
      <c r="AI237" s="77" t="inlineStr">
        <is>
          <t>Yes</t>
        </is>
      </c>
      <c r="AJ237" s="77">
        <f>IF(AND(AI237="Yes",AF237="Meets all three",AG237="Current delivery confirmed"),"Yes","No")</f>
        <v/>
      </c>
      <c r="AK237" s="77" t="inlineStr">
        <is>
          <t>No participation numbers published beyond any stated cap/places.</t>
        </is>
      </c>
      <c r="AL237" s="77" t="inlineStr">
        <is>
          <t>RG15-S03-R1; RG15-S03-R2; RG15-S03-R3</t>
        </is>
      </c>
      <c r="AM237" s="77" t="inlineStr">
        <is>
          <t>Compulsory status of NBS8130 in the MBA (vs optional pathway) inferred from regulations listing; assessment weighting not retrieved. Rail-company partner not named.</t>
        </is>
      </c>
      <c r="AN237" s="77" t="inlineStr"/>
      <c r="AO237" s="77" t="inlineStr">
        <is>
          <t>UK</t>
        </is>
      </c>
      <c r="AP237" s="77" t="inlineStr">
        <is>
          <t>UK – Russell Group</t>
        </is>
      </c>
      <c r="AQ237" s="77" t="inlineStr">
        <is>
          <t>1–4 weeks</t>
        </is>
      </c>
      <c r="AR237" s="77" t="inlineStr">
        <is>
          <t>All/standard</t>
        </is>
      </c>
      <c r="AS237" s="77" t="inlineStr"/>
    </row>
    <row r="238">
      <c r="A238" s="77" t="inlineStr">
        <is>
          <t>RG15</t>
        </is>
      </c>
      <c r="B238" s="77" t="inlineStr">
        <is>
          <t>Newcastle</t>
        </is>
      </c>
      <c r="C238" s="77" t="inlineStr">
        <is>
          <t>Programme/course</t>
        </is>
      </c>
      <c r="D238" s="77" t="inlineStr">
        <is>
          <t>RG15-S04</t>
        </is>
      </c>
      <c r="E238" s="77" t="inlineStr"/>
      <c r="F238" s="77" t="inlineStr">
        <is>
          <t>No</t>
        </is>
      </c>
      <c r="G238" s="79" t="inlineStr">
        <is>
          <t>MBA Business in Action case competition (with Northumbrian Water Group)</t>
        </is>
      </c>
      <c r="H238" s="77" t="inlineStr">
        <is>
          <t>Business in Action (MBA)</t>
        </is>
      </c>
      <c r="I238" s="77" t="inlineStr"/>
      <c r="J238"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38" s="77" t="inlineStr">
        <is>
          <t>Newcastle University Business School (MBA)</t>
        </is>
      </c>
      <c r="L238" s="77" t="inlineStr">
        <is>
          <t>MBA</t>
        </is>
      </c>
      <c r="M238" s="77" t="inlineStr">
        <is>
          <t>Business/management</t>
        </is>
      </c>
      <c r="N238" s="77" t="inlineStr">
        <is>
          <t>Postgraduate taught</t>
        </is>
      </c>
      <c r="O238" s="77" t="inlineStr">
        <is>
          <t>MBA</t>
        </is>
      </c>
      <c r="P238" s="77" t="inlineStr">
        <is>
          <t>MBA cohort</t>
        </is>
      </c>
      <c r="Q238" s="77" t="inlineStr">
        <is>
          <t>Unclear</t>
        </is>
      </c>
      <c r="R238" s="77" t="inlineStr">
        <is>
          <t>Unclear</t>
        </is>
      </c>
      <c r="S238" s="77" t="inlineStr">
        <is>
          <t>Not stated</t>
        </is>
      </c>
      <c r="T238" s="77" t="inlineStr">
        <is>
          <t>A 'Business in Action' week</t>
        </is>
      </c>
      <c r="U238" s="77" t="inlineStr">
        <is>
          <t>Intensive week, team case competition with final pitch to company</t>
        </is>
      </c>
      <c r="V238" s="77" t="inlineStr">
        <is>
          <t>Yes</t>
        </is>
      </c>
      <c r="W238" s="77" t="inlineStr">
        <is>
          <t>Company-set business challenge with a defined output (recommendations pitched to the company) (source 1).</t>
        </is>
      </c>
      <c r="X238" s="77" t="inlineStr">
        <is>
          <t>Yes</t>
        </is>
      </c>
      <c r="Y238" s="77" t="inlineStr">
        <is>
          <t>MBA students work in teams on the challenge and pitch (source 1).</t>
        </is>
      </c>
      <c r="Z238" s="77" t="inlineStr">
        <is>
          <t>Yes</t>
        </is>
      </c>
      <c r="AA238" s="77" t="inlineStr">
        <is>
          <t>Northumbrian Water sets the brief ('case competition set by NWL') and receives the final competitive pitch (source 1).</t>
        </is>
      </c>
      <c r="AB238" s="77" t="inlineStr">
        <is>
          <t>Business/commercial</t>
        </is>
      </c>
      <c r="AC238" s="77" t="inlineStr">
        <is>
          <t>Company sets live challenge, receives pitches.</t>
        </is>
      </c>
      <c r="AD238" s="77" t="inlineStr">
        <is>
          <t>Northumbrian Water Group/NWL (2021-2024); 'an additional 10 organisations' in 2023 not named</t>
        </is>
      </c>
      <c r="AE238" s="77" t="inlineStr">
        <is>
          <t>Team pitch/recommendations</t>
        </is>
      </c>
      <c r="AF238" s="77">
        <f>IF(OR(V238="No",X238="No",Z238="No"),"Outside strict definition",IF(AND(V238="Yes",X238="Yes",Z238="Yes"),"Meets all three","Potentially relevant; evidence incomplete"))</f>
        <v/>
      </c>
      <c r="AG238" s="77" t="inlineStr">
        <is>
          <t>Current status unclear</t>
        </is>
      </c>
      <c r="AH238" s="77" t="inlineStr">
        <is>
          <t>2024</t>
        </is>
      </c>
      <c r="AI238" s="77" t="inlineStr">
        <is>
          <t>Yes</t>
        </is>
      </c>
      <c r="AJ238" s="77">
        <f>IF(AND(AI238="Yes",AF238="Meets all three",AG238="Current delivery confirmed"),"Yes","No")</f>
        <v/>
      </c>
      <c r="AK238" s="77" t="inlineStr">
        <is>
          <t>No participation numbers published beyond any stated cap/places.</t>
        </is>
      </c>
      <c r="AL238" s="77" t="inlineStr">
        <is>
          <t>RG15-S04-R1; RG15-S04-R2</t>
        </is>
      </c>
      <c r="AM238" s="77" t="inlineStr">
        <is>
          <t>Most recent dated news item is February/March 2024; curricular vs extracurricular status and credits unknown; short format (about a week). 2025/26 delivery not evidenced.</t>
        </is>
      </c>
      <c r="AN238" s="77" t="inlineStr"/>
      <c r="AO238" s="77" t="inlineStr">
        <is>
          <t>UK</t>
        </is>
      </c>
      <c r="AP238" s="77" t="inlineStr">
        <is>
          <t>UK – Russell Group</t>
        </is>
      </c>
      <c r="AQ238" s="77" t="inlineStr">
        <is>
          <t>&lt;1 week</t>
        </is>
      </c>
      <c r="AR238" s="77" t="inlineStr">
        <is>
          <t>All/standard</t>
        </is>
      </c>
      <c r="AS238" s="77" t="inlineStr"/>
    </row>
    <row r="239">
      <c r="A239" s="77" t="inlineStr">
        <is>
          <t>RG15</t>
        </is>
      </c>
      <c r="B239" s="77" t="inlineStr">
        <is>
          <t>Newcastle</t>
        </is>
      </c>
      <c r="C239" s="77" t="inlineStr">
        <is>
          <t>Programme/course</t>
        </is>
      </c>
      <c r="D239" s="77" t="inlineStr">
        <is>
          <t>RG15-S05</t>
        </is>
      </c>
      <c r="E239" s="77" t="inlineStr"/>
      <c r="F239" s="77" t="inlineStr">
        <is>
          <t>No</t>
        </is>
      </c>
      <c r="G239" s="79" t="inlineStr">
        <is>
          <t>CSC2033 Software Engineering Team Project</t>
        </is>
      </c>
      <c r="H239" s="77" t="inlineStr">
        <is>
          <t>Software Engineering Team Project</t>
        </is>
      </c>
      <c r="I239" s="77" t="inlineStr">
        <is>
          <t>CSC2033</t>
        </is>
      </c>
      <c r="J239"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39" s="77" t="inlineStr">
        <is>
          <t>School of Computing</t>
        </is>
      </c>
      <c r="L239" s="77" t="inlineStr">
        <is>
          <t>Computer Science BSc/MComp and variants (G400, G405, G600/G603 etc.)</t>
        </is>
      </c>
      <c r="M239" s="77" t="inlineStr">
        <is>
          <t>Engineering/computing</t>
        </is>
      </c>
      <c r="N239" s="77" t="inlineStr">
        <is>
          <t>Undergraduate</t>
        </is>
      </c>
      <c r="O239" s="77" t="inlineStr">
        <is>
          <t>Stage 2</t>
        </is>
      </c>
      <c r="P239" s="77" t="inlineStr">
        <is>
          <t>Compulsory module for Computing degrees</t>
        </is>
      </c>
      <c r="Q239" s="77" t="inlineStr">
        <is>
          <t>Compulsory within specified programmes</t>
        </is>
      </c>
      <c r="R239" s="77" t="inlineStr">
        <is>
          <t>Curricular</t>
        </is>
      </c>
      <c r="S239" s="77" t="inlineStr">
        <is>
          <t>30 credits; team deliverables (software, documentation) with peer assessment of individual contribution.</t>
        </is>
      </c>
      <c r="T239" s="77" t="inlineStr">
        <is>
          <t>Semester(s) - Stage 2 (not stated)</t>
        </is>
      </c>
      <c r="U239" s="77" t="inlineStr">
        <is>
          <t>Team project with lectures and tool tutorials; trade-fair presentation</t>
        </is>
      </c>
      <c r="V239" s="77" t="inlineStr">
        <is>
          <t>Yes</t>
        </is>
      </c>
      <c r="W239" s="77" t="inlineStr">
        <is>
          <t>Project brief; team deliverables of software and documentation (source 1).</t>
        </is>
      </c>
      <c r="X239" s="77" t="inlineStr">
        <is>
          <t>Yes</t>
        </is>
      </c>
      <c r="Y239" s="77" t="inlineStr">
        <is>
          <t>Students placed in teams; peer assessment of contribution (source 1).</t>
        </is>
      </c>
      <c r="Z239" s="77" t="inlineStr">
        <is>
          <t>Unclear</t>
        </is>
      </c>
      <c r="AA239"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39" s="77" t="inlineStr">
        <is>
          <t>Business/commercial</t>
        </is>
      </c>
      <c r="AC239" s="77" t="inlineStr">
        <is>
          <t>Industrial consultant/sponsor sets or contributes to brief; employers give feedback at trade fair and help mark (per course summaries, search-summary paraphrase).</t>
        </is>
      </c>
      <c r="AD239" s="77" t="inlineStr"/>
      <c r="AE239" s="77" t="inlineStr">
        <is>
          <t>Team software system, documentation, trade-fair presentation</t>
        </is>
      </c>
      <c r="AF239" s="77">
        <f>IF(OR(V239="No",X239="No",Z239="No"),"Outside strict definition",IF(AND(V239="Yes",X239="Yes",Z239="Yes"),"Meets all three","Potentially relevant; evidence incomplete"))</f>
        <v/>
      </c>
      <c r="AG239" s="77" t="inlineStr">
        <is>
          <t>Current delivery confirmed</t>
        </is>
      </c>
      <c r="AH239" s="77" t="inlineStr">
        <is>
          <t>2026/27</t>
        </is>
      </c>
      <c r="AI239" s="77" t="inlineStr">
        <is>
          <t>Yes</t>
        </is>
      </c>
      <c r="AJ239" s="77">
        <f>IF(AND(AI239="Yes",AF239="Meets all three",AG239="Current delivery confirmed"),"Yes","No")</f>
        <v/>
      </c>
      <c r="AK239" s="77" t="inlineStr">
        <is>
          <t>No participation numbers published beyond any stated cap/places.</t>
        </is>
      </c>
      <c r="AL239" s="77" t="inlineStr">
        <is>
          <t>RG15-S05-R1; RG15-S05-R2</t>
        </is>
      </c>
      <c r="AM239" s="77" t="inlineStr">
        <is>
          <t>Whether every team has an external sponsor each year is unclear (module page: 'may vary ... industrial consultant'); no named sponsors found; course summary text only obtained as search paraphrase.</t>
        </is>
      </c>
      <c r="AN239" s="77" t="inlineStr"/>
      <c r="AO239" s="77" t="inlineStr">
        <is>
          <t>UK</t>
        </is>
      </c>
      <c r="AP239" s="77" t="inlineStr">
        <is>
          <t>UK – Russell Group</t>
        </is>
      </c>
      <c r="AQ239" s="77" t="inlineStr">
        <is>
          <t>~1 term/semester</t>
        </is>
      </c>
      <c r="AR239" s="77" t="inlineStr">
        <is>
          <t>Unclear</t>
        </is>
      </c>
      <c r="AS239" s="77" t="inlineStr"/>
    </row>
    <row r="240">
      <c r="A240" s="77" t="inlineStr">
        <is>
          <t>RG15</t>
        </is>
      </c>
      <c r="B240" s="77" t="inlineStr">
        <is>
          <t>Newcastle</t>
        </is>
      </c>
      <c r="C240" s="77" t="inlineStr">
        <is>
          <t>Programme/course</t>
        </is>
      </c>
      <c r="D240" s="77" t="inlineStr">
        <is>
          <t>RG15-S06</t>
        </is>
      </c>
      <c r="E240" s="77" t="inlineStr"/>
      <c r="F240" s="77" t="inlineStr">
        <is>
          <t>No</t>
        </is>
      </c>
      <c r="G240" s="79" t="inlineStr">
        <is>
          <t>Mechanical Engineering industry-hosted final-year team projects</t>
        </is>
      </c>
      <c r="H240" s="77" t="inlineStr">
        <is>
          <t>Mechanical Engineering industry team projects</t>
        </is>
      </c>
      <c r="I240" s="77" t="inlineStr"/>
      <c r="J240"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40" s="77" t="inlineStr">
        <is>
          <t>School of Engineering (Mechanical Engineering)</t>
        </is>
      </c>
      <c r="L240" s="77" t="inlineStr">
        <is>
          <t>Mechanical Engineering undergraduate/MEng (module code not retrieved)</t>
        </is>
      </c>
      <c r="M240" s="77" t="inlineStr">
        <is>
          <t>Engineering/computing</t>
        </is>
      </c>
      <c r="N240" s="77" t="inlineStr">
        <is>
          <t>Undergraduate</t>
        </is>
      </c>
      <c r="O240" s="77" t="inlineStr">
        <is>
          <t>Final year</t>
        </is>
      </c>
      <c r="P240" s="77" t="inlineStr">
        <is>
          <t>Not stated</t>
        </is>
      </c>
      <c r="Q240" s="77" t="inlineStr">
        <is>
          <t>Unclear</t>
        </is>
      </c>
      <c r="R240" s="77" t="inlineStr">
        <is>
          <t>Curricular</t>
        </is>
      </c>
      <c r="S240" s="77" t="inlineStr">
        <is>
          <t>Not retrieved</t>
        </is>
      </c>
      <c r="T240" s="77" t="inlineStr">
        <is>
          <t>October to January (750 hours); MEng 3,000-hour team project October to May</t>
        </is>
      </c>
      <c r="U240" s="77" t="inlineStr">
        <is>
          <t>Company-hosted team projects</t>
        </is>
      </c>
      <c r="V240" s="77" t="inlineStr">
        <is>
          <t>Yes</t>
        </is>
      </c>
      <c r="W240" s="77" t="inlineStr">
        <is>
          <t>Defined c.750-hour industry projects (source 1).</t>
        </is>
      </c>
      <c r="X240" s="77" t="inlineStr">
        <is>
          <t>Yes</t>
        </is>
      </c>
      <c r="Y240" s="77" t="inlineStr">
        <is>
          <t>Teams of typically five final-year students (source 1).</t>
        </is>
      </c>
      <c r="Z240" s="77" t="inlineStr">
        <is>
          <t>Yes</t>
        </is>
      </c>
      <c r="AA240" s="77" t="inlineStr">
        <is>
          <t>Companies host and support the projects, contribute staff time, may use NDAs, and assess student fit (source 1).</t>
        </is>
      </c>
      <c r="AB240" s="77" t="inlineStr">
        <is>
          <t>Business/commercial</t>
        </is>
      </c>
      <c r="AC240" s="77" t="inlineStr">
        <is>
          <t>Local companies host the team project and supply the problem.</t>
        </is>
      </c>
      <c r="AD240" s="77" t="inlineStr">
        <is>
          <t>None named in the extract</t>
        </is>
      </c>
      <c r="AE240" s="77" t="inlineStr">
        <is>
          <t>Team project outcome for company (not specified)</t>
        </is>
      </c>
      <c r="AF240" s="77">
        <f>IF(OR(V240="No",X240="No",Z240="No"),"Outside strict definition",IF(AND(V240="Yes",X240="Yes",Z240="Yes"),"Meets all three","Potentially relevant; evidence incomplete"))</f>
        <v/>
      </c>
      <c r="AG240" s="77" t="inlineStr">
        <is>
          <t>Current status unclear</t>
        </is>
      </c>
      <c r="AH240" s="77" t="inlineStr">
        <is>
          <t>undated</t>
        </is>
      </c>
      <c r="AI240" s="77" t="inlineStr">
        <is>
          <t>Yes</t>
        </is>
      </c>
      <c r="AJ240" s="77">
        <f>IF(AND(AI240="Yes",AF240="Meets all three",AG240="Current delivery confirmed"),"Yes","No")</f>
        <v/>
      </c>
      <c r="AK240" s="77" t="inlineStr">
        <is>
          <t>No participation numbers published beyond any stated cap/places.</t>
        </is>
      </c>
      <c r="AL240" s="77" t="inlineStr">
        <is>
          <t>RG15-S06-R1</t>
        </is>
      </c>
      <c r="AM240" s="77" t="inlineStr">
        <is>
          <t>Undated partnerships page; corresponding module code, credit weight, compulsory status and current-year (2025/26 or 2026/27) delivery not found. Duration band recorded from 750 hours over Oct-Jan; 'hours' framing means the band is uncertain.</t>
        </is>
      </c>
      <c r="AN240" s="77" t="inlineStr"/>
      <c r="AO240" s="77" t="inlineStr">
        <is>
          <t>UK</t>
        </is>
      </c>
      <c r="AP240" s="77" t="inlineStr">
        <is>
          <t>UK – Russell Group</t>
        </is>
      </c>
      <c r="AQ240" s="77" t="inlineStr">
        <is>
          <t>~1 term/semester</t>
        </is>
      </c>
      <c r="AR240" s="77" t="inlineStr">
        <is>
          <t>All/standard</t>
        </is>
      </c>
      <c r="AS240" s="77" t="inlineStr"/>
    </row>
    <row r="241">
      <c r="A241" s="77" t="inlineStr">
        <is>
          <t>RG15</t>
        </is>
      </c>
      <c r="B241" s="77" t="inlineStr">
        <is>
          <t>Newcastle</t>
        </is>
      </c>
      <c r="C241" s="77" t="inlineStr">
        <is>
          <t>Programme/course</t>
        </is>
      </c>
      <c r="D241" s="77" t="inlineStr">
        <is>
          <t>RG15-S07</t>
        </is>
      </c>
      <c r="E241" s="77" t="inlineStr"/>
      <c r="F241" s="77" t="inlineStr">
        <is>
          <t>No</t>
        </is>
      </c>
      <c r="G241" s="79" t="inlineStr">
        <is>
          <t>TCP8024 Consultancy Project (planning)</t>
        </is>
      </c>
      <c r="H241" s="77" t="inlineStr">
        <is>
          <t>Planning Consultancy Project</t>
        </is>
      </c>
      <c r="I241" s="77" t="inlineStr">
        <is>
          <t>TCP8024</t>
        </is>
      </c>
      <c r="J241"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41" s="77" t="inlineStr">
        <is>
          <t>School of Architecture, Planning and Landscape</t>
        </is>
      </c>
      <c r="L241" s="77" t="inlineStr">
        <is>
          <t>Master of Planning (MPlan, RTPI/RICS accredited), compulsory per module listing</t>
        </is>
      </c>
      <c r="M241" s="77" t="inlineStr">
        <is>
          <t>Other (law, health, design, architecture…)</t>
        </is>
      </c>
      <c r="N241" s="77" t="inlineStr">
        <is>
          <t>Undergraduate</t>
        </is>
      </c>
      <c r="O241" s="77" t="inlineStr">
        <is>
          <t>Integrated master's (4-year MPlan) - stage not stated</t>
        </is>
      </c>
      <c r="P241" s="77" t="inlineStr">
        <is>
          <t>MPlan programme</t>
        </is>
      </c>
      <c r="Q241" s="77" t="inlineStr">
        <is>
          <t>Compulsory within specified programmes</t>
        </is>
      </c>
      <c r="R241" s="77" t="inlineStr">
        <is>
          <t>Curricular</t>
        </is>
      </c>
      <c r="S241" s="77" t="inlineStr">
        <is>
          <t>20 credits; group presentation to the client plus group report (c.10,000 words, size-dependent)</t>
        </is>
      </c>
      <c r="T241" s="77" t="inlineStr">
        <is>
          <t>About 8 weeks of client meetings (weeks 1-8)</t>
        </is>
      </c>
      <c r="U241" s="77" t="inlineStr">
        <is>
          <t>Group consultancy for an outside client; alternating module-lead and client-lead meetings</t>
        </is>
      </c>
      <c r="V241" s="77" t="inlineStr">
        <is>
          <t>Yes</t>
        </is>
      </c>
      <c r="W241" s="77" t="inlineStr">
        <is>
          <t>Live planning-related consultancy piece; group report and presentation (source 1).</t>
        </is>
      </c>
      <c r="X241" s="77" t="inlineStr">
        <is>
          <t>Yes</t>
        </is>
      </c>
      <c r="Y241" s="77" t="inlineStr">
        <is>
          <t>'a group of students work intensively on a piece of consultancy work for an outside client' (source 1).</t>
        </is>
      </c>
      <c r="Z241" s="77" t="inlineStr">
        <is>
          <t>Yes</t>
        </is>
      </c>
      <c r="AA241" s="77" t="inlineStr">
        <is>
          <t>'This is a live project and the project brief is that of the client organisation with only minimum input from the School'; client meetings and presentation (source 1).</t>
        </is>
      </c>
      <c r="AB241" s="77" t="inlineStr">
        <is>
          <t>Unclear</t>
        </is>
      </c>
      <c r="AC241" s="77" t="inlineStr">
        <is>
          <t>Outside client organisation sets the brief, meets groups and receives the presentation; sector of clients (local authority/private/community) not stated.</t>
        </is>
      </c>
      <c r="AD241" s="77" t="inlineStr"/>
      <c r="AE241" s="77" t="inlineStr">
        <is>
          <t>Group consultancy report (c.10,000 words) and presentation to client</t>
        </is>
      </c>
      <c r="AF241" s="77">
        <f>IF(OR(V241="No",X241="No",Z241="No"),"Outside strict definition",IF(AND(V241="Yes",X241="Yes",Z241="Yes"),"Meets all three","Potentially relevant; evidence incomplete"))</f>
        <v/>
      </c>
      <c r="AG241" s="77" t="inlineStr">
        <is>
          <t>Current delivery confirmed</t>
        </is>
      </c>
      <c r="AH241" s="77" t="inlineStr">
        <is>
          <t>2026/27</t>
        </is>
      </c>
      <c r="AI241" s="77" t="inlineStr">
        <is>
          <t>Yes</t>
        </is>
      </c>
      <c r="AJ241" s="77">
        <f>IF(AND(AI241="Yes",AF241="Meets all three",AG241="Current delivery confirmed"),"Yes","No")</f>
        <v/>
      </c>
      <c r="AK241" s="77" t="inlineStr">
        <is>
          <t>No participation numbers published beyond any stated cap/places.</t>
        </is>
      </c>
      <c r="AL241" s="77" t="inlineStr">
        <is>
          <t>RG15-S07-R1; RG15-S07-R2</t>
        </is>
      </c>
      <c r="AM241" s="77" t="inlineStr">
        <is>
          <t>Client organisations and sector not named; module page is titled 'Undergraduate Study' while code prefix TCP8 and the MSc Urban Planning page do not list it, so level/programme list (MPlan only?) should be checked.</t>
        </is>
      </c>
      <c r="AN241" s="77" t="inlineStr"/>
      <c r="AO241" s="77" t="inlineStr">
        <is>
          <t>UK</t>
        </is>
      </c>
      <c r="AP241" s="77" t="inlineStr">
        <is>
          <t>UK – Russell Group</t>
        </is>
      </c>
      <c r="AQ241" s="77" t="inlineStr">
        <is>
          <t>~1 term/semester</t>
        </is>
      </c>
      <c r="AR241" s="77" t="inlineStr">
        <is>
          <t>All/standard</t>
        </is>
      </c>
      <c r="AS241" s="77" t="inlineStr"/>
    </row>
    <row r="242">
      <c r="A242" s="77" t="inlineStr">
        <is>
          <t>RG15</t>
        </is>
      </c>
      <c r="B242" s="77" t="inlineStr">
        <is>
          <t>Newcastle</t>
        </is>
      </c>
      <c r="C242" s="77" t="inlineStr">
        <is>
          <t>Programme/course</t>
        </is>
      </c>
      <c r="D242" s="77" t="inlineStr">
        <is>
          <t>RG15-S08</t>
        </is>
      </c>
      <c r="E242" s="77" t="inlineStr"/>
      <c r="F242" s="77" t="inlineStr">
        <is>
          <t>No</t>
        </is>
      </c>
      <c r="G242" s="79" t="inlineStr">
        <is>
          <t>POL3103 Community-based Research in Politics</t>
        </is>
      </c>
      <c r="H242" s="77" t="inlineStr">
        <is>
          <t>Community-based Research in Politics</t>
        </is>
      </c>
      <c r="I242" s="77" t="inlineStr">
        <is>
          <t>POL3103</t>
        </is>
      </c>
      <c r="J242"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42" s="77" t="inlineStr">
        <is>
          <t>Politics, School of Geography, Politics and Sociology</t>
        </is>
      </c>
      <c r="L242" s="77" t="inlineStr">
        <is>
          <t>Politics and related degrees; listed in study-abroad and combined-honours catalogues</t>
        </is>
      </c>
      <c r="M242" s="77" t="inlineStr">
        <is>
          <t>Arts/humanities/social sciences</t>
        </is>
      </c>
      <c r="N242" s="77" t="inlineStr">
        <is>
          <t>Undergraduate</t>
        </is>
      </c>
      <c r="O242" s="77" t="inlineStr">
        <is>
          <t>Stage 3 (code level)</t>
        </is>
      </c>
      <c r="P242" s="77" t="inlineStr">
        <is>
          <t>Capped at 20 places</t>
        </is>
      </c>
      <c r="Q242" s="77" t="inlineStr">
        <is>
          <t>Optional/elective</t>
        </is>
      </c>
      <c r="R242" s="77" t="inlineStr">
        <is>
          <t>Curricular</t>
        </is>
      </c>
      <c r="S242" s="77" t="inlineStr">
        <is>
          <t>40 credits (semesters 1 and 2); current entry: mainly an individual research portfolio of 4-6 pieces; team policy report and presentation per earlier entry.</t>
        </is>
      </c>
      <c r="T242" s="77" t="inlineStr">
        <is>
          <t>Academic year (two semesters)</t>
        </is>
      </c>
      <c r="U242" s="77" t="inlineStr">
        <is>
          <t>Student research teams with partner organisations; workshop presentation</t>
        </is>
      </c>
      <c r="V242" s="77" t="inlineStr">
        <is>
          <t>Yes</t>
        </is>
      </c>
      <c r="W242" s="77" t="inlineStr">
        <is>
          <t>Research project to answer a partner's question; policy report and presentation (sources 1, 2).</t>
        </is>
      </c>
      <c r="X242" s="77" t="inlineStr">
        <is>
          <t>Yes</t>
        </is>
      </c>
      <c r="Y242" s="77" t="inlineStr">
        <is>
          <t>Students are placed on a student research team for the academic year; portfolios feed the team's policy report and presentation (2022/23 entry, source 2). Current assessment is mainly individual portfolio.</t>
        </is>
      </c>
      <c r="Z242" s="77" t="inlineStr">
        <is>
          <t>Yes</t>
        </is>
      </c>
      <c r="AA242" s="77" t="inlineStr">
        <is>
          <t>Partner organisation chooses the topic and receives the team's report and recommendations (university community-engagement page, source 3).</t>
        </is>
      </c>
      <c r="AB242" s="77" t="inlineStr">
        <is>
          <t>Charity/community</t>
        </is>
      </c>
      <c r="AC242" s="77" t="inlineStr">
        <is>
          <t>Voluntary/community partners set the research question and receive a report with recommendations; e.g. Carers Northumberland in Social Justice North East (earlier run).</t>
        </is>
      </c>
      <c r="AD242" s="77" t="inlineStr">
        <is>
          <t>Carers Northumberland (2014-15 run, per Social Justice North East site); current partners not named</t>
        </is>
      </c>
      <c r="AE242" s="77" t="inlineStr">
        <is>
          <t>Team policy report with recommendations and workshop presentation; individual research portfolio</t>
        </is>
      </c>
      <c r="AF242" s="77">
        <f>IF(OR(V242="No",X242="No",Z242="No"),"Outside strict definition",IF(AND(V242="Yes",X242="Yes",Z242="Yes"),"Meets all three","Potentially relevant; evidence incomplete"))</f>
        <v/>
      </c>
      <c r="AG242" s="77" t="inlineStr">
        <is>
          <t>Current delivery confirmed</t>
        </is>
      </c>
      <c r="AH242" s="77" t="inlineStr">
        <is>
          <t>2025/26</t>
        </is>
      </c>
      <c r="AI242" s="77" t="inlineStr">
        <is>
          <t>Yes</t>
        </is>
      </c>
      <c r="AJ242" s="77">
        <f>IF(AND(AI242="Yes",AF242="Meets all three",AG242="Current delivery confirmed"),"Yes","No")</f>
        <v/>
      </c>
      <c r="AK242" s="77" t="inlineStr">
        <is>
          <t>No participation numbers published beyond any stated cap/places.</t>
        </is>
      </c>
      <c r="AL242" s="77" t="inlineStr">
        <is>
          <t>RG15-S08-R1; RG15-S08-R2; RG15-S08-R3; RG15-S08-R4</t>
        </is>
      </c>
      <c r="AM242" s="77" t="inlineStr">
        <is>
          <t>Group-output evidence combines a 2022/23 catalogue entry and the community engagement page with the 2025/26 entry which emphasises individual portfolios; weight of the team report in assessment not confirmed.</t>
        </is>
      </c>
      <c r="AN242" s="77" t="inlineStr"/>
      <c r="AO242" s="77" t="inlineStr">
        <is>
          <t>UK</t>
        </is>
      </c>
      <c r="AP242" s="77" t="inlineStr">
        <is>
          <t>UK – Russell Group</t>
        </is>
      </c>
      <c r="AQ242" s="77" t="inlineStr">
        <is>
          <t>&gt;1 term</t>
        </is>
      </c>
      <c r="AR242" s="77" t="inlineStr">
        <is>
          <t>All/standard</t>
        </is>
      </c>
      <c r="AS242" s="77" t="inlineStr"/>
    </row>
    <row r="243">
      <c r="A243" s="77" t="inlineStr">
        <is>
          <t>RG15</t>
        </is>
      </c>
      <c r="B243" s="77" t="inlineStr">
        <is>
          <t>Newcastle</t>
        </is>
      </c>
      <c r="C243" s="77" t="inlineStr">
        <is>
          <t>Faculty/school</t>
        </is>
      </c>
      <c r="D243" s="77" t="inlineStr">
        <is>
          <t>RG15-S09</t>
        </is>
      </c>
      <c r="E243" s="77" t="inlineStr"/>
      <c r="F243" s="77" t="inlineStr">
        <is>
          <t>No</t>
        </is>
      </c>
      <c r="G243" s="79" t="inlineStr">
        <is>
          <t>NES2202 Sustainable Solutions</t>
        </is>
      </c>
      <c r="H243" s="77" t="inlineStr">
        <is>
          <t>Sustainable Solutions</t>
        </is>
      </c>
      <c r="I243" s="77" t="inlineStr">
        <is>
          <t>NES2202</t>
        </is>
      </c>
      <c r="J243"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43" s="77" t="inlineStr">
        <is>
          <t>School of Natural and Environmental Sciences</t>
        </is>
      </c>
      <c r="L243" s="77" t="inlineStr">
        <is>
          <t>Natural and Environmental Sciences degrees (compulsory on e.g. Chemistry with Medicinal Chemistry BSc and Agriculture BSc per programme pages); teams drawn from several programmes</t>
        </is>
      </c>
      <c r="M243" s="77" t="inlineStr">
        <is>
          <t>Science</t>
        </is>
      </c>
      <c r="N243" s="77" t="inlineStr">
        <is>
          <t>Undergraduate</t>
        </is>
      </c>
      <c r="O243" s="77" t="inlineStr">
        <is>
          <t>Stage 2</t>
        </is>
      </c>
      <c r="P243" s="77" t="inlineStr">
        <is>
          <t>Co-requisite/progression requirement for NES Stage 2 programmes</t>
        </is>
      </c>
      <c r="Q243" s="77" t="inlineStr">
        <is>
          <t>Compulsory within specified programmes</t>
        </is>
      </c>
      <c r="R243" s="77" t="inlineStr">
        <is>
          <t>Curricular</t>
        </is>
      </c>
      <c r="S243" s="77" t="inlineStr">
        <is>
          <t>10 credits, Semester 1; pitch (oral/slides) and short business proposal report.</t>
        </is>
      </c>
      <c r="T243" s="77" t="inlineStr">
        <is>
          <t>Semester 1 (intensive development period)</t>
        </is>
      </c>
      <c r="U243" s="77" t="inlineStr">
        <is>
          <t>Team challenge with sponsor meeting, pitch, finals and company network event</t>
        </is>
      </c>
      <c r="V243" s="77" t="inlineStr">
        <is>
          <t>Yes</t>
        </is>
      </c>
      <c r="W243" s="77" t="inlineStr">
        <is>
          <t>Sustainable solution for sponsor's problem; pitch and business proposal (source 1).</t>
        </is>
      </c>
      <c r="X243" s="77" t="inlineStr">
        <is>
          <t>Yes</t>
        </is>
      </c>
      <c r="Y243" s="77" t="inlineStr">
        <is>
          <t>Small teams including students from other degree programmes (source 1).</t>
        </is>
      </c>
      <c r="Z243" s="77" t="inlineStr">
        <is>
          <t>Yes</t>
        </is>
      </c>
      <c r="AA243" s="77" t="inlineStr">
        <is>
          <t>External organisation/companies present challenges, meet teams for early feedback, receive pitches and vote in finals (source 1).</t>
        </is>
      </c>
      <c r="AB243" s="77" t="inlineStr">
        <is>
          <t>Business/commercial</t>
        </is>
      </c>
      <c r="AC243" s="77" t="inlineStr">
        <is>
          <t>Company sponsors set challenges and give feedback on pitches.</t>
        </is>
      </c>
      <c r="AD243" s="77" t="inlineStr">
        <is>
          <t>None named</t>
        </is>
      </c>
      <c r="AE243" s="77" t="inlineStr">
        <is>
          <t>Team pitch and short business proposal</t>
        </is>
      </c>
      <c r="AF243" s="77">
        <f>IF(OR(V243="No",X243="No",Z243="No"),"Outside strict definition",IF(AND(V243="Yes",X243="Yes",Z243="Yes"),"Meets all three","Potentially relevant; evidence incomplete"))</f>
        <v/>
      </c>
      <c r="AG243" s="77" t="inlineStr">
        <is>
          <t>Current status unclear</t>
        </is>
      </c>
      <c r="AH243" s="77" t="inlineStr">
        <is>
          <t>undated</t>
        </is>
      </c>
      <c r="AI243" s="77" t="inlineStr">
        <is>
          <t>Yes</t>
        </is>
      </c>
      <c r="AJ243" s="77">
        <f>IF(AND(AI243="Yes",AF243="Meets all three",AG243="Current delivery confirmed"),"Yes","No")</f>
        <v/>
      </c>
      <c r="AK243" s="77" t="inlineStr">
        <is>
          <t>No participation numbers published beyond any stated cap/places.</t>
        </is>
      </c>
      <c r="AL243" s="77" t="inlineStr">
        <is>
          <t>RG15-S09-R1; RG15-S09-R2</t>
        </is>
      </c>
      <c r="AM243" s="77" t="inlineStr">
        <is>
          <t>Module catalogue entries are undated; 2025/26 programme specifications surfaced in the search but the search did not tie NES2202 to a dated 2025/26 timetable; sponsors not named; partner sector (company vs other organisation) from summary wording.</t>
        </is>
      </c>
      <c r="AN243" s="77" t="inlineStr"/>
      <c r="AO243" s="77" t="inlineStr">
        <is>
          <t>UK</t>
        </is>
      </c>
      <c r="AP243" s="77" t="inlineStr">
        <is>
          <t>UK – Russell Group</t>
        </is>
      </c>
      <c r="AQ243" s="77" t="inlineStr">
        <is>
          <t>~1 term/semester</t>
        </is>
      </c>
      <c r="AR243" s="77" t="inlineStr">
        <is>
          <t>All/standard</t>
        </is>
      </c>
      <c r="AS243" s="77" t="inlineStr"/>
    </row>
    <row r="244">
      <c r="A244" s="77" t="inlineStr">
        <is>
          <t>RG15</t>
        </is>
      </c>
      <c r="B244" s="77" t="inlineStr">
        <is>
          <t>Newcastle</t>
        </is>
      </c>
      <c r="C244" s="77" t="inlineStr">
        <is>
          <t>Programme/course</t>
        </is>
      </c>
      <c r="D244" s="77" t="inlineStr">
        <is>
          <t>RG15-S10</t>
        </is>
      </c>
      <c r="E244" s="77" t="inlineStr"/>
      <c r="F244" s="77" t="inlineStr">
        <is>
          <t>No</t>
        </is>
      </c>
      <c r="G244" s="79" t="inlineStr">
        <is>
          <t>APL3001 Alternative Practice: Co-producing Space</t>
        </is>
      </c>
      <c r="H244" s="77" t="inlineStr">
        <is>
          <t>Alternative Practice: Co-producing Space</t>
        </is>
      </c>
      <c r="I244" s="77" t="inlineStr">
        <is>
          <t>APL3001</t>
        </is>
      </c>
      <c r="J244" s="77" t="inlineStr">
        <is>
          <t>20-credit Stage 3 Semester 2 module: a live project in which student groups design and build (1:1) a small temporary urban intervention in collaboration with a community group, typically in the North East, to test future urban visions.</t>
        </is>
      </c>
      <c r="K244" s="77" t="inlineStr">
        <is>
          <t>School of Architecture, Planning and Landscape</t>
        </is>
      </c>
      <c r="L244" s="77" t="inlineStr">
        <is>
          <t>Architecture and Urban Planning BA (optional live design option); open to study-abroad students with prerequisite APL2035</t>
        </is>
      </c>
      <c r="M244" s="77" t="inlineStr">
        <is>
          <t>Other (law, health, design, architecture…)</t>
        </is>
      </c>
      <c r="N244" s="77" t="inlineStr">
        <is>
          <t>Undergraduate</t>
        </is>
      </c>
      <c r="O244" s="77" t="inlineStr">
        <is>
          <t>Stage 3</t>
        </is>
      </c>
      <c r="P244" s="77" t="inlineStr">
        <is>
          <t>Prerequisite knowledge from APL2035 Participation: Theories and Practices</t>
        </is>
      </c>
      <c r="Q244" s="77" t="inlineStr">
        <is>
          <t>Optional/elective</t>
        </is>
      </c>
      <c r="R244" s="77" t="inlineStr">
        <is>
          <t>Curricular</t>
        </is>
      </c>
      <c r="S244" s="77" t="inlineStr">
        <is>
          <t>20 credits, Semester 2; assessment detail not retrieved</t>
        </is>
      </c>
      <c r="T244" s="77" t="inlineStr">
        <is>
          <t>One semester</t>
        </is>
      </c>
      <c r="U244" s="77" t="inlineStr">
        <is>
          <t>Studio/live build with a community group</t>
        </is>
      </c>
      <c r="V244" s="77" t="inlineStr">
        <is>
          <t>Yes</t>
        </is>
      </c>
      <c r="W244" s="77" t="inlineStr">
        <is>
          <t>1:1 design and build of an urban intervention (sources 1, 2).</t>
        </is>
      </c>
      <c r="X244" s="77" t="inlineStr">
        <is>
          <t>Yes</t>
        </is>
      </c>
      <c r="Y244" s="77" t="inlineStr">
        <is>
          <t>Students work in groups on design, planning, detailing and/or making of the live intervention (source 2, search paraphrase).</t>
        </is>
      </c>
      <c r="Z244" s="77" t="inlineStr">
        <is>
          <t>Yes</t>
        </is>
      </c>
      <c r="AA244" s="77" t="inlineStr">
        <is>
          <t>Delivered in collaboration with a community group, usually in the North East (sources 1, 2).</t>
        </is>
      </c>
      <c r="AB244" s="77" t="inlineStr">
        <is>
          <t>Charity/community</t>
        </is>
      </c>
      <c r="AC244" s="77" t="inlineStr">
        <is>
          <t>Community group collaborates on the live intervention; whether it sets the brief or assesses is not stated.</t>
        </is>
      </c>
      <c r="AD244" s="77" t="inlineStr"/>
      <c r="AE244" s="77" t="inlineStr">
        <is>
          <t>Built temporary urban intervention</t>
        </is>
      </c>
      <c r="AF244" s="77">
        <f>IF(OR(V244="No",X244="No",Z244="No"),"Outside strict definition",IF(AND(V244="Yes",X244="Yes",Z244="Yes"),"Meets all three","Potentially relevant; evidence incomplete"))</f>
        <v/>
      </c>
      <c r="AG244" s="77" t="inlineStr">
        <is>
          <t>Current delivery confirmed</t>
        </is>
      </c>
      <c r="AH244" s="77" t="inlineStr">
        <is>
          <t>2025/26</t>
        </is>
      </c>
      <c r="AI244" s="77" t="inlineStr">
        <is>
          <t>Yes</t>
        </is>
      </c>
      <c r="AJ244" s="77">
        <f>IF(AND(AI244="Yes",AF244="Meets all three",AG244="Current delivery confirmed"),"Yes","No")</f>
        <v/>
      </c>
      <c r="AK244" s="77" t="inlineStr">
        <is>
          <t>No participation numbers published beyond any stated cap/places.</t>
        </is>
      </c>
      <c r="AL244" s="77" t="inlineStr">
        <is>
          <t>RG15-S10-R1; RG15-S10-R2</t>
        </is>
      </c>
      <c r="AM244" s="77" t="inlineStr">
        <is>
          <t>Assessment and the group/individual balance not retrieved; partner groups not named; 'typically/usually' wording on community group involvement.</t>
        </is>
      </c>
      <c r="AN244" s="77" t="inlineStr"/>
      <c r="AO244" s="77" t="inlineStr">
        <is>
          <t>UK</t>
        </is>
      </c>
      <c r="AP244" s="77" t="inlineStr">
        <is>
          <t>UK – Russell Group</t>
        </is>
      </c>
      <c r="AQ244" s="77" t="inlineStr">
        <is>
          <t>~1 term/semester</t>
        </is>
      </c>
      <c r="AR244" s="77" t="inlineStr">
        <is>
          <t>All/standard</t>
        </is>
      </c>
      <c r="AS244" s="77" t="inlineStr"/>
    </row>
    <row r="245">
      <c r="A245" s="77" t="inlineStr">
        <is>
          <t>RG15</t>
        </is>
      </c>
      <c r="B245" s="77" t="inlineStr">
        <is>
          <t>Newcastle</t>
        </is>
      </c>
      <c r="C245" s="77" t="inlineStr">
        <is>
          <t>Unclear</t>
        </is>
      </c>
      <c r="D245" s="77" t="inlineStr">
        <is>
          <t>RG15-S11</t>
        </is>
      </c>
      <c r="E245" s="77" t="inlineStr"/>
      <c r="F245" s="77" t="inlineStr">
        <is>
          <t>No</t>
        </is>
      </c>
      <c r="G245" s="79" t="inlineStr">
        <is>
          <t>Careers Service Practera Horizons programme</t>
        </is>
      </c>
      <c r="H245" s="77" t="inlineStr">
        <is>
          <t>Practera Horizons (Careers Service)</t>
        </is>
      </c>
      <c r="I245" s="77" t="inlineStr"/>
      <c r="J245"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45" s="77" t="inlineStr">
        <is>
          <t>Careers Service (delivered via Practera platform)</t>
        </is>
      </c>
      <c r="L245" s="77" t="inlineStr">
        <is>
          <t>Eligibility not stated beyond cross-university teams</t>
        </is>
      </c>
      <c r="M245" s="77" t="inlineStr">
        <is>
          <t>Central provision</t>
        </is>
      </c>
      <c r="N245" s="77" t="inlineStr">
        <is>
          <t>Unclear</t>
        </is>
      </c>
      <c r="O245" s="77" t="inlineStr">
        <is>
          <t>Not stated</t>
        </is>
      </c>
      <c r="P245" s="77" t="inlineStr">
        <is>
          <t>Twelve funded places; application route not retrieved</t>
        </is>
      </c>
      <c r="Q245" s="77" t="inlineStr">
        <is>
          <t>Selective/competitive</t>
        </is>
      </c>
      <c r="R245" s="77" t="inlineStr">
        <is>
          <t>Extracurricular</t>
        </is>
      </c>
      <c r="S245" s="77" t="inlineStr">
        <is>
          <t>Non-credit; digital certificate</t>
        </is>
      </c>
      <c r="T245" s="77" t="inlineStr">
        <is>
          <t>Three weeks</t>
        </is>
      </c>
      <c r="U245" s="77" t="inlineStr">
        <is>
          <t>Online, team consulting project via Practera</t>
        </is>
      </c>
      <c r="V245" s="77" t="inlineStr">
        <is>
          <t>Yes</t>
        </is>
      </c>
      <c r="W245" s="77" t="inlineStr">
        <is>
          <t>Team receives a project brief and delivers a professional report (source 1).</t>
        </is>
      </c>
      <c r="X245" s="77" t="inlineStr">
        <is>
          <t>Yes</t>
        </is>
      </c>
      <c r="Y245" s="77" t="inlineStr">
        <is>
          <t>Participants work as part of a consulting team in cross-university teams (source 1).</t>
        </is>
      </c>
      <c r="Z245" s="77" t="inlineStr">
        <is>
          <t>Yes</t>
        </is>
      </c>
      <c r="AA245" s="77" t="inlineStr">
        <is>
          <t>Project is for a real start-up, business or charity ('industry client') whose brief the team receives; reports present findings to the client context (source 1). How much live client interaction (feedback, receipt of report) occurs is not described.</t>
        </is>
      </c>
      <c r="AB245" s="77" t="inlineStr">
        <is>
          <t>Mixed</t>
        </is>
      </c>
      <c r="AC245" s="77" t="inlineStr">
        <is>
          <t>Real start-ups, businesses or charities supply the brief.</t>
        </is>
      </c>
      <c r="AD245" s="77" t="inlineStr"/>
      <c r="AE245" s="77" t="inlineStr">
        <is>
          <t>Professional report with findings and recommendations</t>
        </is>
      </c>
      <c r="AF245" s="77">
        <f>IF(OR(V245="No",X245="No",Z245="No"),"Outside strict definition",IF(AND(V245="Yes",X245="Yes",Z245="Yes"),"Meets all three","Potentially relevant; evidence incomplete"))</f>
        <v/>
      </c>
      <c r="AG245" s="77" t="inlineStr">
        <is>
          <t>Current delivery confirmed</t>
        </is>
      </c>
      <c r="AH245" s="77" t="inlineStr">
        <is>
          <t>2026</t>
        </is>
      </c>
      <c r="AI245" s="77" t="inlineStr">
        <is>
          <t>Yes</t>
        </is>
      </c>
      <c r="AJ245" s="77">
        <f>IF(AND(AI245="Yes",AF245="Meets all three",AG245="Current delivery confirmed"),"Yes","No")</f>
        <v/>
      </c>
      <c r="AK245" s="77" t="inlineStr">
        <is>
          <t>12 funded places (January 2026 cohort)</t>
        </is>
      </c>
      <c r="AL245" s="77" t="inlineStr">
        <is>
          <t>RG15-S11-R1</t>
        </is>
      </c>
      <c r="AM245" s="77" t="inlineStr">
        <is>
          <t>Practera-type programmes can be simulated; the Newcastle announcement says real start-up/business/charity but live client engagement depth and partner names are not evidenced; eligibility and future runs ('more details coming soon') unknown.</t>
        </is>
      </c>
      <c r="AN245" s="77" t="inlineStr"/>
      <c r="AO245" s="77" t="inlineStr">
        <is>
          <t>UK</t>
        </is>
      </c>
      <c r="AP245" s="77" t="inlineStr">
        <is>
          <t>UK – Russell Group</t>
        </is>
      </c>
      <c r="AQ245" s="77" t="inlineStr">
        <is>
          <t>1–4 weeks</t>
        </is>
      </c>
      <c r="AR245" s="77" t="inlineStr">
        <is>
          <t>All/standard</t>
        </is>
      </c>
      <c r="AS245" s="77" t="inlineStr"/>
    </row>
    <row r="246">
      <c r="A246" s="77" t="inlineStr">
        <is>
          <t>RG15</t>
        </is>
      </c>
      <c r="B246" s="77" t="inlineStr">
        <is>
          <t>Newcastle</t>
        </is>
      </c>
      <c r="C246" s="77" t="inlineStr">
        <is>
          <t>Programme/course</t>
        </is>
      </c>
      <c r="D246" s="77" t="inlineStr">
        <is>
          <t>RG15-S12</t>
        </is>
      </c>
      <c r="E246" s="77" t="inlineStr"/>
      <c r="F246" s="77" t="inlineStr">
        <is>
          <t>No</t>
        </is>
      </c>
      <c r="G246" s="79" t="inlineStr">
        <is>
          <t>MSc Advanced Data Science group project (5395F)</t>
        </is>
      </c>
      <c r="H246" s="77" t="inlineStr">
        <is>
          <t>Advanced Data Science MSc group project</t>
        </is>
      </c>
      <c r="I246" s="77" t="inlineStr"/>
      <c r="J246" s="77" t="inlineStr">
        <is>
          <t>Programme specification states students work in small groups to solve a practical applied data science problem; 'where possible' the projects are genuine research problems provided by industrial or applied academic collaborators.</t>
        </is>
      </c>
      <c r="K246" s="77" t="inlineStr">
        <is>
          <t>School of Mathematics, Statistics and Physics / School of Computing</t>
        </is>
      </c>
      <c r="L246" s="77" t="inlineStr">
        <is>
          <t>Advanced Data Science MSc (5395F)</t>
        </is>
      </c>
      <c r="M246" s="77" t="inlineStr">
        <is>
          <t>Science</t>
        </is>
      </c>
      <c r="N246" s="77" t="inlineStr">
        <is>
          <t>Postgraduate taught</t>
        </is>
      </c>
      <c r="O246" s="77" t="inlineStr">
        <is>
          <t>MSc</t>
        </is>
      </c>
      <c r="P246" s="77" t="inlineStr"/>
      <c r="Q246" s="77" t="inlineStr">
        <is>
          <t>Compulsory within specified programmes</t>
        </is>
      </c>
      <c r="R246" s="77" t="inlineStr">
        <is>
          <t>Curricular</t>
        </is>
      </c>
      <c r="S246" s="77" t="inlineStr">
        <is>
          <t>Not retrieved</t>
        </is>
      </c>
      <c r="T246" s="77" t="inlineStr">
        <is>
          <t>Not stated</t>
        </is>
      </c>
      <c r="U246" s="77" t="inlineStr">
        <is>
          <t>Small-group applied project</t>
        </is>
      </c>
      <c r="V246" s="77" t="inlineStr">
        <is>
          <t>Yes</t>
        </is>
      </c>
      <c r="W246" s="77" t="inlineStr">
        <is>
          <t>Practical applied data science problem (source 1).</t>
        </is>
      </c>
      <c r="X246" s="77" t="inlineStr">
        <is>
          <t>Yes</t>
        </is>
      </c>
      <c r="Y246" s="77" t="inlineStr">
        <is>
          <t>Students work in small groups (source 1).</t>
        </is>
      </c>
      <c r="Z246" s="77" t="inlineStr">
        <is>
          <t>Unclear</t>
        </is>
      </c>
      <c r="AA246" s="77" t="inlineStr">
        <is>
          <t>Problems come 'where possible' from industrial or applied academic collaborators (source 1); academic collaborators are not external employers and industrial supply is not guaranteed.</t>
        </is>
      </c>
      <c r="AB246" s="77" t="inlineStr">
        <is>
          <t>Mixed</t>
        </is>
      </c>
      <c r="AC246" s="77" t="inlineStr">
        <is>
          <t>Industrial or applied academic collaborators provide problems where possible.</t>
        </is>
      </c>
      <c r="AD246" s="77" t="inlineStr"/>
      <c r="AE246" s="77" t="inlineStr">
        <is>
          <t>Group project outcome (not specified)</t>
        </is>
      </c>
      <c r="AF246" s="77">
        <f>IF(OR(V246="No",X246="No",Z246="No"),"Outside strict definition",IF(AND(V246="Yes",X246="Yes",Z246="Yes"),"Meets all three","Potentially relevant; evidence incomplete"))</f>
        <v/>
      </c>
      <c r="AG246" s="77" t="inlineStr">
        <is>
          <t>Current delivery confirmed</t>
        </is>
      </c>
      <c r="AH246" s="77" t="inlineStr">
        <is>
          <t>2025/26</t>
        </is>
      </c>
      <c r="AI246" s="77" t="inlineStr">
        <is>
          <t>Yes</t>
        </is>
      </c>
      <c r="AJ246" s="77">
        <f>IF(AND(AI246="Yes",AF246="Meets all three",AG246="Current delivery confirmed"),"Yes","No")</f>
        <v/>
      </c>
      <c r="AK246" s="77" t="inlineStr">
        <is>
          <t>No participation numbers published beyond any stated cap/places.</t>
        </is>
      </c>
      <c r="AL246" s="77" t="inlineStr">
        <is>
          <t>RG15-S12-R1</t>
        </is>
      </c>
      <c r="AM246" s="77" t="inlineStr">
        <is>
          <t>Share of projects from industry vs academic collaborators; credit and duration; whether compulsory.</t>
        </is>
      </c>
      <c r="AN246" s="77" t="inlineStr"/>
      <c r="AO246" s="77" t="inlineStr">
        <is>
          <t>UK</t>
        </is>
      </c>
      <c r="AP246" s="77" t="inlineStr">
        <is>
          <t>UK – Russell Group</t>
        </is>
      </c>
      <c r="AQ246" s="77" t="inlineStr">
        <is>
          <t>Unclear</t>
        </is>
      </c>
      <c r="AR246" s="77" t="inlineStr">
        <is>
          <t>Some projects</t>
        </is>
      </c>
      <c r="AS246" s="77" t="inlineStr"/>
    </row>
    <row r="247">
      <c r="A247" s="77" t="inlineStr">
        <is>
          <t>RG15</t>
        </is>
      </c>
      <c r="B247" s="77" t="inlineStr">
        <is>
          <t>Newcastle</t>
        </is>
      </c>
      <c r="C247" s="77" t="inlineStr">
        <is>
          <t>Programme/course</t>
        </is>
      </c>
      <c r="D247" s="77" t="inlineStr">
        <is>
          <t>RG15-S13</t>
        </is>
      </c>
      <c r="E247" s="77" t="inlineStr"/>
      <c r="F247" s="77" t="inlineStr">
        <is>
          <t>No</t>
        </is>
      </c>
      <c r="G247" s="79" t="inlineStr">
        <is>
          <t>MSc Data Science and Industrial Biotechnology capstone hackathon</t>
        </is>
      </c>
      <c r="H247" s="77" t="inlineStr">
        <is>
          <t>Data Science and Industrial Biotechnology group hackathon</t>
        </is>
      </c>
      <c r="I247" s="77" t="inlineStr"/>
      <c r="J247"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47" s="77" t="inlineStr">
        <is>
          <t>Data Science and AI MSc conversion degrees (Schools of Computing / Maths, Statistics and Physics / Natural and Environmental Sciences)</t>
        </is>
      </c>
      <c r="L247" s="77" t="inlineStr">
        <is>
          <t>Data Science and Industrial Biotechnology MSc</t>
        </is>
      </c>
      <c r="M247" s="77" t="inlineStr">
        <is>
          <t>Science</t>
        </is>
      </c>
      <c r="N247" s="77" t="inlineStr">
        <is>
          <t>Postgraduate taught</t>
        </is>
      </c>
      <c r="O247" s="77" t="inlineStr">
        <is>
          <t>MSc</t>
        </is>
      </c>
      <c r="P247" s="77" t="inlineStr"/>
      <c r="Q247" s="77" t="inlineStr">
        <is>
          <t>Compulsory within specified programmes</t>
        </is>
      </c>
      <c r="R247" s="77" t="inlineStr">
        <is>
          <t>Curricular</t>
        </is>
      </c>
      <c r="S247" s="77" t="inlineStr">
        <is>
          <t>Not retrieved</t>
        </is>
      </c>
      <c r="T247" s="77" t="inlineStr">
        <is>
          <t>Not stated</t>
        </is>
      </c>
      <c r="U247" s="77" t="inlineStr">
        <is>
          <t>Group hackathon within capstone</t>
        </is>
      </c>
      <c r="V247" s="77" t="inlineStr">
        <is>
          <t>Unclear</t>
        </is>
      </c>
      <c r="W247" s="77" t="inlineStr">
        <is>
          <t>Hackathon challenge; output and length not described (source 1).</t>
        </is>
      </c>
      <c r="X247" s="77" t="inlineStr">
        <is>
          <t>Yes</t>
        </is>
      </c>
      <c r="Y247" s="77" t="inlineStr">
        <is>
          <t>'group hackathon' (source 1).</t>
        </is>
      </c>
      <c r="Z247" s="77" t="inlineStr">
        <is>
          <t>Yes</t>
        </is>
      </c>
      <c r="AA247" s="77" t="inlineStr">
        <is>
          <t>Industrial partners help shape assessment briefs, contribute to group projects and co-deliver the final hackathon challenge (source 1).</t>
        </is>
      </c>
      <c r="AB247" s="77" t="inlineStr">
        <is>
          <t>Business/commercial</t>
        </is>
      </c>
      <c r="AC247" s="77" t="inlineStr">
        <is>
          <t>Co-deliver challenge and contribute to briefs.</t>
        </is>
      </c>
      <c r="AD247" s="77" t="inlineStr">
        <is>
          <t>Procter &amp; Gamble, Northumbrian Water, Ginkgo Bioworks, Lonza (undated page)</t>
        </is>
      </c>
      <c r="AE247" s="77" t="inlineStr">
        <is>
          <t>Hackathon solution (not specified)</t>
        </is>
      </c>
      <c r="AF247" s="77">
        <f>IF(OR(V247="No",X247="No",Z247="No"),"Outside strict definition",IF(AND(V247="Yes",X247="Yes",Z247="Yes"),"Meets all three","Potentially relevant; evidence incomplete"))</f>
        <v/>
      </c>
      <c r="AG247" s="77" t="inlineStr">
        <is>
          <t>Current status unclear</t>
        </is>
      </c>
      <c r="AH247" s="77" t="inlineStr">
        <is>
          <t>undated</t>
        </is>
      </c>
      <c r="AI247" s="77" t="inlineStr">
        <is>
          <t>Yes</t>
        </is>
      </c>
      <c r="AJ247" s="77">
        <f>IF(AND(AI247="Yes",AF247="Meets all three",AG247="Current delivery confirmed"),"Yes","No")</f>
        <v/>
      </c>
      <c r="AK247" s="77" t="inlineStr">
        <is>
          <t>No participation numbers published beyond any stated cap/places.</t>
        </is>
      </c>
      <c r="AL247" s="77" t="inlineStr">
        <is>
          <t>RG15-S13-R1</t>
        </is>
      </c>
      <c r="AM247" s="77" t="inlineStr">
        <is>
          <t>Page undated; hackathon duration and output, credits and whether partners engage every cohort not established.</t>
        </is>
      </c>
      <c r="AN247" s="77" t="inlineStr"/>
      <c r="AO247" s="77" t="inlineStr">
        <is>
          <t>UK</t>
        </is>
      </c>
      <c r="AP247" s="77" t="inlineStr">
        <is>
          <t>UK – Russell Group</t>
        </is>
      </c>
      <c r="AQ247" s="77" t="inlineStr">
        <is>
          <t>Unclear</t>
        </is>
      </c>
      <c r="AR247" s="77" t="inlineStr">
        <is>
          <t>All/standard</t>
        </is>
      </c>
      <c r="AS247" s="77" t="inlineStr"/>
    </row>
    <row r="248">
      <c r="A248" s="77" t="inlineStr">
        <is>
          <t>RG15</t>
        </is>
      </c>
      <c r="B248" s="77" t="inlineStr">
        <is>
          <t>Newcastle</t>
        </is>
      </c>
      <c r="C248" s="77" t="inlineStr">
        <is>
          <t>Programme/course</t>
        </is>
      </c>
      <c r="D248" s="77" t="inlineStr">
        <is>
          <t>RG15-S14</t>
        </is>
      </c>
      <c r="E248" s="77" t="inlineStr"/>
      <c r="F248" s="77" t="inlineStr">
        <is>
          <t>No</t>
        </is>
      </c>
      <c r="G248" s="79" t="inlineStr">
        <is>
          <t>Museum Studies MA: Producing Curatorial Projects for Museum Audiences</t>
        </is>
      </c>
      <c r="H248" s="77" t="inlineStr">
        <is>
          <t>Curatorial project (Museum Studies MA)</t>
        </is>
      </c>
      <c r="I248" s="77" t="inlineStr"/>
      <c r="J248"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48" s="77" t="inlineStr">
        <is>
          <t>School of Arts and Cultures</t>
        </is>
      </c>
      <c r="L248" s="77" t="inlineStr">
        <is>
          <t>Museum Studies MA/PGDip</t>
        </is>
      </c>
      <c r="M248" s="77" t="inlineStr">
        <is>
          <t>Arts/humanities/social sciences</t>
        </is>
      </c>
      <c r="N248" s="77" t="inlineStr">
        <is>
          <t>Postgraduate taught</t>
        </is>
      </c>
      <c r="O248" s="77" t="inlineStr">
        <is>
          <t>MA</t>
        </is>
      </c>
      <c r="P248" s="77" t="inlineStr"/>
      <c r="Q248" s="77" t="inlineStr">
        <is>
          <t>Compulsory within specified programmes</t>
        </is>
      </c>
      <c r="R248" s="77" t="inlineStr">
        <is>
          <t>Curricular</t>
        </is>
      </c>
      <c r="S248" s="77" t="inlineStr">
        <is>
          <t>20 credits</t>
        </is>
      </c>
      <c r="T248" s="77" t="inlineStr">
        <is>
          <t>One semester</t>
        </is>
      </c>
      <c r="U248" s="77" t="inlineStr">
        <is>
          <t>Student-team curatorial project</t>
        </is>
      </c>
      <c r="V248" s="77" t="inlineStr">
        <is>
          <t>Yes</t>
        </is>
      </c>
      <c r="W248" s="77" t="inlineStr">
        <is>
          <t>Exhibition/curatorial project open to the public (source 1).</t>
        </is>
      </c>
      <c r="X248" s="77" t="inlineStr">
        <is>
          <t>Yes</t>
        </is>
      </c>
      <c r="Y248" s="77" t="inlineStr">
        <is>
          <t>Project run as part of a student team (source 1).</t>
        </is>
      </c>
      <c r="Z248" s="77" t="inlineStr">
        <is>
          <t>Unclear</t>
        </is>
      </c>
      <c r="AA248" s="77" t="inlineStr">
        <is>
          <t>Collaboration with the Great North Museum: Hancock is stated; whether the museum is an external body (vs university-affiliated), sets the brief or assesses is not evidenced.</t>
        </is>
      </c>
      <c r="AB248" s="77" t="inlineStr">
        <is>
          <t>Unclear</t>
        </is>
      </c>
      <c r="AC248" s="77" t="inlineStr">
        <is>
          <t>Museum partner role not specified.</t>
        </is>
      </c>
      <c r="AD248" s="77" t="inlineStr"/>
      <c r="AE248" s="77" t="inlineStr">
        <is>
          <t>Public exhibition/curatorial project</t>
        </is>
      </c>
      <c r="AF248" s="77">
        <f>IF(OR(V248="No",X248="No",Z248="No"),"Outside strict definition",IF(AND(V248="Yes",X248="Yes",Z248="Yes"),"Meets all three","Potentially relevant; evidence incomplete"))</f>
        <v/>
      </c>
      <c r="AG248" s="77" t="inlineStr">
        <is>
          <t>Current status unclear</t>
        </is>
      </c>
      <c r="AH248" s="77" t="inlineStr">
        <is>
          <t>undated</t>
        </is>
      </c>
      <c r="AI248" s="77" t="inlineStr">
        <is>
          <t>Yes</t>
        </is>
      </c>
      <c r="AJ248" s="77">
        <f>IF(AND(AI248="Yes",AF248="Meets all three",AG248="Current delivery confirmed"),"Yes","No")</f>
        <v/>
      </c>
      <c r="AK248" s="77" t="inlineStr">
        <is>
          <t>No participation numbers published beyond any stated cap/places.</t>
        </is>
      </c>
      <c r="AL248" s="77" t="inlineStr">
        <is>
          <t>RG15-S14-R1</t>
        </is>
      </c>
      <c r="AM248" s="77" t="inlineStr">
        <is>
          <t>Partner independence and role; current-year delivery; assessment.</t>
        </is>
      </c>
      <c r="AN248" s="77" t="inlineStr"/>
      <c r="AO248" s="77" t="inlineStr">
        <is>
          <t>UK</t>
        </is>
      </c>
      <c r="AP248" s="77" t="inlineStr">
        <is>
          <t>UK – Russell Group</t>
        </is>
      </c>
      <c r="AQ248" s="77" t="inlineStr">
        <is>
          <t>~1 term/semester</t>
        </is>
      </c>
      <c r="AR248" s="77" t="inlineStr">
        <is>
          <t>Unclear</t>
        </is>
      </c>
      <c r="AS248" s="77" t="inlineStr"/>
    </row>
    <row r="249">
      <c r="A249" s="77" t="inlineStr">
        <is>
          <t>RG16</t>
        </is>
      </c>
      <c r="B249" s="77" t="inlineStr">
        <is>
          <t>Nottingham</t>
        </is>
      </c>
      <c r="C249" s="77" t="inlineStr">
        <is>
          <t>Faculty/school</t>
        </is>
      </c>
      <c r="D249" s="77" t="inlineStr">
        <is>
          <t>RG16-S01</t>
        </is>
      </c>
      <c r="E249" s="77" t="inlineStr"/>
      <c r="F249" s="77" t="inlineStr">
        <is>
          <t>No</t>
        </is>
      </c>
      <c r="G249" s="79" t="inlineStr">
        <is>
          <t>Company-based Consultancy Challenge (NUBS)</t>
        </is>
      </c>
      <c r="H249" s="77" t="inlineStr">
        <is>
          <t>Company-based Consultancy Challenge</t>
        </is>
      </c>
      <c r="I249" s="77" t="inlineStr"/>
      <c r="J249"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49" s="77" t="inlineStr">
        <is>
          <t>Nottingham University Business School</t>
        </is>
      </c>
      <c r="L249" s="77" t="inlineStr">
        <is>
          <t>Business School master's students; selected undergraduates added in 2026</t>
        </is>
      </c>
      <c r="M249" s="77" t="inlineStr">
        <is>
          <t>Business/management</t>
        </is>
      </c>
      <c r="N249" s="77" t="inlineStr">
        <is>
          <t>Mixed</t>
        </is>
      </c>
      <c r="O249" s="77" t="inlineStr"/>
      <c r="P249" s="77" t="inlineStr">
        <is>
          <t>Business School students; 'selected' students (selective entry)</t>
        </is>
      </c>
      <c r="Q249" s="77" t="inlineStr">
        <is>
          <t>Selective/competitive</t>
        </is>
      </c>
      <c r="R249" s="77" t="inlineStr">
        <is>
          <t>Extracurricular</t>
        </is>
      </c>
      <c r="S249" s="77" t="inlineStr">
        <is>
          <t>No credit evidenced; certificate and digital badge listed as benefits</t>
        </is>
      </c>
      <c r="T249" s="77" t="inlineStr">
        <is>
          <t>About 3 weeks (research, analysis, pitch)</t>
        </is>
      </c>
      <c r="U249" s="77" t="inlineStr">
        <is>
          <t>Teams of c.6-8; induction, client brief, mentor meetings, final pitch to panel</t>
        </is>
      </c>
      <c r="V249" s="77" t="inlineStr">
        <is>
          <t>Yes</t>
        </is>
      </c>
      <c r="W249" s="77" t="inlineStr">
        <is>
          <t>Real business problems researched and answered with recommendations and a final pitch (sources 1, 2, 3).</t>
        </is>
      </c>
      <c r="X249" s="77" t="inlineStr">
        <is>
          <t>Yes</t>
        </is>
      </c>
      <c r="Y249" s="77" t="inlineStr">
        <is>
          <t>Student teams (page gives teams of six to eight); two teams per organisation (sources 1-3).</t>
        </is>
      </c>
      <c r="Z249" s="77" t="inlineStr">
        <is>
          <t>Yes</t>
        </is>
      </c>
      <c r="AA249" s="77" t="inlineStr">
        <is>
          <t>Local partner organisations set the problem/brief, company representatives mentor, and a panel including business partners judges the pitches; the school helps organisations develop a suitable brief (sources 1-3).</t>
        </is>
      </c>
      <c r="AB249" s="77" t="inlineStr">
        <is>
          <t>Mixed</t>
        </is>
      </c>
      <c r="AC249" s="77" t="inlineStr">
        <is>
          <t>Set the live brief; mentor teams; sit on final judging panel</t>
        </is>
      </c>
      <c r="AD249" s="77" t="inlineStr">
        <is>
          <t>2025: IBM (source 1); 2026: Hallam, ApplyU, Capital One, Notts County Foundation (source 2) - includes at least one charity/foundation</t>
        </is>
      </c>
      <c r="AE249" s="77" t="inlineStr">
        <is>
          <t>Recommendations report/pitch to the client organisation</t>
        </is>
      </c>
      <c r="AF249" s="77">
        <f>IF(OR(V249="No",X249="No",Z249="No"),"Outside strict definition",IF(AND(V249="Yes",X249="Yes",Z249="Yes"),"Meets all three","Potentially relevant; evidence incomplete"))</f>
        <v/>
      </c>
      <c r="AG249" s="77" t="inlineStr">
        <is>
          <t>Current delivery confirmed</t>
        </is>
      </c>
      <c r="AH249" s="77" t="inlineStr">
        <is>
          <t>2026 (news dated 30 July 2026)</t>
        </is>
      </c>
      <c r="AI249" s="77" t="inlineStr">
        <is>
          <t>Yes</t>
        </is>
      </c>
      <c r="AJ249" s="77">
        <f>IF(AND(AI249="Yes",AF249="Meets all three",AG249="Current delivery confirmed"),"Yes","No")</f>
        <v/>
      </c>
      <c r="AK249" s="77" t="inlineStr">
        <is>
          <t>2026: at least 11 teams referenced (Team 11 named); 4 client winners listed (source 2). Not a published total.</t>
        </is>
      </c>
      <c r="AL249" s="77" t="inlineStr">
        <is>
          <t>RG16-S01-R1; RG16-S01-R2; RG16-S01-R3</t>
        </is>
      </c>
      <c r="AM249" s="77" t="inlineStr">
        <is>
          <t>Credit value and selection criteria not published; the UG extension is a 2026 first. Not the same as the careers-run Nottingham Consultancy Challenge (S5), though both may share a lineage.</t>
        </is>
      </c>
      <c r="AN249" s="77" t="inlineStr"/>
      <c r="AO249" s="77" t="inlineStr">
        <is>
          <t>UK</t>
        </is>
      </c>
      <c r="AP249" s="77" t="inlineStr">
        <is>
          <t>UK – Russell Group</t>
        </is>
      </c>
      <c r="AQ249" s="77" t="inlineStr">
        <is>
          <t>1–4 weeks</t>
        </is>
      </c>
      <c r="AR249" s="77" t="inlineStr">
        <is>
          <t>All/standard</t>
        </is>
      </c>
      <c r="AS249" s="77" t="inlineStr"/>
    </row>
    <row r="250">
      <c r="A250" s="77" t="inlineStr">
        <is>
          <t>RG16</t>
        </is>
      </c>
      <c r="B250" s="77" t="inlineStr">
        <is>
          <t>Nottingham</t>
        </is>
      </c>
      <c r="C250" s="77" t="inlineStr">
        <is>
          <t>Programme/course</t>
        </is>
      </c>
      <c r="D250" s="77" t="inlineStr">
        <is>
          <t>RG16-S02</t>
        </is>
      </c>
      <c r="E250" s="77" t="inlineStr"/>
      <c r="F250" s="77" t="inlineStr">
        <is>
          <t>No</t>
        </is>
      </c>
      <c r="G250" s="79" t="inlineStr">
        <is>
          <t>Entrepreneurship Project (MSc Entrepreneurship, Innovation and Management)</t>
        </is>
      </c>
      <c r="H250" s="77" t="inlineStr">
        <is>
          <t>Entrepreneurship Consultancy Project</t>
        </is>
      </c>
      <c r="I250" s="77" t="inlineStr"/>
      <c r="J250"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50" s="77" t="inlineStr">
        <is>
          <t>Nottingham University Business School (Entrepreneurship, Sustainability and Innovation dept)</t>
        </is>
      </c>
      <c r="L250" s="77" t="inlineStr">
        <is>
          <t>MSc Entrepreneurship, Innovation and Management</t>
        </is>
      </c>
      <c r="M250" s="77" t="inlineStr">
        <is>
          <t>Business/management</t>
        </is>
      </c>
      <c r="N250" s="77" t="inlineStr">
        <is>
          <t>Postgraduate taught</t>
        </is>
      </c>
      <c r="O250" s="77" t="inlineStr"/>
      <c r="P250" s="77" t="inlineStr"/>
      <c r="Q250" s="77" t="inlineStr">
        <is>
          <t>Compulsory within specified programmes</t>
        </is>
      </c>
      <c r="R250" s="77" t="inlineStr">
        <is>
          <t>Curricular</t>
        </is>
      </c>
      <c r="S250" s="77" t="inlineStr">
        <is>
          <t>Credit value not retrieved; reports and poster showcase</t>
        </is>
      </c>
      <c r="T250" s="77" t="inlineStr">
        <is>
          <t>About 3 months</t>
        </is>
      </c>
      <c r="U250" s="77" t="inlineStr">
        <is>
          <t>Student groups matched to start-ups/companies; poster showcase to participating businesses</t>
        </is>
      </c>
      <c r="V250" s="77" t="inlineStr">
        <is>
          <t>Yes</t>
        </is>
      </c>
      <c r="W250" s="77" t="inlineStr">
        <is>
          <t>Live challenges; market-insight gathering and consultancy reports (source 1).</t>
        </is>
      </c>
      <c r="X250" s="77" t="inlineStr">
        <is>
          <t>Yes</t>
        </is>
      </c>
      <c r="Y250" s="77" t="inlineStr">
        <is>
          <t>'Twelve student groups' worked with 12 start-ups/local companies in 2025 (source 1).</t>
        </is>
      </c>
      <c r="Z250" s="77" t="inlineStr">
        <is>
          <t>Yes</t>
        </is>
      </c>
      <c r="AA250" s="77" t="inlineStr">
        <is>
          <t>Start-ups and local companies present live challenges, are engaged with by teams for stakeholder data, and receive recommendations/posters at the showcase; company representatives support students (sources 1, 2).</t>
        </is>
      </c>
      <c r="AB250" s="77" t="inlineStr">
        <is>
          <t>Business/commercial</t>
        </is>
      </c>
      <c r="AC250" s="77" t="inlineStr">
        <is>
          <t>Provide live challenge; receive reports/poster presentation; company reps support</t>
        </is>
      </c>
      <c r="AD250" s="77" t="inlineStr">
        <is>
          <t>2025 awards referenced Mytender.io, Notts County Foundation, IBM, The Treat Kitchen (source 1; mix incl. a charity foundation)</t>
        </is>
      </c>
      <c r="AE250" s="77" t="inlineStr">
        <is>
          <t>Consultancy recommendations report and poster</t>
        </is>
      </c>
      <c r="AF250" s="77">
        <f>IF(OR(V250="No",X250="No",Z250="No"),"Outside strict definition",IF(AND(V250="Yes",X250="Yes",Z250="Yes"),"Meets all three","Potentially relevant; evidence incomplete"))</f>
        <v/>
      </c>
      <c r="AG250" s="77" t="inlineStr">
        <is>
          <t>Current status unclear</t>
        </is>
      </c>
      <c r="AH250" s="77" t="inlineStr">
        <is>
          <t>2025 (poster showcase 6 May 2025, i.e. 2024/25)</t>
        </is>
      </c>
      <c r="AI250" s="77" t="inlineStr">
        <is>
          <t>Yes</t>
        </is>
      </c>
      <c r="AJ250" s="77">
        <f>IF(AND(AI250="Yes",AF250="Meets all three",AG250="Current delivery confirmed"),"Yes","No")</f>
        <v/>
      </c>
      <c r="AK250" s="77" t="inlineStr">
        <is>
          <t>2025: 12 student groups with 12 organisations (source 1)</t>
        </is>
      </c>
      <c r="AL250" s="77" t="inlineStr">
        <is>
          <t>RG16-S02-R1; RG16-S02-R2</t>
        </is>
      </c>
      <c r="AM250" s="77" t="inlineStr">
        <is>
          <t>Latest cohort evidenced is 2024/25; no 2025/26 or 2026/27 dated source retrieved. Whether the module is compulsory (core) for all MSc EIM students not directly evidenced. Credit value unknown.</t>
        </is>
      </c>
      <c r="AN250" s="77" t="inlineStr"/>
      <c r="AO250" s="77" t="inlineStr">
        <is>
          <t>UK</t>
        </is>
      </c>
      <c r="AP250" s="77" t="inlineStr">
        <is>
          <t>UK – Russell Group</t>
        </is>
      </c>
      <c r="AQ250" s="77" t="inlineStr">
        <is>
          <t>~1 term/semester</t>
        </is>
      </c>
      <c r="AR250" s="77" t="inlineStr">
        <is>
          <t>All/standard</t>
        </is>
      </c>
      <c r="AS250" s="77" t="inlineStr"/>
    </row>
    <row r="251">
      <c r="A251" s="77" t="inlineStr">
        <is>
          <t>RG16</t>
        </is>
      </c>
      <c r="B251" s="77" t="inlineStr">
        <is>
          <t>Nottingham</t>
        </is>
      </c>
      <c r="C251" s="77" t="inlineStr">
        <is>
          <t>Faculty/school</t>
        </is>
      </c>
      <c r="D251" s="77" t="inlineStr">
        <is>
          <t>RG16-S03</t>
        </is>
      </c>
      <c r="E251" s="77" t="inlineStr"/>
      <c r="F251" s="77" t="inlineStr">
        <is>
          <t>No</t>
        </is>
      </c>
      <c r="G251" s="79" t="inlineStr">
        <is>
          <t>Business Project (MSc, Nottingham University Business School)</t>
        </is>
      </c>
      <c r="H251" s="77" t="inlineStr">
        <is>
          <t>MSc Business Project (group project with industry partner)</t>
        </is>
      </c>
      <c r="I251" s="77" t="inlineStr"/>
      <c r="J251"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51" s="77" t="inlineStr">
        <is>
          <t>Nottingham University Business School</t>
        </is>
      </c>
      <c r="L251" s="77" t="inlineStr">
        <is>
          <t>NUBS MSc programmes (most departments), e.g. MSc Business and Management</t>
        </is>
      </c>
      <c r="M251" s="77" t="inlineStr">
        <is>
          <t>Business/management</t>
        </is>
      </c>
      <c r="N251" s="77" t="inlineStr">
        <is>
          <t>Postgraduate taught</t>
        </is>
      </c>
      <c r="O251" s="77" t="inlineStr"/>
      <c r="P251" s="77" t="inlineStr"/>
      <c r="Q251" s="77" t="inlineStr">
        <is>
          <t>Selective/competitive</t>
        </is>
      </c>
      <c r="R251" s="77" t="inlineStr">
        <is>
          <t>Curricular</t>
        </is>
      </c>
      <c r="S251" s="77" t="inlineStr">
        <is>
          <t>60-credit summer module (2025-entry course page); alternative to dissertation</t>
        </is>
      </c>
      <c r="T251" s="77" t="inlineStr">
        <is>
          <t>Summer project period</t>
        </is>
      </c>
      <c r="U251" s="77" t="inlineStr">
        <is>
          <t>Groups with industry partner; client pitch</t>
        </is>
      </c>
      <c r="V251" s="77" t="inlineStr">
        <is>
          <t>Yes</t>
        </is>
      </c>
      <c r="W251" s="77" t="inlineStr">
        <is>
          <t>Groups research a business topic/question and propose solutions (sources 1-3).</t>
        </is>
      </c>
      <c r="X251" s="77" t="inlineStr">
        <is>
          <t>Yes</t>
        </is>
      </c>
      <c r="Y251" s="77" t="inlineStr">
        <is>
          <t>'Collaborating in groups with an industry partner'; blog: students from different disciplines work together (sources 1, 2).</t>
        </is>
      </c>
      <c r="Z251" s="77" t="inlineStr">
        <is>
          <t>Yes</t>
        </is>
      </c>
      <c r="AA251" s="77" t="inlineStr">
        <is>
          <t>Industry partner sets the question and receives group pitches (Haleon 2024 example; source 3); course page states collaboration with an industry partner (source 1).</t>
        </is>
      </c>
      <c r="AB251" s="77" t="inlineStr">
        <is>
          <t>Business/commercial</t>
        </is>
      </c>
      <c r="AC251" s="77" t="inlineStr">
        <is>
          <t>Sets business question; receives group pitch</t>
        </is>
      </c>
      <c r="AD251" s="77" t="inlineStr">
        <is>
          <t>Haleon (Expert Marketing team), 2024 (source 3 - only photo caption/summary seen)</t>
        </is>
      </c>
      <c r="AE251" s="77" t="inlineStr">
        <is>
          <t>Group report/pitch to client</t>
        </is>
      </c>
      <c r="AF251" s="77">
        <f>IF(OR(V251="No",X251="No",Z251="No"),"Outside strict definition",IF(AND(V251="Yes",X251="Yes",Z251="Yes"),"Meets all three","Potentially relevant; evidence incomplete"))</f>
        <v/>
      </c>
      <c r="AG251" s="77" t="inlineStr">
        <is>
          <t>Current delivery confirmed</t>
        </is>
      </c>
      <c r="AH251" s="77" t="inlineStr">
        <is>
          <t>2025/26 (2025-entry course structure; Haleon cohort Nov 2024)</t>
        </is>
      </c>
      <c r="AI251" s="77" t="inlineStr">
        <is>
          <t>Yes</t>
        </is>
      </c>
      <c r="AJ251" s="77">
        <f>IF(AND(AI251="Yes",AF251="Meets all three",AG251="Current delivery confirmed"),"Yes","No")</f>
        <v/>
      </c>
      <c r="AK251" s="77" t="inlineStr"/>
      <c r="AL251" s="77" t="inlineStr">
        <is>
          <t>RG16-S03-R1; RG16-S03-R2; RG16-S03-R3</t>
        </is>
      </c>
      <c r="AM251" s="77" t="inlineStr">
        <is>
          <t>Selection process and capacity undisclosed; Haleon detail is from a search-summary of a blog caption; current-year client list not found. Whether the 'industry partner' is guaranteed for every group not stated beyond the course page.</t>
        </is>
      </c>
      <c r="AN251" s="77" t="inlineStr"/>
      <c r="AO251" s="77" t="inlineStr">
        <is>
          <t>UK</t>
        </is>
      </c>
      <c r="AP251" s="77" t="inlineStr">
        <is>
          <t>UK – Russell Group</t>
        </is>
      </c>
      <c r="AQ251" s="77" t="inlineStr">
        <is>
          <t>~1 term/semester</t>
        </is>
      </c>
      <c r="AR251" s="77" t="inlineStr">
        <is>
          <t>All/standard</t>
        </is>
      </c>
      <c r="AS251" s="77" t="inlineStr"/>
    </row>
    <row r="252">
      <c r="A252" s="77" t="inlineStr">
        <is>
          <t>RG16</t>
        </is>
      </c>
      <c r="B252" s="77" t="inlineStr">
        <is>
          <t>Nottingham</t>
        </is>
      </c>
      <c r="C252" s="77" t="inlineStr">
        <is>
          <t>Programme/course</t>
        </is>
      </c>
      <c r="D252" s="77" t="inlineStr">
        <is>
          <t>RG16-S04</t>
        </is>
      </c>
      <c r="E252" s="77" t="inlineStr"/>
      <c r="F252" s="77" t="inlineStr">
        <is>
          <t>No</t>
        </is>
      </c>
      <c r="G252" s="79" t="inlineStr">
        <is>
          <t>Business Project (optional UG module, Business and Management BSc)</t>
        </is>
      </c>
      <c r="H252" s="77" t="inlineStr">
        <is>
          <t>UG Business Project</t>
        </is>
      </c>
      <c r="I252" s="77" t="inlineStr"/>
      <c r="J252"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52" s="77" t="inlineStr">
        <is>
          <t>Nottingham University Business School</t>
        </is>
      </c>
      <c r="L252" s="77" t="inlineStr">
        <is>
          <t>BSc Business and Management (possibly other NUBS UG courses)</t>
        </is>
      </c>
      <c r="M252" s="77" t="inlineStr">
        <is>
          <t>Business/management</t>
        </is>
      </c>
      <c r="N252" s="77" t="inlineStr">
        <is>
          <t>Undergraduate</t>
        </is>
      </c>
      <c r="O252" s="77" t="inlineStr"/>
      <c r="P252" s="77" t="inlineStr"/>
      <c r="Q252" s="77" t="inlineStr">
        <is>
          <t>Optional/elective</t>
        </is>
      </c>
      <c r="R252" s="77" t="inlineStr">
        <is>
          <t>Curricular</t>
        </is>
      </c>
      <c r="S252" s="77" t="inlineStr"/>
      <c r="T252" s="77" t="inlineStr"/>
      <c r="U252" s="77" t="inlineStr"/>
      <c r="V252" s="77" t="inlineStr">
        <is>
          <t>Yes</t>
        </is>
      </c>
      <c r="W252" s="77" t="inlineStr">
        <is>
          <t>Real-world business problem and proposed solutions (source 1).</t>
        </is>
      </c>
      <c r="X252" s="77" t="inlineStr">
        <is>
          <t>Unclear</t>
        </is>
      </c>
      <c r="Y252" s="77" t="inlineStr">
        <is>
          <t>UG page does not say group or individual; the MSc version is described as group work (source 1 only for MSc).</t>
        </is>
      </c>
      <c r="Z252" s="77" t="inlineStr">
        <is>
          <t>Unclear</t>
        </is>
      </c>
      <c r="AA252" s="77" t="inlineStr">
        <is>
          <t>Page says 'working with businesses' but does not state who sets the brief or receives outputs.</t>
        </is>
      </c>
      <c r="AB252" s="77" t="inlineStr">
        <is>
          <t>Unclear</t>
        </is>
      </c>
      <c r="AC252" s="77" t="inlineStr">
        <is>
          <t>Not specified</t>
        </is>
      </c>
      <c r="AD252" s="77" t="inlineStr"/>
      <c r="AE252" s="77" t="inlineStr">
        <is>
          <t>Report proposing solutions</t>
        </is>
      </c>
      <c r="AF252" s="77">
        <f>IF(OR(V252="No",X252="No",Z252="No"),"Outside strict definition",IF(AND(V252="Yes",X252="Yes",Z252="Yes"),"Meets all three","Potentially relevant; evidence incomplete"))</f>
        <v/>
      </c>
      <c r="AG252" s="77" t="inlineStr">
        <is>
          <t>Current status unclear</t>
        </is>
      </c>
      <c r="AH252" s="77" t="inlineStr">
        <is>
          <t>2026 entry course page</t>
        </is>
      </c>
      <c r="AI252" s="77" t="inlineStr">
        <is>
          <t>Yes</t>
        </is>
      </c>
      <c r="AJ252" s="77">
        <f>IF(AND(AI252="Yes",AF252="Meets all three",AG252="Current delivery confirmed"),"Yes","No")</f>
        <v/>
      </c>
      <c r="AK252" s="77" t="inlineStr"/>
      <c r="AL252" s="77" t="inlineStr">
        <is>
          <t>RG16-S04-R1</t>
        </is>
      </c>
      <c r="AM252" s="77" t="inlineStr">
        <is>
          <t>Year of study, group/individual format, client involvement and enrolment numbers unknown; could not retrieve module spec.</t>
        </is>
      </c>
      <c r="AN252" s="77" t="inlineStr"/>
      <c r="AO252" s="77" t="inlineStr">
        <is>
          <t>UK</t>
        </is>
      </c>
      <c r="AP252" s="77" t="inlineStr">
        <is>
          <t>UK – Russell Group</t>
        </is>
      </c>
      <c r="AQ252" s="77" t="inlineStr">
        <is>
          <t>Unclear</t>
        </is>
      </c>
      <c r="AR252" s="77" t="inlineStr">
        <is>
          <t>Unclear</t>
        </is>
      </c>
      <c r="AS252" s="77" t="inlineStr"/>
    </row>
    <row r="253">
      <c r="A253" s="77" t="inlineStr">
        <is>
          <t>RG16</t>
        </is>
      </c>
      <c r="B253" s="77" t="inlineStr">
        <is>
          <t>Nottingham</t>
        </is>
      </c>
      <c r="C253" s="77" t="inlineStr">
        <is>
          <t>University-wide</t>
        </is>
      </c>
      <c r="D253" s="77" t="inlineStr">
        <is>
          <t>RG16-S05</t>
        </is>
      </c>
      <c r="E253" s="77" t="inlineStr"/>
      <c r="F253" s="77" t="inlineStr">
        <is>
          <t>No</t>
        </is>
      </c>
      <c r="G253" s="79" t="inlineStr">
        <is>
          <t>Nottingham Consultancy Challenge (Careers)</t>
        </is>
      </c>
      <c r="H253" s="77" t="inlineStr">
        <is>
          <t>Nottingham Consultancy Challenge</t>
        </is>
      </c>
      <c r="I253" s="77" t="inlineStr"/>
      <c r="J253" s="77" t="inlineStr">
        <is>
          <t>Careers-run spring-term challenge in which multidisciplinary student teams manage a short-term project for a local business or charity. Page states it is not running in 2025/26 and will be relaunched in 2026/27 with an updated model.</t>
        </is>
      </c>
      <c r="K253" s="77" t="inlineStr">
        <is>
          <t>Careers and Employability Service</t>
        </is>
      </c>
      <c r="L253" s="77" t="inlineStr">
        <is>
          <t>Described as open to University students (original format); relaunch model not described</t>
        </is>
      </c>
      <c r="M253" s="77" t="inlineStr">
        <is>
          <t>Central provision</t>
        </is>
      </c>
      <c r="N253" s="77" t="inlineStr">
        <is>
          <t>Mixed</t>
        </is>
      </c>
      <c r="O253" s="77" t="inlineStr"/>
      <c r="P253" s="77" t="inlineStr"/>
      <c r="Q253" s="77" t="inlineStr">
        <is>
          <t>Selective/competitive</t>
        </is>
      </c>
      <c r="R253" s="77" t="inlineStr">
        <is>
          <t>Extracurricular</t>
        </is>
      </c>
      <c r="S253" s="77" t="inlineStr">
        <is>
          <t>No credit evidenced</t>
        </is>
      </c>
      <c r="T253" s="77" t="inlineStr">
        <is>
          <t>Spring term (original format)</t>
        </is>
      </c>
      <c r="U253" s="77" t="inlineStr">
        <is>
          <t>Multidisciplinary teams; short-term project for local business or charity</t>
        </is>
      </c>
      <c r="V253" s="77" t="inlineStr">
        <is>
          <t>Yes</t>
        </is>
      </c>
      <c r="W253" s="77" t="inlineStr">
        <is>
          <t>Specific problem/issue for a local organisation (source 1).</t>
        </is>
      </c>
      <c r="X253" s="77" t="inlineStr">
        <is>
          <t>Yes</t>
        </is>
      </c>
      <c r="Y253" s="77" t="inlineStr">
        <is>
          <t>Multi-disciplinary teams (sources 1, 2).</t>
        </is>
      </c>
      <c r="Z253" s="77" t="inlineStr">
        <is>
          <t>Yes</t>
        </is>
      </c>
      <c r="AA253" s="77" t="inlineStr">
        <is>
          <t>Local businesses and charities host the project (source 1) - in the original format; updated model not described.</t>
        </is>
      </c>
      <c r="AB253" s="77" t="inlineStr">
        <is>
          <t>Mixed</t>
        </is>
      </c>
      <c r="AC253" s="77" t="inlineStr">
        <is>
          <t>Local business/charity sets the issue and hosts the project</t>
        </is>
      </c>
      <c r="AD253" s="77" t="inlineStr"/>
      <c r="AE253" s="77" t="inlineStr">
        <is>
          <t>Project output for the host organisation (not specified)</t>
        </is>
      </c>
      <c r="AF253" s="77">
        <f>IF(OR(V253="No",X253="No",Z253="No"),"Outside strict definition",IF(AND(V253="Yes",X253="Yes",Z253="Yes"),"Meets all three","Potentially relevant; evidence incomplete"))</f>
        <v/>
      </c>
      <c r="AG253" s="77" t="inlineStr">
        <is>
          <t>Announced/forthcoming</t>
        </is>
      </c>
      <c r="AH253" s="77" t="inlineStr">
        <is>
          <t>Not running 2025/26; relaunch 2026/27</t>
        </is>
      </c>
      <c r="AI253" s="77" t="inlineStr">
        <is>
          <t>Yes</t>
        </is>
      </c>
      <c r="AJ253" s="77">
        <f>IF(AND(AI253="Yes",AF253="Meets all three",AG253="Current delivery confirmed"),"Yes","No")</f>
        <v/>
      </c>
      <c r="AK253" s="77" t="inlineStr"/>
      <c r="AL253" s="77" t="inlineStr">
        <is>
          <t>RG16-S05-R1; RG16-S05-R2</t>
        </is>
      </c>
      <c r="AM253" s="77" t="inlineStr">
        <is>
          <t>Format of relaunched 2026/27 version unknown; historic scale not retrieved. Does not count as current delivery.</t>
        </is>
      </c>
      <c r="AN253" s="77" t="inlineStr"/>
      <c r="AO253" s="77" t="inlineStr">
        <is>
          <t>UK</t>
        </is>
      </c>
      <c r="AP253" s="77" t="inlineStr">
        <is>
          <t>UK – Russell Group</t>
        </is>
      </c>
      <c r="AQ253" s="77" t="inlineStr">
        <is>
          <t>~1 term/semester</t>
        </is>
      </c>
      <c r="AR253" s="77" t="inlineStr">
        <is>
          <t>All/standard</t>
        </is>
      </c>
      <c r="AS253" s="77" t="inlineStr"/>
    </row>
    <row r="254">
      <c r="A254" s="77" t="inlineStr">
        <is>
          <t>RG16</t>
        </is>
      </c>
      <c r="B254" s="77" t="inlineStr">
        <is>
          <t>Nottingham</t>
        </is>
      </c>
      <c r="C254" s="77" t="inlineStr">
        <is>
          <t>Programme/course</t>
        </is>
      </c>
      <c r="D254" s="77" t="inlineStr">
        <is>
          <t>RG16-S06</t>
        </is>
      </c>
      <c r="E254" s="77" t="inlineStr"/>
      <c r="F254" s="77" t="inlineStr">
        <is>
          <t>No</t>
        </is>
      </c>
      <c r="G254" s="79" t="inlineStr">
        <is>
          <t>Software Engineering Group Project (Year 2, Computer Science)</t>
        </is>
      </c>
      <c r="H254" s="77" t="inlineStr">
        <is>
          <t>Year 2 Software Engineering Group Project</t>
        </is>
      </c>
      <c r="I254" s="77" t="inlineStr"/>
      <c r="J254"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54" s="77" t="inlineStr">
        <is>
          <t>School of Computer Science</t>
        </is>
      </c>
      <c r="L254" s="77" t="inlineStr">
        <is>
          <t>BSc Computer Science (and variants)</t>
        </is>
      </c>
      <c r="M254" s="77" t="inlineStr">
        <is>
          <t>Engineering/computing</t>
        </is>
      </c>
      <c r="N254" s="77" t="inlineStr">
        <is>
          <t>Undergraduate</t>
        </is>
      </c>
      <c r="O254" s="77" t="inlineStr">
        <is>
          <t>Year 2</t>
        </is>
      </c>
      <c r="P254" s="77" t="inlineStr"/>
      <c r="Q254" s="77" t="inlineStr">
        <is>
          <t>Compulsory within specified programmes</t>
        </is>
      </c>
      <c r="R254" s="77" t="inlineStr">
        <is>
          <t>Curricular</t>
        </is>
      </c>
      <c r="S254" s="77" t="inlineStr">
        <is>
          <t>Not retrieved</t>
        </is>
      </c>
      <c r="T254" s="77" t="inlineStr">
        <is>
          <t>Year/semester not retrieved</t>
        </is>
      </c>
      <c r="U254" s="77" t="inlineStr">
        <is>
          <t>Groups meet twice weekly (once with supervisor); four intro lectures</t>
        </is>
      </c>
      <c r="V254" s="77" t="inlineStr">
        <is>
          <t>Yes</t>
        </is>
      </c>
      <c r="W254" s="77" t="inlineStr">
        <is>
          <t>Group designs, programs and documents an application (source 1).</t>
        </is>
      </c>
      <c r="X254" s="77" t="inlineStr">
        <is>
          <t>Yes</t>
        </is>
      </c>
      <c r="Y254" s="77" t="inlineStr">
        <is>
          <t>Groups of around six to seven (source 1).</t>
        </is>
      </c>
      <c r="Z254" s="77" t="inlineStr">
        <is>
          <t>Unclear</t>
        </is>
      </c>
      <c r="AA254" s="77" t="inlineStr">
        <is>
          <t>Around half of the projects students bid for have industry partners; the rest are supervisor/academic-set (source 1). External partners are therefore not standard.</t>
        </is>
      </c>
      <c r="AB254" s="77" t="inlineStr">
        <is>
          <t>Business/commercial</t>
        </is>
      </c>
      <c r="AC254" s="77" t="inlineStr">
        <is>
          <t>Industry partners on some projects (role not specified)</t>
        </is>
      </c>
      <c r="AD254" s="77" t="inlineStr"/>
      <c r="AE254" s="77" t="inlineStr">
        <is>
          <t>Working software and documentation</t>
        </is>
      </c>
      <c r="AF254" s="77">
        <f>IF(OR(V254="No",X254="No",Z254="No"),"Outside strict definition",IF(AND(V254="Yes",X254="Yes",Z254="Yes"),"Meets all three","Potentially relevant; evidence incomplete"))</f>
        <v/>
      </c>
      <c r="AG254" s="77" t="inlineStr">
        <is>
          <t>Current status unclear</t>
        </is>
      </c>
      <c r="AH254" s="77" t="inlineStr">
        <is>
          <t>2026 entry course page (undated module description)</t>
        </is>
      </c>
      <c r="AI254" s="77" t="inlineStr">
        <is>
          <t>Yes</t>
        </is>
      </c>
      <c r="AJ254" s="77">
        <f>IF(AND(AI254="Yes",AF254="Meets all three",AG254="Current delivery confirmed"),"Yes","No")</f>
        <v/>
      </c>
      <c r="AK254" s="77" t="inlineStr"/>
      <c r="AL254" s="77" t="inlineStr">
        <is>
          <t>RG16-S06-R1</t>
        </is>
      </c>
      <c r="AM254" s="77" t="inlineStr">
        <is>
          <t>Which projects have industry partners, how they engage (live client vs sponsor) and compulsory status per degree not retrieved; two-thirds figure unconfirmed.</t>
        </is>
      </c>
      <c r="AN254" s="77" t="inlineStr"/>
      <c r="AO254" s="77" t="inlineStr">
        <is>
          <t>UK</t>
        </is>
      </c>
      <c r="AP254" s="77" t="inlineStr">
        <is>
          <t>UK – Russell Group</t>
        </is>
      </c>
      <c r="AQ254" s="77" t="inlineStr">
        <is>
          <t>Unclear</t>
        </is>
      </c>
      <c r="AR254" s="77" t="inlineStr">
        <is>
          <t>Some projects</t>
        </is>
      </c>
      <c r="AS254" s="77" t="inlineStr"/>
    </row>
    <row r="255">
      <c r="A255" s="77" t="inlineStr">
        <is>
          <t>RG16</t>
        </is>
      </c>
      <c r="B255" s="77" t="inlineStr">
        <is>
          <t>Nottingham</t>
        </is>
      </c>
      <c r="C255" s="77" t="inlineStr">
        <is>
          <t>Programme/course</t>
        </is>
      </c>
      <c r="D255" s="77" t="inlineStr">
        <is>
          <t>RG16-S07</t>
        </is>
      </c>
      <c r="E255" s="77" t="inlineStr"/>
      <c r="F255" s="77" t="inlineStr">
        <is>
          <t>No</t>
        </is>
      </c>
      <c r="G255" s="79" t="inlineStr">
        <is>
          <t>MSci Group Programming Project (COMP4028)</t>
        </is>
      </c>
      <c r="H255" s="77" t="inlineStr">
        <is>
          <t>MSci Group Programming Project</t>
        </is>
      </c>
      <c r="I255" s="77" t="inlineStr">
        <is>
          <t>COMP4028</t>
        </is>
      </c>
      <c r="J255"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55" s="77" t="inlineStr">
        <is>
          <t>School of Computer Science</t>
        </is>
      </c>
      <c r="L255" s="77" t="inlineStr">
        <is>
          <t>MSci Computer Science and AI variants</t>
        </is>
      </c>
      <c r="M255" s="77" t="inlineStr">
        <is>
          <t>Engineering/computing</t>
        </is>
      </c>
      <c r="N255" s="77" t="inlineStr">
        <is>
          <t>Undergraduate</t>
        </is>
      </c>
      <c r="O255" s="77" t="inlineStr">
        <is>
          <t>Year 4</t>
        </is>
      </c>
      <c r="P255" s="77" t="inlineStr"/>
      <c r="Q255" s="77" t="inlineStr">
        <is>
          <t>Optional/elective</t>
        </is>
      </c>
      <c r="R255" s="77" t="inlineStr">
        <is>
          <t>Curricular</t>
        </is>
      </c>
      <c r="S255" s="77" t="inlineStr">
        <is>
          <t>40 credits, full year (2024 catalogue); software plus group report/reflection</t>
        </is>
      </c>
      <c r="T255" s="77" t="inlineStr">
        <is>
          <t>Full year</t>
        </is>
      </c>
      <c r="U255" s="77" t="inlineStr">
        <is>
          <t>Teams of 2-4 with supervisor</t>
        </is>
      </c>
      <c r="V255" s="77" t="inlineStr">
        <is>
          <t>Yes</t>
        </is>
      </c>
      <c r="W255" s="77" t="inlineStr">
        <is>
          <t>Client supplies a problem needing a challenging piece of software (sources 1, 2).</t>
        </is>
      </c>
      <c r="X255" s="77" t="inlineStr">
        <is>
          <t>Yes</t>
        </is>
      </c>
      <c r="Y255" s="77" t="inlineStr">
        <is>
          <t>Teams of two to four chosen by students; individual reflection also required (sources 1, 2).</t>
        </is>
      </c>
      <c r="Z255" s="77" t="inlineStr">
        <is>
          <t>Unclear</t>
        </is>
      </c>
      <c r="AA255" s="77" t="inlineStr">
        <is>
          <t>Client must be external to the supervisor, but may be a 'research group' (possibly internal) and may be sourced by students; the extent of company/charity clients is not evidenced.</t>
        </is>
      </c>
      <c r="AB255" s="77" t="inlineStr">
        <is>
          <t>Mixed</t>
        </is>
      </c>
      <c r="AC255" s="77" t="inlineStr">
        <is>
          <t>Client supplies the problem</t>
        </is>
      </c>
      <c r="AD255" s="77" t="inlineStr"/>
      <c r="AE255" s="77" t="inlineStr">
        <is>
          <t>Software and written documentation</t>
        </is>
      </c>
      <c r="AF255" s="77">
        <f>IF(OR(V255="No",X255="No",Z255="No"),"Outside strict definition",IF(AND(V255="Yes",X255="Yes",Z255="Yes"),"Meets all three","Potentially relevant; evidence incomplete"))</f>
        <v/>
      </c>
      <c r="AG255" s="77" t="inlineStr">
        <is>
          <t>Current status unclear</t>
        </is>
      </c>
      <c r="AH255" s="77" t="inlineStr">
        <is>
          <t>2024 catalogue; 2026-entry course pages list the module</t>
        </is>
      </c>
      <c r="AI255" s="77" t="inlineStr">
        <is>
          <t>Yes</t>
        </is>
      </c>
      <c r="AJ255" s="77">
        <f>IF(AND(AI255="Yes",AF255="Meets all three",AG255="Current delivery confirmed"),"Yes","No")</f>
        <v/>
      </c>
      <c r="AK255" s="77" t="inlineStr"/>
      <c r="AL255" s="77" t="inlineStr">
        <is>
          <t>RG16-S07-R1; RG16-S07-R2</t>
        </is>
      </c>
      <c r="AM255" s="77" t="inlineStr">
        <is>
          <t>Share of true external organisations vs internal research groups unknown.</t>
        </is>
      </c>
      <c r="AN255" s="77" t="inlineStr"/>
      <c r="AO255" s="77" t="inlineStr">
        <is>
          <t>UK</t>
        </is>
      </c>
      <c r="AP255" s="77" t="inlineStr">
        <is>
          <t>UK – Russell Group</t>
        </is>
      </c>
      <c r="AQ255" s="77" t="inlineStr">
        <is>
          <t>&gt;1 term</t>
        </is>
      </c>
      <c r="AR255" s="77" t="inlineStr">
        <is>
          <t>Unclear</t>
        </is>
      </c>
      <c r="AS255" s="77" t="inlineStr"/>
    </row>
    <row r="256">
      <c r="A256" s="77" t="inlineStr">
        <is>
          <t>RG16</t>
        </is>
      </c>
      <c r="B256" s="77" t="inlineStr">
        <is>
          <t>Nottingham</t>
        </is>
      </c>
      <c r="C256" s="77" t="inlineStr">
        <is>
          <t>Programme/course</t>
        </is>
      </c>
      <c r="D256" s="77" t="inlineStr">
        <is>
          <t>RG16-S08</t>
        </is>
      </c>
      <c r="E256" s="77" t="inlineStr"/>
      <c r="F256" s="77" t="inlineStr">
        <is>
          <t>No</t>
        </is>
      </c>
      <c r="G256" s="79" t="inlineStr">
        <is>
          <t>Group Project (Year 3, Electronic and Computer Engineering MEng)</t>
        </is>
      </c>
      <c r="H256" s="77" t="inlineStr">
        <is>
          <t>ECE Group Project</t>
        </is>
      </c>
      <c r="I256" s="77" t="inlineStr"/>
      <c r="J256"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56" s="77" t="inlineStr">
        <is>
          <t>Department of Electrical and Electronic Engineering</t>
        </is>
      </c>
      <c r="L256" s="77" t="inlineStr">
        <is>
          <t>MEng Electronic and Computer Engineering (and Year in Industry variant)</t>
        </is>
      </c>
      <c r="M256" s="77" t="inlineStr">
        <is>
          <t>Engineering/computing</t>
        </is>
      </c>
      <c r="N256" s="77" t="inlineStr">
        <is>
          <t>Undergraduate</t>
        </is>
      </c>
      <c r="O256" s="77" t="inlineStr">
        <is>
          <t>Year 3</t>
        </is>
      </c>
      <c r="P256" s="77" t="inlineStr"/>
      <c r="Q256" s="77" t="inlineStr">
        <is>
          <t>Compulsory within specified programmes</t>
        </is>
      </c>
      <c r="R256" s="77" t="inlineStr">
        <is>
          <t>Curricular</t>
        </is>
      </c>
      <c r="S256" s="77" t="inlineStr"/>
      <c r="T256" s="77" t="inlineStr">
        <is>
          <t>Full academic year</t>
        </is>
      </c>
      <c r="U256" s="77" t="inlineStr"/>
      <c r="V256" s="77" t="inlineStr">
        <is>
          <t>Yes</t>
        </is>
      </c>
      <c r="W256" s="77" t="inlineStr">
        <is>
          <t>Prototype addressing stakeholder's challenge (source 1).</t>
        </is>
      </c>
      <c r="X256" s="77" t="inlineStr">
        <is>
          <t>Yes</t>
        </is>
      </c>
      <c r="Y256" s="77" t="inlineStr">
        <is>
          <t>Groups of four to six with academic supervisor (source 1).</t>
        </is>
      </c>
      <c r="Z256" s="77" t="inlineStr">
        <is>
          <t>Unclear</t>
        </is>
      </c>
      <c r="AA256" s="77" t="inlineStr">
        <is>
          <t>Stakeholder is 'typically external to the Department' - may be another university department or academic, not necessarily an external organisation.</t>
        </is>
      </c>
      <c r="AB256" s="77" t="inlineStr">
        <is>
          <t>Unclear</t>
        </is>
      </c>
      <c r="AC256" s="77" t="inlineStr">
        <is>
          <t>Stakeholder sets problem</t>
        </is>
      </c>
      <c r="AD256" s="77" t="inlineStr"/>
      <c r="AE256" s="77" t="inlineStr">
        <is>
          <t>Tested prototype device and report</t>
        </is>
      </c>
      <c r="AF256" s="77">
        <f>IF(OR(V256="No",X256="No",Z256="No"),"Outside strict definition",IF(AND(V256="Yes",X256="Yes",Z256="Yes"),"Meets all three","Potentially relevant; evidence incomplete"))</f>
        <v/>
      </c>
      <c r="AG256" s="77" t="inlineStr">
        <is>
          <t>Current status unclear</t>
        </is>
      </c>
      <c r="AH256" s="77" t="inlineStr">
        <is>
          <t>Undated course page</t>
        </is>
      </c>
      <c r="AI256" s="77" t="inlineStr">
        <is>
          <t>Yes</t>
        </is>
      </c>
      <c r="AJ256" s="77">
        <f>IF(AND(AI256="Yes",AF256="Meets all three",AG256="Current delivery confirmed"),"Yes","No")</f>
        <v/>
      </c>
      <c r="AK256" s="77" t="inlineStr"/>
      <c r="AL256" s="77" t="inlineStr">
        <is>
          <t>RG16-S08-R1</t>
        </is>
      </c>
      <c r="AM256" s="77" t="inlineStr">
        <is>
          <t>Identity of stakeholders (industry vs internal) and credit not retrieved.</t>
        </is>
      </c>
      <c r="AN256" s="77" t="inlineStr"/>
      <c r="AO256" s="77" t="inlineStr">
        <is>
          <t>UK</t>
        </is>
      </c>
      <c r="AP256" s="77" t="inlineStr">
        <is>
          <t>UK – Russell Group</t>
        </is>
      </c>
      <c r="AQ256" s="77" t="inlineStr">
        <is>
          <t>&gt;1 term</t>
        </is>
      </c>
      <c r="AR256" s="77" t="inlineStr">
        <is>
          <t>Unclear</t>
        </is>
      </c>
      <c r="AS256" s="77" t="inlineStr"/>
    </row>
    <row r="257">
      <c r="A257" s="77" t="inlineStr">
        <is>
          <t>RG16</t>
        </is>
      </c>
      <c r="B257" s="77" t="inlineStr">
        <is>
          <t>Nottingham</t>
        </is>
      </c>
      <c r="C257" s="77" t="inlineStr">
        <is>
          <t>Programme/course</t>
        </is>
      </c>
      <c r="D257" s="77" t="inlineStr">
        <is>
          <t>RG16-S09</t>
        </is>
      </c>
      <c r="E257" s="77" t="inlineStr"/>
      <c r="F257" s="77" t="inlineStr">
        <is>
          <t>No</t>
        </is>
      </c>
      <c r="G257" s="79" t="inlineStr">
        <is>
          <t>Group Design and Make Project (Mechanical, Materials and Manufacturing Engineering)</t>
        </is>
      </c>
      <c r="H257" s="77" t="inlineStr">
        <is>
          <t>Group Design and Make Project</t>
        </is>
      </c>
      <c r="I257" s="77" t="inlineStr"/>
      <c r="J257"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57" s="77" t="inlineStr">
        <is>
          <t>Department of Mechanical, Materials and Manufacturing Engineering</t>
        </is>
      </c>
      <c r="L257" s="77" t="inlineStr">
        <is>
          <t>Mechanical engineering programmes</t>
        </is>
      </c>
      <c r="M257" s="77" t="inlineStr">
        <is>
          <t>Engineering/computing</t>
        </is>
      </c>
      <c r="N257" s="77" t="inlineStr">
        <is>
          <t>Undergraduate</t>
        </is>
      </c>
      <c r="O257" s="77" t="inlineStr"/>
      <c r="P257" s="77" t="inlineStr"/>
      <c r="Q257" s="77" t="inlineStr">
        <is>
          <t>Compulsory within specified programmes</t>
        </is>
      </c>
      <c r="R257" s="77" t="inlineStr">
        <is>
          <t>Curricular</t>
        </is>
      </c>
      <c r="S257" s="77" t="inlineStr"/>
      <c r="T257" s="77" t="inlineStr"/>
      <c r="U257" s="77" t="inlineStr"/>
      <c r="V257" s="77" t="inlineStr">
        <is>
          <t>Yes</t>
        </is>
      </c>
      <c r="W257" s="77" t="inlineStr">
        <is>
          <t>Design, build and evaluate a product/prototype (source 1).</t>
        </is>
      </c>
      <c r="X257" s="77" t="inlineStr">
        <is>
          <t>Yes</t>
        </is>
      </c>
      <c r="Y257" s="77" t="inlineStr">
        <is>
          <t>Group project (source 1).</t>
        </is>
      </c>
      <c r="Z257" s="77" t="inlineStr">
        <is>
          <t>Unclear</t>
        </is>
      </c>
      <c r="AA257" s="77" t="inlineStr">
        <is>
          <t>'Some ideas come from industry, academics or yourselves'; show day attended by industry colleagues (source 1) - industry briefs are a subset.</t>
        </is>
      </c>
      <c r="AB257" s="77" t="inlineStr">
        <is>
          <t>Business/commercial</t>
        </is>
      </c>
      <c r="AC257" s="77" t="inlineStr">
        <is>
          <t>Some project ideas; show-day audience</t>
        </is>
      </c>
      <c r="AD257" s="77" t="inlineStr"/>
      <c r="AE257" s="77" t="inlineStr">
        <is>
          <t>Prototype/product</t>
        </is>
      </c>
      <c r="AF257" s="77">
        <f>IF(OR(V257="No",X257="No",Z257="No"),"Outside strict definition",IF(AND(V257="Yes",X257="Yes",Z257="Yes"),"Meets all three","Potentially relevant; evidence incomplete"))</f>
        <v/>
      </c>
      <c r="AG257" s="77" t="inlineStr">
        <is>
          <t>Current status unclear</t>
        </is>
      </c>
      <c r="AH257" s="77" t="inlineStr">
        <is>
          <t>Undated</t>
        </is>
      </c>
      <c r="AI257" s="77" t="inlineStr">
        <is>
          <t>Yes</t>
        </is>
      </c>
      <c r="AJ257" s="77">
        <f>IF(AND(AI257="Yes",AF257="Meets all three",AG257="Current delivery confirmed"),"Yes","No")</f>
        <v/>
      </c>
      <c r="AK257" s="77" t="inlineStr"/>
      <c r="AL257" s="77" t="inlineStr">
        <is>
          <t>RG16-S09-R1</t>
        </is>
      </c>
      <c r="AM257" s="77" t="inlineStr">
        <is>
          <t>Share of industry-sourced projects, year and credit unknown; the related Aerospace group design project is described as a simulated industry team, not a live client.</t>
        </is>
      </c>
      <c r="AN257" s="77" t="inlineStr"/>
      <c r="AO257" s="77" t="inlineStr">
        <is>
          <t>UK</t>
        </is>
      </c>
      <c r="AP257" s="77" t="inlineStr">
        <is>
          <t>UK – Russell Group</t>
        </is>
      </c>
      <c r="AQ257" s="77" t="inlineStr">
        <is>
          <t>Unclear</t>
        </is>
      </c>
      <c r="AR257" s="77" t="inlineStr">
        <is>
          <t>Some projects</t>
        </is>
      </c>
      <c r="AS257" s="77" t="inlineStr"/>
    </row>
    <row r="258">
      <c r="A258" s="77" t="inlineStr">
        <is>
          <t>RG16</t>
        </is>
      </c>
      <c r="B258" s="77" t="inlineStr">
        <is>
          <t>Nottingham</t>
        </is>
      </c>
      <c r="C258" s="77" t="inlineStr">
        <is>
          <t>Faculty/school</t>
        </is>
      </c>
      <c r="D258" s="77" t="inlineStr">
        <is>
          <t>RG16-S10</t>
        </is>
      </c>
      <c r="E258" s="77" t="inlineStr"/>
      <c r="F258" s="77" t="inlineStr">
        <is>
          <t>No</t>
        </is>
      </c>
      <c r="G258" s="79" t="inlineStr">
        <is>
          <t>Employing the Arts</t>
        </is>
      </c>
      <c r="H258" s="77" t="inlineStr">
        <is>
          <t>Employing the Arts (Faculty of Arts engaged module)</t>
        </is>
      </c>
      <c r="I258" s="77" t="inlineStr"/>
      <c r="J258"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58" s="77" t="inlineStr">
        <is>
          <t>Faculty of Arts</t>
        </is>
      </c>
      <c r="L258" s="77" t="inlineStr">
        <is>
          <t>Second-year undergraduates in the Faculty of Arts</t>
        </is>
      </c>
      <c r="M258" s="77" t="inlineStr">
        <is>
          <t>Arts/humanities/social sciences</t>
        </is>
      </c>
      <c r="N258" s="77" t="inlineStr">
        <is>
          <t>Undergraduate</t>
        </is>
      </c>
      <c r="O258" s="77" t="inlineStr">
        <is>
          <t>Year 2</t>
        </is>
      </c>
      <c r="P258" s="77" t="inlineStr"/>
      <c r="Q258" s="77" t="inlineStr">
        <is>
          <t>Optional/elective</t>
        </is>
      </c>
      <c r="R258" s="77" t="inlineStr">
        <is>
          <t>Curricular</t>
        </is>
      </c>
      <c r="S258" s="77" t="inlineStr"/>
      <c r="T258" s="77" t="inlineStr"/>
      <c r="U258" s="77" t="inlineStr"/>
      <c r="V258" s="77" t="inlineStr">
        <is>
          <t>Yes</t>
        </is>
      </c>
      <c r="W258" s="77" t="inlineStr">
        <is>
          <t>Teams given a project brief and deliver results (sources 1, 2).</t>
        </is>
      </c>
      <c r="X258" s="77" t="inlineStr">
        <is>
          <t>Yes</t>
        </is>
      </c>
      <c r="Y258" s="77" t="inlineStr">
        <is>
          <t>Interdisciplinary teams (source 1).</t>
        </is>
      </c>
      <c r="Z258" s="77" t="inlineStr">
        <is>
          <t>Unclear</t>
        </is>
      </c>
      <c r="AA258" s="77" t="inlineStr">
        <is>
          <t>Briefs come from 'individuals, groups and organisations'; the only worked example is hosted by City as Lab, a University of Nottingham programme (internal). External-organisation share is not evidenced.</t>
        </is>
      </c>
      <c r="AB258" s="77" t="inlineStr">
        <is>
          <t>Unclear</t>
        </is>
      </c>
      <c r="AC258" s="77" t="inlineStr">
        <is>
          <t>Brief providers (mixed, internal example)</t>
        </is>
      </c>
      <c r="AD258" s="77" t="inlineStr"/>
      <c r="AE258" s="77" t="inlineStr">
        <is>
          <t>Posters/reports (City as Lab example)</t>
        </is>
      </c>
      <c r="AF258" s="77">
        <f>IF(OR(V258="No",X258="No",Z258="No"),"Outside strict definition",IF(AND(V258="Yes",X258="Yes",Z258="Yes"),"Meets all three","Potentially relevant; evidence incomplete"))</f>
        <v/>
      </c>
      <c r="AG258" s="77" t="inlineStr">
        <is>
          <t>Current status unclear</t>
        </is>
      </c>
      <c r="AH258" s="77" t="inlineStr">
        <is>
          <t>Undated</t>
        </is>
      </c>
      <c r="AI258" s="77" t="inlineStr">
        <is>
          <t>Yes</t>
        </is>
      </c>
      <c r="AJ258" s="77">
        <f>IF(AND(AI258="Yes",AF258="Meets all three",AG258="Current delivery confirmed"),"Yes","No")</f>
        <v/>
      </c>
      <c r="AK258" s="77" t="inlineStr"/>
      <c r="AL258" s="77" t="inlineStr">
        <is>
          <t>RG16-S10-R1; RG16-S10-R2</t>
        </is>
      </c>
      <c r="AM258" s="77" t="inlineStr">
        <is>
          <t>Named external clients, credits, duration and numbers not found.</t>
        </is>
      </c>
      <c r="AN258" s="77" t="inlineStr"/>
      <c r="AO258" s="77" t="inlineStr">
        <is>
          <t>UK</t>
        </is>
      </c>
      <c r="AP258" s="77" t="inlineStr">
        <is>
          <t>UK – Russell Group</t>
        </is>
      </c>
      <c r="AQ258" s="77" t="inlineStr">
        <is>
          <t>Unclear</t>
        </is>
      </c>
      <c r="AR258" s="77" t="inlineStr">
        <is>
          <t>Unclear</t>
        </is>
      </c>
      <c r="AS258" s="77" t="inlineStr"/>
    </row>
    <row r="259">
      <c r="A259" s="77" t="inlineStr">
        <is>
          <t>RG16</t>
        </is>
      </c>
      <c r="B259" s="77" t="inlineStr">
        <is>
          <t>Nottingham</t>
        </is>
      </c>
      <c r="C259" s="77" t="inlineStr">
        <is>
          <t>Programme/course</t>
        </is>
      </c>
      <c r="D259" s="77" t="inlineStr">
        <is>
          <t>RG16-S11</t>
        </is>
      </c>
      <c r="E259" s="77" t="inlineStr"/>
      <c r="F259" s="77" t="inlineStr">
        <is>
          <t>No</t>
        </is>
      </c>
      <c r="G259" s="79" t="inlineStr">
        <is>
          <t>Horizon CDT Sprint Project (COMP4114)</t>
        </is>
      </c>
      <c r="H259" s="77" t="inlineStr">
        <is>
          <t>Horizon CDT Sprint Project</t>
        </is>
      </c>
      <c r="I259" s="77" t="inlineStr">
        <is>
          <t>COMP4114</t>
        </is>
      </c>
      <c r="J259" s="77" t="inlineStr">
        <is>
          <t>Intensive week-long multidisciplinary peer-group sprint for PhD students in the Digital Economy Horizon CDT: an industry partner sets a real-world challenge tied to its core business; the group designs, builds and user-tests a prototype and reports on it.</t>
        </is>
      </c>
      <c r="K259" s="77" t="inlineStr">
        <is>
          <t>School of Computer Science / Horizon CDT</t>
        </is>
      </c>
      <c r="L259" s="77" t="inlineStr">
        <is>
          <t>PhD students of the Horizon Digital Economy CDT only</t>
        </is>
      </c>
      <c r="M259" s="77" t="inlineStr">
        <is>
          <t>Engineering/computing</t>
        </is>
      </c>
      <c r="N259" s="77" t="inlineStr">
        <is>
          <t>Postgraduate research</t>
        </is>
      </c>
      <c r="O259" s="77" t="inlineStr"/>
      <c r="P259" s="77" t="inlineStr"/>
      <c r="Q259" s="77" t="inlineStr">
        <is>
          <t>Compulsory within specified programmes</t>
        </is>
      </c>
      <c r="R259" s="77" t="inlineStr">
        <is>
          <t>Curricular</t>
        </is>
      </c>
      <c r="S259" s="77" t="inlineStr">
        <is>
          <t>20 credits; report on partner, challenge, process and user evaluation</t>
        </is>
      </c>
      <c r="T259" s="77" t="inlineStr">
        <is>
          <t>Intensive week</t>
        </is>
      </c>
      <c r="U259" s="77" t="inlineStr"/>
      <c r="V259" s="77" t="inlineStr">
        <is>
          <t>Yes</t>
        </is>
      </c>
      <c r="W259" s="77" t="inlineStr">
        <is>
          <t>Single rapid prototyping cycle with user evaluation (source 1).</t>
        </is>
      </c>
      <c r="X259" s="77" t="inlineStr">
        <is>
          <t>Yes</t>
        </is>
      </c>
      <c r="Y259" s="77" t="inlineStr">
        <is>
          <t>Peer-group activity (source 1).</t>
        </is>
      </c>
      <c r="Z259" s="77" t="inlineStr">
        <is>
          <t>Yes</t>
        </is>
      </c>
      <c r="AA259" s="77" t="inlineStr">
        <is>
          <t>'The industry partner will set the peer-group a real-world challenge pertinent to their core business' (source 1).</t>
        </is>
      </c>
      <c r="AB259" s="77" t="inlineStr">
        <is>
          <t>Business/commercial</t>
        </is>
      </c>
      <c r="AC259" s="77" t="inlineStr">
        <is>
          <t>Sets challenge</t>
        </is>
      </c>
      <c r="AD259" s="77" t="inlineStr"/>
      <c r="AE259" s="77" t="inlineStr">
        <is>
          <t>Prototype and report</t>
        </is>
      </c>
      <c r="AF259" s="77">
        <f>IF(OR(V259="No",X259="No",Z259="No"),"Outside strict definition",IF(AND(V259="Yes",X259="Yes",Z259="Yes"),"Meets all three","Potentially relevant; evidence incomplete"))</f>
        <v/>
      </c>
      <c r="AG259" s="77" t="inlineStr">
        <is>
          <t>Current status unclear</t>
        </is>
      </c>
      <c r="AH259" s="77" t="inlineStr">
        <is>
          <t>2024 catalogue</t>
        </is>
      </c>
      <c r="AI259" s="77" t="inlineStr">
        <is>
          <t>Yes</t>
        </is>
      </c>
      <c r="AJ259" s="77">
        <f>IF(AND(AI259="Yes",AF259="Meets all three",AG259="Current delivery confirmed"),"Yes","No")</f>
        <v/>
      </c>
      <c r="AK259" s="77" t="inlineStr"/>
      <c r="AL259" s="77" t="inlineStr">
        <is>
          <t>RG16-S11-R1</t>
        </is>
      </c>
      <c r="AM259" s="77" t="inlineStr">
        <is>
          <t>Horizon CDT cohorts/funding run to 2028 but no 2025/26 delivery evidence; very small, single-CDT reach.</t>
        </is>
      </c>
      <c r="AN259" s="77" t="inlineStr"/>
      <c r="AO259" s="77" t="inlineStr">
        <is>
          <t>UK</t>
        </is>
      </c>
      <c r="AP259" s="77" t="inlineStr">
        <is>
          <t>UK – Russell Group</t>
        </is>
      </c>
      <c r="AQ259" s="77" t="inlineStr">
        <is>
          <t>1–4 weeks</t>
        </is>
      </c>
      <c r="AR259" s="77" t="inlineStr">
        <is>
          <t>All/standard</t>
        </is>
      </c>
      <c r="AS259" s="77" t="inlineStr"/>
    </row>
    <row r="260">
      <c r="A260" s="77" t="inlineStr">
        <is>
          <t>RG17</t>
        </is>
      </c>
      <c r="B260" s="77" t="inlineStr">
        <is>
          <t>Oxford</t>
        </is>
      </c>
      <c r="C260" s="77" t="inlineStr">
        <is>
          <t>University-wide</t>
        </is>
      </c>
      <c r="D260" s="77" t="inlineStr">
        <is>
          <t>RG17-S01</t>
        </is>
      </c>
      <c r="E260" s="77" t="inlineStr"/>
      <c r="F260" s="77" t="inlineStr">
        <is>
          <t>No</t>
        </is>
      </c>
      <c r="G260" s="79" t="inlineStr">
        <is>
          <t>The Oxford Strategy Challenge (TOSCA)</t>
        </is>
      </c>
      <c r="H260" s="77" t="inlineStr">
        <is>
          <t>The Oxford Strategy Challenge</t>
        </is>
      </c>
      <c r="I260" s="77" t="inlineStr"/>
      <c r="J260"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60" s="77" t="inlineStr">
        <is>
          <t>Careers Service</t>
        </is>
      </c>
      <c r="L260" s="77" t="inlineStr">
        <is>
          <t>All subjects; current students from 1st-year undergraduates to DPhils</t>
        </is>
      </c>
      <c r="M260" s="77" t="inlineStr">
        <is>
          <t>Central provision</t>
        </is>
      </c>
      <c r="N260" s="77" t="inlineStr">
        <is>
          <t>Mixed</t>
        </is>
      </c>
      <c r="O260" s="77" t="inlineStr">
        <is>
          <t>Any</t>
        </is>
      </c>
      <c r="P260" s="77" t="inlineStr">
        <is>
          <t>Saïd Business School students, visiting students, research staff, alumni and previous participants excluded; application with assessment task (selection).</t>
        </is>
      </c>
      <c r="Q260" s="77" t="inlineStr">
        <is>
          <t>Selective/competitive</t>
        </is>
      </c>
      <c r="R260" s="77" t="inlineStr">
        <is>
          <t>Extracurricular</t>
        </is>
      </c>
      <c r="S260" s="77" t="inlineStr">
        <is>
          <t>Non-credit</t>
        </is>
      </c>
      <c r="T260" s="77" t="inlineStr">
        <is>
          <t>About 5 days (one week) after training</t>
        </is>
      </c>
      <c r="U260" s="77" t="inlineStr">
        <is>
          <t>Remote/online team work with online client presentation</t>
        </is>
      </c>
      <c r="V260" s="77" t="inlineStr">
        <is>
          <t>Yes</t>
        </is>
      </c>
      <c r="W260" s="77" t="inlineStr">
        <is>
          <t>Defined strategic challenge outlined with the client; output is a presentation of research and recommendations [1][2][3].</t>
        </is>
      </c>
      <c r="X260" s="77" t="inlineStr">
        <is>
          <t>Yes</t>
        </is>
      </c>
      <c r="Y260" s="77" t="inlineStr">
        <is>
          <t>Careers mixes applicants into teams of four to six, often mixing undergraduates and postgraduates [1][2].</t>
        </is>
      </c>
      <c r="Z260" s="77" t="inlineStr">
        <is>
          <t>Yes</t>
        </is>
      </c>
      <c r="AA260" s="77" t="inlineStr">
        <is>
          <t>Client organisations work with Careers to define the challenge, teams liaise directly with them, and clients receive the final presentation of recommendations; clients get a licence to use the report [1][2][3].</t>
        </is>
      </c>
      <c r="AB260" s="77" t="inlineStr">
        <is>
          <t>Mixed</t>
        </is>
      </c>
      <c r="AC260" s="77" t="inlineStr">
        <is>
          <t>Sets challenge with Careers Service; briefing call, check-in, receives final presentation/report</t>
        </is>
      </c>
      <c r="AD260" s="77" t="inlineStr">
        <is>
          <t>Olga's Fine Foods (Australian food manufacturer; ESG roadmap project, undated article); past clients described as a faith-based charity, a fundraising charity and an overseas business</t>
        </is>
      </c>
      <c r="AE260" s="77" t="inlineStr">
        <is>
          <t>Client presentation of research and recommendations (PowerPoint)</t>
        </is>
      </c>
      <c r="AF260" s="77">
        <f>IF(OR(V260="No",X260="No",Z260="No"),"Outside strict definition",IF(AND(V260="Yes",X260="Yes",Z260="Yes"),"Meets all three","Potentially relevant; evidence incomplete"))</f>
        <v/>
      </c>
      <c r="AG260" s="77" t="inlineStr">
        <is>
          <t>Current status unclear</t>
        </is>
      </c>
      <c r="AH260" s="77" t="inlineStr">
        <is>
          <t>2025/26 (testimonials referencing Michaelmas 2025 cohort)</t>
        </is>
      </c>
      <c r="AI260" s="77" t="inlineStr">
        <is>
          <t>Yes</t>
        </is>
      </c>
      <c r="AJ260" s="77">
        <f>IF(AND(AI260="Yes",AF260="Meets all three",AG260="Current delivery confirmed"),"Yes","No")</f>
        <v/>
      </c>
      <c r="AK260" s="77" t="inlineStr"/>
      <c r="AL260" s="77" t="inlineStr">
        <is>
          <t>RG17-S01-R1; RG17-S01-R2; RG17-S01-R3</t>
        </is>
      </c>
      <c r="AM260"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60" s="77" t="inlineStr"/>
      <c r="AO260" s="77" t="inlineStr">
        <is>
          <t>UK</t>
        </is>
      </c>
      <c r="AP260" s="77" t="inlineStr">
        <is>
          <t>UK – Russell Group</t>
        </is>
      </c>
      <c r="AQ260" s="77" t="inlineStr">
        <is>
          <t>&lt;1 week</t>
        </is>
      </c>
      <c r="AR260" s="77" t="inlineStr">
        <is>
          <t>All/standard</t>
        </is>
      </c>
      <c r="AS260" s="77" t="inlineStr"/>
    </row>
    <row r="261">
      <c r="A261" s="77" t="inlineStr">
        <is>
          <t>RG17</t>
        </is>
      </c>
      <c r="B261" s="77" t="inlineStr">
        <is>
          <t>Oxford</t>
        </is>
      </c>
      <c r="C261" s="77" t="inlineStr">
        <is>
          <t>Unclear</t>
        </is>
      </c>
      <c r="D261" s="77" t="inlineStr">
        <is>
          <t>RG17-S02</t>
        </is>
      </c>
      <c r="E261" s="77" t="inlineStr"/>
      <c r="F261" s="77" t="inlineStr">
        <is>
          <t>No</t>
        </is>
      </c>
      <c r="G261" s="79" t="inlineStr">
        <is>
          <t>Making a Difference Programme (MaDe)</t>
        </is>
      </c>
      <c r="H261" s="77" t="inlineStr">
        <is>
          <t>Making a Difference Programme</t>
        </is>
      </c>
      <c r="I261" s="77" t="inlineStr"/>
      <c r="J261"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61" s="77" t="inlineStr">
        <is>
          <t>Careers Service</t>
        </is>
      </c>
      <c r="L261" s="77" t="inlineStr">
        <is>
          <t>University of Oxford students (detailed eligibility not obtained)</t>
        </is>
      </c>
      <c r="M261" s="77" t="inlineStr">
        <is>
          <t>Central provision</t>
        </is>
      </c>
      <c r="N261" s="77" t="inlineStr">
        <is>
          <t>Unclear</t>
        </is>
      </c>
      <c r="O261" s="77" t="inlineStr"/>
      <c r="P261" s="77" t="inlineStr">
        <is>
          <t>Application-based; 50 places per term</t>
        </is>
      </c>
      <c r="Q261" s="77" t="inlineStr">
        <is>
          <t>Selective/competitive</t>
        </is>
      </c>
      <c r="R261" s="77" t="inlineStr">
        <is>
          <t>Extracurricular</t>
        </is>
      </c>
      <c r="S261" s="77" t="inlineStr">
        <is>
          <t>Non-credit</t>
        </is>
      </c>
      <c r="T261" s="77" t="inlineStr">
        <is>
          <t>Described as a three-week client project within a term-long programme (sources differ)</t>
        </is>
      </c>
      <c r="U261" s="77" t="inlineStr">
        <is>
          <t>Unclear</t>
        </is>
      </c>
      <c r="V261" s="77" t="inlineStr">
        <is>
          <t>Yes</t>
        </is>
      </c>
      <c r="W261" s="77" t="inlineStr">
        <is>
          <t>Programme page describes a client project for a charity/social enterprise [1][2].</t>
        </is>
      </c>
      <c r="X261" s="77" t="inlineStr">
        <is>
          <t>Unclear</t>
        </is>
      </c>
      <c r="Y261" s="77" t="inlineStr">
        <is>
          <t>Extracts obtained do not state whether MaDe client projects are done in teams (team sizes of 4-6 are stated for TOSCA/TSC, not MaDe).</t>
        </is>
      </c>
      <c r="Z261" s="77" t="inlineStr">
        <is>
          <t>Yes</t>
        </is>
      </c>
      <c r="AA261" s="77" t="inlineStr">
        <is>
          <t>Programme aimed at charities and social enterprises that supply client projects via the Careers Service Collaborative Projects route [2].</t>
        </is>
      </c>
      <c r="AB261" s="77" t="inlineStr">
        <is>
          <t>Charity/community</t>
        </is>
      </c>
      <c r="AC261" s="77" t="inlineStr">
        <is>
          <t>Client organisation proposing project</t>
        </is>
      </c>
      <c r="AD261" s="77" t="inlineStr"/>
      <c r="AE261" s="77" t="inlineStr">
        <is>
          <t>Client project output (form not confirmed)</t>
        </is>
      </c>
      <c r="AF261" s="77">
        <f>IF(OR(V261="No",X261="No",Z261="No"),"Outside strict definition",IF(AND(V261="Yes",X261="Yes",Z261="Yes"),"Meets all three","Potentially relevant; evidence incomplete"))</f>
        <v/>
      </c>
      <c r="AG261" s="77" t="inlineStr">
        <is>
          <t>Current status unclear</t>
        </is>
      </c>
      <c r="AH261" s="77" t="inlineStr">
        <is>
          <t>2025/26 (Hilary 2026 participant; January 2026 workshop dates)</t>
        </is>
      </c>
      <c r="AI261" s="77" t="inlineStr">
        <is>
          <t>Yes</t>
        </is>
      </c>
      <c r="AJ261" s="77">
        <f>IF(AND(AI261="Yes",AF261="Meets all three",AG261="Current delivery confirmed"),"Yes","No")</f>
        <v/>
      </c>
      <c r="AK261" s="77" t="inlineStr">
        <is>
          <t>50 places per term (stated capacity, undated page)</t>
        </is>
      </c>
      <c r="AL261" s="77" t="inlineStr">
        <is>
          <t>RG17-S02-R1; RG17-S02-R2</t>
        </is>
      </c>
      <c r="AM261" s="77" t="inlineStr">
        <is>
          <t>Page titled 'Programme Paused' yet lists Hilary 2026 participant and January 2026 workshop dates; Collaborative Projects page describes it as running twice a year. Group working not evidenced.</t>
        </is>
      </c>
      <c r="AN261" s="77" t="inlineStr"/>
      <c r="AO261" s="77" t="inlineStr">
        <is>
          <t>UK</t>
        </is>
      </c>
      <c r="AP261" s="77" t="inlineStr">
        <is>
          <t>UK – Russell Group</t>
        </is>
      </c>
      <c r="AQ261" s="77" t="inlineStr">
        <is>
          <t>1–4 weeks</t>
        </is>
      </c>
      <c r="AR261" s="77" t="inlineStr">
        <is>
          <t>All/standard</t>
        </is>
      </c>
      <c r="AS261" s="77" t="inlineStr"/>
    </row>
    <row r="262">
      <c r="A262" s="77" t="inlineStr">
        <is>
          <t>RG17</t>
        </is>
      </c>
      <c r="B262" s="77" t="inlineStr">
        <is>
          <t>Oxford</t>
        </is>
      </c>
      <c r="C262" s="77" t="inlineStr">
        <is>
          <t>Unclear</t>
        </is>
      </c>
      <c r="D262" s="77" t="inlineStr">
        <is>
          <t>RG17-S03</t>
        </is>
      </c>
      <c r="E262" s="77" t="inlineStr"/>
      <c r="F262" s="77" t="inlineStr">
        <is>
          <t>No</t>
        </is>
      </c>
      <c r="G262" s="79" t="inlineStr">
        <is>
          <t>The Student Consultancy (TSC)</t>
        </is>
      </c>
      <c r="H262" s="77" t="inlineStr">
        <is>
          <t>The Student Consultancy</t>
        </is>
      </c>
      <c r="I262" s="77" t="inlineStr"/>
      <c r="J262" s="77" t="inlineStr">
        <is>
          <t>Careers Service experiential learning programme in which teams of students spend 4-6 weeks addressing a strategic issue or business challenge for a client organisation, liaising directly with the client with mentoring support.</t>
        </is>
      </c>
      <c r="K262" s="77" t="inlineStr">
        <is>
          <t>Careers Service</t>
        </is>
      </c>
      <c r="L262" s="77" t="inlineStr">
        <is>
          <t>Oxford students (detailed eligibility not obtained)</t>
        </is>
      </c>
      <c r="M262" s="77" t="inlineStr">
        <is>
          <t>Central provision</t>
        </is>
      </c>
      <c r="N262" s="77" t="inlineStr">
        <is>
          <t>Mixed</t>
        </is>
      </c>
      <c r="O262" s="77" t="inlineStr"/>
      <c r="P262" s="77" t="inlineStr"/>
      <c r="Q262" s="77" t="inlineStr">
        <is>
          <t>Selective/competitive</t>
        </is>
      </c>
      <c r="R262" s="77" t="inlineStr">
        <is>
          <t>Extracurricular</t>
        </is>
      </c>
      <c r="S262" s="77" t="inlineStr">
        <is>
          <t>Non-credit</t>
        </is>
      </c>
      <c r="T262" s="77" t="inlineStr">
        <is>
          <t>4-6 weeks</t>
        </is>
      </c>
      <c r="U262" s="77" t="inlineStr">
        <is>
          <t>Unclear</t>
        </is>
      </c>
      <c r="V262" s="77" t="inlineStr">
        <is>
          <t>Yes</t>
        </is>
      </c>
      <c r="W262" s="77" t="inlineStr">
        <is>
          <t>Strategic issue/business challenge for a client organisation [1].</t>
        </is>
      </c>
      <c r="X262" s="77" t="inlineStr">
        <is>
          <t>Yes</t>
        </is>
      </c>
      <c r="Y262" s="77" t="inlineStr">
        <is>
          <t>Students participate in teams; Careers employer page gives team size of four to six [1][2].</t>
        </is>
      </c>
      <c r="Z262" s="77" t="inlineStr">
        <is>
          <t>Yes</t>
        </is>
      </c>
      <c r="AA262" s="77" t="inlineStr">
        <is>
          <t>Client organisations set the strategic issue; teams liaise directly with clients and present recommendations [1][2].</t>
        </is>
      </c>
      <c r="AB262" s="77" t="inlineStr">
        <is>
          <t>Unclear</t>
        </is>
      </c>
      <c r="AC262" s="77" t="inlineStr">
        <is>
          <t>Client organisation</t>
        </is>
      </c>
      <c r="AD262" s="77" t="inlineStr"/>
      <c r="AE262" s="77" t="inlineStr">
        <is>
          <t>Recommendations to client</t>
        </is>
      </c>
      <c r="AF262" s="77">
        <f>IF(OR(V262="No",X262="No",Z262="No"),"Outside strict definition",IF(AND(V262="Yes",X262="Yes",Z262="Yes"),"Meets all three","Potentially relevant; evidence incomplete"))</f>
        <v/>
      </c>
      <c r="AG262" s="77" t="inlineStr">
        <is>
          <t>Paused/discontinued</t>
        </is>
      </c>
      <c r="AH262" s="77" t="inlineStr">
        <is>
          <t>undated</t>
        </is>
      </c>
      <c r="AI262" s="77" t="inlineStr">
        <is>
          <t>Yes</t>
        </is>
      </c>
      <c r="AJ262" s="77">
        <f>IF(AND(AI262="Yes",AF262="Meets all three",AG262="Current delivery confirmed"),"Yes","No")</f>
        <v/>
      </c>
      <c r="AK262" s="77" t="inlineStr"/>
      <c r="AL262" s="77" t="inlineStr">
        <is>
          <t>RG17-S03-R1; RG17-S03-R2</t>
        </is>
      </c>
      <c r="AM262" s="77" t="inlineStr">
        <is>
          <t>Programme page labelled paused; no dated cohort found; a 'Student Consultancy for schools' page also exists (not examined).</t>
        </is>
      </c>
      <c r="AN262" s="77" t="inlineStr"/>
      <c r="AO262" s="77" t="inlineStr">
        <is>
          <t>UK</t>
        </is>
      </c>
      <c r="AP262" s="77" t="inlineStr">
        <is>
          <t>UK – Russell Group</t>
        </is>
      </c>
      <c r="AQ262" s="77" t="inlineStr">
        <is>
          <t>1–4 weeks</t>
        </is>
      </c>
      <c r="AR262" s="77" t="inlineStr">
        <is>
          <t>All/standard</t>
        </is>
      </c>
      <c r="AS262" s="77" t="inlineStr"/>
    </row>
    <row r="263">
      <c r="A263" s="77" t="inlineStr">
        <is>
          <t>RG17</t>
        </is>
      </c>
      <c r="B263" s="77" t="inlineStr">
        <is>
          <t>Oxford</t>
        </is>
      </c>
      <c r="C263" s="77" t="inlineStr">
        <is>
          <t>Unclear</t>
        </is>
      </c>
      <c r="D263" s="77" t="inlineStr">
        <is>
          <t>RG17-S04</t>
        </is>
      </c>
      <c r="E263" s="77" t="inlineStr"/>
      <c r="F263" s="77" t="inlineStr">
        <is>
          <t>No</t>
        </is>
      </c>
      <c r="G263" s="79" t="inlineStr">
        <is>
          <t>The Agency</t>
        </is>
      </c>
      <c r="H263" s="77" t="inlineStr">
        <is>
          <t>The Agency</t>
        </is>
      </c>
      <c r="I263" s="77" t="inlineStr"/>
      <c r="J263"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63" s="77" t="inlineStr">
        <is>
          <t>Careers Service with Oxford Advertising and Marketing Society</t>
        </is>
      </c>
      <c r="L263" s="77" t="inlineStr"/>
      <c r="M263" s="77" t="inlineStr">
        <is>
          <t>Central provision</t>
        </is>
      </c>
      <c r="N263" s="77" t="inlineStr">
        <is>
          <t>Unclear</t>
        </is>
      </c>
      <c r="O263" s="77" t="inlineStr"/>
      <c r="P263" s="77" t="inlineStr">
        <is>
          <t>Assessment centre selection</t>
        </is>
      </c>
      <c r="Q263" s="77" t="inlineStr">
        <is>
          <t>Selective/competitive</t>
        </is>
      </c>
      <c r="R263" s="77" t="inlineStr">
        <is>
          <t>Extracurricular</t>
        </is>
      </c>
      <c r="S263" s="77" t="inlineStr">
        <is>
          <t>Non-credit</t>
        </is>
      </c>
      <c r="T263" s="77" t="inlineStr">
        <is>
          <t>One academic term</t>
        </is>
      </c>
      <c r="U263" s="77" t="inlineStr">
        <is>
          <t>Independent team work with mentorship</t>
        </is>
      </c>
      <c r="V263" s="77" t="inlineStr">
        <is>
          <t>Yes</t>
        </is>
      </c>
      <c r="W263" s="77" t="inlineStr">
        <is>
          <t>Creative problem brief; output is a report or advertising/marketing campaign [1].</t>
        </is>
      </c>
      <c r="X263" s="77" t="inlineStr">
        <is>
          <t>Yes</t>
        </is>
      </c>
      <c r="Y263" s="77" t="inlineStr">
        <is>
          <t>Teams of six [1].</t>
        </is>
      </c>
      <c r="Z263" s="77" t="inlineStr">
        <is>
          <t>Yes</t>
        </is>
      </c>
      <c r="AA263" s="77" t="inlineStr">
        <is>
          <t>Organisations provide the project brief (no charge) and teams liaise directly with their clients [1].</t>
        </is>
      </c>
      <c r="AB263" s="77" t="inlineStr">
        <is>
          <t>Unclear</t>
        </is>
      </c>
      <c r="AC263" s="77" t="inlineStr">
        <is>
          <t>Provides brief; receives report/campaign</t>
        </is>
      </c>
      <c r="AD263" s="77" t="inlineStr"/>
      <c r="AE263" s="77" t="inlineStr">
        <is>
          <t>Report or advertising/marketing campaign</t>
        </is>
      </c>
      <c r="AF263" s="77">
        <f>IF(OR(V263="No",X263="No",Z263="No"),"Outside strict definition",IF(AND(V263="Yes",X263="Yes",Z263="Yes"),"Meets all three","Potentially relevant; evidence incomplete"))</f>
        <v/>
      </c>
      <c r="AG263" s="77" t="inlineStr">
        <is>
          <t>Current status unclear</t>
        </is>
      </c>
      <c r="AH263" s="77" t="inlineStr">
        <is>
          <t>undated (search index metadata indicates page c. 6.5 years old)</t>
        </is>
      </c>
      <c r="AI263" s="77" t="inlineStr">
        <is>
          <t>Yes</t>
        </is>
      </c>
      <c r="AJ263" s="77">
        <f>IF(AND(AI263="Yes",AF263="Meets all three",AG263="Current delivery confirmed"),"Yes","No")</f>
        <v/>
      </c>
      <c r="AK263" s="77" t="inlineStr"/>
      <c r="AL263" s="77" t="inlineStr">
        <is>
          <t>RG17-S04-R1</t>
        </is>
      </c>
      <c r="AM263" s="77" t="inlineStr">
        <is>
          <t>Page appears old; not listed among current programmes in the extracts; likely historical. Eligibility not obtained.</t>
        </is>
      </c>
      <c r="AN263" s="77" t="inlineStr"/>
      <c r="AO263" s="77" t="inlineStr">
        <is>
          <t>UK</t>
        </is>
      </c>
      <c r="AP263" s="77" t="inlineStr">
        <is>
          <t>UK – Russell Group</t>
        </is>
      </c>
      <c r="AQ263" s="77" t="inlineStr">
        <is>
          <t>~1 term/semester</t>
        </is>
      </c>
      <c r="AR263" s="77" t="inlineStr">
        <is>
          <t>All/standard</t>
        </is>
      </c>
      <c r="AS263" s="77" t="inlineStr"/>
    </row>
    <row r="264">
      <c r="A264" s="77" t="inlineStr">
        <is>
          <t>RG17</t>
        </is>
      </c>
      <c r="B264" s="77" t="inlineStr">
        <is>
          <t>Oxford</t>
        </is>
      </c>
      <c r="C264" s="77" t="inlineStr">
        <is>
          <t>Programme/course</t>
        </is>
      </c>
      <c r="D264" s="77" t="inlineStr">
        <is>
          <t>RG17-S05</t>
        </is>
      </c>
      <c r="E264" s="77" t="inlineStr"/>
      <c r="F264" s="77" t="inlineStr">
        <is>
          <t>No</t>
        </is>
      </c>
      <c r="G264" s="79" t="inlineStr">
        <is>
          <t>Strategic Consulting Project (Oxford MBA)</t>
        </is>
      </c>
      <c r="H264" s="77" t="inlineStr">
        <is>
          <t>Strategic Consulting Project</t>
        </is>
      </c>
      <c r="I264" s="77" t="inlineStr"/>
      <c r="J264"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64" s="77" t="inlineStr">
        <is>
          <t>Saïd Business School</t>
        </is>
      </c>
      <c r="L264" s="77" t="inlineStr">
        <is>
          <t>Full-time Oxford MBA</t>
        </is>
      </c>
      <c r="M264" s="77" t="inlineStr">
        <is>
          <t>Business/management</t>
        </is>
      </c>
      <c r="N264" s="77" t="inlineStr">
        <is>
          <t>Postgraduate taught</t>
        </is>
      </c>
      <c r="O264" s="77" t="inlineStr">
        <is>
          <t>Summer term of one-year MBA</t>
        </is>
      </c>
      <c r="P264" s="77" t="inlineStr">
        <is>
          <t>MBA students; alternative to summer electives or internship for credit</t>
        </is>
      </c>
      <c r="Q264" s="77" t="inlineStr">
        <is>
          <t>Optional/elective</t>
        </is>
      </c>
      <c r="R264" s="77" t="inlineStr">
        <is>
          <t>Curricular</t>
        </is>
      </c>
      <c r="S264" s="77" t="inlineStr">
        <is>
          <t>Counts for final two elective credits; presentation to supervisor/faculty/client panel</t>
        </is>
      </c>
      <c r="T264" s="77" t="inlineStr">
        <is>
          <t>6-7 weeks (sources differ)</t>
        </is>
      </c>
      <c r="U264" s="77" t="inlineStr">
        <is>
          <t>On client site/worldwide; client bears travel costs</t>
        </is>
      </c>
      <c r="V264" s="77" t="inlineStr">
        <is>
          <t>Yes</t>
        </is>
      </c>
      <c r="W264" s="77" t="inlineStr">
        <is>
          <t>Consulting project for a corporate sponsor with final presentation [1][2][3].</t>
        </is>
      </c>
      <c r="X264" s="77" t="inlineStr">
        <is>
          <t>Yes</t>
        </is>
      </c>
      <c r="Y264" s="77" t="inlineStr">
        <is>
          <t>Teams of two to five (2025-26 entry spec) / two to four (curriculum page) / minimum four, max six (SCP FAQ) [1][2][3].</t>
        </is>
      </c>
      <c r="Z264" s="77" t="inlineStr">
        <is>
          <t>Yes</t>
        </is>
      </c>
      <c r="AA264" s="77" t="inlineStr">
        <is>
          <t>Client organisation sponsors the project, provides Executive Sponsor and Project Leader, bears direct costs, and sits on the final presentation panel [2][3].</t>
        </is>
      </c>
      <c r="AB264" s="77" t="inlineStr">
        <is>
          <t>Mixed</t>
        </is>
      </c>
      <c r="AC264" s="77" t="inlineStr">
        <is>
          <t>Commissioning client; supervision contacts; on assessment/presentation panel</t>
        </is>
      </c>
      <c r="AD264" s="77" t="inlineStr"/>
      <c r="AE264" s="77" t="inlineStr">
        <is>
          <t>Consulting project work presented to faculty/client panel</t>
        </is>
      </c>
      <c r="AF264" s="77">
        <f>IF(OR(V264="No",X264="No",Z264="No"),"Outside strict definition",IF(AND(V264="Yes",X264="Yes",Z264="Yes"),"Meets all three","Potentially relevant; evidence incomplete"))</f>
        <v/>
      </c>
      <c r="AG264" s="77" t="inlineStr">
        <is>
          <t>Current delivery confirmed</t>
        </is>
      </c>
      <c r="AH264" s="77" t="inlineStr">
        <is>
          <t>2025/26 (programme specification for 2025-26 entry)</t>
        </is>
      </c>
      <c r="AI264" s="77" t="inlineStr">
        <is>
          <t>Yes</t>
        </is>
      </c>
      <c r="AJ264" s="77">
        <f>IF(AND(AI264="Yes",AF264="Meets all three",AG264="Current delivery confirmed"),"Yes","No")</f>
        <v/>
      </c>
      <c r="AK264" s="77" t="inlineStr"/>
      <c r="AL264" s="77" t="inlineStr">
        <is>
          <t>RG17-S05-R1; RG17-S05-R2; RG17-S05-R3</t>
        </is>
      </c>
      <c r="AM264" s="77" t="inlineStr">
        <is>
          <t>Team size and duration inconsistent across pages; number of teams not published; 6-7 weeks banded as ~1 term (Oxford terms are 8 weeks).</t>
        </is>
      </c>
      <c r="AN264" s="77" t="inlineStr"/>
      <c r="AO264" s="77" t="inlineStr">
        <is>
          <t>UK</t>
        </is>
      </c>
      <c r="AP264" s="77" t="inlineStr">
        <is>
          <t>UK – Russell Group</t>
        </is>
      </c>
      <c r="AQ264" s="77" t="inlineStr">
        <is>
          <t>~1 term/semester</t>
        </is>
      </c>
      <c r="AR264" s="77" t="inlineStr">
        <is>
          <t>All/standard</t>
        </is>
      </c>
      <c r="AS264" s="77" t="inlineStr"/>
    </row>
    <row r="265">
      <c r="A265" s="77" t="inlineStr">
        <is>
          <t>RG17</t>
        </is>
      </c>
      <c r="B265" s="77" t="inlineStr">
        <is>
          <t>Oxford</t>
        </is>
      </c>
      <c r="C265" s="77" t="inlineStr">
        <is>
          <t>Programme/course</t>
        </is>
      </c>
      <c r="D265" s="77" t="inlineStr">
        <is>
          <t>RG17-S06</t>
        </is>
      </c>
      <c r="E265" s="77" t="inlineStr"/>
      <c r="F265" s="77" t="inlineStr">
        <is>
          <t>No</t>
        </is>
      </c>
      <c r="G265" s="79" t="inlineStr">
        <is>
          <t>Group Design Practical (Second Year Group Design Practicals)</t>
        </is>
      </c>
      <c r="H265" s="77" t="inlineStr">
        <is>
          <t>Group Design Practical</t>
        </is>
      </c>
      <c r="I265" s="77" t="inlineStr">
        <is>
          <t>GDP (Part A practical)</t>
        </is>
      </c>
      <c r="J265"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65" s="77" t="inlineStr">
        <is>
          <t>Department of Computer Science</t>
        </is>
      </c>
      <c r="L265" s="77" t="inlineStr">
        <is>
          <t>BA/MCompSci Computer Science; Computer Science and Philosophy; Mathematics and Computer Science (Part A)</t>
        </is>
      </c>
      <c r="M265" s="77" t="inlineStr">
        <is>
          <t>Engineering/computing</t>
        </is>
      </c>
      <c r="N265" s="77" t="inlineStr">
        <is>
          <t>Undergraduate</t>
        </is>
      </c>
      <c r="O265" s="77" t="inlineStr">
        <is>
          <t>Year 2 (Part A)</t>
        </is>
      </c>
      <c r="P265" s="77" t="inlineStr">
        <is>
          <t>All Part A students in the listed degrees</t>
        </is>
      </c>
      <c r="Q265" s="77" t="inlineStr">
        <is>
          <t>Compulsory within specified programmes</t>
        </is>
      </c>
      <c r="R265" s="77" t="inlineStr">
        <is>
          <t>Curricular</t>
        </is>
      </c>
      <c r="S265" s="77" t="inlineStr">
        <is>
          <t>Part A practical requirement (students need 40%+ overall in practicals); precise weighting not obtained</t>
        </is>
      </c>
      <c r="T265" s="77" t="inlineStr">
        <is>
          <t>Hilary Term (proposals Nov-Dec, allocation Feb, presentations May)</t>
        </is>
      </c>
      <c r="U265" s="77" t="inlineStr">
        <is>
          <t>In person; three mandatory sponsor meetings</t>
        </is>
      </c>
      <c r="V265" s="77" t="inlineStr">
        <is>
          <t>Yes</t>
        </is>
      </c>
      <c r="W265" s="77" t="inlineStr">
        <is>
          <t>Teams design and deliver a real-world software solution to a sponsor brief [1][2].</t>
        </is>
      </c>
      <c r="X265" s="77" t="inlineStr">
        <is>
          <t>Yes</t>
        </is>
      </c>
      <c r="Y265" s="77" t="inlineStr">
        <is>
          <t>Small groups of 4-6 (department page) / teams of 5 or 6 (sponsor guidance) [1][2].</t>
        </is>
      </c>
      <c r="Z265" s="77" t="inlineStr">
        <is>
          <t>Yes</t>
        </is>
      </c>
      <c r="AA265" s="77" t="inlineStr">
        <is>
          <t>Industrial sponsors propose projects, meet students to discuss the brief, act as co-supervisor (scoping, progress and delivery meetings) and provide data/resources; NDAs signed by the University [1][2].</t>
        </is>
      </c>
      <c r="AB265" s="77" t="inlineStr">
        <is>
          <t>Business/commercial</t>
        </is>
      </c>
      <c r="AC265" s="77" t="inlineStr">
        <is>
          <t>Proposes brief, co-supervises, receives delivered solution</t>
        </is>
      </c>
      <c r="AD265" s="77" t="inlineStr">
        <is>
          <t>G-Research, Winton Capital, Palantir, Metaswitch (described as recent sponsors, undated page); Oxford Asset Management, Bloomberg (2016 page)</t>
        </is>
      </c>
      <c r="AE265" s="77" t="inlineStr">
        <is>
          <t>Software solution/prototype and presentation</t>
        </is>
      </c>
      <c r="AF265" s="77">
        <f>IF(OR(V265="No",X265="No",Z265="No"),"Outside strict definition",IF(AND(V265="Yes",X265="Yes",Z265="Yes"),"Meets all three","Potentially relevant; evidence incomplete"))</f>
        <v/>
      </c>
      <c r="AG265" s="77" t="inlineStr">
        <is>
          <t>Current delivery confirmed</t>
        </is>
      </c>
      <c r="AH265" s="77" t="inlineStr">
        <is>
          <t>2025/26 (GDP listed in Hilary Term 2026; Hilary 2027 also listed)</t>
        </is>
      </c>
      <c r="AI265" s="77" t="inlineStr">
        <is>
          <t>Yes</t>
        </is>
      </c>
      <c r="AJ265" s="77">
        <f>IF(AND(AI265="Yes",AF265="Meets all three",AG265="Current delivery confirmed"),"Yes","No")</f>
        <v/>
      </c>
      <c r="AK265" s="77" t="inlineStr"/>
      <c r="AL265" s="77" t="inlineStr">
        <is>
          <t>RG17-S06-R1; RG17-S06-R2; RG17-S06-R3; RG17-S06-R4</t>
        </is>
      </c>
      <c r="AM265" s="77" t="inlineStr">
        <is>
          <t>2025/26 sponsor list not obtained; whether any GDP projects are academically proposed without an industry sponsor not confirmed (guidance describes projects with both external and internal supervisors).</t>
        </is>
      </c>
      <c r="AN265" s="77" t="inlineStr"/>
      <c r="AO265" s="77" t="inlineStr">
        <is>
          <t>UK</t>
        </is>
      </c>
      <c r="AP265" s="77" t="inlineStr">
        <is>
          <t>UK – Russell Group</t>
        </is>
      </c>
      <c r="AQ265" s="77" t="inlineStr">
        <is>
          <t>~1 term/semester</t>
        </is>
      </c>
      <c r="AR265" s="77" t="inlineStr">
        <is>
          <t>All/standard</t>
        </is>
      </c>
      <c r="AS265" s="77" t="inlineStr"/>
    </row>
    <row r="266">
      <c r="A266" s="77" t="inlineStr">
        <is>
          <t>RG17</t>
        </is>
      </c>
      <c r="B266" s="77" t="inlineStr">
        <is>
          <t>Oxford</t>
        </is>
      </c>
      <c r="C266" s="77" t="inlineStr">
        <is>
          <t>Programme/course</t>
        </is>
      </c>
      <c r="D266" s="77" t="inlineStr">
        <is>
          <t>RG17-S07</t>
        </is>
      </c>
      <c r="E266" s="77" t="inlineStr"/>
      <c r="F266" s="77" t="inlineStr">
        <is>
          <t>No</t>
        </is>
      </c>
      <c r="G266" s="79" t="inlineStr">
        <is>
          <t>Third Year Group Design Project (3YP), Engineering Science</t>
        </is>
      </c>
      <c r="H266" s="77" t="inlineStr">
        <is>
          <t>Third Year Group Design Project</t>
        </is>
      </c>
      <c r="I266" s="77" t="inlineStr">
        <is>
          <t>3YP</t>
        </is>
      </c>
      <c r="J266"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66" s="77" t="inlineStr">
        <is>
          <t>Department of Engineering Science</t>
        </is>
      </c>
      <c r="L266" s="77" t="inlineStr">
        <is>
          <t>MEng Engineering Science</t>
        </is>
      </c>
      <c r="M266" s="77" t="inlineStr">
        <is>
          <t>Engineering/computing</t>
        </is>
      </c>
      <c r="N266" s="77" t="inlineStr">
        <is>
          <t>Undergraduate</t>
        </is>
      </c>
      <c r="O266" s="77" t="inlineStr">
        <is>
          <t>Year 3</t>
        </is>
      </c>
      <c r="P266" s="77" t="inlineStr"/>
      <c r="Q266" s="77" t="inlineStr">
        <is>
          <t>Compulsory within specified programmes</t>
        </is>
      </c>
      <c r="R266" s="77" t="inlineStr">
        <is>
          <t>Curricular</t>
        </is>
      </c>
      <c r="S266" s="77" t="inlineStr">
        <is>
          <t>Assessed by individual report on personal contribution to group design project</t>
        </is>
      </c>
      <c r="T266" s="77" t="inlineStr">
        <is>
          <t>About one day per week (term-length)</t>
        </is>
      </c>
      <c r="U266" s="77" t="inlineStr">
        <is>
          <t>In person</t>
        </is>
      </c>
      <c r="V266" s="77" t="inlineStr">
        <is>
          <t>Yes</t>
        </is>
      </c>
      <c r="W266" s="77" t="inlineStr">
        <is>
          <t>Detailed design proposal for a new product/engineering project [1][2].</t>
        </is>
      </c>
      <c r="X266" s="77" t="inlineStr">
        <is>
          <t>Yes</t>
        </is>
      </c>
      <c r="Y266" s="77" t="inlineStr">
        <is>
          <t>Teams of 4-5 students [1][2].</t>
        </is>
      </c>
      <c r="Z266" s="77" t="inlineStr">
        <is>
          <t>Unclear</t>
        </is>
      </c>
      <c r="AA266" s="77" t="inlineStr">
        <is>
          <t>Only one example of company sponsorship found (unnamed Scottish company, college page); no evidence that external organisations are a standard source of 3YP briefs [3].</t>
        </is>
      </c>
      <c r="AB266" s="77" t="inlineStr">
        <is>
          <t>Unclear</t>
        </is>
      </c>
      <c r="AC266" s="77" t="inlineStr">
        <is>
          <t>Occasional sponsor</t>
        </is>
      </c>
      <c r="AD266" s="77" t="inlineStr"/>
      <c r="AE266" s="77" t="inlineStr">
        <is>
          <t>Group design proposal; individual reports</t>
        </is>
      </c>
      <c r="AF266" s="77">
        <f>IF(OR(V266="No",X266="No",Z266="No"),"Outside strict definition",IF(AND(V266="Yes",X266="Yes",Z266="Yes"),"Meets all three","Potentially relevant; evidence incomplete"))</f>
        <v/>
      </c>
      <c r="AG266" s="77" t="inlineStr">
        <is>
          <t>Current status unclear</t>
        </is>
      </c>
      <c r="AH266" s="77" t="inlineStr">
        <is>
          <t>2024/25 (FHS handbook)</t>
        </is>
      </c>
      <c r="AI266" s="77" t="inlineStr">
        <is>
          <t>Yes</t>
        </is>
      </c>
      <c r="AJ266" s="77">
        <f>IF(AND(AI266="Yes",AF266="Meets all three",AG266="Current delivery confirmed"),"Yes","No")</f>
        <v/>
      </c>
      <c r="AK266" s="77" t="inlineStr"/>
      <c r="AL266" s="77" t="inlineStr">
        <is>
          <t>RG17-S07-R1; RG17-S07-R2; RG17-S07-R3</t>
        </is>
      </c>
      <c r="AM266" s="77" t="inlineStr">
        <is>
          <t>Share of industry-sponsored 3YPs and current-year (2025/26) handbook not obtained.</t>
        </is>
      </c>
      <c r="AN266" s="77" t="inlineStr"/>
      <c r="AO266" s="77" t="inlineStr">
        <is>
          <t>UK</t>
        </is>
      </c>
      <c r="AP266" s="77" t="inlineStr">
        <is>
          <t>UK – Russell Group</t>
        </is>
      </c>
      <c r="AQ266" s="77" t="inlineStr">
        <is>
          <t>~1 term/semester</t>
        </is>
      </c>
      <c r="AR266" s="77" t="inlineStr">
        <is>
          <t>Some projects</t>
        </is>
      </c>
      <c r="AS266" s="77" t="inlineStr"/>
    </row>
    <row r="267">
      <c r="A267" s="77" t="inlineStr">
        <is>
          <t>RG17</t>
        </is>
      </c>
      <c r="B267" s="77" t="inlineStr">
        <is>
          <t>Oxford</t>
        </is>
      </c>
      <c r="C267" s="77" t="inlineStr">
        <is>
          <t>Programme/course</t>
        </is>
      </c>
      <c r="D267" s="77" t="inlineStr">
        <is>
          <t>RG17-S08</t>
        </is>
      </c>
      <c r="E267" s="77" t="inlineStr"/>
      <c r="F267" s="77" t="inlineStr">
        <is>
          <t>No</t>
        </is>
      </c>
      <c r="G267" s="79" t="inlineStr">
        <is>
          <t>MSc in Energy Systems whole-cohort consultancy exercise</t>
        </is>
      </c>
      <c r="H267" s="77" t="inlineStr">
        <is>
          <t>MSc Energy Systems whole-cohort consultancy exercise</t>
        </is>
      </c>
      <c r="I267" s="77" t="inlineStr"/>
      <c r="J267"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67" s="77" t="inlineStr">
        <is>
          <t>Department of Engineering Science (MSc Energy Systems, interdepartmental)</t>
        </is>
      </c>
      <c r="L267" s="77" t="inlineStr">
        <is>
          <t>MSc Energy Systems</t>
        </is>
      </c>
      <c r="M267" s="77" t="inlineStr">
        <is>
          <t>Engineering/computing; Science</t>
        </is>
      </c>
      <c r="N267" s="77" t="inlineStr">
        <is>
          <t>Postgraduate taught</t>
        </is>
      </c>
      <c r="O267" s="77" t="inlineStr">
        <is>
          <t>MSc (Hilary-Trinity)</t>
        </is>
      </c>
      <c r="P267" s="77" t="inlineStr"/>
      <c r="Q267" s="77" t="inlineStr">
        <is>
          <t>Compulsory within specified programmes</t>
        </is>
      </c>
      <c r="R267" s="77" t="inlineStr">
        <is>
          <t>Curricular</t>
        </is>
      </c>
      <c r="S267" s="77" t="inlineStr">
        <is>
          <t>Course element (assessment weighting not obtained)</t>
        </is>
      </c>
      <c r="T267" s="77" t="inlineStr">
        <is>
          <t>Planning from Hilary Term; intensive exercise at end of taught course</t>
        </is>
      </c>
      <c r="U267" s="77" t="inlineStr">
        <is>
          <t>In person, whole cohort</t>
        </is>
      </c>
      <c r="V267" s="77" t="inlineStr">
        <is>
          <t>Yes</t>
        </is>
      </c>
      <c r="W267" s="77" t="inlineStr">
        <is>
          <t>Agreed energy-related problem with a defined target and final presentation [1][2].</t>
        </is>
      </c>
      <c r="X267" s="77" t="inlineStr">
        <is>
          <t>Yes</t>
        </is>
      </c>
      <c r="Y267" s="77" t="inlineStr">
        <is>
          <t>'All thirty students work together as if they are a large consultancy' [2].</t>
        </is>
      </c>
      <c r="Z267" s="77" t="inlineStr">
        <is>
          <t>Yes</t>
        </is>
      </c>
      <c r="AA267" s="77" t="inlineStr">
        <is>
          <t>2025/26 handbook: cohort partners with an external stakeholder to plan the agreed problem; stakeholders help set the problem and attend the final presentation [1][2].</t>
        </is>
      </c>
      <c r="AB267" s="77" t="inlineStr">
        <is>
          <t>Unclear</t>
        </is>
      </c>
      <c r="AC267" s="77" t="inlineStr">
        <is>
          <t>Sets/agrees problem; receives presentation. Some past 'stakeholders' were internal (university colleges; University sustainability strategy in Covid year).</t>
        </is>
      </c>
      <c r="AD267" s="77" t="inlineStr">
        <is>
          <t>Begbroke Innovation District masterplan review with an (unnamed) international consultancy (c. 2021 interview)</t>
        </is>
      </c>
      <c r="AE267" s="77" t="inlineStr">
        <is>
          <t>Consultancy output and presentation to stakeholder</t>
        </is>
      </c>
      <c r="AF267" s="77">
        <f>IF(OR(V267="No",X267="No",Z267="No"),"Outside strict definition",IF(AND(V267="Yes",X267="Yes",Z267="Yes"),"Meets all three","Potentially relevant; evidence incomplete"))</f>
        <v/>
      </c>
      <c r="AG267" s="77" t="inlineStr">
        <is>
          <t>Current delivery confirmed</t>
        </is>
      </c>
      <c r="AH267" s="77" t="inlineStr">
        <is>
          <t>2025/26 (course handbook)</t>
        </is>
      </c>
      <c r="AI267" s="77" t="inlineStr">
        <is>
          <t>Yes</t>
        </is>
      </c>
      <c r="AJ267" s="77">
        <f>IF(AND(AI267="Yes",AF267="Meets all three",AG267="Current delivery confirmed"),"Yes","No")</f>
        <v/>
      </c>
      <c r="AK267" s="77" t="inlineStr"/>
      <c r="AL267" s="77" t="inlineStr">
        <is>
          <t>RG17-S08-R1; RG17-S08-R2</t>
        </is>
      </c>
      <c r="AM267" s="77" t="inlineStr">
        <is>
          <t>Some historic stakeholders were University bodies (internal); 2025/26 stakeholder not named; duration of the exercise not stated.</t>
        </is>
      </c>
      <c r="AN267" s="77" t="inlineStr"/>
      <c r="AO267" s="77" t="inlineStr">
        <is>
          <t>UK</t>
        </is>
      </c>
      <c r="AP267" s="77" t="inlineStr">
        <is>
          <t>UK – Russell Group</t>
        </is>
      </c>
      <c r="AQ267" s="77" t="inlineStr">
        <is>
          <t>Unclear</t>
        </is>
      </c>
      <c r="AR267" s="77" t="inlineStr">
        <is>
          <t>All/standard</t>
        </is>
      </c>
      <c r="AS267" s="77" t="inlineStr"/>
    </row>
    <row r="268">
      <c r="A268" s="77" t="inlineStr">
        <is>
          <t>RG17</t>
        </is>
      </c>
      <c r="B268" s="77" t="inlineStr">
        <is>
          <t>Oxford</t>
        </is>
      </c>
      <c r="C268" s="77" t="inlineStr">
        <is>
          <t>Faculty/school</t>
        </is>
      </c>
      <c r="D268" s="77" t="inlineStr">
        <is>
          <t>RG17-S09</t>
        </is>
      </c>
      <c r="E268" s="77" t="inlineStr"/>
      <c r="F268" s="77" t="inlineStr">
        <is>
          <t>No</t>
        </is>
      </c>
      <c r="G268" s="79" t="inlineStr">
        <is>
          <t>Oxford Pro Bono Publico (OPBP) project work</t>
        </is>
      </c>
      <c r="H268" s="77" t="inlineStr">
        <is>
          <t>Oxford Pro Bono Publico research projects</t>
        </is>
      </c>
      <c r="I268" s="77" t="inlineStr"/>
      <c r="J268" s="77" t="inlineStr">
        <is>
          <t>Student coordinators recruit teams of graduate research volunteers to produce pro bono legal research for external clients (UN bodies, NGOs, lawyers, law firms), overseen by Law Faculty supervisors; typically 3-6 months.</t>
        </is>
      </c>
      <c r="K268" s="77" t="inlineStr">
        <is>
          <t>Faculty of Law (OPBP)</t>
        </is>
      </c>
      <c r="L268" s="77" t="inlineStr">
        <is>
          <t>Oxford graduate students (volunteers)</t>
        </is>
      </c>
      <c r="M268" s="77" t="inlineStr">
        <is>
          <t>Other (law, health, design, architecture…)</t>
        </is>
      </c>
      <c r="N268" s="77" t="inlineStr">
        <is>
          <t>Postgraduate taught</t>
        </is>
      </c>
      <c r="O268" s="77" t="inlineStr"/>
      <c r="P268" s="77" t="inlineStr">
        <is>
          <t>Graduate students</t>
        </is>
      </c>
      <c r="Q268" s="77" t="inlineStr">
        <is>
          <t>Selective/competitive</t>
        </is>
      </c>
      <c r="R268" s="77" t="inlineStr">
        <is>
          <t>Extracurricular</t>
        </is>
      </c>
      <c r="S268" s="77" t="inlineStr">
        <is>
          <t>None evidenced</t>
        </is>
      </c>
      <c r="T268" s="77" t="inlineStr">
        <is>
          <t>3-6 months</t>
        </is>
      </c>
      <c r="U268" s="77" t="inlineStr">
        <is>
          <t>Volunteer research teams</t>
        </is>
      </c>
      <c r="V268" s="77" t="inlineStr">
        <is>
          <t>Yes</t>
        </is>
      </c>
      <c r="W268" s="77" t="inlineStr">
        <is>
          <t>Defined legal research projects for clients [1].</t>
        </is>
      </c>
      <c r="X268" s="77" t="inlineStr">
        <is>
          <t>Yes</t>
        </is>
      </c>
      <c r="Y268" s="77" t="inlineStr">
        <is>
          <t>Coordinator recruits a team of research volunteers [1].</t>
        </is>
      </c>
      <c r="Z268" s="77" t="inlineStr">
        <is>
          <t>Yes</t>
        </is>
      </c>
      <c r="AA268" s="77" t="inlineStr">
        <is>
          <t>External organisations (UN bodies, NGOs, lawyers/firms) commission research [1].</t>
        </is>
      </c>
      <c r="AB268" s="77" t="inlineStr">
        <is>
          <t>Mixed</t>
        </is>
      </c>
      <c r="AC268" s="77" t="inlineStr">
        <is>
          <t>Client commissioning research</t>
        </is>
      </c>
      <c r="AD268" s="77" t="inlineStr"/>
      <c r="AE268" s="77" t="inlineStr">
        <is>
          <t>Legal research memo/report</t>
        </is>
      </c>
      <c r="AF268" s="77">
        <f>IF(OR(V268="No",X268="No",Z268="No"),"Outside strict definition",IF(AND(V268="Yes",X268="Yes",Z268="Yes"),"Meets all three","Potentially relevant; evidence incomplete"))</f>
        <v/>
      </c>
      <c r="AG268" s="77" t="inlineStr">
        <is>
          <t>Current status unclear</t>
        </is>
      </c>
      <c r="AH268" s="77" t="inlineStr">
        <is>
          <t>undated</t>
        </is>
      </c>
      <c r="AI268" s="77" t="inlineStr">
        <is>
          <t>Yes</t>
        </is>
      </c>
      <c r="AJ268" s="77">
        <f>IF(AND(AI268="Yes",AF268="Meets all three",AG268="Current delivery confirmed"),"Yes","No")</f>
        <v/>
      </c>
      <c r="AK268" s="77" t="inlineStr"/>
      <c r="AL268" s="77" t="inlineStr">
        <is>
          <t>RG17-S09-R1</t>
        </is>
      </c>
      <c r="AM268" s="77" t="inlineStr">
        <is>
          <t>No dated 2025/26 cohort evidence; search summary only, page not opened; legal research for pro bono clients may be borderline 'employer'.</t>
        </is>
      </c>
      <c r="AN268" s="77" t="inlineStr"/>
      <c r="AO268" s="77" t="inlineStr">
        <is>
          <t>UK</t>
        </is>
      </c>
      <c r="AP268" s="77" t="inlineStr">
        <is>
          <t>UK – Russell Group</t>
        </is>
      </c>
      <c r="AQ268" s="77" t="inlineStr">
        <is>
          <t>&gt;1 term</t>
        </is>
      </c>
      <c r="AR268" s="77" t="inlineStr">
        <is>
          <t>All/standard</t>
        </is>
      </c>
      <c r="AS268" s="77" t="inlineStr"/>
    </row>
    <row r="269">
      <c r="A269" s="77" t="inlineStr">
        <is>
          <t>RG18</t>
        </is>
      </c>
      <c r="B269" s="77" t="inlineStr">
        <is>
          <t>Queen Mary University of London</t>
        </is>
      </c>
      <c r="C269" s="77" t="inlineStr">
        <is>
          <t>University-wide</t>
        </is>
      </c>
      <c r="D269" s="77" t="inlineStr">
        <is>
          <t>RG18-S01</t>
        </is>
      </c>
      <c r="E269" s="77" t="inlineStr"/>
      <c r="F269" s="77" t="inlineStr">
        <is>
          <t>No</t>
        </is>
      </c>
      <c r="G269" s="79" t="inlineStr">
        <is>
          <t>The Student Consultancy Project (SCP)</t>
        </is>
      </c>
      <c r="H269" s="77" t="inlineStr">
        <is>
          <t>Student Consultancy Project</t>
        </is>
      </c>
      <c r="I269" s="77" t="inlineStr"/>
      <c r="J269"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69" s="77" t="inlineStr">
        <is>
          <t>Careers and Enterprise (Student Consultancy Project team); part of the SKETCH knowledge-exchange programme</t>
        </is>
      </c>
      <c r="L269" s="77" t="inlineStr">
        <is>
          <t>Open to all Queen Mary undergraduates from any academic school, including medicine and dentistry; QMUL Bursary recipients prioritised.</t>
        </is>
      </c>
      <c r="M269" s="77" t="inlineStr">
        <is>
          <t>Central provision</t>
        </is>
      </c>
      <c r="N269" s="77" t="inlineStr">
        <is>
          <t>Undergraduate</t>
        </is>
      </c>
      <c r="O269" s="77" t="inlineStr">
        <is>
          <t>All year groups</t>
        </is>
      </c>
      <c r="P269" s="77" t="inlineStr">
        <is>
          <t>Undergraduates only; no prior consultancy experience needed; application and selection.</t>
        </is>
      </c>
      <c r="Q269" s="77" t="inlineStr">
        <is>
          <t>Selective/competitive</t>
        </is>
      </c>
      <c r="R269" s="77" t="inlineStr">
        <is>
          <t>Extracurricular</t>
        </is>
      </c>
      <c r="S269" s="77" t="inlineStr">
        <is>
          <t>Not stated as credit-bearing; no credit evidenced.</t>
        </is>
      </c>
      <c r="T269" s="77" t="inlineStr">
        <is>
          <t>Autumn programme Oct-Nov; hackathons one day; Summer Sprint two weeks</t>
        </is>
      </c>
      <c r="U269" s="77" t="inlineStr">
        <is>
          <t>Team consultancy projects with training sessions and supervisor support; some formats short (hackathon).</t>
        </is>
      </c>
      <c r="V269" s="77" t="inlineStr">
        <is>
          <t>Yes</t>
        </is>
      </c>
      <c r="W269" s="77" t="inlineStr">
        <is>
          <t>Live problems with defined outputs: presentation and short written report with recommendations to the host (sources 1, 2).</t>
        </is>
      </c>
      <c r="X269" s="77" t="inlineStr">
        <is>
          <t>Yes</t>
        </is>
      </c>
      <c r="Y269" s="77" t="inlineStr">
        <is>
          <t>Multidisciplinary student teams working together on one host project (sources 1, 2).</t>
        </is>
      </c>
      <c r="Z269" s="77" t="inlineStr">
        <is>
          <t>Yes</t>
        </is>
      </c>
      <c r="AA269" s="77" t="inlineStr">
        <is>
          <t>Host organisations (any UK/international business, charity, social enterprise or not-for-profit) supply the problem, meet teams at set-up, mid-project and final stages and receive the presentation/report (source 2). External hosts are the documented norm.</t>
        </is>
      </c>
      <c r="AB269" s="77" t="inlineStr">
        <is>
          <t>Mixed</t>
        </is>
      </c>
      <c r="AC269" s="77" t="inlineStr">
        <is>
          <t>Supplies live challenge, attends check-ins, receives final presentation and report. A minority of SBM-run SCP teams research university-internal questions (access and participation work, source 3), which are internal rather than external.</t>
        </is>
      </c>
      <c r="AD269" s="77" t="inlineStr">
        <is>
          <t>Past clients cited in SKETCH material include FDM, Catch22, Routledge Publishers and Donmar Warehouse (undated; source 4). No 2025/26 client list found.</t>
        </is>
      </c>
      <c r="AE269" s="77" t="inlineStr">
        <is>
          <t>Presentation and short written report with findings and recommendations to the client</t>
        </is>
      </c>
      <c r="AF269" s="77">
        <f>IF(OR(V269="No",X269="No",Z269="No"),"Outside strict definition",IF(AND(V269="Yes",X269="Yes",Z269="Yes"),"Meets all three","Potentially relevant; evidence incomplete"))</f>
        <v/>
      </c>
      <c r="AG269" s="77" t="inlineStr">
        <is>
          <t>Current delivery confirmed</t>
        </is>
      </c>
      <c r="AH269" s="77" t="inlineStr">
        <is>
          <t>2025/26</t>
        </is>
      </c>
      <c r="AI269" s="77" t="inlineStr">
        <is>
          <t>Yes</t>
        </is>
      </c>
      <c r="AJ269" s="77">
        <f>IF(AND(AI269="Yes",AF269="Meets all three",AG269="Current delivery confirmed"),"Yes","No")</f>
        <v/>
      </c>
      <c r="AK269" s="77" t="inlineStr"/>
      <c r="AL269" s="77" t="inlineStr">
        <is>
          <t>RG18-S01-R1; RG18-S01-R2; RG18-S01-R3; RG18-S01-R4</t>
        </is>
      </c>
      <c r="AM269"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69" s="77" t="inlineStr"/>
      <c r="AO269" s="77" t="inlineStr">
        <is>
          <t>UK</t>
        </is>
      </c>
      <c r="AP269" s="77" t="inlineStr">
        <is>
          <t>UK – Russell Group</t>
        </is>
      </c>
      <c r="AQ269" s="77" t="inlineStr">
        <is>
          <t>Unclear</t>
        </is>
      </c>
      <c r="AR269" s="77" t="inlineStr">
        <is>
          <t>All/standard</t>
        </is>
      </c>
      <c r="AS269" s="77" t="inlineStr"/>
    </row>
    <row r="270">
      <c r="A270" s="77" t="inlineStr">
        <is>
          <t>RG18</t>
        </is>
      </c>
      <c r="B270" s="77" t="inlineStr">
        <is>
          <t>Queen Mary University of London</t>
        </is>
      </c>
      <c r="C270" s="77" t="inlineStr">
        <is>
          <t>Faculty/school</t>
        </is>
      </c>
      <c r="D270" s="77" t="inlineStr">
        <is>
          <t>RG18-S02</t>
        </is>
      </c>
      <c r="E270" s="77" t="inlineStr"/>
      <c r="F270" s="77" t="inlineStr">
        <is>
          <t>No</t>
        </is>
      </c>
      <c r="G270" s="79" t="inlineStr">
        <is>
          <t>Social Impact Project</t>
        </is>
      </c>
      <c r="H270" s="77" t="inlineStr">
        <is>
          <t>Social Impact Project</t>
        </is>
      </c>
      <c r="I270" s="77" t="inlineStr">
        <is>
          <t>BUS380</t>
        </is>
      </c>
      <c r="J270"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70" s="77" t="inlineStr">
        <is>
          <t>School of Business and Management (module lead Lisa Morrison)</t>
        </is>
      </c>
      <c r="L270" s="77" t="inlineStr">
        <is>
          <t>Undergraduate students studying Business and Management (Level 6).</t>
        </is>
      </c>
      <c r="M270" s="77" t="inlineStr">
        <is>
          <t>Business/management</t>
        </is>
      </c>
      <c r="N270" s="77" t="inlineStr">
        <is>
          <t>Undergraduate</t>
        </is>
      </c>
      <c r="O270" s="77" t="inlineStr">
        <is>
          <t>Level 6 (final year)</t>
        </is>
      </c>
      <c r="P270" s="77" t="inlineStr">
        <is>
          <t>Business and Management undergraduates; module registration rules apply.</t>
        </is>
      </c>
      <c r="Q270" s="77" t="inlineStr">
        <is>
          <t>Optional/elective</t>
        </is>
      </c>
      <c r="R270" s="77" t="inlineStr">
        <is>
          <t>Curricular</t>
        </is>
      </c>
      <c r="S270" s="77" t="inlineStr">
        <is>
          <t>15 credits; 80% coursework (work-based report) and 20% practical (project presentation)</t>
        </is>
      </c>
      <c r="T270" s="77" t="inlineStr">
        <is>
          <t>Semester 2</t>
        </is>
      </c>
      <c r="U270" s="77" t="inlineStr">
        <is>
          <t>Weekly two-hour workshops plus team project work with external partner</t>
        </is>
      </c>
      <c r="V270" s="77" t="inlineStr">
        <is>
          <t>Yes</t>
        </is>
      </c>
      <c r="W270" s="77" t="inlineStr">
        <is>
          <t>Consultancy project for a charity/social enterprise producing a work-based report and project presentation (sources 1, 2).</t>
        </is>
      </c>
      <c r="X270" s="77" t="inlineStr">
        <is>
          <t>Yes</t>
        </is>
      </c>
      <c r="Y270" s="77" t="inlineStr">
        <is>
          <t>Module description: students work in teams with external organisations (source 1); case study describes teams developing proposals (source 2).</t>
        </is>
      </c>
      <c r="Z270" s="77" t="inlineStr">
        <is>
          <t>Yes</t>
        </is>
      </c>
      <c r="AA270"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70" s="77" t="inlineStr">
        <is>
          <t>Mixed</t>
        </is>
      </c>
      <c r="AC270" s="77" t="inlineStr">
        <is>
          <t>Brief-setting, mentoring/feedback, receipt of proposals. Module page says partners can be for-profit and non-profit; case study example is a public-sector body.</t>
        </is>
      </c>
      <c r="AD270" s="77" t="inlineStr">
        <is>
          <t>Tower Hamlets Council (undated case study)</t>
        </is>
      </c>
      <c r="AE270" s="77" t="inlineStr">
        <is>
          <t>Work-based report and team presentation to partner</t>
        </is>
      </c>
      <c r="AF270" s="77">
        <f>IF(OR(V270="No",X270="No",Z270="No"),"Outside strict definition",IF(AND(V270="Yes",X270="Yes",Z270="Yes"),"Meets all three","Potentially relevant; evidence incomplete"))</f>
        <v/>
      </c>
      <c r="AG270" s="77" t="inlineStr">
        <is>
          <t>Current status unclear</t>
        </is>
      </c>
      <c r="AH270" s="77" t="inlineStr">
        <is>
          <t>Undated</t>
        </is>
      </c>
      <c r="AI270" s="77" t="inlineStr">
        <is>
          <t>Yes</t>
        </is>
      </c>
      <c r="AJ270" s="77">
        <f>IF(AND(AI270="Yes",AF270="Meets all three",AG270="Current delivery confirmed"),"Yes","No")</f>
        <v/>
      </c>
      <c r="AK270" s="77" t="inlineStr"/>
      <c r="AL270" s="77" t="inlineStr">
        <is>
          <t>RG18-S02-R1; RG18-S02-R2</t>
        </is>
      </c>
      <c r="AM270" s="77" t="inlineStr">
        <is>
          <t>Module page is not year-stamped; a module directory 2025-26 listing was returned but the BUS380 entry year could not be verified; no 2025/26 partner list or enrolment found. Case study undated.</t>
        </is>
      </c>
      <c r="AN270" s="77" t="inlineStr"/>
      <c r="AO270" s="77" t="inlineStr">
        <is>
          <t>UK</t>
        </is>
      </c>
      <c r="AP270" s="77" t="inlineStr">
        <is>
          <t>UK – Russell Group</t>
        </is>
      </c>
      <c r="AQ270" s="77" t="inlineStr">
        <is>
          <t>~1 term/semester</t>
        </is>
      </c>
      <c r="AR270" s="77" t="inlineStr">
        <is>
          <t>All/standard</t>
        </is>
      </c>
      <c r="AS270" s="77" t="inlineStr"/>
    </row>
    <row r="271">
      <c r="A271" s="77" t="inlineStr">
        <is>
          <t>RG18</t>
        </is>
      </c>
      <c r="B271" s="77" t="inlineStr">
        <is>
          <t>Queen Mary University of London</t>
        </is>
      </c>
      <c r="C271" s="77" t="inlineStr">
        <is>
          <t>Programme/course</t>
        </is>
      </c>
      <c r="D271" s="77" t="inlineStr">
        <is>
          <t>RG18-S03</t>
        </is>
      </c>
      <c r="E271" s="77" t="inlineStr"/>
      <c r="F271" s="77" t="inlineStr">
        <is>
          <t>Yes</t>
        </is>
      </c>
      <c r="G271" s="79" t="inlineStr">
        <is>
          <t>The Capstone Project (Queen Mary Business School live client capstones)</t>
        </is>
      </c>
      <c r="H271" s="77" t="inlineStr">
        <is>
          <t>SBM Capstone Project umbrella</t>
        </is>
      </c>
      <c r="I271" s="77" t="inlineStr"/>
      <c r="J271"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71" s="77" t="inlineStr">
        <is>
          <t>School of Business and Management</t>
        </is>
      </c>
      <c r="L271" s="77" t="inlineStr">
        <is>
          <t>MSc Management; MSc Entrepreneurship and Innovation</t>
        </is>
      </c>
      <c r="M271" s="77" t="inlineStr">
        <is>
          <t>Business/management</t>
        </is>
      </c>
      <c r="N271" s="77" t="inlineStr">
        <is>
          <t>Postgraduate taught</t>
        </is>
      </c>
      <c r="O271" s="77" t="inlineStr"/>
      <c r="P271" s="77" t="inlineStr"/>
      <c r="Q271" s="77" t="inlineStr">
        <is>
          <t>Unclear</t>
        </is>
      </c>
      <c r="R271" s="77" t="inlineStr">
        <is>
          <t>Curricular</t>
        </is>
      </c>
      <c r="S271" s="77" t="inlineStr"/>
      <c r="T271" s="77" t="inlineStr"/>
      <c r="U271" s="77" t="inlineStr"/>
      <c r="V271" s="77" t="inlineStr">
        <is>
          <t>Yes</t>
        </is>
      </c>
      <c r="W271" s="77" t="inlineStr">
        <is>
          <t>See children S4, S5.</t>
        </is>
      </c>
      <c r="X271" s="77" t="inlineStr">
        <is>
          <t>Unclear</t>
        </is>
      </c>
      <c r="Y271" s="77" t="inlineStr">
        <is>
          <t>See children.</t>
        </is>
      </c>
      <c r="Z271" s="77" t="inlineStr">
        <is>
          <t>Yes</t>
        </is>
      </c>
      <c r="AA271" s="77" t="inlineStr">
        <is>
          <t>See children.</t>
        </is>
      </c>
      <c r="AB271" s="77" t="inlineStr">
        <is>
          <t>Mixed</t>
        </is>
      </c>
      <c r="AC271" s="77" t="inlineStr">
        <is>
          <t>See children.</t>
        </is>
      </c>
      <c r="AD271" s="77" t="inlineStr"/>
      <c r="AE271" s="77" t="inlineStr"/>
      <c r="AF271" s="77">
        <f>IF(OR(V271="No",X271="No",Z271="No"),"Outside strict definition",IF(AND(V271="Yes",X271="Yes",Z271="Yes"),"Meets all three","Potentially relevant; evidence incomplete"))</f>
        <v/>
      </c>
      <c r="AG271" s="77" t="inlineStr">
        <is>
          <t>Current delivery confirmed</t>
        </is>
      </c>
      <c r="AH271" s="77" t="inlineStr">
        <is>
          <t>2025/26</t>
        </is>
      </c>
      <c r="AI271" s="77" t="inlineStr">
        <is>
          <t>No</t>
        </is>
      </c>
      <c r="AJ271" s="77">
        <f>IF(AND(AI271="Yes",AF271="Meets all three",AG271="Current delivery confirmed"),"Yes","No")</f>
        <v/>
      </c>
      <c r="AK271" s="77" t="inlineStr"/>
      <c r="AL271" s="77" t="inlineStr">
        <is>
          <t>RG18-S03-R1</t>
        </is>
      </c>
      <c r="AM271" s="77" t="inlineStr">
        <is>
          <t>Umbrella only; not counted separately.</t>
        </is>
      </c>
      <c r="AN271" s="77" t="inlineStr"/>
      <c r="AO271" s="77" t="inlineStr">
        <is>
          <t>UK</t>
        </is>
      </c>
      <c r="AP271" s="77" t="inlineStr">
        <is>
          <t>UK – Russell Group</t>
        </is>
      </c>
      <c r="AQ271" s="77" t="inlineStr">
        <is>
          <t>Unclear</t>
        </is>
      </c>
      <c r="AR271" s="77" t="inlineStr">
        <is>
          <t>Unclear</t>
        </is>
      </c>
      <c r="AS271" s="77" t="inlineStr">
        <is>
          <t>No (umbrella; children counted)</t>
        </is>
      </c>
    </row>
    <row r="272">
      <c r="A272" s="77" t="inlineStr">
        <is>
          <t>RG18</t>
        </is>
      </c>
      <c r="B272" s="77" t="inlineStr">
        <is>
          <t>Queen Mary University of London</t>
        </is>
      </c>
      <c r="C272" s="77" t="inlineStr">
        <is>
          <t>Programme/course</t>
        </is>
      </c>
      <c r="D272" s="77" t="inlineStr">
        <is>
          <t>RG18-S04</t>
        </is>
      </c>
      <c r="E272" s="77" t="inlineStr">
        <is>
          <t>RG18-S03</t>
        </is>
      </c>
      <c r="F272" s="77" t="inlineStr">
        <is>
          <t>No</t>
        </is>
      </c>
      <c r="G272" s="79" t="inlineStr">
        <is>
          <t>Contemporary Live Management Project (Capstone)</t>
        </is>
      </c>
      <c r="H272" s="77" t="inlineStr">
        <is>
          <t>Contemporary Live Management Project</t>
        </is>
      </c>
      <c r="I272" s="77" t="inlineStr">
        <is>
          <t>BUSM250</t>
        </is>
      </c>
      <c r="J272"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72" s="77" t="inlineStr">
        <is>
          <t>School of Business and Management (contact Dr Eranjan Padumadasa)</t>
        </is>
      </c>
      <c r="L272" s="77" t="inlineStr">
        <is>
          <t>MSc Management (and possibly related SBM MSc programmes)</t>
        </is>
      </c>
      <c r="M272" s="77" t="inlineStr">
        <is>
          <t>Business/management</t>
        </is>
      </c>
      <c r="N272" s="77" t="inlineStr">
        <is>
          <t>Postgraduate taught</t>
        </is>
      </c>
      <c r="O272" s="77" t="inlineStr">
        <is>
          <t>MSc final stage</t>
        </is>
      </c>
      <c r="P272" s="77" t="inlineStr">
        <is>
          <t>Chosen instead of the dissertation</t>
        </is>
      </c>
      <c r="Q272" s="77" t="inlineStr">
        <is>
          <t>Optional/elective</t>
        </is>
      </c>
      <c r="R272" s="77" t="inlineStr">
        <is>
          <t>Curricular</t>
        </is>
      </c>
      <c r="S272" s="77" t="inlineStr">
        <is>
          <t>60 credits; 100% coursework</t>
        </is>
      </c>
      <c r="T272" s="77" t="inlineStr">
        <is>
          <t>Year-long / final stage of MSc</t>
        </is>
      </c>
      <c r="U272" s="77" t="inlineStr">
        <is>
          <t>Team live-client project with preparatory skills module</t>
        </is>
      </c>
      <c r="V272" s="77" t="inlineStr">
        <is>
          <t>Yes</t>
        </is>
      </c>
      <c r="W272" s="77" t="inlineStr">
        <is>
          <t>Live project for a real company with client engagement and final presentation (sources 1, 2).</t>
        </is>
      </c>
      <c r="X272" s="77" t="inlineStr">
        <is>
          <t>Yes</t>
        </is>
      </c>
      <c r="Y272" s="77" t="inlineStr">
        <is>
          <t>Student account on the Capstone teamwork page: team members assigned different but interrelated problem statements for one client (source 2). Relies on student testimonial from the same capstone site, not the module specification.</t>
        </is>
      </c>
      <c r="Z272" s="77" t="inlineStr">
        <is>
          <t>Yes</t>
        </is>
      </c>
      <c r="AA272" s="77" t="inlineStr">
        <is>
          <t>Real client organisations (e.g. Farrell Associates recruitment firm, Carbon Cell, One World Together per student accounts) set the problem; clients give feedback after final presentation (sources 1, 2).</t>
        </is>
      </c>
      <c r="AB272" s="77" t="inlineStr">
        <is>
          <t>Mixed</t>
        </is>
      </c>
      <c r="AC272" s="77" t="inlineStr">
        <is>
          <t>Live brief and receipt of presentation; accounts name both commercial and non-profit clients.</t>
        </is>
      </c>
      <c r="AD272" s="77" t="inlineStr">
        <is>
          <t>Farrell Associates; Carbon Cell; One World Together (undated student accounts)</t>
        </is>
      </c>
      <c r="AE272" s="77" t="inlineStr">
        <is>
          <t>Client project report and presentation</t>
        </is>
      </c>
      <c r="AF272" s="77">
        <f>IF(OR(V272="No",X272="No",Z272="No"),"Outside strict definition",IF(AND(V272="Yes",X272="Yes",Z272="Yes"),"Meets all three","Potentially relevant; evidence incomplete"))</f>
        <v/>
      </c>
      <c r="AG272" s="77" t="inlineStr">
        <is>
          <t>Current status unclear</t>
        </is>
      </c>
      <c r="AH272" s="77" t="inlineStr">
        <is>
          <t>Undated</t>
        </is>
      </c>
      <c r="AI272" s="77" t="inlineStr">
        <is>
          <t>Yes</t>
        </is>
      </c>
      <c r="AJ272" s="77">
        <f>IF(AND(AI272="Yes",AF272="Meets all three",AG272="Current delivery confirmed"),"Yes","No")</f>
        <v/>
      </c>
      <c r="AK272" s="77" t="inlineStr"/>
      <c r="AL272" s="77" t="inlineStr">
        <is>
          <t>RG18-S04-R1; RG18-S04-R2; RG18-S04-R3</t>
        </is>
      </c>
      <c r="AM272" s="77" t="inlineStr">
        <is>
          <t>Module page and student accounts undated; no 2025/26 enrolment or client list. Group working rests on testimonial wording.</t>
        </is>
      </c>
      <c r="AN272" s="77" t="inlineStr"/>
      <c r="AO272" s="77" t="inlineStr">
        <is>
          <t>UK</t>
        </is>
      </c>
      <c r="AP272" s="77" t="inlineStr">
        <is>
          <t>UK – Russell Group</t>
        </is>
      </c>
      <c r="AQ272" s="77" t="inlineStr">
        <is>
          <t>&gt;1 term</t>
        </is>
      </c>
      <c r="AR272" s="77" t="inlineStr">
        <is>
          <t>All/standard</t>
        </is>
      </c>
      <c r="AS272" s="77" t="inlineStr"/>
    </row>
    <row r="273">
      <c r="A273" s="77" t="inlineStr">
        <is>
          <t>RG18</t>
        </is>
      </c>
      <c r="B273" s="77" t="inlineStr">
        <is>
          <t>Queen Mary University of London</t>
        </is>
      </c>
      <c r="C273" s="77" t="inlineStr">
        <is>
          <t>Programme/course</t>
        </is>
      </c>
      <c r="D273" s="77" t="inlineStr">
        <is>
          <t>RG18-S05</t>
        </is>
      </c>
      <c r="E273" s="77" t="inlineStr">
        <is>
          <t>RG18-S03</t>
        </is>
      </c>
      <c r="F273" s="77" t="inlineStr">
        <is>
          <t>No</t>
        </is>
      </c>
      <c r="G273" s="79" t="inlineStr">
        <is>
          <t>Entrepreneurship and Innovation Project (live consultancy Capstone)</t>
        </is>
      </c>
      <c r="H273" s="77" t="inlineStr">
        <is>
          <t>MSc Entrepreneurship and Innovation live consultancy capstone</t>
        </is>
      </c>
      <c r="I273" s="77" t="inlineStr"/>
      <c r="J273"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273" s="77" t="inlineStr">
        <is>
          <t>School of Business and Management / Entrepreneurship Hub</t>
        </is>
      </c>
      <c r="L273" s="77" t="inlineStr">
        <is>
          <t>MSc Entrepreneurship and Innovation</t>
        </is>
      </c>
      <c r="M273" s="77" t="inlineStr">
        <is>
          <t>Business/management</t>
        </is>
      </c>
      <c r="N273" s="77" t="inlineStr">
        <is>
          <t>Postgraduate taught</t>
        </is>
      </c>
      <c r="O273" s="77" t="inlineStr">
        <is>
          <t>MSc final stage</t>
        </is>
      </c>
      <c r="P273" s="77" t="inlineStr"/>
      <c r="Q273" s="77" t="inlineStr">
        <is>
          <t>Unclear</t>
        </is>
      </c>
      <c r="R273" s="77" t="inlineStr">
        <is>
          <t>Curricular</t>
        </is>
      </c>
      <c r="S273" s="77" t="inlineStr">
        <is>
          <t>Not stated</t>
        </is>
      </c>
      <c r="T273" s="77" t="inlineStr">
        <is>
          <t>February-June 2026</t>
        </is>
      </c>
      <c r="U273" s="77" t="inlineStr">
        <is>
          <t>Client consulting engagement</t>
        </is>
      </c>
      <c r="V273" s="77" t="inlineStr">
        <is>
          <t>Yes</t>
        </is>
      </c>
      <c r="W273" s="77" t="inlineStr">
        <is>
          <t>Students worked on client briefs delivering actionable solutions to real business challenges (sources 1, 2).</t>
        </is>
      </c>
      <c r="X273" s="77" t="inlineStr">
        <is>
          <t>Unclear</t>
        </is>
      </c>
      <c r="Y273" s="77" t="inlineStr">
        <is>
          <t>News item does not say whether students worked in teams or individually; sibling capstone pages suggest teamwork but this is not evidenced for this route.</t>
        </is>
      </c>
      <c r="Z273" s="77" t="inlineStr">
        <is>
          <t>Yes</t>
        </is>
      </c>
      <c r="AA273" s="77" t="inlineStr">
        <is>
          <t>Named start-ups and a charity set the briefs; feedback from clients reported as overwhelmingly positive (source 1). Note ViWipe/FlowSense are Social Venture Fund finalists (university-linked fund) but are external companies.</t>
        </is>
      </c>
      <c r="AB273" s="77" t="inlineStr">
        <is>
          <t>Mixed</t>
        </is>
      </c>
      <c r="AC273" s="77" t="inlineStr">
        <is>
          <t>Client briefs and feedback</t>
        </is>
      </c>
      <c r="AD273" s="77" t="inlineStr">
        <is>
          <t>ViWipe, FlowSense, Decentials, Clean Break (2026)</t>
        </is>
      </c>
      <c r="AE273" s="77" t="inlineStr">
        <is>
          <t>Consultancy solutions for clients</t>
        </is>
      </c>
      <c r="AF273" s="77">
        <f>IF(OR(V273="No",X273="No",Z273="No"),"Outside strict definition",IF(AND(V273="Yes",X273="Yes",Z273="Yes"),"Meets all three","Potentially relevant; evidence incomplete"))</f>
        <v/>
      </c>
      <c r="AG273" s="77" t="inlineStr">
        <is>
          <t>Current delivery confirmed</t>
        </is>
      </c>
      <c r="AH273" s="77" t="inlineStr">
        <is>
          <t>2025/26</t>
        </is>
      </c>
      <c r="AI273" s="77" t="inlineStr">
        <is>
          <t>Yes</t>
        </is>
      </c>
      <c r="AJ273" s="77">
        <f>IF(AND(AI273="Yes",AF273="Meets all three",AG273="Current delivery confirmed"),"Yes","No")</f>
        <v/>
      </c>
      <c r="AK273" s="77" t="inlineStr"/>
      <c r="AL273" s="77" t="inlineStr">
        <is>
          <t>RG18-S05-R1; RG18-S05-R2</t>
        </is>
      </c>
      <c r="AM273" s="77" t="inlineStr">
        <is>
          <t>Group working not established; credit weighting and whether compulsory not stated; delivery in 2026/27 not evidenced.</t>
        </is>
      </c>
      <c r="AN273" s="77" t="inlineStr"/>
      <c r="AO273" s="77" t="inlineStr">
        <is>
          <t>UK</t>
        </is>
      </c>
      <c r="AP273" s="77" t="inlineStr">
        <is>
          <t>UK – Russell Group</t>
        </is>
      </c>
      <c r="AQ273" s="77" t="inlineStr">
        <is>
          <t>&gt;1 term</t>
        </is>
      </c>
      <c r="AR273" s="77" t="inlineStr">
        <is>
          <t>All/standard</t>
        </is>
      </c>
      <c r="AS273" s="77" t="inlineStr"/>
    </row>
    <row r="274">
      <c r="A274" s="77" t="inlineStr">
        <is>
          <t>RG18</t>
        </is>
      </c>
      <c r="B274" s="77" t="inlineStr">
        <is>
          <t>Queen Mary University of London</t>
        </is>
      </c>
      <c r="C274" s="77" t="inlineStr">
        <is>
          <t>Faculty/school</t>
        </is>
      </c>
      <c r="D274" s="77" t="inlineStr">
        <is>
          <t>RG18-S06</t>
        </is>
      </c>
      <c r="E274" s="77" t="inlineStr"/>
      <c r="F274" s="77" t="inlineStr">
        <is>
          <t>No</t>
        </is>
      </c>
      <c r="G274" s="79" t="inlineStr">
        <is>
          <t>Real World Impact Projects</t>
        </is>
      </c>
      <c r="H274" s="77" t="inlineStr">
        <is>
          <t>Real World Impact Projects (SKETCH)</t>
        </is>
      </c>
      <c r="I274" s="77" t="inlineStr"/>
      <c r="J274" s="77" t="inlineStr">
        <is>
          <t>Interdisciplinary student teams work directly with charities, social enterprises, SMEs, start-ups and cultural organisations on real projects; around 15-20 hours over an 8-week period; places limited with application.</t>
        </is>
      </c>
      <c r="K274" s="77" t="inlineStr">
        <is>
          <t>School of Business and Management Entrepreneurship Hub, within SKETCH</t>
        </is>
      </c>
      <c r="L274" s="77" t="inlineStr">
        <is>
          <t>Students of the School of Business and Management and the School of Society and Environment (both within the Faculty of Humanities and Social Sciences)</t>
        </is>
      </c>
      <c r="M274" s="77" t="inlineStr">
        <is>
          <t>Business/management; Arts/humanities/social sciences</t>
        </is>
      </c>
      <c r="N274" s="77" t="inlineStr">
        <is>
          <t>Mixed</t>
        </is>
      </c>
      <c r="O274" s="77" t="inlineStr"/>
      <c r="P274" s="77" t="inlineStr">
        <is>
          <t>SBM and School of Society &amp; Environment students; application, limited places</t>
        </is>
      </c>
      <c r="Q274" s="77" t="inlineStr">
        <is>
          <t>Selective/competitive</t>
        </is>
      </c>
      <c r="R274" s="77" t="inlineStr">
        <is>
          <t>Extracurricular</t>
        </is>
      </c>
      <c r="S274" s="77" t="inlineStr">
        <is>
          <t>Not stated</t>
        </is>
      </c>
      <c r="T274" s="77" t="inlineStr">
        <is>
          <t>8 weeks, ~15-20 hours</t>
        </is>
      </c>
      <c r="U274" s="77" t="inlineStr">
        <is>
          <t>Team projects with external organisations</t>
        </is>
      </c>
      <c r="V274" s="77" t="inlineStr">
        <is>
          <t>Yes</t>
        </is>
      </c>
      <c r="W274" s="77" t="inlineStr">
        <is>
          <t>Projects with defined partner challenges (source 1). Individual project outputs not detailed in the extract.</t>
        </is>
      </c>
      <c r="X274" s="77" t="inlineStr">
        <is>
          <t>Yes</t>
        </is>
      </c>
      <c r="Y274" s="77" t="inlineStr">
        <is>
          <t>Teams formed to include a mix of disciplines and skills (source 1).</t>
        </is>
      </c>
      <c r="Z274" s="77" t="inlineStr">
        <is>
          <t>Yes</t>
        </is>
      </c>
      <c r="AA274" s="77" t="inlineStr">
        <is>
          <t>Students work directly with charities, social enterprises, SMEs, start-ups and cultural organisations (source 1).</t>
        </is>
      </c>
      <c r="AB274" s="77" t="inlineStr">
        <is>
          <t>Mixed</t>
        </is>
      </c>
      <c r="AC274" s="77" t="inlineStr">
        <is>
          <t>Project partners supplying challenges</t>
        </is>
      </c>
      <c r="AD274" s="77" t="inlineStr"/>
      <c r="AE274" s="77" t="inlineStr">
        <is>
          <t>Not specified in extract</t>
        </is>
      </c>
      <c r="AF274" s="77">
        <f>IF(OR(V274="No",X274="No",Z274="No"),"Outside strict definition",IF(AND(V274="Yes",X274="Yes",Z274="Yes"),"Meets all three","Potentially relevant; evidence incomplete"))</f>
        <v/>
      </c>
      <c r="AG274" s="77" t="inlineStr">
        <is>
          <t>Current status unclear</t>
        </is>
      </c>
      <c r="AH274" s="77" t="inlineStr">
        <is>
          <t>Undated</t>
        </is>
      </c>
      <c r="AI274" s="77" t="inlineStr">
        <is>
          <t>Yes</t>
        </is>
      </c>
      <c r="AJ274" s="77">
        <f>IF(AND(AI274="Yes",AF274="Meets all three",AG274="Current delivery confirmed"),"Yes","No")</f>
        <v/>
      </c>
      <c r="AK274" s="77" t="inlineStr"/>
      <c r="AL274" s="77" t="inlineStr">
        <is>
          <t>RG18-S06-R1; RG18-S06-R2</t>
        </is>
      </c>
      <c r="AM274" s="77" t="inlineStr">
        <is>
          <t>Pages undated; no cohort or partner list found; relationship to qHeritage (S7, which is a separate School of History pillar) not clarified; 15-20 hours is a light commitment.</t>
        </is>
      </c>
      <c r="AN274" s="77" t="inlineStr"/>
      <c r="AO274" s="77" t="inlineStr">
        <is>
          <t>UK</t>
        </is>
      </c>
      <c r="AP274" s="77" t="inlineStr">
        <is>
          <t>UK – Russell Group</t>
        </is>
      </c>
      <c r="AQ274" s="77" t="inlineStr">
        <is>
          <t>~1 term/semester</t>
        </is>
      </c>
      <c r="AR274" s="77" t="inlineStr">
        <is>
          <t>All/standard</t>
        </is>
      </c>
      <c r="AS274" s="77" t="inlineStr"/>
    </row>
    <row r="275">
      <c r="A275" s="77" t="inlineStr">
        <is>
          <t>RG18</t>
        </is>
      </c>
      <c r="B275" s="77" t="inlineStr">
        <is>
          <t>Queen Mary University of London</t>
        </is>
      </c>
      <c r="C275" s="77" t="inlineStr">
        <is>
          <t>University-wide</t>
        </is>
      </c>
      <c r="D275" s="77" t="inlineStr">
        <is>
          <t>RG18-S07</t>
        </is>
      </c>
      <c r="E275" s="77" t="inlineStr"/>
      <c r="F275" s="77" t="inlineStr">
        <is>
          <t>No</t>
        </is>
      </c>
      <c r="G275" s="79" t="inlineStr">
        <is>
          <t>qHeritage (SKETCH pillar)</t>
        </is>
      </c>
      <c r="H275" s="77" t="inlineStr">
        <is>
          <t>qHeritage student knowledge exchange projects</t>
        </is>
      </c>
      <c r="I275" s="77" t="inlineStr"/>
      <c r="J275"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275" s="77" t="inlineStr">
        <is>
          <t>School of History (School of Society and Environment), SKETCH</t>
        </is>
      </c>
      <c r="L275" s="77" t="inlineStr">
        <is>
          <t>Current Queen Mary students (Citizens UK project page); past teams combined History and SBM students</t>
        </is>
      </c>
      <c r="M275" s="77" t="inlineStr">
        <is>
          <t>Arts/humanities/social sciences; Central provision</t>
        </is>
      </c>
      <c r="N275" s="77" t="inlineStr">
        <is>
          <t>Mixed</t>
        </is>
      </c>
      <c r="O275" s="77" t="inlineStr"/>
      <c r="P275" s="77" t="inlineStr">
        <is>
          <t>Current QM students; application and shortlisting</t>
        </is>
      </c>
      <c r="Q275" s="77" t="inlineStr">
        <is>
          <t>Selective/competitive</t>
        </is>
      </c>
      <c r="R275" s="77" t="inlineStr">
        <is>
          <t>Extracurricular</t>
        </is>
      </c>
      <c r="S275" s="77" t="inlineStr">
        <is>
          <t>Not stated</t>
        </is>
      </c>
      <c r="T275" s="77" t="inlineStr">
        <is>
          <t>~8 weeks (15 Oct-8 Dec 2026), 15-20 hours</t>
        </is>
      </c>
      <c r="U275" s="77" t="inlineStr">
        <is>
          <t>Team client projects with training</t>
        </is>
      </c>
      <c r="V275" s="77" t="inlineStr">
        <is>
          <t>Yes</t>
        </is>
      </c>
      <c r="W275" s="77" t="inlineStr">
        <is>
          <t>Named client projects with defined outputs (research report framework; heritage research/documentation) (sources 1, 2).</t>
        </is>
      </c>
      <c r="X275" s="77" t="inlineStr">
        <is>
          <t>Yes</t>
        </is>
      </c>
      <c r="Y275" s="77" t="inlineStr">
        <is>
          <t>Teams combining History and SBM students for the Swadhinata Trust project; applicants should be teamwork-oriented (sources 1, 2).</t>
        </is>
      </c>
      <c r="Z275" s="77" t="inlineStr">
        <is>
          <t>Yes</t>
        </is>
      </c>
      <c r="AA275" s="77" t="inlineStr">
        <is>
          <t>Client organisations (Citizens UK, Swadhinata Trust) set project briefs and are the recipients; client meetings are part of the time commitment (sources 1, 2).</t>
        </is>
      </c>
      <c r="AB275" s="77" t="inlineStr">
        <is>
          <t>Charity/community</t>
        </is>
      </c>
      <c r="AC275" s="77" t="inlineStr">
        <is>
          <t>Set brief, client meetings, receive outputs</t>
        </is>
      </c>
      <c r="AD275" s="77" t="inlineStr">
        <is>
          <t>Citizens UK; Swadhinata Trust (2026-27)</t>
        </is>
      </c>
      <c r="AE275" s="77" t="inlineStr">
        <is>
          <t>Reporting framework / heritage research outputs for client</t>
        </is>
      </c>
      <c r="AF275" s="77">
        <f>IF(OR(V275="No",X275="No",Z275="No"),"Outside strict definition",IF(AND(V275="Yes",X275="Yes",Z275="Yes"),"Meets all three","Potentially relevant; evidence incomplete"))</f>
        <v/>
      </c>
      <c r="AG275" s="77" t="inlineStr">
        <is>
          <t>Current delivery confirmed</t>
        </is>
      </c>
      <c r="AH275" s="77" t="inlineStr">
        <is>
          <t>2026/27</t>
        </is>
      </c>
      <c r="AI275" s="77" t="inlineStr">
        <is>
          <t>Yes</t>
        </is>
      </c>
      <c r="AJ275" s="77">
        <f>IF(AND(AI275="Yes",AF275="Meets all three",AG275="Current delivery confirmed"),"Yes","No")</f>
        <v/>
      </c>
      <c r="AK275" s="77" t="inlineStr"/>
      <c r="AL275" s="77" t="inlineStr">
        <is>
          <t>RG18-S07-R1; RG18-S07-R2; RG18-S07-R3</t>
        </is>
      </c>
      <c r="AM275" s="77" t="inlineStr">
        <is>
          <t>Team sizes and cohort numbers not found; reach classed University-wide from stated eligibility 'current Queen Mary students' but the programme is hosted by History; 15-20 hours is a light commitment.</t>
        </is>
      </c>
      <c r="AN275" s="77" t="inlineStr"/>
      <c r="AO275" s="77" t="inlineStr">
        <is>
          <t>UK</t>
        </is>
      </c>
      <c r="AP275" s="77" t="inlineStr">
        <is>
          <t>UK – Russell Group</t>
        </is>
      </c>
      <c r="AQ275" s="77" t="inlineStr">
        <is>
          <t>~1 term/semester</t>
        </is>
      </c>
      <c r="AR275" s="77" t="inlineStr">
        <is>
          <t>All/standard</t>
        </is>
      </c>
      <c r="AS275" s="77" t="inlineStr"/>
    </row>
    <row r="276">
      <c r="A276" s="77" t="inlineStr">
        <is>
          <t>RG18</t>
        </is>
      </c>
      <c r="B276" s="77" t="inlineStr">
        <is>
          <t>Queen Mary University of London</t>
        </is>
      </c>
      <c r="C276" s="77" t="inlineStr">
        <is>
          <t>Faculty/school</t>
        </is>
      </c>
      <c r="D276" s="77" t="inlineStr">
        <is>
          <t>RG18-S08</t>
        </is>
      </c>
      <c r="E276" s="77" t="inlineStr"/>
      <c r="F276" s="77" t="inlineStr">
        <is>
          <t>No</t>
        </is>
      </c>
      <c r="G276" s="79" t="inlineStr">
        <is>
          <t>qNomics Client Advisory</t>
        </is>
      </c>
      <c r="H276" s="77" t="inlineStr">
        <is>
          <t>qNomics Client Advisory programme</t>
        </is>
      </c>
      <c r="I276" s="77" t="inlineStr"/>
      <c r="J276"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276" s="77" t="inlineStr">
        <is>
          <t>School of Economics and Finance (qNomics), within SKETCH</t>
        </is>
      </c>
      <c r="L276" s="77" t="inlineStr">
        <is>
          <t>Third-year undergraduate and postgraduate students in the School of Economics and Finance</t>
        </is>
      </c>
      <c r="M276" s="77" t="inlineStr">
        <is>
          <t>Arts/humanities/social sciences; Business/management</t>
        </is>
      </c>
      <c r="N276" s="77" t="inlineStr">
        <is>
          <t>Mixed</t>
        </is>
      </c>
      <c r="O276" s="77" t="inlineStr">
        <is>
          <t>Year 3 UG and PG</t>
        </is>
      </c>
      <c r="P276" s="77" t="inlineStr">
        <is>
          <t>Applications 14-27 Sept 2026 for 2026/27 (closed at research date)</t>
        </is>
      </c>
      <c r="Q276" s="77" t="inlineStr">
        <is>
          <t>Selective/competitive</t>
        </is>
      </c>
      <c r="R276" s="77" t="inlineStr">
        <is>
          <t>Mixed</t>
        </is>
      </c>
      <c r="S276" s="77" t="inlineStr">
        <is>
          <t>Listed as an optional PG professional-skills module on SEF pages; credit not found; also recorded as extracurricular on HEAR transcript pages</t>
        </is>
      </c>
      <c r="T276" s="77" t="inlineStr">
        <is>
          <t>Not stated</t>
        </is>
      </c>
      <c r="U276" s="77" t="inlineStr">
        <is>
          <t>Team client advisory with professional supervisor</t>
        </is>
      </c>
      <c r="V276" s="77" t="inlineStr">
        <is>
          <t>Yes</t>
        </is>
      </c>
      <c r="W276" s="77" t="inlineStr">
        <is>
          <t>Defined client challenge with final recommendations presented to client (source 1).</t>
        </is>
      </c>
      <c r="X276" s="77" t="inlineStr">
        <is>
          <t>Yes</t>
        </is>
      </c>
      <c r="Y276" s="77" t="inlineStr">
        <is>
          <t>Teams are assigned a client (source 1).</t>
        </is>
      </c>
      <c r="Z276" s="77" t="inlineStr">
        <is>
          <t>Yes</t>
        </is>
      </c>
      <c r="AA276" s="77" t="inlineStr">
        <is>
          <t>External entrepreneurs, start-ups and small businesses supply the challenge, have a professional supervisor/advisor and receive the final recommendations (source 1).</t>
        </is>
      </c>
      <c r="AB276" s="77" t="inlineStr">
        <is>
          <t>Business/commercial</t>
        </is>
      </c>
      <c r="AC276" s="77" t="inlineStr">
        <is>
          <t>Client brief and receipt of recommendations</t>
        </is>
      </c>
      <c r="AD276" s="77" t="inlineStr"/>
      <c r="AE276" s="77" t="inlineStr">
        <is>
          <t>Final recommendations / advice to client</t>
        </is>
      </c>
      <c r="AF276" s="77">
        <f>IF(OR(V276="No",X276="No",Z276="No"),"Outside strict definition",IF(AND(V276="Yes",X276="Yes",Z276="Yes"),"Meets all three","Potentially relevant; evidence incomplete"))</f>
        <v/>
      </c>
      <c r="AG276" s="77" t="inlineStr">
        <is>
          <t>Current delivery confirmed</t>
        </is>
      </c>
      <c r="AH276" s="77" t="inlineStr">
        <is>
          <t>2026/27</t>
        </is>
      </c>
      <c r="AI276" s="77" t="inlineStr">
        <is>
          <t>Yes</t>
        </is>
      </c>
      <c r="AJ276" s="77">
        <f>IF(AND(AI276="Yes",AF276="Meets all three",AG276="Current delivery confirmed"),"Yes","No")</f>
        <v/>
      </c>
      <c r="AK276" s="77" t="inlineStr">
        <is>
          <t>18 SMEs supported (2025 news, unit: client projects)</t>
        </is>
      </c>
      <c r="AL276" s="77" t="inlineStr">
        <is>
          <t>RG18-S08-R1; RG18-S08-R2; RG18-S08-R3</t>
        </is>
      </c>
      <c r="AM276" s="77" t="inlineStr">
        <is>
          <t>Credit and duration unclear; curricular vs extracurricular status mixed across pages; 'professional supervisor' may be an academic/professional adviser rather than the client.</t>
        </is>
      </c>
      <c r="AN276" s="77" t="inlineStr"/>
      <c r="AO276" s="77" t="inlineStr">
        <is>
          <t>UK</t>
        </is>
      </c>
      <c r="AP276" s="77" t="inlineStr">
        <is>
          <t>UK – Russell Group</t>
        </is>
      </c>
      <c r="AQ276" s="77" t="inlineStr">
        <is>
          <t>Unclear</t>
        </is>
      </c>
      <c r="AR276" s="77" t="inlineStr">
        <is>
          <t>All/standard</t>
        </is>
      </c>
      <c r="AS276" s="77" t="inlineStr"/>
    </row>
    <row r="277">
      <c r="A277" s="77" t="inlineStr">
        <is>
          <t>RG18</t>
        </is>
      </c>
      <c r="B277" s="77" t="inlineStr">
        <is>
          <t>Queen Mary University of London</t>
        </is>
      </c>
      <c r="C277" s="77" t="inlineStr">
        <is>
          <t>Faculty/school</t>
        </is>
      </c>
      <c r="D277" s="77" t="inlineStr">
        <is>
          <t>RG18-S09</t>
        </is>
      </c>
      <c r="E277" s="77" t="inlineStr"/>
      <c r="F277" s="77" t="inlineStr">
        <is>
          <t>No</t>
        </is>
      </c>
      <c r="G277" s="79" t="inlineStr">
        <is>
          <t>qNomics Community Projects</t>
        </is>
      </c>
      <c r="H277" s="77" t="inlineStr">
        <is>
          <t>qNomics Community Projects</t>
        </is>
      </c>
      <c r="I277" s="77" t="inlineStr"/>
      <c r="J277" s="77" t="inlineStr">
        <is>
          <t>Students are paired with community organisations on local challenges using research, survey design, data analysis and design thinking; open to undergraduate and postgraduate students (School of Economics and Finance).</t>
        </is>
      </c>
      <c r="K277" s="77" t="inlineStr">
        <is>
          <t>School of Economics and Finance (qNomics)</t>
        </is>
      </c>
      <c r="L277" s="77" t="inlineStr">
        <is>
          <t>Undergraduate and postgraduate students (qNomics)</t>
        </is>
      </c>
      <c r="M277" s="77" t="inlineStr">
        <is>
          <t>Arts/humanities/social sciences</t>
        </is>
      </c>
      <c r="N277" s="77" t="inlineStr">
        <is>
          <t>Mixed</t>
        </is>
      </c>
      <c r="O277" s="77" t="inlineStr"/>
      <c r="P277" s="77" t="inlineStr"/>
      <c r="Q277" s="77" t="inlineStr">
        <is>
          <t>Selective/competitive</t>
        </is>
      </c>
      <c r="R277" s="77" t="inlineStr">
        <is>
          <t>Unclear</t>
        </is>
      </c>
      <c r="S277" s="77" t="inlineStr">
        <is>
          <t>Not found</t>
        </is>
      </c>
      <c r="T277" s="77" t="inlineStr">
        <is>
          <t>Not found</t>
        </is>
      </c>
      <c r="U277" s="77" t="inlineStr">
        <is>
          <t>Team projects with community organisations</t>
        </is>
      </c>
      <c r="V277" s="77" t="inlineStr">
        <is>
          <t>Unclear</t>
        </is>
      </c>
      <c r="W277" s="77" t="inlineStr">
        <is>
          <t>Research/design-thinking work with community organisations; outputs described only as practical resources/recommendations (source 1).</t>
        </is>
      </c>
      <c r="X277" s="77" t="inlineStr">
        <is>
          <t>Yes</t>
        </is>
      </c>
      <c r="Y277" s="77" t="inlineStr">
        <is>
          <t>Both qNomics strands put students into teams (source 1 summary).</t>
        </is>
      </c>
      <c r="Z277" s="77" t="inlineStr">
        <is>
          <t>Yes</t>
        </is>
      </c>
      <c r="AA277" s="77" t="inlineStr">
        <is>
          <t>Community organisations pose the local challenge (source 1); detail of organisation role limited.</t>
        </is>
      </c>
      <c r="AB277" s="77" t="inlineStr">
        <is>
          <t>Charity/community</t>
        </is>
      </c>
      <c r="AC277" s="77" t="inlineStr">
        <is>
          <t>Pose local challenges</t>
        </is>
      </c>
      <c r="AD277" s="77" t="inlineStr"/>
      <c r="AE277" s="77" t="inlineStr">
        <is>
          <t>Not specified</t>
        </is>
      </c>
      <c r="AF277" s="77">
        <f>IF(OR(V277="No",X277="No",Z277="No"),"Outside strict definition",IF(AND(V277="Yes",X277="Yes",Z277="Yes"),"Meets all three","Potentially relevant; evidence incomplete"))</f>
        <v/>
      </c>
      <c r="AG277" s="77" t="inlineStr">
        <is>
          <t>Current status unclear</t>
        </is>
      </c>
      <c r="AH277" s="77" t="inlineStr">
        <is>
          <t>2026</t>
        </is>
      </c>
      <c r="AI277" s="77" t="inlineStr">
        <is>
          <t>Yes</t>
        </is>
      </c>
      <c r="AJ277" s="77">
        <f>IF(AND(AI277="Yes",AF277="Meets all three",AG277="Current delivery confirmed"),"Yes","No")</f>
        <v/>
      </c>
      <c r="AK277" s="77" t="inlineStr"/>
      <c r="AL277" s="77" t="inlineStr">
        <is>
          <t>RG18-S09-R1</t>
        </is>
      </c>
      <c r="AM277" s="77" t="inlineStr">
        <is>
          <t>Output, duration, partners and delivery year not found; A and coverage unclear.</t>
        </is>
      </c>
      <c r="AN277" s="77" t="inlineStr"/>
      <c r="AO277" s="77" t="inlineStr">
        <is>
          <t>UK</t>
        </is>
      </c>
      <c r="AP277" s="77" t="inlineStr">
        <is>
          <t>UK – Russell Group</t>
        </is>
      </c>
      <c r="AQ277" s="77" t="inlineStr">
        <is>
          <t>Unclear</t>
        </is>
      </c>
      <c r="AR277" s="77" t="inlineStr">
        <is>
          <t>Unclear</t>
        </is>
      </c>
      <c r="AS277" s="77" t="inlineStr"/>
    </row>
    <row r="278">
      <c r="A278" s="77" t="inlineStr">
        <is>
          <t>RG18</t>
        </is>
      </c>
      <c r="B278" s="77" t="inlineStr">
        <is>
          <t>Queen Mary University of London</t>
        </is>
      </c>
      <c r="C278" s="77" t="inlineStr">
        <is>
          <t>Faculty/school</t>
        </is>
      </c>
      <c r="D278" s="77" t="inlineStr">
        <is>
          <t>RG18-S10</t>
        </is>
      </c>
      <c r="E278" s="77" t="inlineStr"/>
      <c r="F278" s="77" t="inlineStr">
        <is>
          <t>No</t>
        </is>
      </c>
      <c r="G278" s="79" t="inlineStr">
        <is>
          <t>SBM Consult</t>
        </is>
      </c>
      <c r="H278" s="77" t="inlineStr">
        <is>
          <t>SBM Consult</t>
        </is>
      </c>
      <c r="I278" s="77" t="inlineStr"/>
      <c r="J278"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278" s="77" t="inlineStr">
        <is>
          <t>School of Business and Management</t>
        </is>
      </c>
      <c r="L278" s="77" t="inlineStr">
        <is>
          <t>All SBM students (UG and PG) and recent graduates</t>
        </is>
      </c>
      <c r="M278" s="77" t="inlineStr">
        <is>
          <t>Business/management</t>
        </is>
      </c>
      <c r="N278" s="77" t="inlineStr">
        <is>
          <t>Mixed</t>
        </is>
      </c>
      <c r="O278" s="77" t="inlineStr"/>
      <c r="P278" s="77" t="inlineStr">
        <is>
          <t>SBM only; one participation per student; assessment/selection</t>
        </is>
      </c>
      <c r="Q278" s="77" t="inlineStr">
        <is>
          <t>Selective/competitive</t>
        </is>
      </c>
      <c r="R278" s="77" t="inlineStr">
        <is>
          <t>Extracurricular</t>
        </is>
      </c>
      <c r="S278" s="77" t="inlineStr">
        <is>
          <t>Paid; no credit</t>
        </is>
      </c>
      <c r="T278" s="77" t="inlineStr">
        <is>
          <t>10 weeks (30 hours)</t>
        </is>
      </c>
      <c r="U278" s="77" t="inlineStr">
        <is>
          <t>Paid team consultancy</t>
        </is>
      </c>
      <c r="V278" s="77" t="inlineStr">
        <is>
          <t>Yes</t>
        </is>
      </c>
      <c r="W278" s="77" t="inlineStr">
        <is>
          <t>Defined consultancy challenges, e.g. interiors of the new SBM building, school carbon footprint, Year 1 transformation project (source 1).</t>
        </is>
      </c>
      <c r="X278" s="77" t="inlineStr">
        <is>
          <t>Yes</t>
        </is>
      </c>
      <c r="Y278" s="77" t="inlineStr">
        <is>
          <t>Teams of five (source 1).</t>
        </is>
      </c>
      <c r="Z278" s="77" t="inlineStr">
        <is>
          <t>No</t>
        </is>
      </c>
      <c r="AA278" s="77" t="inlineStr">
        <is>
          <t>All listed clients are internal university units (SBM, Estates &amp; Facilities, Students' Union); no external organisation evidenced (source 1).</t>
        </is>
      </c>
      <c r="AB278" s="77" t="inlineStr">
        <is>
          <t>Other</t>
        </is>
      </c>
      <c r="AC278" s="77" t="inlineStr">
        <is>
          <t>Internal university clients</t>
        </is>
      </c>
      <c r="AD278" s="77" t="inlineStr"/>
      <c r="AE278" s="77" t="inlineStr">
        <is>
          <t>Consultancy recommendations to internal client</t>
        </is>
      </c>
      <c r="AF278" s="77">
        <f>IF(OR(V278="No",X278="No",Z278="No"),"Outside strict definition",IF(AND(V278="Yes",X278="Yes",Z278="Yes"),"Meets all three","Potentially relevant; evidence incomplete"))</f>
        <v/>
      </c>
      <c r="AG278" s="77" t="inlineStr">
        <is>
          <t>Current status unclear</t>
        </is>
      </c>
      <c r="AH278" s="77" t="inlineStr">
        <is>
          <t>Undated</t>
        </is>
      </c>
      <c r="AI278" s="77" t="inlineStr">
        <is>
          <t>Yes</t>
        </is>
      </c>
      <c r="AJ278" s="77">
        <f>IF(AND(AI278="Yes",AF278="Meets all three",AG278="Current delivery confirmed"),"Yes","No")</f>
        <v/>
      </c>
      <c r="AK278" s="77" t="inlineStr"/>
      <c r="AL278" s="77" t="inlineStr">
        <is>
          <t>RG18-S10-R1</t>
        </is>
      </c>
      <c r="AM278" s="77" t="inlineStr">
        <is>
          <t>Page undated and its dates mix 2024 and 2026 weekday patterns; external clients not evidenced.</t>
        </is>
      </c>
      <c r="AN278" s="77" t="inlineStr">
        <is>
          <t>SBM Consult</t>
        </is>
      </c>
      <c r="AO278" s="77" t="inlineStr">
        <is>
          <t>UK</t>
        </is>
      </c>
      <c r="AP278" s="77" t="inlineStr">
        <is>
          <t>UK – Russell Group</t>
        </is>
      </c>
      <c r="AQ278" s="77" t="inlineStr">
        <is>
          <t>~1 term/semester</t>
        </is>
      </c>
      <c r="AR278" s="77" t="inlineStr">
        <is>
          <t>Unclear</t>
        </is>
      </c>
      <c r="AS278" s="77" t="inlineStr"/>
    </row>
    <row r="279">
      <c r="A279" s="77" t="inlineStr">
        <is>
          <t>RG18</t>
        </is>
      </c>
      <c r="B279" s="77" t="inlineStr">
        <is>
          <t>Queen Mary University of London</t>
        </is>
      </c>
      <c r="C279" s="77" t="inlineStr">
        <is>
          <t>Faculty/school</t>
        </is>
      </c>
      <c r="D279" s="77" t="inlineStr">
        <is>
          <t>RG18-S11</t>
        </is>
      </c>
      <c r="E279" s="77" t="inlineStr"/>
      <c r="F279" s="77" t="inlineStr">
        <is>
          <t>No</t>
        </is>
      </c>
      <c r="G279" s="79" t="inlineStr">
        <is>
          <t>SBM In Action: Digital Industry Project (with Practera)</t>
        </is>
      </c>
      <c r="H279" s="77" t="inlineStr">
        <is>
          <t>SBM/Queen Mary Business School In Action: Digital Industry Project</t>
        </is>
      </c>
      <c r="I279" s="77" t="inlineStr"/>
      <c r="J279"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279" s="77" t="inlineStr">
        <is>
          <t>School of Business and Management careers and employability</t>
        </is>
      </c>
      <c r="L279" s="77" t="inlineStr">
        <is>
          <t>SBM students (as listed on SBM careers pages)</t>
        </is>
      </c>
      <c r="M279" s="77" t="inlineStr">
        <is>
          <t>Business/management</t>
        </is>
      </c>
      <c r="N279" s="77" t="inlineStr">
        <is>
          <t>Mixed</t>
        </is>
      </c>
      <c r="O279" s="77" t="inlineStr"/>
      <c r="P279" s="77" t="inlineStr">
        <is>
          <t>Application; limited places</t>
        </is>
      </c>
      <c r="Q279" s="77" t="inlineStr">
        <is>
          <t>Selective/competitive</t>
        </is>
      </c>
      <c r="R279" s="77" t="inlineStr">
        <is>
          <t>Extracurricular</t>
        </is>
      </c>
      <c r="S279" s="77" t="inlineStr">
        <is>
          <t>None stated</t>
        </is>
      </c>
      <c r="T279" s="77" t="inlineStr">
        <is>
          <t>3 weeks, 50 hours</t>
        </is>
      </c>
      <c r="U279" s="77" t="inlineStr">
        <is>
          <t>Virtual, Practera platform</t>
        </is>
      </c>
      <c r="V279" s="77" t="inlineStr">
        <is>
          <t>Yes</t>
        </is>
      </c>
      <c r="W279" s="77" t="inlineStr">
        <is>
          <t>Research report and final presentation on a business challenge (source 1).</t>
        </is>
      </c>
      <c r="X279" s="77" t="inlineStr">
        <is>
          <t>Yes</t>
        </is>
      </c>
      <c r="Y279" s="77" t="inlineStr">
        <is>
          <t>Student consultancy team (source 1).</t>
        </is>
      </c>
      <c r="Z279" s="77" t="inlineStr">
        <is>
          <t>Unclear</t>
        </is>
      </c>
      <c r="AA279" s="77" t="inlineStr">
        <is>
          <t>Page says a real business challenge for a company with a client briefing and professional mentor, but companies are unnamed and the programme is platform-run; strict handling of Practera schemes applied pending evidence of company participation.</t>
        </is>
      </c>
      <c r="AB279" s="77" t="inlineStr">
        <is>
          <t>Business/commercial</t>
        </is>
      </c>
      <c r="AC279" s="77" t="inlineStr">
        <is>
          <t>Provides challenge/briefing (claimed)</t>
        </is>
      </c>
      <c r="AD279" s="77" t="inlineStr"/>
      <c r="AE279" s="77" t="inlineStr">
        <is>
          <t>Final presentation and research report</t>
        </is>
      </c>
      <c r="AF279" s="77">
        <f>IF(OR(V279="No",X279="No",Z279="No"),"Outside strict definition",IF(AND(V279="Yes",X279="Yes",Z279="Yes"),"Meets all three","Potentially relevant; evidence incomplete"))</f>
        <v/>
      </c>
      <c r="AG279" s="77" t="inlineStr">
        <is>
          <t>Current status unclear</t>
        </is>
      </c>
      <c r="AH279" s="77" t="inlineStr">
        <is>
          <t>2025</t>
        </is>
      </c>
      <c r="AI279" s="77" t="inlineStr">
        <is>
          <t>Yes</t>
        </is>
      </c>
      <c r="AJ279" s="77">
        <f>IF(AND(AI279="Yes",AF279="Meets all three",AG279="Current delivery confirmed"),"Yes","No")</f>
        <v/>
      </c>
      <c r="AK279" s="77" t="inlineStr"/>
      <c r="AL279" s="77" t="inlineStr">
        <is>
          <t>RG18-S11-R1</t>
        </is>
      </c>
      <c r="AM279" s="77" t="inlineStr">
        <is>
          <t>Dates (16 June-7 July, 9 May deadline) undated; a 2025 edition ran; 2026 delivery unconfirmed; no named companies.</t>
        </is>
      </c>
      <c r="AN279" s="77" t="inlineStr"/>
      <c r="AO279" s="77" t="inlineStr">
        <is>
          <t>UK</t>
        </is>
      </c>
      <c r="AP279" s="77" t="inlineStr">
        <is>
          <t>UK – Russell Group</t>
        </is>
      </c>
      <c r="AQ279" s="77" t="inlineStr">
        <is>
          <t>1–4 weeks</t>
        </is>
      </c>
      <c r="AR279" s="77" t="inlineStr">
        <is>
          <t>Unclear</t>
        </is>
      </c>
      <c r="AS279" s="77" t="inlineStr"/>
    </row>
    <row r="280">
      <c r="A280" s="77" t="inlineStr">
        <is>
          <t>RG18</t>
        </is>
      </c>
      <c r="B280" s="77" t="inlineStr">
        <is>
          <t>Queen Mary University of London</t>
        </is>
      </c>
      <c r="C280" s="77" t="inlineStr">
        <is>
          <t>Faculty/school</t>
        </is>
      </c>
      <c r="D280" s="77" t="inlineStr">
        <is>
          <t>RG18-S12</t>
        </is>
      </c>
      <c r="E280" s="77" t="inlineStr"/>
      <c r="F280" s="77" t="inlineStr">
        <is>
          <t>No</t>
        </is>
      </c>
      <c r="G280" s="79" t="inlineStr">
        <is>
          <t>MEng final-year group design project (School of Engineering and Materials Science)</t>
        </is>
      </c>
      <c r="H280" s="77" t="inlineStr">
        <is>
          <t>MEng group design project</t>
        </is>
      </c>
      <c r="I280" s="77" t="inlineStr"/>
      <c r="J280"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280" s="77" t="inlineStr">
        <is>
          <t>School of Engineering and Materials Science (also EEE programmes)</t>
        </is>
      </c>
      <c r="L280" s="77" t="inlineStr">
        <is>
          <t>MEng students in SEMS programmes</t>
        </is>
      </c>
      <c r="M280" s="77" t="inlineStr">
        <is>
          <t>Engineering/computing</t>
        </is>
      </c>
      <c r="N280" s="77" t="inlineStr">
        <is>
          <t>Undergraduate</t>
        </is>
      </c>
      <c r="O280" s="77" t="inlineStr">
        <is>
          <t>Year 4 (MEng)</t>
        </is>
      </c>
      <c r="P280" s="77" t="inlineStr">
        <is>
          <t>MEng</t>
        </is>
      </c>
      <c r="Q280" s="77" t="inlineStr">
        <is>
          <t>Compulsory within specified programmes</t>
        </is>
      </c>
      <c r="R280" s="77" t="inlineStr">
        <is>
          <t>Curricular</t>
        </is>
      </c>
      <c r="S280" s="77" t="inlineStr">
        <is>
          <t>50% of final year</t>
        </is>
      </c>
      <c r="T280" s="77" t="inlineStr">
        <is>
          <t>Year</t>
        </is>
      </c>
      <c r="U280" s="77" t="inlineStr">
        <is>
          <t>Group design project</t>
        </is>
      </c>
      <c r="V280" s="77" t="inlineStr">
        <is>
          <t>Yes</t>
        </is>
      </c>
      <c r="W280" s="77" t="inlineStr">
        <is>
          <t>Group design project (source 1).</t>
        </is>
      </c>
      <c r="X280" s="77" t="inlineStr">
        <is>
          <t>Yes</t>
        </is>
      </c>
      <c r="Y280" s="77" t="inlineStr">
        <is>
          <t>Described as group design project (source 1).</t>
        </is>
      </c>
      <c r="Z280" s="77" t="inlineStr">
        <is>
          <t>Unclear</t>
        </is>
      </c>
      <c r="AA280" s="77" t="inlineStr">
        <is>
          <t>'Frequently sponsored by industry' and 'may be scoped and sponsored' - sponsorship is not shown to be standard (sources 1, 2).</t>
        </is>
      </c>
      <c r="AB280" s="77" t="inlineStr">
        <is>
          <t>Business/commercial</t>
        </is>
      </c>
      <c r="AC280" s="77" t="inlineStr">
        <is>
          <t>Sponsor/scoping for some projects</t>
        </is>
      </c>
      <c r="AD280" s="77" t="inlineStr"/>
      <c r="AE280" s="77" t="inlineStr">
        <is>
          <t>Design project output</t>
        </is>
      </c>
      <c r="AF280" s="77">
        <f>IF(OR(V280="No",X280="No",Z280="No"),"Outside strict definition",IF(AND(V280="Yes",X280="Yes",Z280="Yes"),"Meets all three","Potentially relevant; evidence incomplete"))</f>
        <v/>
      </c>
      <c r="AG280" s="77" t="inlineStr">
        <is>
          <t>Current status unclear</t>
        </is>
      </c>
      <c r="AH280" s="77" t="inlineStr">
        <is>
          <t>2022</t>
        </is>
      </c>
      <c r="AI280" s="77" t="inlineStr">
        <is>
          <t>Yes</t>
        </is>
      </c>
      <c r="AJ280" s="77">
        <f>IF(AND(AI280="Yes",AF280="Meets all three",AG280="Current delivery confirmed"),"Yes","No")</f>
        <v/>
      </c>
      <c r="AK280" s="77" t="inlineStr"/>
      <c r="AL280" s="77" t="inlineStr">
        <is>
          <t>RG18-S12-R1; RG18-S12-R2; RG18-S12-R3</t>
        </is>
      </c>
      <c r="AM280" s="77" t="inlineStr">
        <is>
          <t>FAQ undated; 2022 award news only; sponsor lists and 2025/26 delivery not found; further departmental instances likely.</t>
        </is>
      </c>
      <c r="AN280" s="77" t="inlineStr"/>
      <c r="AO280" s="77" t="inlineStr">
        <is>
          <t>UK</t>
        </is>
      </c>
      <c r="AP280" s="77" t="inlineStr">
        <is>
          <t>UK – Russell Group</t>
        </is>
      </c>
      <c r="AQ280" s="77" t="inlineStr">
        <is>
          <t>&gt;1 term</t>
        </is>
      </c>
      <c r="AR280" s="77" t="inlineStr">
        <is>
          <t>Some projects</t>
        </is>
      </c>
      <c r="AS280" s="77" t="inlineStr"/>
    </row>
    <row r="281">
      <c r="A281" s="77" t="inlineStr">
        <is>
          <t>RG19</t>
        </is>
      </c>
      <c r="B281" s="77" t="inlineStr">
        <is>
          <t>Queen’s University Belfast</t>
        </is>
      </c>
      <c r="C281" s="77" t="inlineStr">
        <is>
          <t>University-wide</t>
        </is>
      </c>
      <c r="D281" s="77" t="inlineStr">
        <is>
          <t>RG19-S01</t>
        </is>
      </c>
      <c r="E281" s="77" t="inlineStr"/>
      <c r="F281" s="77" t="inlineStr">
        <is>
          <t>No</t>
        </is>
      </c>
      <c r="G281" s="79" t="inlineStr">
        <is>
          <t>Real-World Consultancy Programme (Careers)</t>
        </is>
      </c>
      <c r="H281" s="77" t="inlineStr">
        <is>
          <t>Real-World Consultancy Programme</t>
        </is>
      </c>
      <c r="I281" s="77" t="inlineStr"/>
      <c r="J281"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281" s="77" t="inlineStr">
        <is>
          <t>Careers, Employability and Skills (Student Guidance Centre)</t>
        </is>
      </c>
      <c r="L281" s="77" t="inlineStr">
        <is>
          <t>Any subject; degree-registered students or recent graduates</t>
        </is>
      </c>
      <c r="M281" s="77" t="inlineStr">
        <is>
          <t>Central provision</t>
        </is>
      </c>
      <c r="N281" s="77" t="inlineStr">
        <is>
          <t>Mixed</t>
        </is>
      </c>
      <c r="O281" s="77" t="inlineStr"/>
      <c r="P281" s="77" t="inlineStr">
        <is>
          <t>Open to Queen's students of all levels and subjects; free; limited to 40 places with waitlist; full attendance required.</t>
        </is>
      </c>
      <c r="Q281" s="77" t="inlineStr">
        <is>
          <t>Selective/competitive</t>
        </is>
      </c>
      <c r="R281" s="77" t="inlineStr">
        <is>
          <t>Extracurricular</t>
        </is>
      </c>
      <c r="S281" s="77" t="inlineStr">
        <is>
          <t>No credit; accredited activity for the Future-Ready Award (Combined Route)</t>
        </is>
      </c>
      <c r="T281" s="77" t="inlineStr">
        <is>
          <t>4 days (26-29 May 2026)</t>
        </is>
      </c>
      <c r="U281" s="77" t="inlineStr">
        <is>
          <t>In person, The Cube, One Elmwood, Belfast</t>
        </is>
      </c>
      <c r="V281" s="77" t="inlineStr">
        <is>
          <t>Yes</t>
        </is>
      </c>
      <c r="W281" s="77" t="inlineStr">
        <is>
          <t>Teams address a client's problem through Design Thinking within the four-day programme (sources 1-2). Final output format (presentation to client) is not explicit in the extracts seen.</t>
        </is>
      </c>
      <c r="X281" s="77" t="inlineStr">
        <is>
          <t>Yes</t>
        </is>
      </c>
      <c r="Y281" s="77" t="inlineStr">
        <is>
          <t>'Students work in a project team for an external client organisation with other students from different disciplines' (source 1).</t>
        </is>
      </c>
      <c r="Z281" s="77" t="inlineStr">
        <is>
          <t>Yes</t>
        </is>
      </c>
      <c r="AA281" s="77" t="inlineStr">
        <is>
          <t>External client organisations set the problem; named 2025 clients listed in a student account (source 3). Programme page describes work 'for an external client organisation' (source 1).</t>
        </is>
      </c>
      <c r="AB281" s="77" t="inlineStr">
        <is>
          <t>Mixed</t>
        </is>
      </c>
      <c r="AC281" s="77" t="inlineStr">
        <is>
          <t>Clients set the problem (business, professional services, an education charity/centre); exact feedback/assessment role not evidenced.</t>
        </is>
      </c>
      <c r="AD281" s="77" t="inlineStr">
        <is>
          <t>2025: Aflac Northern Ireland, BDO Northern Ireland, Gig Grafter Limited, KPMG Ireland, The Phoenix Education Centre, SureCert (source 3)</t>
        </is>
      </c>
      <c r="AE281" s="77" t="inlineStr">
        <is>
          <t>Solution to client problem (Design Thinking output; presentation not explicitly evidenced)</t>
        </is>
      </c>
      <c r="AF281" s="77">
        <f>IF(OR(V281="No",X281="No",Z281="No"),"Outside strict definition",IF(AND(V281="Yes",X281="Yes",Z281="Yes"),"Meets all three","Potentially relevant; evidence incomplete"))</f>
        <v/>
      </c>
      <c r="AG281" s="77" t="inlineStr">
        <is>
          <t>Current delivery confirmed</t>
        </is>
      </c>
      <c r="AH281" s="77" t="inlineStr">
        <is>
          <t>2026 (26-29 May 2026)</t>
        </is>
      </c>
      <c r="AI281" s="77" t="inlineStr">
        <is>
          <t>Yes</t>
        </is>
      </c>
      <c r="AJ281" s="77">
        <f>IF(AND(AI281="Yes",AF281="Meets all three",AG281="Current delivery confirmed"),"Yes","No")</f>
        <v/>
      </c>
      <c r="AK281" s="77" t="inlineStr">
        <is>
          <t>40 places (2026)</t>
        </is>
      </c>
      <c r="AL281" s="77" t="inlineStr">
        <is>
          <t>RG19-S01-R1; RG19-S01-R2; RG19-S01-R3; RG19-S01-R4</t>
        </is>
      </c>
      <c r="AM281" s="77" t="inlineStr">
        <is>
          <t>Exact deliverable/assessment by clients not seen; one-off short programme (4 days). Next (2027) cohort not announced in results seen.</t>
        </is>
      </c>
      <c r="AN281" s="77" t="inlineStr"/>
      <c r="AO281" s="77" t="inlineStr">
        <is>
          <t>UK</t>
        </is>
      </c>
      <c r="AP281" s="77" t="inlineStr">
        <is>
          <t>UK – Russell Group</t>
        </is>
      </c>
      <c r="AQ281" s="77" t="inlineStr">
        <is>
          <t>&lt;1 week</t>
        </is>
      </c>
      <c r="AR281" s="77" t="inlineStr">
        <is>
          <t>All/standard</t>
        </is>
      </c>
      <c r="AS281" s="77" t="inlineStr"/>
    </row>
    <row r="282">
      <c r="A282" s="77" t="inlineStr">
        <is>
          <t>RG19</t>
        </is>
      </c>
      <c r="B282" s="77" t="inlineStr">
        <is>
          <t>Queen’s University Belfast</t>
        </is>
      </c>
      <c r="C282" s="77" t="inlineStr">
        <is>
          <t>Faculty/school</t>
        </is>
      </c>
      <c r="D282" s="77" t="inlineStr">
        <is>
          <t>RG19-S02</t>
        </is>
      </c>
      <c r="E282" s="77" t="inlineStr"/>
      <c r="F282" s="77" t="inlineStr">
        <is>
          <t>No</t>
        </is>
      </c>
      <c r="G282" s="79" t="inlineStr">
        <is>
          <t>Queen's Business School Business Clinic</t>
        </is>
      </c>
      <c r="H282" s="77" t="inlineStr">
        <is>
          <t>Business Clinic (student consultancy)</t>
        </is>
      </c>
      <c r="I282" s="77" t="inlineStr"/>
      <c r="J282"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282" s="77" t="inlineStr">
        <is>
          <t>Queen's Business School (Business Hub)</t>
        </is>
      </c>
      <c r="L282" s="77" t="inlineStr">
        <is>
          <t>Queen's Business School students (MSc International Business named on current page; undergraduates in earlier cycles)</t>
        </is>
      </c>
      <c r="M282" s="77" t="inlineStr">
        <is>
          <t>Business/management</t>
        </is>
      </c>
      <c r="N282" s="77" t="inlineStr">
        <is>
          <t>Mixed</t>
        </is>
      </c>
      <c r="O282" s="77" t="inlineStr"/>
      <c r="P282" s="77" t="inlineStr">
        <is>
          <t>Student level differs between pages (undergraduate teams 2023/24; postgraduates 2025/2026).</t>
        </is>
      </c>
      <c r="Q282" s="77" t="inlineStr">
        <is>
          <t>Unclear</t>
        </is>
      </c>
      <c r="R282" s="77" t="inlineStr">
        <is>
          <t>Mixed</t>
        </is>
      </c>
      <c r="S282" s="77" t="inlineStr">
        <is>
          <t>Report and presentation 'form part of the students' graded coursework'; module/credit link not evidenced</t>
        </is>
      </c>
      <c r="T282" s="77" t="inlineStr">
        <is>
          <t>6-12 weeks, June-September 2026</t>
        </is>
      </c>
      <c r="U282" s="77" t="inlineStr">
        <is>
          <t>Virtual or in person; academic supervision plus organisation mentor</t>
        </is>
      </c>
      <c r="V282" s="77" t="inlineStr">
        <is>
          <t>Yes</t>
        </is>
      </c>
      <c r="W282" s="77" t="inlineStr">
        <is>
          <t>Defined business issue; students produce 'engaging, action-oriented reports' with recommendations and a presentation (sources 1,3).</t>
        </is>
      </c>
      <c r="X282" s="77" t="inlineStr">
        <is>
          <t>Unclear</t>
        </is>
      </c>
      <c r="Y282" s="77" t="inlineStr">
        <is>
          <t>Older pages: 'undergraduate student teams' (source 3); 2025 page: 'a dedicated team of postgraduate students' (source 2); a search summary of the current page also mentioned individual postgraduate students. Team vs individual for the current route not resolved.</t>
        </is>
      </c>
      <c r="Z282" s="77" t="inlineStr">
        <is>
          <t>Yes</t>
        </is>
      </c>
      <c r="AA282" s="77" t="inlineStr">
        <is>
          <t>Client organisation submits the proposal, provides a company mentor and works with a Professor of Practice during the project, and receives findings and recommendations (sources 1-3).</t>
        </is>
      </c>
      <c r="AB282" s="77" t="inlineStr">
        <is>
          <t>Mixed</t>
        </is>
      </c>
      <c r="AC282" s="77" t="inlineStr">
        <is>
          <t>Client sets issue, provides mentor, receives report/presentation. Eligible: industry, government, charities, not-for-profits.</t>
        </is>
      </c>
      <c r="AD282" s="77" t="inlineStr">
        <is>
          <t>Past clients cited on school pages: Danske Bank, KPMG, Innovation Factory, Bryson Charity Group, AllState NI, Denroy, TeamFeePay, GetSociable, Harmoni (undated/various years)</t>
        </is>
      </c>
      <c r="AE282" s="77" t="inlineStr">
        <is>
          <t>Report with recommendations plus presentation</t>
        </is>
      </c>
      <c r="AF282" s="77">
        <f>IF(OR(V282="No",X282="No",Z282="No"),"Outside strict definition",IF(AND(V282="Yes",X282="Yes",Z282="Yes"),"Meets all three","Potentially relevant; evidence incomplete"))</f>
        <v/>
      </c>
      <c r="AG282" s="77" t="inlineStr">
        <is>
          <t>Current delivery confirmed</t>
        </is>
      </c>
      <c r="AH282" s="77" t="inlineStr">
        <is>
          <t>2026 (June-September 2026 projects advertised)</t>
        </is>
      </c>
      <c r="AI282" s="77" t="inlineStr">
        <is>
          <t>Yes</t>
        </is>
      </c>
      <c r="AJ282" s="77">
        <f>IF(AND(AI282="Yes",AF282="Meets all three",AG282="Current delivery confirmed"),"Yes","No")</f>
        <v/>
      </c>
      <c r="AK282" s="77" t="inlineStr"/>
      <c r="AL282" s="77" t="inlineStr">
        <is>
          <t>RG19-S02-R1; RG19-S02-R2; RG19-S02-R3</t>
        </is>
      </c>
      <c r="AM282" s="77" t="inlineStr">
        <is>
          <t>Team vs individual working on the current postgraduate route; whether credit-bearing module (e.g. MSc IB capstone) or extra-curricular; no 2025/26 application call seen (last found: closing 30 Aug 2023).</t>
        </is>
      </c>
      <c r="AN282" s="77" t="inlineStr"/>
      <c r="AO282" s="77" t="inlineStr">
        <is>
          <t>UK</t>
        </is>
      </c>
      <c r="AP282" s="77" t="inlineStr">
        <is>
          <t>UK – Russell Group</t>
        </is>
      </c>
      <c r="AQ282" s="77" t="inlineStr">
        <is>
          <t>~1 term/semester</t>
        </is>
      </c>
      <c r="AR282" s="77" t="inlineStr">
        <is>
          <t>All/standard</t>
        </is>
      </c>
      <c r="AS282" s="77" t="inlineStr"/>
    </row>
    <row r="283">
      <c r="A283" s="77" t="inlineStr">
        <is>
          <t>RG19</t>
        </is>
      </c>
      <c r="B283" s="77" t="inlineStr">
        <is>
          <t>Queen’s University Belfast</t>
        </is>
      </c>
      <c r="C283" s="77" t="inlineStr">
        <is>
          <t>Programme/course</t>
        </is>
      </c>
      <c r="D283" s="77" t="inlineStr">
        <is>
          <t>RG19-S03</t>
        </is>
      </c>
      <c r="E283" s="77" t="inlineStr"/>
      <c r="F283" s="77" t="inlineStr">
        <is>
          <t>No</t>
        </is>
      </c>
      <c r="G283" s="79" t="inlineStr">
        <is>
          <t>MSc International Business: International Consultancy capstone pathway</t>
        </is>
      </c>
      <c r="H283" s="77" t="inlineStr">
        <is>
          <t>MSc International Business - International Consultancy capstone</t>
        </is>
      </c>
      <c r="I283" s="77" t="inlineStr"/>
      <c r="J283"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283" s="77" t="inlineStr">
        <is>
          <t>Queen's Business School</t>
        </is>
      </c>
      <c r="L283" s="77" t="inlineStr">
        <is>
          <t>MSc International Business</t>
        </is>
      </c>
      <c r="M283" s="77" t="inlineStr">
        <is>
          <t>Business/management</t>
        </is>
      </c>
      <c r="N283" s="77" t="inlineStr">
        <is>
          <t>Postgraduate taught</t>
        </is>
      </c>
      <c r="O283" s="77" t="inlineStr"/>
      <c r="P283" s="77" t="inlineStr"/>
      <c r="Q283" s="77" t="inlineStr">
        <is>
          <t>Optional/elective</t>
        </is>
      </c>
      <c r="R283" s="77" t="inlineStr">
        <is>
          <t>Curricular</t>
        </is>
      </c>
      <c r="S283" s="77" t="inlineStr">
        <is>
          <t>60-credit capstone (2024/25 programme specification); students must complete 90 CATS of taught modules first</t>
        </is>
      </c>
      <c r="T283" s="77" t="inlineStr">
        <is>
          <t>Semester 3</t>
        </is>
      </c>
      <c r="U283" s="77" t="inlineStr">
        <is>
          <t>Organisation mentor plus dedicated academic support</t>
        </is>
      </c>
      <c r="V283" s="77" t="inlineStr">
        <is>
          <t>Yes</t>
        </is>
      </c>
      <c r="W283" s="77" t="inlineStr">
        <is>
          <t>'Working alongside a real-world global organisation and mentor to address a specific problem' (source 1).</t>
        </is>
      </c>
      <c r="X283" s="77" t="inlineStr">
        <is>
          <t>Unclear</t>
        </is>
      </c>
      <c r="Y283" s="77" t="inlineStr">
        <is>
          <t>Specification refers to an 'individual capstone project'; team-based element only evidenced for an online simulation. Consultancy pathway team vs individual not resolved.</t>
        </is>
      </c>
      <c r="Z283" s="77" t="inlineStr">
        <is>
          <t>Yes</t>
        </is>
      </c>
      <c r="AA283" s="77" t="inlineStr">
        <is>
          <t>Real-world global organisation and company mentor (source 1); coverage across pathway options varies (optional pathway).</t>
        </is>
      </c>
      <c r="AB283" s="77" t="inlineStr">
        <is>
          <t>Business/commercial</t>
        </is>
      </c>
      <c r="AC283" s="77" t="inlineStr">
        <is>
          <t>Mentor and problem owner (organisation); extent of assessment role not evidenced.</t>
        </is>
      </c>
      <c r="AD283" s="77" t="inlineStr"/>
      <c r="AE283" s="77" t="inlineStr">
        <is>
          <t>Capstone consultancy report (not detailed)</t>
        </is>
      </c>
      <c r="AF283" s="77">
        <f>IF(OR(V283="No",X283="No",Z283="No"),"Outside strict definition",IF(AND(V283="Yes",X283="Yes",Z283="Yes"),"Meets all three","Potentially relevant; evidence incomplete"))</f>
        <v/>
      </c>
      <c r="AG283" s="77" t="inlineStr">
        <is>
          <t>Current status unclear</t>
        </is>
      </c>
      <c r="AH283" s="77" t="inlineStr">
        <is>
          <t>2024/25</t>
        </is>
      </c>
      <c r="AI283" s="77" t="inlineStr">
        <is>
          <t>No</t>
        </is>
      </c>
      <c r="AJ283" s="77">
        <f>IF(AND(AI283="Yes",AF283="Meets all three",AG283="Current delivery confirmed"),"Yes","No")</f>
        <v/>
      </c>
      <c r="AK283" s="77" t="inlineStr"/>
      <c r="AL283" s="77" t="inlineStr">
        <is>
          <t>RG19-S03-R1; RG19-S03-R2</t>
        </is>
      </c>
      <c r="AM283" s="77" t="inlineStr">
        <is>
          <t>Group vs individual; current-year delivery; relationship to Business Clinic (probable duplicate of S2 activity).</t>
        </is>
      </c>
      <c r="AN283" s="77" t="inlineStr"/>
      <c r="AO283" s="77" t="inlineStr">
        <is>
          <t>UK</t>
        </is>
      </c>
      <c r="AP283" s="77" t="inlineStr">
        <is>
          <t>UK – Russell Group</t>
        </is>
      </c>
      <c r="AQ283" s="77" t="inlineStr">
        <is>
          <t>~1 term/semester</t>
        </is>
      </c>
      <c r="AR283" s="77" t="inlineStr">
        <is>
          <t>Some projects</t>
        </is>
      </c>
      <c r="AS283" s="77" t="inlineStr">
        <is>
          <t>No (possible duplicate of RG19-S02)</t>
        </is>
      </c>
    </row>
    <row r="284">
      <c r="A284" s="77" t="inlineStr">
        <is>
          <t>RG19</t>
        </is>
      </c>
      <c r="B284" s="77" t="inlineStr">
        <is>
          <t>Queen’s University Belfast</t>
        </is>
      </c>
      <c r="C284" s="77" t="inlineStr">
        <is>
          <t>Programme/course</t>
        </is>
      </c>
      <c r="D284" s="77" t="inlineStr">
        <is>
          <t>RG19-S04</t>
        </is>
      </c>
      <c r="E284" s="77" t="inlineStr"/>
      <c r="F284" s="77" t="inlineStr">
        <is>
          <t>No</t>
        </is>
      </c>
      <c r="G284" s="79" t="inlineStr">
        <is>
          <t>CSC3032 Software Engineering Final Year Project (SE-FYP)</t>
        </is>
      </c>
      <c r="H284" s="77" t="inlineStr">
        <is>
          <t>Software Engineering Final Year Project</t>
        </is>
      </c>
      <c r="I284" s="77" t="inlineStr">
        <is>
          <t>CSC3032</t>
        </is>
      </c>
      <c r="J284"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284" s="77" t="inlineStr">
        <is>
          <t>School of EEECS</t>
        </is>
      </c>
      <c r="L284" s="77" t="inlineStr">
        <is>
          <t>BEng Software Engineering (incl. placement/year in industry route)</t>
        </is>
      </c>
      <c r="M284" s="77" t="inlineStr">
        <is>
          <t>Engineering/computing</t>
        </is>
      </c>
      <c r="N284" s="77" t="inlineStr">
        <is>
          <t>Undergraduate</t>
        </is>
      </c>
      <c r="O284" s="77" t="inlineStr">
        <is>
          <t>Final year</t>
        </is>
      </c>
      <c r="P284" s="77" t="inlineStr"/>
      <c r="Q284" s="77" t="inlineStr">
        <is>
          <t>Compulsory within specified programmes</t>
        </is>
      </c>
      <c r="R284" s="77" t="inlineStr">
        <is>
          <t>Curricular</t>
        </is>
      </c>
      <c r="S284" s="77" t="inlineStr">
        <is>
          <t>40 credits, 100% coursework (EEECS module descriptions 2024-25)</t>
        </is>
      </c>
      <c r="T284" s="77" t="inlineStr">
        <is>
          <t>~24-25 weeks (mid-September to mid-April)</t>
        </is>
      </c>
      <c r="U284" s="77" t="inlineStr">
        <is>
          <t>Team project with internal supervisor; example in booklet also shows external subject-expert supervisor</t>
        </is>
      </c>
      <c r="V284" s="77" t="inlineStr">
        <is>
          <t>Yes</t>
        </is>
      </c>
      <c r="W284" s="77" t="inlineStr">
        <is>
          <t>Bounded software build/extension per team from Project Booklet (sources 1,3).</t>
        </is>
      </c>
      <c r="X284" s="77" t="inlineStr">
        <is>
          <t>Yes</t>
        </is>
      </c>
      <c r="Y284" s="77" t="inlineStr">
        <is>
          <t>'Students form teams of four'; 'each team member is responsible for a key component of the system' (source 1).</t>
        </is>
      </c>
      <c r="Z284" s="77" t="inlineStr">
        <is>
          <t>Unclear</t>
        </is>
      </c>
      <c r="AA284"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284" s="77" t="inlineStr">
        <is>
          <t>Mixed</t>
        </is>
      </c>
      <c r="AC284" s="77" t="inlineStr">
        <is>
          <t>Proposes the problem via EoI; MoU with team; sometimes external expert supervisor. Internal (academic) proposals also exist.</t>
        </is>
      </c>
      <c r="AD284" s="77" t="inlineStr"/>
      <c r="AE284" s="77" t="inlineStr">
        <is>
          <t>Working software system</t>
        </is>
      </c>
      <c r="AF284" s="77">
        <f>IF(OR(V284="No",X284="No",Z284="No"),"Outside strict definition",IF(AND(V284="Yes",X284="Yes",Z284="Yes"),"Meets all three","Potentially relevant; evidence incomplete"))</f>
        <v/>
      </c>
      <c r="AG284" s="77" t="inlineStr">
        <is>
          <t>Current status unclear</t>
        </is>
      </c>
      <c r="AH284" s="77" t="inlineStr">
        <is>
          <t>2024/25 (module descriptions); booklet 2023-24</t>
        </is>
      </c>
      <c r="AI284" s="77" t="inlineStr">
        <is>
          <t>Yes</t>
        </is>
      </c>
      <c r="AJ284" s="77">
        <f>IF(AND(AI284="Yes",AF284="Meets all three",AG284="Current delivery confirmed"),"Yes","No")</f>
        <v/>
      </c>
      <c r="AK284" s="77" t="inlineStr"/>
      <c r="AL284" s="77" t="inlineStr">
        <is>
          <t>RG19-S04-R1; RG19-S04-R2; RG19-S04-R3; RG19-S04-R4</t>
        </is>
      </c>
      <c r="AM284" s="77" t="inlineStr">
        <is>
          <t>Share of projects with external clients per year; no dated 2025/26 allocation or booklet seen; blog page undated.</t>
        </is>
      </c>
      <c r="AN284" s="77" t="inlineStr"/>
      <c r="AO284" s="77" t="inlineStr">
        <is>
          <t>UK</t>
        </is>
      </c>
      <c r="AP284" s="77" t="inlineStr">
        <is>
          <t>UK – Russell Group</t>
        </is>
      </c>
      <c r="AQ284" s="77" t="inlineStr">
        <is>
          <t>&gt;1 term</t>
        </is>
      </c>
      <c r="AR284" s="77" t="inlineStr">
        <is>
          <t>Some projects</t>
        </is>
      </c>
      <c r="AS284" s="77" t="inlineStr"/>
    </row>
    <row r="285">
      <c r="A285" s="77" t="inlineStr">
        <is>
          <t>RG19</t>
        </is>
      </c>
      <c r="B285" s="77" t="inlineStr">
        <is>
          <t>Queen’s University Belfast</t>
        </is>
      </c>
      <c r="C285" s="77" t="inlineStr">
        <is>
          <t>Programme/course</t>
        </is>
      </c>
      <c r="D285" s="77" t="inlineStr">
        <is>
          <t>RG19-S05</t>
        </is>
      </c>
      <c r="E285" s="77" t="inlineStr"/>
      <c r="F285" s="77" t="inlineStr">
        <is>
          <t>No</t>
        </is>
      </c>
      <c r="G285" s="79" t="inlineStr">
        <is>
          <t>DSA8023 Analytics in Action (MSc Data Analytics)</t>
        </is>
      </c>
      <c r="H285" s="77" t="inlineStr">
        <is>
          <t>Analytics in Action</t>
        </is>
      </c>
      <c r="I285" s="77" t="inlineStr">
        <is>
          <t>DSA8023</t>
        </is>
      </c>
      <c r="J285"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285" s="77" t="inlineStr">
        <is>
          <t>School of Mathematics and Physics</t>
        </is>
      </c>
      <c r="L285" s="77" t="inlineStr">
        <is>
          <t>MSc Data Analytics</t>
        </is>
      </c>
      <c r="M285" s="77" t="inlineStr">
        <is>
          <t>Science</t>
        </is>
      </c>
      <c r="N285" s="77" t="inlineStr">
        <is>
          <t>Postgraduate taught</t>
        </is>
      </c>
      <c r="O285" s="77" t="inlineStr"/>
      <c r="P285" s="77" t="inlineStr"/>
      <c r="Q285" s="77" t="inlineStr">
        <is>
          <t>Compulsory within specified programmes</t>
        </is>
      </c>
      <c r="R285" s="77" t="inlineStr">
        <is>
          <t>Curricular</t>
        </is>
      </c>
      <c r="S285" s="77" t="inlineStr">
        <is>
          <t>Assessed by assignments/presentations; weighting differs between sources</t>
        </is>
      </c>
      <c r="T285" s="77" t="inlineStr">
        <is>
          <t>One module (timetabled teaching period)</t>
        </is>
      </c>
      <c r="U285" s="77" t="inlineStr">
        <is>
          <t>Group and individual presentations on business data</t>
        </is>
      </c>
      <c r="V285" s="77" t="inlineStr">
        <is>
          <t>Unclear</t>
        </is>
      </c>
      <c r="W285" s="77" t="inlineStr">
        <is>
          <t>Assignments analyse business-provided data and present recommendations, but project scale/brief definition not evidenced (sources 1-2).</t>
        </is>
      </c>
      <c r="X285" s="77" t="inlineStr">
        <is>
          <t>Yes</t>
        </is>
      </c>
      <c r="Y285" s="77" t="inlineStr">
        <is>
          <t>'3 assignments/presentations (2 group, 1 individual)' (source 1).</t>
        </is>
      </c>
      <c r="Z285" s="77" t="inlineStr">
        <is>
          <t>Yes</t>
        </is>
      </c>
      <c r="AA285" s="77" t="inlineStr">
        <is>
          <t>Data are 'provided by real-world businesses'; industry experts present real-world examples (source 1). Role in feedback/assessment not evidenced.</t>
        </is>
      </c>
      <c r="AB285" s="77" t="inlineStr">
        <is>
          <t>Business/commercial</t>
        </is>
      </c>
      <c r="AC285" s="77" t="inlineStr">
        <is>
          <t>Supplies real data; industry speakers.</t>
        </is>
      </c>
      <c r="AD285" s="77" t="inlineStr"/>
      <c r="AE285" s="77" t="inlineStr">
        <is>
          <t>Group presentations/reports of analytics findings</t>
        </is>
      </c>
      <c r="AF285" s="77">
        <f>IF(OR(V285="No",X285="No",Z285="No"),"Outside strict definition",IF(AND(V285="Yes",X285="Yes",Z285="Yes"),"Meets all three","Potentially relevant; evidence incomplete"))</f>
        <v/>
      </c>
      <c r="AG285" s="77" t="inlineStr">
        <is>
          <t>Current status unclear</t>
        </is>
      </c>
      <c r="AH285" s="77" t="inlineStr">
        <is>
          <t>2024/25</t>
        </is>
      </c>
      <c r="AI285" s="77" t="inlineStr">
        <is>
          <t>Yes</t>
        </is>
      </c>
      <c r="AJ285" s="77">
        <f>IF(AND(AI285="Yes",AF285="Meets all three",AG285="Current delivery confirmed"),"Yes","No")</f>
        <v/>
      </c>
      <c r="AK285" s="77" t="inlineStr"/>
      <c r="AL285" s="77" t="inlineStr">
        <is>
          <t>RG19-S05-R1; RG19-S05-R2</t>
        </is>
      </c>
      <c r="AM285" s="77" t="inlineStr">
        <is>
          <t>Whether assignments are substantive bounded projects; which businesses; current-year delivery (2024-25 timetable page only).</t>
        </is>
      </c>
      <c r="AN285" s="77" t="inlineStr"/>
      <c r="AO285" s="77" t="inlineStr">
        <is>
          <t>UK</t>
        </is>
      </c>
      <c r="AP285" s="77" t="inlineStr">
        <is>
          <t>UK – Russell Group</t>
        </is>
      </c>
      <c r="AQ285" s="77" t="inlineStr">
        <is>
          <t>~1 term/semester</t>
        </is>
      </c>
      <c r="AR285" s="77" t="inlineStr">
        <is>
          <t>All/standard</t>
        </is>
      </c>
      <c r="AS285" s="77" t="inlineStr"/>
    </row>
    <row r="286">
      <c r="A286" s="77" t="inlineStr">
        <is>
          <t>RG19</t>
        </is>
      </c>
      <c r="B286" s="77" t="inlineStr">
        <is>
          <t>Queen’s University Belfast</t>
        </is>
      </c>
      <c r="C286" s="77" t="inlineStr">
        <is>
          <t>Cross-faculty</t>
        </is>
      </c>
      <c r="D286" s="77" t="inlineStr">
        <is>
          <t>RG19-S06</t>
        </is>
      </c>
      <c r="E286" s="77" t="inlineStr"/>
      <c r="F286" s="77" t="inlineStr">
        <is>
          <t>No</t>
        </is>
      </c>
      <c r="G286" s="79" t="inlineStr">
        <is>
          <t>Queen's Science Shop (QUB/Ulster)</t>
        </is>
      </c>
      <c r="H286" s="77" t="inlineStr">
        <is>
          <t>Science Shop community-based student research projects</t>
        </is>
      </c>
      <c r="I286" s="77" t="inlineStr"/>
      <c r="J286"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286" s="77" t="inlineStr">
        <is>
          <t>Science Shop (joint QUB/Ulster University; HEIF-funded)</t>
        </is>
      </c>
      <c r="L286" s="77" t="inlineStr">
        <is>
          <t>Undergraduate and master's degrees across disciplines (e.g. planning, architecture, geography, environmental, social science MRes)</t>
        </is>
      </c>
      <c r="M286" s="77" t="inlineStr">
        <is>
          <t>Central provision; Science; Arts/humanities/social sciences; Other (law, health, design, architecture…)</t>
        </is>
      </c>
      <c r="N286" s="77" t="inlineStr">
        <is>
          <t>Mixed</t>
        </is>
      </c>
      <c r="O286" s="77" t="inlineStr"/>
      <c r="P286" s="77" t="inlineStr"/>
      <c r="Q286" s="77" t="inlineStr">
        <is>
          <t>Optional/elective</t>
        </is>
      </c>
      <c r="R286" s="77" t="inlineStr">
        <is>
          <t>Curricular</t>
        </is>
      </c>
      <c r="S286" s="77" t="inlineStr">
        <is>
          <t>Integrated into degree projects/dissertations (e.g. MRes 15,000-20,000 words); credit varies by programme</t>
        </is>
      </c>
      <c r="T286" s="77" t="inlineStr">
        <is>
          <t>Varies by project</t>
        </is>
      </c>
      <c r="U286" s="77" t="inlineStr">
        <is>
          <t>Academic supervisor approves each project; agreement drawn up with community group</t>
        </is>
      </c>
      <c r="V286" s="77" t="inlineStr">
        <is>
          <t>Yes</t>
        </is>
      </c>
      <c r="W286" s="77" t="inlineStr">
        <is>
          <t>Defined community research question with a report output (sources 1-2).</t>
        </is>
      </c>
      <c r="X286" s="77" t="inlineStr">
        <is>
          <t>Unclear</t>
        </is>
      </c>
      <c r="Y286" s="77" t="inlineStr">
        <is>
          <t>Mainly individual dissertation-type projects; group delivery possible but not separable in the extracts seen.</t>
        </is>
      </c>
      <c r="Z286" s="77" t="inlineStr">
        <is>
          <t>Yes</t>
        </is>
      </c>
      <c r="AA286" s="77" t="inlineStr">
        <is>
          <t>Community groups propose the project and receive the findings; agreement with student (sources 1-2).</t>
        </is>
      </c>
      <c r="AB286" s="77" t="inlineStr">
        <is>
          <t>Charity/community</t>
        </is>
      </c>
      <c r="AC286" s="77" t="inlineStr">
        <is>
          <t>Proposes project, receives research.</t>
        </is>
      </c>
      <c r="AD286" s="77" t="inlineStr">
        <is>
          <t>Ulster Cancer Foundation, National Trust, Bryson Recycling, Age NI, Women's Aid, Rural Community Network, Forever Mournes Partnership, Cancer Focus NI (undated/various)</t>
        </is>
      </c>
      <c r="AE286" s="77" t="inlineStr">
        <is>
          <t>Research report for community organisation</t>
        </is>
      </c>
      <c r="AF286" s="77">
        <f>IF(OR(V286="No",X286="No",Z286="No"),"Outside strict definition",IF(AND(V286="Yes",X286="Yes",Z286="Yes"),"Meets all three","Potentially relevant; evidence incomplete"))</f>
        <v/>
      </c>
      <c r="AG286" s="77" t="inlineStr">
        <is>
          <t>Current delivery confirmed</t>
        </is>
      </c>
      <c r="AH286" s="77" t="inlineStr">
        <is>
          <t>2025 (live project requests with 2025 codes; officer post advertised May 2025)</t>
        </is>
      </c>
      <c r="AI286" s="77" t="inlineStr">
        <is>
          <t>Yes</t>
        </is>
      </c>
      <c r="AJ286" s="77">
        <f>IF(AND(AI286="Yes",AF286="Meets all three",AG286="Current delivery confirmed"),"Yes","No")</f>
        <v/>
      </c>
      <c r="AK286" s="77" t="inlineStr">
        <is>
          <t>50-60 projects and 200+ students per year (undated)</t>
        </is>
      </c>
      <c r="AL286" s="77" t="inlineStr">
        <is>
          <t>RG19-S06-R1; RG19-S06-R2</t>
        </is>
      </c>
      <c r="AM286" s="77" t="inlineStr">
        <is>
          <t>No evidence which projects are team-based; reach is cross-faculty by example only; scale per year undated.</t>
        </is>
      </c>
      <c r="AN286" s="77" t="inlineStr"/>
      <c r="AO286" s="77" t="inlineStr">
        <is>
          <t>UK</t>
        </is>
      </c>
      <c r="AP286" s="77" t="inlineStr">
        <is>
          <t>UK – Russell Group</t>
        </is>
      </c>
      <c r="AQ286" s="77" t="inlineStr">
        <is>
          <t>Unclear</t>
        </is>
      </c>
      <c r="AR286" s="77" t="inlineStr">
        <is>
          <t>All/standard</t>
        </is>
      </c>
      <c r="AS286" s="77" t="inlineStr"/>
    </row>
    <row r="287">
      <c r="A287" s="77" t="inlineStr">
        <is>
          <t>RG19</t>
        </is>
      </c>
      <c r="B287" s="77" t="inlineStr">
        <is>
          <t>Queen’s University Belfast</t>
        </is>
      </c>
      <c r="C287" s="77" t="inlineStr">
        <is>
          <t>Programme/course</t>
        </is>
      </c>
      <c r="D287" s="77" t="inlineStr">
        <is>
          <t>RG19-S07</t>
        </is>
      </c>
      <c r="E287" s="77" t="inlineStr"/>
      <c r="F287" s="77" t="inlineStr">
        <is>
          <t>No</t>
        </is>
      </c>
      <c r="G287" s="79" t="inlineStr">
        <is>
          <t>EVP7038 Comparative Urban Design (MSc City Planning and Design)</t>
        </is>
      </c>
      <c r="H287" s="77" t="inlineStr">
        <is>
          <t>Comparative Urban Design - live regeneration project</t>
        </is>
      </c>
      <c r="I287" s="77" t="inlineStr">
        <is>
          <t>EVP7038</t>
        </is>
      </c>
      <c r="J287"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287" s="77" t="inlineStr">
        <is>
          <t>School of Natural and Built Environment</t>
        </is>
      </c>
      <c r="L287" s="77" t="inlineStr">
        <is>
          <t>MSc City Planning and Design (also PgCert, HLA variants)</t>
        </is>
      </c>
      <c r="M287" s="77" t="inlineStr">
        <is>
          <t>Other (law, health, design, architecture…)</t>
        </is>
      </c>
      <c r="N287" s="77" t="inlineStr">
        <is>
          <t>Postgraduate taught</t>
        </is>
      </c>
      <c r="O287" s="77" t="inlineStr"/>
      <c r="P287" s="77" t="inlineStr"/>
      <c r="Q287" s="77" t="inlineStr">
        <is>
          <t>Compulsory within specified programmes</t>
        </is>
      </c>
      <c r="R287" s="77" t="inlineStr">
        <is>
          <t>Curricular</t>
        </is>
      </c>
      <c r="S287" s="77" t="inlineStr">
        <is>
          <t>20 credits, 100% coursework</t>
        </is>
      </c>
      <c r="T287" s="77" t="inlineStr">
        <is>
          <t>12 weeks</t>
        </is>
      </c>
      <c r="U287" s="77" t="inlineStr">
        <is>
          <t>Seminars, studio, group and individual project work, field trip</t>
        </is>
      </c>
      <c r="V287" s="77" t="inlineStr">
        <is>
          <t>Yes</t>
        </is>
      </c>
      <c r="W287" s="77" t="inlineStr">
        <is>
          <t>Proposals for allocated study area from commissioned live project (source 1).</t>
        </is>
      </c>
      <c r="X287" s="77" t="inlineStr">
        <is>
          <t>Unclear</t>
        </is>
      </c>
      <c r="Y287" s="77" t="inlineStr">
        <is>
          <t>Programme specification lists 'group and individual project work' as teaching methods; module-level team structure for the live project not shown.</t>
        </is>
      </c>
      <c r="Z287" s="77" t="inlineStr">
        <is>
          <t>Unclear</t>
        </is>
      </c>
      <c r="AA287" s="77" t="inlineStr">
        <is>
          <t>Search extract says a 'professional client' sets parameters for the regeneration strategy, but client identity/role in assessment not shown; page appears partly duplicated across programmes.</t>
        </is>
      </c>
      <c r="AB287" s="77" t="inlineStr">
        <is>
          <t>Public sector</t>
        </is>
      </c>
      <c r="AC287" s="77" t="inlineStr">
        <is>
          <t>Commissioned live project client (identity unevidenced); local authority/community clients described at programme level.</t>
        </is>
      </c>
      <c r="AD287" s="77" t="inlineStr"/>
      <c r="AE287" s="77" t="inlineStr">
        <is>
          <t>Urban design and policy proposals</t>
        </is>
      </c>
      <c r="AF287" s="77">
        <f>IF(OR(V287="No",X287="No",Z287="No"),"Outside strict definition",IF(AND(V287="Yes",X287="Yes",Z287="Yes"),"Meets all three","Potentially relevant; evidence incomplete"))</f>
        <v/>
      </c>
      <c r="AG287" s="77" t="inlineStr">
        <is>
          <t>Current status unclear</t>
        </is>
      </c>
      <c r="AH287" s="77" t="inlineStr">
        <is>
          <t>2024/25</t>
        </is>
      </c>
      <c r="AI287" s="77" t="inlineStr">
        <is>
          <t>Yes</t>
        </is>
      </c>
      <c r="AJ287" s="77">
        <f>IF(AND(AI287="Yes",AF287="Meets all three",AG287="Current delivery confirmed"),"Yes","No")</f>
        <v/>
      </c>
      <c r="AK287" s="77" t="inlineStr"/>
      <c r="AL287" s="77" t="inlineStr">
        <is>
          <t>RG19-S07-R1; RG19-S07-R2</t>
        </is>
      </c>
      <c r="AM287" s="77" t="inlineStr">
        <is>
          <t>Group vs individual; client identity; current delivery; identical wording appears on other programme pages (possible copy-paste).</t>
        </is>
      </c>
      <c r="AN287" s="77" t="inlineStr"/>
      <c r="AO287" s="77" t="inlineStr">
        <is>
          <t>UK</t>
        </is>
      </c>
      <c r="AP287" s="77" t="inlineStr">
        <is>
          <t>UK – Russell Group</t>
        </is>
      </c>
      <c r="AQ287" s="77" t="inlineStr">
        <is>
          <t>~1 term/semester</t>
        </is>
      </c>
      <c r="AR287" s="77" t="inlineStr">
        <is>
          <t>Unclear</t>
        </is>
      </c>
      <c r="AS287" s="77" t="inlineStr"/>
    </row>
    <row r="288">
      <c r="A288" s="77" t="inlineStr">
        <is>
          <t>RG19</t>
        </is>
      </c>
      <c r="B288" s="77" t="inlineStr">
        <is>
          <t>Queen’s University Belfast</t>
        </is>
      </c>
      <c r="C288" s="77" t="inlineStr">
        <is>
          <t>University-wide</t>
        </is>
      </c>
      <c r="D288" s="77" t="inlineStr">
        <is>
          <t>RG19-S08</t>
        </is>
      </c>
      <c r="E288" s="77" t="inlineStr"/>
      <c r="F288" s="77" t="inlineStr">
        <is>
          <t>No</t>
        </is>
      </c>
      <c r="G288" s="79" t="inlineStr">
        <is>
          <t>Real-World Challenge: Climate Change (Careers)</t>
        </is>
      </c>
      <c r="H288" s="77" t="inlineStr">
        <is>
          <t>Real-World Challenge</t>
        </is>
      </c>
      <c r="I288" s="77" t="inlineStr"/>
      <c r="J288"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288" s="77" t="inlineStr">
        <is>
          <t>Careers, Employability and Skills</t>
        </is>
      </c>
      <c r="L288" s="77" t="inlineStr">
        <is>
          <t>Students from several Queen's schools</t>
        </is>
      </c>
      <c r="M288" s="77" t="inlineStr">
        <is>
          <t>Central provision</t>
        </is>
      </c>
      <c r="N288" s="77" t="inlineStr">
        <is>
          <t>Mixed</t>
        </is>
      </c>
      <c r="O288" s="77" t="inlineStr"/>
      <c r="P288" s="77" t="inlineStr"/>
      <c r="Q288" s="77" t="inlineStr">
        <is>
          <t>Selective/competitive</t>
        </is>
      </c>
      <c r="R288" s="77" t="inlineStr">
        <is>
          <t>Extracurricular</t>
        </is>
      </c>
      <c r="S288" s="77" t="inlineStr">
        <is>
          <t>Future-Ready Award accredited (Combined Route)</t>
        </is>
      </c>
      <c r="T288" s="77" t="inlineStr">
        <is>
          <t>1 day</t>
        </is>
      </c>
      <c r="U288" s="77" t="inlineStr">
        <is>
          <t>In person, PwC Merchant Square, Belfast</t>
        </is>
      </c>
      <c r="V288" s="77" t="inlineStr">
        <is>
          <t>Unclear</t>
        </is>
      </c>
      <c r="W288" s="77" t="inlineStr">
        <is>
          <t>Task described variously (sustainability ideas; 'Best &amp; Worst Newspaper Headlines of 2050'); defined organisation-set brief not evidenced (sources 1-2).</t>
        </is>
      </c>
      <c r="X288" s="77" t="inlineStr">
        <is>
          <t>Unclear</t>
        </is>
      </c>
      <c r="Y288" s="77" t="inlineStr">
        <is>
          <t>Students 'work with industry experts' and tackle the challenge with peers; team structure not explicit.</t>
        </is>
      </c>
      <c r="Z288" s="77" t="inlineStr">
        <is>
          <t>Yes</t>
        </is>
      </c>
      <c r="AA288" s="77" t="inlineStr">
        <is>
          <t>Leaders from public, private and not-for-profit organisations hear and respond to student ideas (source 1).</t>
        </is>
      </c>
      <c r="AB288" s="77" t="inlineStr">
        <is>
          <t>Mixed</t>
        </is>
      </c>
      <c r="AC288" s="77" t="inlineStr">
        <is>
          <t>Receive presentations; speakers; host.</t>
        </is>
      </c>
      <c r="AD288" s="77" t="inlineStr">
        <is>
          <t>2025: PwC (host), Climate Northern Ireland, Arup, Belfast City Council</t>
        </is>
      </c>
      <c r="AE288" s="77" t="inlineStr">
        <is>
          <t>Presentation of ideas</t>
        </is>
      </c>
      <c r="AF288" s="77">
        <f>IF(OR(V288="No",X288="No",Z288="No"),"Outside strict definition",IF(AND(V288="Yes",X288="Yes",Z288="Yes"),"Meets all three","Potentially relevant; evidence incomplete"))</f>
        <v/>
      </c>
      <c r="AG288" s="77" t="inlineStr">
        <is>
          <t>Current status unclear</t>
        </is>
      </c>
      <c r="AH288" s="77" t="inlineStr">
        <is>
          <t>2025 (20 Feb 2025)</t>
        </is>
      </c>
      <c r="AI288" s="77" t="inlineStr">
        <is>
          <t>Yes</t>
        </is>
      </c>
      <c r="AJ288" s="77">
        <f>IF(AND(AI288="Yes",AF288="Meets all three",AG288="Current delivery confirmed"),"Yes","No")</f>
        <v/>
      </c>
      <c r="AK288" s="77" t="inlineStr">
        <is>
          <t>~70 students (2025)</t>
        </is>
      </c>
      <c r="AL288" s="77" t="inlineStr">
        <is>
          <t>RG19-S08-R1; RG19-S08-R2</t>
        </is>
      </c>
      <c r="AM288" s="77" t="inlineStr">
        <is>
          <t>Whether organisations set the problem; team structure; 2026 edition not found.</t>
        </is>
      </c>
      <c r="AN288" s="77" t="inlineStr"/>
      <c r="AO288" s="77" t="inlineStr">
        <is>
          <t>UK</t>
        </is>
      </c>
      <c r="AP288" s="77" t="inlineStr">
        <is>
          <t>UK – Russell Group</t>
        </is>
      </c>
      <c r="AQ288" s="77" t="inlineStr">
        <is>
          <t>&lt;1 week</t>
        </is>
      </c>
      <c r="AR288" s="77" t="inlineStr">
        <is>
          <t>Unclear</t>
        </is>
      </c>
      <c r="AS288" s="77" t="inlineStr"/>
    </row>
    <row r="289">
      <c r="A289" s="77" t="inlineStr">
        <is>
          <t>RG19</t>
        </is>
      </c>
      <c r="B289" s="77" t="inlineStr">
        <is>
          <t>Queen’s University Belfast</t>
        </is>
      </c>
      <c r="C289" s="77" t="inlineStr">
        <is>
          <t>University-wide</t>
        </is>
      </c>
      <c r="D289" s="77" t="inlineStr">
        <is>
          <t>RG19-S09</t>
        </is>
      </c>
      <c r="E289" s="77" t="inlineStr"/>
      <c r="F289" s="77" t="inlineStr">
        <is>
          <t>No</t>
        </is>
      </c>
      <c r="G289" s="79" t="inlineStr">
        <is>
          <t>Future-Ready Skills for Leaders (Careers)</t>
        </is>
      </c>
      <c r="H289" s="77" t="inlineStr">
        <is>
          <t>Future-Ready Skills for Leaders</t>
        </is>
      </c>
      <c r="I289" s="77" t="inlineStr"/>
      <c r="J289" s="77" t="inlineStr">
        <is>
          <t>Three-day programme: teams work through business games and challenges on global problems, are mentored by an employer representative (2024) and pitch to employers/judges (2024 Innovation Fair).</t>
        </is>
      </c>
      <c r="K289" s="77" t="inlineStr">
        <is>
          <t>Careers, Employability and Skills</t>
        </is>
      </c>
      <c r="L289" s="77" t="inlineStr">
        <is>
          <t>Any discipline or level</t>
        </is>
      </c>
      <c r="M289" s="77" t="inlineStr">
        <is>
          <t>Central provision</t>
        </is>
      </c>
      <c r="N289" s="77" t="inlineStr">
        <is>
          <t>Mixed</t>
        </is>
      </c>
      <c r="O289" s="77" t="inlineStr"/>
      <c r="P289" s="77" t="inlineStr"/>
      <c r="Q289" s="77" t="inlineStr">
        <is>
          <t>Selective/competitive</t>
        </is>
      </c>
      <c r="R289" s="77" t="inlineStr">
        <is>
          <t>Extracurricular</t>
        </is>
      </c>
      <c r="S289" s="77" t="inlineStr">
        <is>
          <t>Future-Ready Award accredited</t>
        </is>
      </c>
      <c r="T289" s="77" t="inlineStr">
        <is>
          <t>3 days</t>
        </is>
      </c>
      <c r="U289" s="77" t="inlineStr">
        <is>
          <t>In person over Easter break</t>
        </is>
      </c>
      <c r="V289" s="77" t="inlineStr">
        <is>
          <t>Unclear</t>
        </is>
      </c>
      <c r="W289" s="77" t="inlineStr">
        <is>
          <t>Business games/challenges; product pitch in 2024; employer-set live brief not evidenced.</t>
        </is>
      </c>
      <c r="X289" s="77" t="inlineStr">
        <is>
          <t>Yes</t>
        </is>
      </c>
      <c r="Y289" s="77" t="inlineStr">
        <is>
          <t>'work in teams to tackle global challenges' (source 1).</t>
        </is>
      </c>
      <c r="Z289" s="77" t="inlineStr">
        <is>
          <t>Unclear</t>
        </is>
      </c>
      <c r="AA289" s="77" t="inlineStr">
        <is>
          <t>Employer representative mentors each team and employers receive pitches (2024), but organisations do not evidently supply a live brief; games likely simulated.</t>
        </is>
      </c>
      <c r="AB289" s="77" t="inlineStr">
        <is>
          <t>Business/commercial</t>
        </is>
      </c>
      <c r="AC289" s="77" t="inlineStr">
        <is>
          <t>Mentors, judges.</t>
        </is>
      </c>
      <c r="AD289" s="77" t="inlineStr"/>
      <c r="AE289" s="77" t="inlineStr">
        <is>
          <t>Team pitch/business plan</t>
        </is>
      </c>
      <c r="AF289" s="77">
        <f>IF(OR(V289="No",X289="No",Z289="No"),"Outside strict definition",IF(AND(V289="Yes",X289="Yes",Z289="Yes"),"Meets all three","Potentially relevant; evidence incomplete"))</f>
        <v/>
      </c>
      <c r="AG289" s="77" t="inlineStr">
        <is>
          <t>Current status unclear</t>
        </is>
      </c>
      <c r="AH289" s="77" t="inlineStr">
        <is>
          <t>2024</t>
        </is>
      </c>
      <c r="AI289" s="77" t="inlineStr">
        <is>
          <t>Yes</t>
        </is>
      </c>
      <c r="AJ289" s="77">
        <f>IF(AND(AI289="Yes",AF289="Meets all three",AG289="Current delivery confirmed"),"Yes","No")</f>
        <v/>
      </c>
      <c r="AK289" s="77" t="inlineStr">
        <is>
          <t>~50 students (2024)</t>
        </is>
      </c>
      <c r="AL289" s="77" t="inlineStr">
        <is>
          <t>RG19-S09-R1</t>
        </is>
      </c>
      <c r="AM289" s="77" t="inlineStr">
        <is>
          <t>Simulation vs live brief; no 2025/26 dates.</t>
        </is>
      </c>
      <c r="AN289" s="77" t="inlineStr"/>
      <c r="AO289" s="77" t="inlineStr">
        <is>
          <t>UK</t>
        </is>
      </c>
      <c r="AP289" s="77" t="inlineStr">
        <is>
          <t>UK – Russell Group</t>
        </is>
      </c>
      <c r="AQ289" s="77" t="inlineStr">
        <is>
          <t>&lt;1 week</t>
        </is>
      </c>
      <c r="AR289" s="77" t="inlineStr">
        <is>
          <t>Unclear</t>
        </is>
      </c>
      <c r="AS289" s="77" t="inlineStr"/>
    </row>
    <row r="290">
      <c r="A290" s="77" t="inlineStr">
        <is>
          <t>RG19</t>
        </is>
      </c>
      <c r="B290" s="77" t="inlineStr">
        <is>
          <t>Queen’s University Belfast</t>
        </is>
      </c>
      <c r="C290" s="77" t="inlineStr">
        <is>
          <t>Faculty/school</t>
        </is>
      </c>
      <c r="D290" s="77" t="inlineStr">
        <is>
          <t>RG19-S10</t>
        </is>
      </c>
      <c r="E290" s="77" t="inlineStr"/>
      <c r="F290" s="77" t="inlineStr">
        <is>
          <t>No</t>
        </is>
      </c>
      <c r="G290" s="79" t="inlineStr">
        <is>
          <t>Data for Good Hackathon (Queen's Business School)</t>
        </is>
      </c>
      <c r="H290" s="77" t="inlineStr">
        <is>
          <t>Data for Good Hackathon</t>
        </is>
      </c>
      <c r="I290" s="77" t="inlineStr"/>
      <c r="J290"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290" s="77" t="inlineStr">
        <is>
          <t>Queen's Business School (Dr Byron Graham)</t>
        </is>
      </c>
      <c r="L290" s="77" t="inlineStr">
        <is>
          <t>Business School postgraduate programmes</t>
        </is>
      </c>
      <c r="M290" s="77" t="inlineStr">
        <is>
          <t>Business/management</t>
        </is>
      </c>
      <c r="N290" s="77" t="inlineStr">
        <is>
          <t>Postgraduate taught</t>
        </is>
      </c>
      <c r="O290" s="77" t="inlineStr"/>
      <c r="P290" s="77" t="inlineStr"/>
      <c r="Q290" s="77" t="inlineStr">
        <is>
          <t>Optional/elective</t>
        </is>
      </c>
      <c r="R290" s="77" t="inlineStr">
        <is>
          <t>Extracurricular</t>
        </is>
      </c>
      <c r="S290" s="77" t="inlineStr">
        <is>
          <t>None evidenced</t>
        </is>
      </c>
      <c r="T290" s="77" t="inlineStr">
        <is>
          <t>2 days</t>
        </is>
      </c>
      <c r="U290" s="77" t="inlineStr">
        <is>
          <t>In person, training day beforehand</t>
        </is>
      </c>
      <c r="V290" s="77" t="inlineStr">
        <is>
          <t>Unclear</t>
        </is>
      </c>
      <c r="W290" s="77" t="inlineStr">
        <is>
          <t>Problem-focused data challenge; defined output for an organisation not evidenced.</t>
        </is>
      </c>
      <c r="X290" s="77" t="inlineStr">
        <is>
          <t>Yes</t>
        </is>
      </c>
      <c r="Y290" s="77" t="inlineStr">
        <is>
          <t>'Teams worked on NI health service problems' (source 1).</t>
        </is>
      </c>
      <c r="Z290" s="77" t="inlineStr">
        <is>
          <t>Unclear</t>
        </is>
      </c>
      <c r="AA290" s="77" t="inlineStr">
        <is>
          <t>Industry mentors only; no organisation evidenced as setting the brief or receiving outputs.</t>
        </is>
      </c>
      <c r="AB290" s="77" t="inlineStr">
        <is>
          <t>Business/commercial</t>
        </is>
      </c>
      <c r="AC290" s="77" t="inlineStr">
        <is>
          <t>Mentors.</t>
        </is>
      </c>
      <c r="AD290" s="77" t="inlineStr">
        <is>
          <t>Mentors 2024: EY, PwC, FinTrU, Kainos</t>
        </is>
      </c>
      <c r="AE290" s="77" t="inlineStr">
        <is>
          <t>Data-driven solution (format not evidenced)</t>
        </is>
      </c>
      <c r="AF290" s="77">
        <f>IF(OR(V290="No",X290="No",Z290="No"),"Outside strict definition",IF(AND(V290="Yes",X290="Yes",Z290="Yes"),"Meets all three","Potentially relevant; evidence incomplete"))</f>
        <v/>
      </c>
      <c r="AG290" s="77" t="inlineStr">
        <is>
          <t>Current status unclear</t>
        </is>
      </c>
      <c r="AH290" s="77" t="inlineStr">
        <is>
          <t>2026 listing / 2024 delivered</t>
        </is>
      </c>
      <c r="AI290" s="77" t="inlineStr">
        <is>
          <t>Yes</t>
        </is>
      </c>
      <c r="AJ290" s="77">
        <f>IF(AND(AI290="Yes",AF290="Meets all three",AG290="Current delivery confirmed"),"Yes","No")</f>
        <v/>
      </c>
      <c r="AK290" s="77" t="inlineStr"/>
      <c r="AL290" s="77" t="inlineStr">
        <is>
          <t>RG19-S10-R1; RG19-S10-R2</t>
        </is>
      </c>
      <c r="AM290" s="77" t="inlineStr">
        <is>
          <t>Who sets the problem and who receives outputs; whether 2026 edition ran.</t>
        </is>
      </c>
      <c r="AN290" s="77" t="inlineStr"/>
      <c r="AO290" s="77" t="inlineStr">
        <is>
          <t>UK</t>
        </is>
      </c>
      <c r="AP290" s="77" t="inlineStr">
        <is>
          <t>UK – Russell Group</t>
        </is>
      </c>
      <c r="AQ290" s="77" t="inlineStr">
        <is>
          <t>&lt;1 week</t>
        </is>
      </c>
      <c r="AR290" s="77" t="inlineStr">
        <is>
          <t>Unclear</t>
        </is>
      </c>
      <c r="AS290" s="77" t="inlineStr"/>
    </row>
    <row r="291">
      <c r="A291" s="77" t="inlineStr">
        <is>
          <t>RG19</t>
        </is>
      </c>
      <c r="B291" s="77" t="inlineStr">
        <is>
          <t>Queen’s University Belfast</t>
        </is>
      </c>
      <c r="C291" s="77" t="inlineStr">
        <is>
          <t>Faculty/school</t>
        </is>
      </c>
      <c r="D291" s="77" t="inlineStr">
        <is>
          <t>RG19-S11</t>
        </is>
      </c>
      <c r="E291" s="77" t="inlineStr"/>
      <c r="F291" s="77" t="inlineStr">
        <is>
          <t>No</t>
        </is>
      </c>
      <c r="G291" s="79" t="inlineStr">
        <is>
          <t>Sponsor a Student Project (School of Mechanical and Aerospace Engineering)</t>
        </is>
      </c>
      <c r="H291" s="77" t="inlineStr">
        <is>
          <t>Industry-sponsored final-year projects</t>
        </is>
      </c>
      <c r="I291" s="77" t="inlineStr"/>
      <c r="J291" s="77" t="inlineStr">
        <is>
          <t>Scheme linking final-year students with industrial sponsors: sponsor joins a fortnightly 30-minute supervision meeting, covers hardware costs, and receives the final report and artefacts.</t>
        </is>
      </c>
      <c r="K291" s="77" t="inlineStr">
        <is>
          <t>School of Mechanical and Aerospace Engineering</t>
        </is>
      </c>
      <c r="L291" s="77" t="inlineStr">
        <is>
          <t>Final-year mechanical/aerospace students</t>
        </is>
      </c>
      <c r="M291" s="77" t="inlineStr">
        <is>
          <t>Engineering/computing</t>
        </is>
      </c>
      <c r="N291" s="77" t="inlineStr">
        <is>
          <t>Undergraduate</t>
        </is>
      </c>
      <c r="O291" s="77" t="inlineStr">
        <is>
          <t>Final year</t>
        </is>
      </c>
      <c r="P291" s="77" t="inlineStr"/>
      <c r="Q291" s="77" t="inlineStr">
        <is>
          <t>Unclear</t>
        </is>
      </c>
      <c r="R291" s="77" t="inlineStr">
        <is>
          <t>Curricular</t>
        </is>
      </c>
      <c r="S291" s="77" t="inlineStr">
        <is>
          <t>Final-year project (credit not seen)</t>
        </is>
      </c>
      <c r="T291" s="77" t="inlineStr">
        <is>
          <t>Academic year</t>
        </is>
      </c>
      <c r="U291" s="77" t="inlineStr">
        <is>
          <t>Supervision meeting with academic and student</t>
        </is>
      </c>
      <c r="V291" s="77" t="inlineStr">
        <is>
          <t>Yes</t>
        </is>
      </c>
      <c r="W291" s="77" t="inlineStr">
        <is>
          <t>Sponsored final-year project with final report and artefacts (source 1).</t>
        </is>
      </c>
      <c r="X291" s="77" t="inlineStr">
        <is>
          <t>Unclear</t>
        </is>
      </c>
      <c r="Y291" s="77" t="inlineStr">
        <is>
          <t>Page refers to 'the academic supervisor and student'; appears individual but not stated.</t>
        </is>
      </c>
      <c r="Z291" s="77" t="inlineStr">
        <is>
          <t>Yes</t>
        </is>
      </c>
      <c r="AA291" s="77" t="inlineStr">
        <is>
          <t>Sponsor attends supervision meetings, funds hardware, receives report (source 1).</t>
        </is>
      </c>
      <c r="AB291" s="77" t="inlineStr">
        <is>
          <t>Business/commercial</t>
        </is>
      </c>
      <c r="AC291" s="77" t="inlineStr">
        <is>
          <t>Sponsor/supervision participant; receives deliverables.</t>
        </is>
      </c>
      <c r="AD291" s="77" t="inlineStr"/>
      <c r="AE291" s="77" t="inlineStr">
        <is>
          <t>Final report and artefacts</t>
        </is>
      </c>
      <c r="AF291" s="77">
        <f>IF(OR(V291="No",X291="No",Z291="No"),"Outside strict definition",IF(AND(V291="Yes",X291="Yes",Z291="Yes"),"Meets all three","Potentially relevant; evidence incomplete"))</f>
        <v/>
      </c>
      <c r="AG291" s="77" t="inlineStr">
        <is>
          <t>Current status unclear</t>
        </is>
      </c>
      <c r="AH291" s="77" t="inlineStr">
        <is>
          <t>undated (page indexed ~3 years old)</t>
        </is>
      </c>
      <c r="AI291" s="77" t="inlineStr">
        <is>
          <t>Yes</t>
        </is>
      </c>
      <c r="AJ291" s="77">
        <f>IF(AND(AI291="Yes",AF291="Meets all three",AG291="Current delivery confirmed"),"Yes","No")</f>
        <v/>
      </c>
      <c r="AK291" s="77" t="inlineStr"/>
      <c r="AL291" s="77" t="inlineStr">
        <is>
          <t>RG19-S11-R1</t>
        </is>
      </c>
      <c r="AM291" s="77" t="inlineStr">
        <is>
          <t>Group vs individual; currency; number of sponsored projects.</t>
        </is>
      </c>
      <c r="AN291" s="77" t="inlineStr"/>
      <c r="AO291" s="77" t="inlineStr">
        <is>
          <t>UK</t>
        </is>
      </c>
      <c r="AP291" s="77" t="inlineStr">
        <is>
          <t>UK – Russell Group</t>
        </is>
      </c>
      <c r="AQ291" s="77" t="inlineStr">
        <is>
          <t>&gt;1 term</t>
        </is>
      </c>
      <c r="AR291" s="77" t="inlineStr">
        <is>
          <t>Some projects</t>
        </is>
      </c>
      <c r="AS291" s="77" t="inlineStr"/>
    </row>
    <row r="292">
      <c r="A292" s="77" t="inlineStr">
        <is>
          <t>RG20</t>
        </is>
      </c>
      <c r="B292" s="77" t="inlineStr">
        <is>
          <t>Sheffield</t>
        </is>
      </c>
      <c r="C292" s="77" t="inlineStr">
        <is>
          <t>Faculty/school</t>
        </is>
      </c>
      <c r="D292" s="77" t="inlineStr">
        <is>
          <t>RG20-S01</t>
        </is>
      </c>
      <c r="E292" s="77" t="inlineStr"/>
      <c r="F292" s="77" t="inlineStr">
        <is>
          <t>No</t>
        </is>
      </c>
      <c r="G292" s="79" t="inlineStr">
        <is>
          <t>Global Engineering Challenge (GEC)</t>
        </is>
      </c>
      <c r="H292" s="77" t="inlineStr">
        <is>
          <t>Global Engineering Challenge (GEC)</t>
        </is>
      </c>
      <c r="I292" s="77" t="inlineStr"/>
      <c r="J292"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292" s="77" t="inlineStr">
        <is>
          <t>Faculty of Engineering (Diamond / project weeks team)</t>
        </is>
      </c>
      <c r="L292" s="77" t="inlineStr">
        <is>
          <t>First-year students on Faculty of Engineering programmes (Computer Science and Civil Engineering pages also describe GEC)</t>
        </is>
      </c>
      <c r="M292" s="77" t="inlineStr">
        <is>
          <t>Engineering/computing</t>
        </is>
      </c>
      <c r="N292" s="77" t="inlineStr">
        <is>
          <t>Undergraduate</t>
        </is>
      </c>
      <c r="O292" s="77" t="inlineStr">
        <is>
          <t>Year 1</t>
        </is>
      </c>
      <c r="P292" s="77" t="inlineStr">
        <is>
          <t>First-year Engineering undergraduates</t>
        </is>
      </c>
      <c r="Q292" s="77" t="inlineStr">
        <is>
          <t>Compulsory within specified programmes</t>
        </is>
      </c>
      <c r="R292" s="77" t="inlineStr">
        <is>
          <t>Curricular</t>
        </is>
      </c>
      <c r="S292" s="77" t="inlineStr">
        <is>
          <t>Embedded in first-year engineering curriculum; credit weighting not retrieved</t>
        </is>
      </c>
      <c r="T292" s="77" t="inlineStr">
        <is>
          <t>One project week (2026: within 26 Jan - 6 Feb 2026 project-weeks period)</t>
        </is>
      </c>
      <c r="U292" s="77" t="inlineStr">
        <is>
          <t>In person, Hubs rooms with PhD facilitator and staff member per hub</t>
        </is>
      </c>
      <c r="V292" s="77" t="inlineStr">
        <is>
          <t>Yes</t>
        </is>
      </c>
      <c r="W292" s="77" t="inlineStr">
        <is>
          <t>Defined challenge per team; teams compile a report and present their solution on the final Friday [1].</t>
        </is>
      </c>
      <c r="X292" s="77" t="inlineStr">
        <is>
          <t>Yes</t>
        </is>
      </c>
      <c r="Y292" s="77" t="inlineStr">
        <is>
          <t>1,547 first-year students in 258 deliberately mixed-discipline teams in 2026 [1].</t>
        </is>
      </c>
      <c r="Z292" s="77" t="inlineStr">
        <is>
          <t>Yes</t>
        </is>
      </c>
      <c r="AA292"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292" s="77" t="inlineStr">
        <is>
          <t>Mixed</t>
        </is>
      </c>
      <c r="AC292" s="77" t="inlineStr">
        <is>
          <t>Sheffield City Council: co-develops project themes (priority neighbourhoods). Industry mentors (engineering companies): feedback on student projects and presentations on mentor day.</t>
        </is>
      </c>
      <c r="AD292" s="77" t="inlineStr">
        <is>
          <t>Sheffield City Council (GEC26, 2026)</t>
        </is>
      </c>
      <c r="AE292" s="77" t="inlineStr">
        <is>
          <t>Team report and final presentation of solution</t>
        </is>
      </c>
      <c r="AF292" s="77">
        <f>IF(OR(V292="No",X292="No",Z292="No"),"Outside strict definition",IF(AND(V292="Yes",X292="Yes",Z292="Yes"),"Meets all three","Potentially relevant; evidence incomplete"))</f>
        <v/>
      </c>
      <c r="AG292" s="77" t="inlineStr">
        <is>
          <t>Current delivery confirmed</t>
        </is>
      </c>
      <c r="AH292" s="77" t="inlineStr">
        <is>
          <t>2026</t>
        </is>
      </c>
      <c r="AI292" s="77" t="inlineStr">
        <is>
          <t>Yes</t>
        </is>
      </c>
      <c r="AJ292" s="77">
        <f>IF(AND(AI292="Yes",AF292="Meets all three",AG292="Current delivery confirmed"),"Yes","No")</f>
        <v/>
      </c>
      <c r="AK292" s="77" t="inlineStr">
        <is>
          <t>1,547 first-year students in 258 teams (2026); project weeks overall supported by 120 industry mentors (2026)</t>
        </is>
      </c>
      <c r="AL292" s="77" t="inlineStr">
        <is>
          <t>RG20-S01-R1; RG20-S01-R2; RG20-S01-R3</t>
        </is>
      </c>
      <c r="AM292" s="77" t="inlineStr">
        <is>
          <t>Annual partner varies (2026 = Sheffield City Council); whether the Council receives outputs or judges; one-week duration is short. Evidence via search-summary paraphrase only.</t>
        </is>
      </c>
      <c r="AN292" s="77" t="inlineStr">
        <is>
          <t>Global Engineering Challenge / Engineering: You’re Hired!</t>
        </is>
      </c>
      <c r="AO292" s="77" t="inlineStr">
        <is>
          <t>UK</t>
        </is>
      </c>
      <c r="AP292" s="77" t="inlineStr">
        <is>
          <t>UK – Russell Group</t>
        </is>
      </c>
      <c r="AQ292" s="77" t="inlineStr">
        <is>
          <t>1–4 weeks</t>
        </is>
      </c>
      <c r="AR292" s="77" t="inlineStr">
        <is>
          <t>All/standard</t>
        </is>
      </c>
      <c r="AS292" s="77" t="inlineStr"/>
    </row>
    <row r="293">
      <c r="A293" s="77" t="inlineStr">
        <is>
          <t>RG20</t>
        </is>
      </c>
      <c r="B293" s="77" t="inlineStr">
        <is>
          <t>Sheffield</t>
        </is>
      </c>
      <c r="C293" s="77" t="inlineStr">
        <is>
          <t>Faculty/school</t>
        </is>
      </c>
      <c r="D293" s="77" t="inlineStr">
        <is>
          <t>RG20-S02</t>
        </is>
      </c>
      <c r="E293" s="77" t="inlineStr"/>
      <c r="F293" s="77" t="inlineStr">
        <is>
          <t>No</t>
        </is>
      </c>
      <c r="G293" s="79" t="inlineStr">
        <is>
          <t>Engineering: You're Hired! (EYH)</t>
        </is>
      </c>
      <c r="H293" s="77" t="inlineStr">
        <is>
          <t>Engineering: You're Hired! (EYH)</t>
        </is>
      </c>
      <c r="I293" s="77" t="inlineStr"/>
      <c r="J293"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293" s="77" t="inlineStr">
        <is>
          <t>Faculty of Engineering</t>
        </is>
      </c>
      <c r="L293" s="77" t="inlineStr">
        <is>
          <t>Second-year students on Faculty of Engineering programmes</t>
        </is>
      </c>
      <c r="M293" s="77" t="inlineStr">
        <is>
          <t>Engineering/computing</t>
        </is>
      </c>
      <c r="N293" s="77" t="inlineStr">
        <is>
          <t>Undergraduate</t>
        </is>
      </c>
      <c r="O293" s="77" t="inlineStr">
        <is>
          <t>Year 2</t>
        </is>
      </c>
      <c r="P293" s="77" t="inlineStr">
        <is>
          <t>Second-year Engineering undergraduates</t>
        </is>
      </c>
      <c r="Q293" s="77" t="inlineStr">
        <is>
          <t>Compulsory within specified programmes</t>
        </is>
      </c>
      <c r="R293" s="77" t="inlineStr">
        <is>
          <t>Curricular</t>
        </is>
      </c>
      <c r="S293" s="77" t="inlineStr">
        <is>
          <t>Pass/fail</t>
        </is>
      </c>
      <c r="T293" s="77" t="inlineStr">
        <is>
          <t>One week (early February 2026)</t>
        </is>
      </c>
      <c r="U293" s="77" t="inlineStr">
        <is>
          <t>In person, Hubs rooms</t>
        </is>
      </c>
      <c r="V293" s="77" t="inlineStr">
        <is>
          <t>Yes</t>
        </is>
      </c>
      <c r="W293" s="77" t="inlineStr">
        <is>
          <t>Industry-based brief; teams develop solution and proposal to proof-of-concept stage and pitch it [1][2].</t>
        </is>
      </c>
      <c r="X293" s="77" t="inlineStr">
        <is>
          <t>Yes</t>
        </is>
      </c>
      <c r="Y293" s="77" t="inlineStr">
        <is>
          <t>Interdisciplinary teams of about six; 1,448 students in 256 teams in 2026 [1][2].</t>
        </is>
      </c>
      <c r="Z293" s="77" t="inlineStr">
        <is>
          <t>Yes</t>
        </is>
      </c>
      <c r="AA293" s="77" t="inlineStr">
        <is>
          <t>Projects described as based on problems provided by industrial partners (another passage says 'industry-inspired briefs') [2]; industry mentors provide feedback and senior mentors form the pitch panel that judges projects [3][4].</t>
        </is>
      </c>
      <c r="AB293" s="77" t="inlineStr">
        <is>
          <t>Business/commercial</t>
        </is>
      </c>
      <c r="AC293" s="77" t="inlineStr">
        <is>
          <t>Industrial partners provide problems; industry mentors give feedback; senior mentors judge pitches (hypothetical funding).</t>
        </is>
      </c>
      <c r="AD293" s="77" t="inlineStr"/>
      <c r="AE293" s="77" t="inlineStr">
        <is>
          <t>Proof-of-concept solution, project proposal and pitch presentation</t>
        </is>
      </c>
      <c r="AF293" s="77">
        <f>IF(OR(V293="No",X293="No",Z293="No"),"Outside strict definition",IF(AND(V293="Yes",X293="Yes",Z293="Yes"),"Meets all three","Potentially relevant; evidence incomplete"))</f>
        <v/>
      </c>
      <c r="AG293" s="77" t="inlineStr">
        <is>
          <t>Current delivery confirmed</t>
        </is>
      </c>
      <c r="AH293" s="77" t="inlineStr">
        <is>
          <t>2026</t>
        </is>
      </c>
      <c r="AI293" s="77" t="inlineStr">
        <is>
          <t>Yes</t>
        </is>
      </c>
      <c r="AJ293" s="77">
        <f>IF(AND(AI293="Yes",AF293="Meets all three",AG293="Current delivery confirmed"),"Yes","No")</f>
        <v/>
      </c>
      <c r="AK293" s="77" t="inlineStr">
        <is>
          <t>1,448 second-year students in 256 teams (2026); 120 industry mentors across 2026 project weeks</t>
        </is>
      </c>
      <c r="AL293" s="77" t="inlineStr">
        <is>
          <t>RG20-S02-R1; RG20-S02-R2; RG20-S02-R3; RG20-S02-R4</t>
        </is>
      </c>
      <c r="AM293" s="77" t="inlineStr">
        <is>
          <t>Wording varies between 'problems provided by industrial partners' and 'industry-inspired briefs'; individual company names per brief not retrieved. One-week format.</t>
        </is>
      </c>
      <c r="AN293" s="77" t="inlineStr">
        <is>
          <t>Global Engineering Challenge / Engineering: You’re Hired!</t>
        </is>
      </c>
      <c r="AO293" s="77" t="inlineStr">
        <is>
          <t>UK</t>
        </is>
      </c>
      <c r="AP293" s="77" t="inlineStr">
        <is>
          <t>UK – Russell Group</t>
        </is>
      </c>
      <c r="AQ293" s="77" t="inlineStr">
        <is>
          <t>1–4 weeks</t>
        </is>
      </c>
      <c r="AR293" s="77" t="inlineStr">
        <is>
          <t>All/standard</t>
        </is>
      </c>
      <c r="AS293" s="77" t="inlineStr"/>
    </row>
    <row r="294">
      <c r="A294" s="77" t="inlineStr">
        <is>
          <t>RG20</t>
        </is>
      </c>
      <c r="B294" s="77" t="inlineStr">
        <is>
          <t>Sheffield</t>
        </is>
      </c>
      <c r="C294" s="77" t="inlineStr">
        <is>
          <t>Cross-faculty</t>
        </is>
      </c>
      <c r="D294" s="77" t="inlineStr">
        <is>
          <t>RG20-S03</t>
        </is>
      </c>
      <c r="E294" s="77" t="inlineStr"/>
      <c r="F294" s="77" t="inlineStr">
        <is>
          <t>No</t>
        </is>
      </c>
      <c r="G294" s="79" t="inlineStr">
        <is>
          <t>Spring Internship Experience</t>
        </is>
      </c>
      <c r="H294" s="77" t="inlineStr">
        <is>
          <t>Spring Internship Experience</t>
        </is>
      </c>
      <c r="I294" s="77" t="inlineStr"/>
      <c r="J294"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294" s="77" t="inlineStr">
        <is>
          <t>Careers &amp; Employability Service</t>
        </is>
      </c>
      <c r="L294" s="77" t="inlineStr">
        <is>
          <t>Faculty of Arts &amp; Humanities and Faculty of Social Sciences students</t>
        </is>
      </c>
      <c r="M294" s="77" t="inlineStr">
        <is>
          <t>Central provision; Arts/humanities/social sciences</t>
        </is>
      </c>
      <c r="N294" s="77" t="inlineStr">
        <is>
          <t>Unclear</t>
        </is>
      </c>
      <c r="O294" s="77" t="inlineStr">
        <is>
          <t>Mixed year groups</t>
        </is>
      </c>
      <c r="P294" s="77" t="inlineStr">
        <is>
          <t>Arts &amp; Humanities and Social Sciences students; open, non-competitive access for applicants</t>
        </is>
      </c>
      <c r="Q294" s="77" t="inlineStr">
        <is>
          <t>Optional/elective</t>
        </is>
      </c>
      <c r="R294" s="77" t="inlineStr">
        <is>
          <t>Extracurricular</t>
        </is>
      </c>
      <c r="S294" s="77" t="inlineStr">
        <is>
          <t>Not credit-bearing (not evidenced)</t>
        </is>
      </c>
      <c r="T294" s="77" t="inlineStr">
        <is>
          <t>One week (2026 spring break)</t>
        </is>
      </c>
      <c r="U294" s="77" t="inlineStr">
        <is>
          <t>Team projects with professional development workshops</t>
        </is>
      </c>
      <c r="V294" s="77" t="inlineStr">
        <is>
          <t>Yes</t>
        </is>
      </c>
      <c r="W294" s="77" t="inlineStr">
        <is>
          <t>Over 85 externally-provided projects; outputs included policy recommendations and work described by a partner as actionable [1].</t>
        </is>
      </c>
      <c r="X294" s="77" t="inlineStr">
        <is>
          <t>Yes</t>
        </is>
      </c>
      <c r="Y294" s="77" t="inlineStr">
        <is>
          <t>Interdisciplinary teams (e.g., Accountancy/Economics with English/Philosophy students); careers staff facilitated teamwork [1].</t>
        </is>
      </c>
      <c r="Z294" s="77" t="inlineStr">
        <is>
          <t>Yes</t>
        </is>
      </c>
      <c r="AA294" s="77" t="inlineStr">
        <is>
          <t>60+ partner organisations supplied the projects and received outputs; Department for Education praised a group's policy recommendations; Berneslai Homes called the work actionable [1].</t>
        </is>
      </c>
      <c r="AB294" s="77" t="inlineStr">
        <is>
          <t>Mixed</t>
        </is>
      </c>
      <c r="AC294" s="77" t="inlineStr">
        <is>
          <t>Partners provide project briefs and receive team outputs; supervision by careers staff.</t>
        </is>
      </c>
      <c r="AD294" s="77" t="inlineStr">
        <is>
          <t>Department for Education; Berneslai Homes; Civil Service (2026)</t>
        </is>
      </c>
      <c r="AE294" s="77" t="inlineStr">
        <is>
          <t>Team recommendations/outputs to partner organisation</t>
        </is>
      </c>
      <c r="AF294" s="77">
        <f>IF(OR(V294="No",X294="No",Z294="No"),"Outside strict definition",IF(AND(V294="Yes",X294="Yes",Z294="Yes"),"Meets all three","Potentially relevant; evidence incomplete"))</f>
        <v/>
      </c>
      <c r="AG294" s="77" t="inlineStr">
        <is>
          <t>Current delivery confirmed</t>
        </is>
      </c>
      <c r="AH294" s="77" t="inlineStr">
        <is>
          <t>2026</t>
        </is>
      </c>
      <c r="AI294" s="77" t="inlineStr">
        <is>
          <t>Yes</t>
        </is>
      </c>
      <c r="AJ294" s="77">
        <f>IF(AND(AI294="Yes",AF294="Meets all three",AG294="Current delivery confirmed"),"Yes","No")</f>
        <v/>
      </c>
      <c r="AK294" s="77" t="inlineStr">
        <is>
          <t>630 students; 60+ partner organisations; 85+ projects (2026, first edition)</t>
        </is>
      </c>
      <c r="AL294" s="77" t="inlineStr">
        <is>
          <t>RG20-S03-R1</t>
        </is>
      </c>
      <c r="AM294" s="77" t="inlineStr">
        <is>
          <t>Whether it will recur in 2027; student level (UG/PG) not stated; relationship to Management School Easter micro-internship (S4).</t>
        </is>
      </c>
      <c r="AN294" s="77" t="inlineStr"/>
      <c r="AO294" s="77" t="inlineStr">
        <is>
          <t>UK</t>
        </is>
      </c>
      <c r="AP294" s="77" t="inlineStr">
        <is>
          <t>UK – Russell Group</t>
        </is>
      </c>
      <c r="AQ294" s="77" t="inlineStr">
        <is>
          <t>&lt;1 week</t>
        </is>
      </c>
      <c r="AR294" s="77" t="inlineStr">
        <is>
          <t>All/standard</t>
        </is>
      </c>
      <c r="AS294" s="77" t="inlineStr"/>
    </row>
    <row r="295">
      <c r="A295" s="77" t="inlineStr">
        <is>
          <t>RG20</t>
        </is>
      </c>
      <c r="B295" s="77" t="inlineStr">
        <is>
          <t>Sheffield</t>
        </is>
      </c>
      <c r="C295" s="77" t="inlineStr">
        <is>
          <t>Programme/course</t>
        </is>
      </c>
      <c r="D295" s="77" t="inlineStr">
        <is>
          <t>RG20-S04</t>
        </is>
      </c>
      <c r="E295" s="77" t="inlineStr"/>
      <c r="F295" s="77" t="inlineStr">
        <is>
          <t>No</t>
        </is>
      </c>
      <c r="G295" s="79" t="inlineStr">
        <is>
          <t>Management School Easter micro-internship (group client brief)</t>
        </is>
      </c>
      <c r="H295" s="77" t="inlineStr">
        <is>
          <t>Management School Easter micro-internship (group client brief)</t>
        </is>
      </c>
      <c r="I295" s="77" t="inlineStr"/>
      <c r="J295"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295" s="77" t="inlineStr">
        <is>
          <t>Sheffield University Management School / employability team</t>
        </is>
      </c>
      <c r="L295" s="77" t="inlineStr">
        <is>
          <t>Management MSc; Management and International Business MSc; Business Management and Economics BA</t>
        </is>
      </c>
      <c r="M295" s="77" t="inlineStr">
        <is>
          <t>Business/management</t>
        </is>
      </c>
      <c r="N295" s="77" t="inlineStr">
        <is>
          <t>Mixed</t>
        </is>
      </c>
      <c r="O295" s="77" t="inlineStr"/>
      <c r="P295" s="77" t="inlineStr">
        <is>
          <t>Named programmes</t>
        </is>
      </c>
      <c r="Q295" s="77" t="inlineStr">
        <is>
          <t>Optional/elective</t>
        </is>
      </c>
      <c r="R295" s="77" t="inlineStr">
        <is>
          <t>Extracurricular</t>
        </is>
      </c>
      <c r="S295" s="77" t="inlineStr">
        <is>
          <t>Not evidenced</t>
        </is>
      </c>
      <c r="T295" s="77" t="inlineStr">
        <is>
          <t>One week, Easter break</t>
        </is>
      </c>
      <c r="U295" s="77" t="inlineStr">
        <is>
          <t>Group work on client brief</t>
        </is>
      </c>
      <c r="V295" s="77" t="inlineStr">
        <is>
          <t>Yes</t>
        </is>
      </c>
      <c r="W295" s="77" t="inlineStr">
        <is>
          <t>Groups respond to a client brief from an external organisation [1][2].</t>
        </is>
      </c>
      <c r="X295" s="77" t="inlineStr">
        <is>
          <t>Yes</t>
        </is>
      </c>
      <c r="Y295" s="77" t="inlineStr">
        <is>
          <t>'Working in a group' [1].</t>
        </is>
      </c>
      <c r="Z295" s="77" t="inlineStr">
        <is>
          <t>Yes</t>
        </is>
      </c>
      <c r="AA295" s="77" t="inlineStr">
        <is>
          <t>External organisation supplies the client brief [1][2].</t>
        </is>
      </c>
      <c r="AB295" s="77" t="inlineStr">
        <is>
          <t>Unclear</t>
        </is>
      </c>
      <c r="AC295" s="77" t="inlineStr">
        <is>
          <t>External organisation sets client brief</t>
        </is>
      </c>
      <c r="AD295" s="77" t="inlineStr"/>
      <c r="AE295" s="77" t="inlineStr">
        <is>
          <t>Response to client brief (format not stated)</t>
        </is>
      </c>
      <c r="AF295" s="77">
        <f>IF(OR(V295="No",X295="No",Z295="No"),"Outside strict definition",IF(AND(V295="Yes",X295="Yes",Z295="Yes"),"Meets all three","Potentially relevant; evidence incomplete"))</f>
        <v/>
      </c>
      <c r="AG295" s="77" t="inlineStr">
        <is>
          <t>Current delivery confirmed</t>
        </is>
      </c>
      <c r="AH295" s="77" t="inlineStr">
        <is>
          <t>2027 entry (course page)</t>
        </is>
      </c>
      <c r="AI295" s="77" t="inlineStr">
        <is>
          <t>No</t>
        </is>
      </c>
      <c r="AJ295" s="77">
        <f>IF(AND(AI295="Yes",AF295="Meets all three",AG295="Current delivery confirmed"),"Yes","No")</f>
        <v/>
      </c>
      <c r="AK295" s="77" t="inlineStr"/>
      <c r="AL295" s="77" t="inlineStr">
        <is>
          <t>RG20-S04-R1; RG20-S04-R2; RG20-S04-R3</t>
        </is>
      </c>
      <c r="AM295" s="77" t="inlineStr">
        <is>
          <t>Probably the same delivery as S3; organisations not named.</t>
        </is>
      </c>
      <c r="AN295" s="77" t="inlineStr"/>
      <c r="AO295" s="77" t="inlineStr">
        <is>
          <t>UK</t>
        </is>
      </c>
      <c r="AP295" s="77" t="inlineStr">
        <is>
          <t>UK – Russell Group</t>
        </is>
      </c>
      <c r="AQ295" s="77" t="inlineStr">
        <is>
          <t>&lt;1 week</t>
        </is>
      </c>
      <c r="AR295" s="77" t="inlineStr">
        <is>
          <t>All/standard</t>
        </is>
      </c>
      <c r="AS295" s="77" t="inlineStr">
        <is>
          <t>No (possible duplicate of RG20-S03)</t>
        </is>
      </c>
    </row>
    <row r="296">
      <c r="A296" s="77" t="inlineStr">
        <is>
          <t>RG20</t>
        </is>
      </c>
      <c r="B296" s="77" t="inlineStr">
        <is>
          <t>Sheffield</t>
        </is>
      </c>
      <c r="C296" s="77" t="inlineStr">
        <is>
          <t>Programme/course</t>
        </is>
      </c>
      <c r="D296" s="77" t="inlineStr">
        <is>
          <t>RG20-S05</t>
        </is>
      </c>
      <c r="E296" s="77" t="inlineStr"/>
      <c r="F296" s="77" t="inlineStr">
        <is>
          <t>No</t>
        </is>
      </c>
      <c r="G296" s="79" t="inlineStr">
        <is>
          <t>Management MSc Company Project</t>
        </is>
      </c>
      <c r="H296" s="77" t="inlineStr">
        <is>
          <t>Management MSc Company Project</t>
        </is>
      </c>
      <c r="I296" s="77" t="inlineStr"/>
      <c r="J296" s="77" t="inlineStr">
        <is>
          <t>On the Management MSc (2026 entry) students can apply to work as part of a team on a real-world problem for an external organisation; the page also offers the option of a company-based dissertation (individual).</t>
        </is>
      </c>
      <c r="K296" s="77" t="inlineStr">
        <is>
          <t>Sheffield University Management School</t>
        </is>
      </c>
      <c r="L296" s="77" t="inlineStr">
        <is>
          <t>Management MSc</t>
        </is>
      </c>
      <c r="M296" s="77" t="inlineStr">
        <is>
          <t>Business/management</t>
        </is>
      </c>
      <c r="N296" s="77" t="inlineStr">
        <is>
          <t>Postgraduate taught</t>
        </is>
      </c>
      <c r="O296" s="77" t="inlineStr"/>
      <c r="P296" s="77" t="inlineStr">
        <is>
          <t>Management MSc students; application required</t>
        </is>
      </c>
      <c r="Q296" s="77" t="inlineStr">
        <is>
          <t>Selective/competitive</t>
        </is>
      </c>
      <c r="R296" s="77" t="inlineStr">
        <is>
          <t>Unclear</t>
        </is>
      </c>
      <c r="S296" s="77" t="inlineStr">
        <is>
          <t>Credit not tied to Company Project in sources (a 45-credit Management Inquiry Project is listed separately)</t>
        </is>
      </c>
      <c r="T296" s="77" t="inlineStr">
        <is>
          <t>Not stated</t>
        </is>
      </c>
      <c r="U296" s="77" t="inlineStr"/>
      <c r="V296" s="77" t="inlineStr">
        <is>
          <t>Yes</t>
        </is>
      </c>
      <c r="W296" s="77" t="inlineStr">
        <is>
          <t>Real-world problem for an external organisation [1].</t>
        </is>
      </c>
      <c r="X296" s="77" t="inlineStr">
        <is>
          <t>Yes</t>
        </is>
      </c>
      <c r="Y296" s="77" t="inlineStr">
        <is>
          <t>'work as part of a team' [1]; company-based dissertation alternative is individual and excluded.</t>
        </is>
      </c>
      <c r="Z296" s="77" t="inlineStr">
        <is>
          <t>Yes</t>
        </is>
      </c>
      <c r="AA296" s="77" t="inlineStr">
        <is>
          <t>External organisation provides the real-world problem [1].</t>
        </is>
      </c>
      <c r="AB296" s="77" t="inlineStr">
        <is>
          <t>Unclear</t>
        </is>
      </c>
      <c r="AC296" s="77" t="inlineStr">
        <is>
          <t>Supplies problem</t>
        </is>
      </c>
      <c r="AD296" s="77" t="inlineStr"/>
      <c r="AE296" s="77" t="inlineStr">
        <is>
          <t>Not stated</t>
        </is>
      </c>
      <c r="AF296" s="77">
        <f>IF(OR(V296="No",X296="No",Z296="No"),"Outside strict definition",IF(AND(V296="Yes",X296="Yes",Z296="Yes"),"Meets all three","Potentially relevant; evidence incomplete"))</f>
        <v/>
      </c>
      <c r="AG296" s="77" t="inlineStr">
        <is>
          <t>Current delivery confirmed</t>
        </is>
      </c>
      <c r="AH296" s="77" t="inlineStr">
        <is>
          <t>2026 entry (2026/27)</t>
        </is>
      </c>
      <c r="AI296" s="77" t="inlineStr">
        <is>
          <t>Yes</t>
        </is>
      </c>
      <c r="AJ296" s="77">
        <f>IF(AND(AI296="Yes",AF296="Meets all three",AG296="Current delivery confirmed"),"Yes","No")</f>
        <v/>
      </c>
      <c r="AK296" s="77" t="inlineStr"/>
      <c r="AL296" s="77" t="inlineStr">
        <is>
          <t>RG20-S05-R1</t>
        </is>
      </c>
      <c r="AM296" s="77" t="inlineStr">
        <is>
          <t>Whether this is the same as the Easter micro-internship (S4) or a separate summer project; credit, duration and partner names not retrieved. 'Management Consulting in Practice' module also mentioned on Management MSc (format unknown).</t>
        </is>
      </c>
      <c r="AN296" s="77" t="inlineStr"/>
      <c r="AO296" s="77" t="inlineStr">
        <is>
          <t>UK</t>
        </is>
      </c>
      <c r="AP296" s="77" t="inlineStr">
        <is>
          <t>UK – Russell Group</t>
        </is>
      </c>
      <c r="AQ296" s="77" t="inlineStr">
        <is>
          <t>Unclear</t>
        </is>
      </c>
      <c r="AR296" s="77" t="inlineStr">
        <is>
          <t>All/standard</t>
        </is>
      </c>
      <c r="AS296" s="77" t="inlineStr"/>
    </row>
    <row r="297">
      <c r="A297" s="77" t="inlineStr">
        <is>
          <t>RG20</t>
        </is>
      </c>
      <c r="B297" s="77" t="inlineStr">
        <is>
          <t>Sheffield</t>
        </is>
      </c>
      <c r="C297" s="77" t="inlineStr">
        <is>
          <t>Programme/course</t>
        </is>
      </c>
      <c r="D297" s="77" t="inlineStr">
        <is>
          <t>RG20-S06</t>
        </is>
      </c>
      <c r="E297" s="77" t="inlineStr"/>
      <c r="F297" s="77" t="inlineStr">
        <is>
          <t>No</t>
        </is>
      </c>
      <c r="G297" s="79" t="inlineStr">
        <is>
          <t>Marketing Consultancy Challenge (2027 entry: Transformative Marketing Challenge)</t>
        </is>
      </c>
      <c r="H297" s="77" t="inlineStr">
        <is>
          <t>Marketing Consultancy Challenge (2027 entry: Transformative Marketing Challenge)</t>
        </is>
      </c>
      <c r="I297" s="77" t="inlineStr"/>
      <c r="J297" s="77" t="inlineStr">
        <is>
          <t>Sheffield MBA 'Challenge' module: early in semester 1 teams are introduced to a real organisation facing a marketing problem, meet the organisation roughly weekly and present findings to its senior management team.</t>
        </is>
      </c>
      <c r="K297" s="77" t="inlineStr">
        <is>
          <t>Sheffield University Management School (MBA)</t>
        </is>
      </c>
      <c r="L297" s="77" t="inlineStr">
        <is>
          <t>Sheffield MBA</t>
        </is>
      </c>
      <c r="M297" s="77" t="inlineStr">
        <is>
          <t>Business/management</t>
        </is>
      </c>
      <c r="N297" s="77" t="inlineStr">
        <is>
          <t>Postgraduate taught</t>
        </is>
      </c>
      <c r="O297" s="77" t="inlineStr">
        <is>
          <t>Semester 1</t>
        </is>
      </c>
      <c r="P297" s="77" t="inlineStr">
        <is>
          <t>MBA students</t>
        </is>
      </c>
      <c r="Q297" s="77" t="inlineStr">
        <is>
          <t>Unclear</t>
        </is>
      </c>
      <c r="R297" s="77" t="inlineStr">
        <is>
          <t>Curricular</t>
        </is>
      </c>
      <c r="S297" s="77" t="inlineStr">
        <is>
          <t>10 credits (2026 entry); 15 credits as Transformative Marketing Challenge (2027 entry)</t>
        </is>
      </c>
      <c r="T297" s="77" t="inlineStr">
        <is>
          <t>Part of semester 1</t>
        </is>
      </c>
      <c r="U297" s="77" t="inlineStr">
        <is>
          <t>Consulting teams with client meetings</t>
        </is>
      </c>
      <c r="V297" s="77" t="inlineStr">
        <is>
          <t>Yes</t>
        </is>
      </c>
      <c r="W297" s="77" t="inlineStr">
        <is>
          <t>Real marketing problem; findings presented to client senior management [1].</t>
        </is>
      </c>
      <c r="X297" s="77" t="inlineStr">
        <is>
          <t>Yes</t>
        </is>
      </c>
      <c r="Y297" s="77" t="inlineStr">
        <is>
          <t>Teams/consulting team [1][2].</t>
        </is>
      </c>
      <c r="Z297" s="77" t="inlineStr">
        <is>
          <t>Yes</t>
        </is>
      </c>
      <c r="AA297" s="77" t="inlineStr">
        <is>
          <t>Real organisation supplies problem, meets teams about weekly and receives final presentation [1]; client testimonials [2].</t>
        </is>
      </c>
      <c r="AB297" s="77" t="inlineStr">
        <is>
          <t>Business/commercial</t>
        </is>
      </c>
      <c r="AC297" s="77" t="inlineStr">
        <is>
          <t>Client organisation sets problem, meets teams, receives presentation</t>
        </is>
      </c>
      <c r="AD297" s="77" t="inlineStr">
        <is>
          <t>The Northern Wine Guy (student case, undated); Invest Sheffield (client testimonial, undated)</t>
        </is>
      </c>
      <c r="AE297" s="77" t="inlineStr">
        <is>
          <t>Findings/recommendations presented to client senior management</t>
        </is>
      </c>
      <c r="AF297" s="77">
        <f>IF(OR(V297="No",X297="No",Z297="No"),"Outside strict definition",IF(AND(V297="Yes",X297="Yes",Z297="Yes"),"Meets all three","Potentially relevant; evidence incomplete"))</f>
        <v/>
      </c>
      <c r="AG297" s="77" t="inlineStr">
        <is>
          <t>Current delivery confirmed</t>
        </is>
      </c>
      <c r="AH297" s="77" t="inlineStr">
        <is>
          <t>2026/27 (2026-entry course page)</t>
        </is>
      </c>
      <c r="AI297" s="77" t="inlineStr">
        <is>
          <t>Yes</t>
        </is>
      </c>
      <c r="AJ297" s="77">
        <f>IF(AND(AI297="Yes",AF297="Meets all three",AG297="Current delivery confirmed"),"Yes","No")</f>
        <v/>
      </c>
      <c r="AK297" s="77" t="inlineStr"/>
      <c r="AL297" s="77" t="inlineStr">
        <is>
          <t>RG20-S06-R1; RG20-S06-R2; RG20-S06-R3; RG20-S06-R4</t>
        </is>
      </c>
      <c r="AM297" s="77" t="inlineStr">
        <is>
          <t>Whether core for all MBA students; renamed/re-credited for 2027 entry. Invest Sheffield is a council-run body (public sector) so partner mix may be Mixed.</t>
        </is>
      </c>
      <c r="AN297" s="77" t="inlineStr"/>
      <c r="AO297" s="77" t="inlineStr">
        <is>
          <t>UK</t>
        </is>
      </c>
      <c r="AP297" s="77" t="inlineStr">
        <is>
          <t>UK – Russell Group</t>
        </is>
      </c>
      <c r="AQ297" s="77" t="inlineStr">
        <is>
          <t>~1 term/semester</t>
        </is>
      </c>
      <c r="AR297" s="77" t="inlineStr">
        <is>
          <t>All/standard</t>
        </is>
      </c>
      <c r="AS297" s="77" t="inlineStr"/>
    </row>
    <row r="298">
      <c r="A298" s="77" t="inlineStr">
        <is>
          <t>RG20</t>
        </is>
      </c>
      <c r="B298" s="77" t="inlineStr">
        <is>
          <t>Sheffield</t>
        </is>
      </c>
      <c r="C298" s="77" t="inlineStr">
        <is>
          <t>Programme/course</t>
        </is>
      </c>
      <c r="D298" s="77" t="inlineStr">
        <is>
          <t>RG20-S07</t>
        </is>
      </c>
      <c r="E298" s="77" t="inlineStr"/>
      <c r="F298" s="77" t="inlineStr">
        <is>
          <t>No</t>
        </is>
      </c>
      <c r="G298" s="79" t="inlineStr">
        <is>
          <t>Internationalisation Challenge</t>
        </is>
      </c>
      <c r="H298" s="77" t="inlineStr">
        <is>
          <t>Internationalisation Challenge</t>
        </is>
      </c>
      <c r="I298" s="77" t="inlineStr"/>
      <c r="J298" s="77" t="inlineStr">
        <is>
          <t>Sheffield MBA 'Challenge' module: teams carry out a project with a real-world company exploring international markets; the project is a crucial assessment component alongside a reflective report.</t>
        </is>
      </c>
      <c r="K298" s="77" t="inlineStr">
        <is>
          <t>Sheffield University Management School (MBA)</t>
        </is>
      </c>
      <c r="L298" s="77" t="inlineStr">
        <is>
          <t>Sheffield MBA</t>
        </is>
      </c>
      <c r="M298" s="77" t="inlineStr">
        <is>
          <t>Business/management</t>
        </is>
      </c>
      <c r="N298" s="77" t="inlineStr">
        <is>
          <t>Postgraduate taught</t>
        </is>
      </c>
      <c r="O298" s="77" t="inlineStr"/>
      <c r="P298" s="77" t="inlineStr">
        <is>
          <t>MBA students</t>
        </is>
      </c>
      <c r="Q298" s="77" t="inlineStr">
        <is>
          <t>Unclear</t>
        </is>
      </c>
      <c r="R298" s="77" t="inlineStr">
        <is>
          <t>Curricular</t>
        </is>
      </c>
      <c r="S298" s="77" t="inlineStr">
        <is>
          <t>Team project + individual reflective report</t>
        </is>
      </c>
      <c r="T298" s="77" t="inlineStr">
        <is>
          <t>Not stated</t>
        </is>
      </c>
      <c r="U298" s="77" t="inlineStr">
        <is>
          <t>Consulting teams</t>
        </is>
      </c>
      <c r="V298" s="77" t="inlineStr">
        <is>
          <t>Yes</t>
        </is>
      </c>
      <c r="W298" s="77" t="inlineStr">
        <is>
          <t>Project on international market opportunities for a company [1].</t>
        </is>
      </c>
      <c r="X298" s="77" t="inlineStr">
        <is>
          <t>Yes</t>
        </is>
      </c>
      <c r="Y298" s="77" t="inlineStr">
        <is>
          <t>Teams [1][2].</t>
        </is>
      </c>
      <c r="Z298" s="77" t="inlineStr">
        <is>
          <t>Yes</t>
        </is>
      </c>
      <c r="AA298" s="77" t="inlineStr">
        <is>
          <t>Real-world company is the client exploring international markets [1]; Invest Sheffield testimonial on insights into Partner Cities market opportunities [2].</t>
        </is>
      </c>
      <c r="AB298" s="77" t="inlineStr">
        <is>
          <t>Mixed</t>
        </is>
      </c>
      <c r="AC298" s="77" t="inlineStr">
        <is>
          <t>Client sets internationalisation problem and receives findings</t>
        </is>
      </c>
      <c r="AD298" s="77" t="inlineStr">
        <is>
          <t>Invest Sheffield (testimonial, undated)</t>
        </is>
      </c>
      <c r="AE298" s="77" t="inlineStr">
        <is>
          <t>Market-entry/internationalisation analysis for client</t>
        </is>
      </c>
      <c r="AF298" s="77">
        <f>IF(OR(V298="No",X298="No",Z298="No"),"Outside strict definition",IF(AND(V298="Yes",X298="Yes",Z298="Yes"),"Meets all three","Potentially relevant; evidence incomplete"))</f>
        <v/>
      </c>
      <c r="AG298" s="77" t="inlineStr">
        <is>
          <t>Current status unclear</t>
        </is>
      </c>
      <c r="AH298" s="77" t="inlineStr">
        <is>
          <t>undated (module page); MBA 2027 page refers to Challenge modules generally</t>
        </is>
      </c>
      <c r="AI298" s="77" t="inlineStr">
        <is>
          <t>Yes</t>
        </is>
      </c>
      <c r="AJ298" s="77">
        <f>IF(AND(AI298="Yes",AF298="Meets all three",AG298="Current delivery confirmed"),"Yes","No")</f>
        <v/>
      </c>
      <c r="AK298" s="77" t="inlineStr"/>
      <c r="AL298" s="77" t="inlineStr">
        <is>
          <t>RG20-S07-R1; RG20-S07-R2; RG20-S07-R3</t>
        </is>
      </c>
      <c r="AM298" s="77" t="inlineStr">
        <is>
          <t>Module page undated; 2026/2027 MBA course pages were not retrieved naming the Internationalisation Challenge specifically, so current delivery is not corroborated. Credit and duration not retrieved.</t>
        </is>
      </c>
      <c r="AN298" s="77" t="inlineStr"/>
      <c r="AO298" s="77" t="inlineStr">
        <is>
          <t>UK</t>
        </is>
      </c>
      <c r="AP298" s="77" t="inlineStr">
        <is>
          <t>UK – Russell Group</t>
        </is>
      </c>
      <c r="AQ298" s="77" t="inlineStr">
        <is>
          <t>Unclear</t>
        </is>
      </c>
      <c r="AR298" s="77" t="inlineStr">
        <is>
          <t>All/standard</t>
        </is>
      </c>
      <c r="AS298" s="77" t="inlineStr"/>
    </row>
    <row r="299">
      <c r="A299" s="77" t="inlineStr">
        <is>
          <t>RG20</t>
        </is>
      </c>
      <c r="B299" s="77" t="inlineStr">
        <is>
          <t>Sheffield</t>
        </is>
      </c>
      <c r="C299" s="77" t="inlineStr">
        <is>
          <t>Programme/course</t>
        </is>
      </c>
      <c r="D299" s="77" t="inlineStr">
        <is>
          <t>RG20-S08</t>
        </is>
      </c>
      <c r="E299" s="77" t="inlineStr"/>
      <c r="F299" s="77" t="inlineStr">
        <is>
          <t>No</t>
        </is>
      </c>
      <c r="G299" s="79" t="inlineStr">
        <is>
          <t>Software Hut</t>
        </is>
      </c>
      <c r="H299" s="77" t="inlineStr">
        <is>
          <t>Software Hut</t>
        </is>
      </c>
      <c r="I299" s="77" t="inlineStr">
        <is>
          <t>COM3420 (older departmental page); COM213 in a regulations document; current code not confirmed</t>
        </is>
      </c>
      <c r="J299"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299" s="77" t="inlineStr">
        <is>
          <t>School of Computer Science</t>
        </is>
      </c>
      <c r="L299" s="77" t="inlineStr">
        <is>
          <t>Computer Science undergraduate degrees</t>
        </is>
      </c>
      <c r="M299" s="77" t="inlineStr">
        <is>
          <t>Engineering/computing</t>
        </is>
      </c>
      <c r="N299" s="77" t="inlineStr">
        <is>
          <t>Undergraduate</t>
        </is>
      </c>
      <c r="O299" s="77" t="inlineStr">
        <is>
          <t>Year 2</t>
        </is>
      </c>
      <c r="P299" s="77" t="inlineStr">
        <is>
          <t>Computer Science students</t>
        </is>
      </c>
      <c r="Q299" s="77" t="inlineStr">
        <is>
          <t>Compulsory within specified programmes</t>
        </is>
      </c>
      <c r="R299" s="77" t="inlineStr">
        <is>
          <t>Curricular</t>
        </is>
      </c>
      <c r="S299" s="77" t="inlineStr">
        <is>
          <t>20 credits (2027-entry BSc listing); assessed on team project work, client judgement and individual reflection</t>
        </is>
      </c>
      <c r="T299" s="77" t="inlineStr">
        <is>
          <t>Not stated (module-length)</t>
        </is>
      </c>
      <c r="U299" s="77" t="inlineStr">
        <is>
          <t>Team software development</t>
        </is>
      </c>
      <c r="V299" s="77" t="inlineStr">
        <is>
          <t>Yes</t>
        </is>
      </c>
      <c r="W299" s="77" t="inlineStr">
        <is>
          <t>Teams build working software system for a client; portfolio incl. design documents and working system [1][3].</t>
        </is>
      </c>
      <c r="X299" s="77" t="inlineStr">
        <is>
          <t>Yes</t>
        </is>
      </c>
      <c r="Y299" s="77" t="inlineStr">
        <is>
          <t>Assessment 'entirely on the basis of the project work undertaken in teams'; teamwork mandatory [2].</t>
        </is>
      </c>
      <c r="Z299" s="77" t="inlineStr">
        <is>
          <t>Yes</t>
        </is>
      </c>
      <c r="AA299" s="77" t="inlineStr">
        <is>
          <t>Most students' first experience of working for an external client [1][4]; clients judge whether product meets their needs (contribute to marks) [1].</t>
        </is>
      </c>
      <c r="AB299" s="77" t="inlineStr">
        <is>
          <t>Unclear</t>
        </is>
      </c>
      <c r="AC299" s="77" t="inlineStr">
        <is>
          <t>External clients set requirements and contribute to assessment</t>
        </is>
      </c>
      <c r="AD299" s="77" t="inlineStr"/>
      <c r="AE299" s="77" t="inlineStr">
        <is>
          <t>Working software system + documentation</t>
        </is>
      </c>
      <c r="AF299" s="77">
        <f>IF(OR(V299="No",X299="No",Z299="No"),"Outside strict definition",IF(AND(V299="Yes",X299="Yes",Z299="Yes"),"Meets all three","Potentially relevant; evidence incomplete"))</f>
        <v/>
      </c>
      <c r="AG299" s="77" t="inlineStr">
        <is>
          <t>Current delivery confirmed</t>
        </is>
      </c>
      <c r="AH299" s="77" t="inlineStr">
        <is>
          <t>2027 entry course listing</t>
        </is>
      </c>
      <c r="AI299" s="77" t="inlineStr">
        <is>
          <t>Yes</t>
        </is>
      </c>
      <c r="AJ299" s="77">
        <f>IF(AND(AI299="Yes",AF299="Meets all three",AG299="Current delivery confirmed"),"Yes","No")</f>
        <v/>
      </c>
      <c r="AK299" s="77" t="inlineStr">
        <is>
          <t>Around 200 students per year (undated)</t>
        </is>
      </c>
      <c r="AL299" s="77" t="inlineStr">
        <is>
          <t>RG20-S08-R1; RG20-S08-R2; RG20-S08-R3; RG20-S08-R4</t>
        </is>
      </c>
      <c r="AM299" s="77" t="inlineStr">
        <is>
          <t>Current module code; sector of clients; dated cohort evidence (relies on 2027-entry course listing as corroboration).</t>
        </is>
      </c>
      <c r="AN299" s="77" t="inlineStr"/>
      <c r="AO299" s="77" t="inlineStr">
        <is>
          <t>UK</t>
        </is>
      </c>
      <c r="AP299" s="77" t="inlineStr">
        <is>
          <t>UK – Russell Group</t>
        </is>
      </c>
      <c r="AQ299" s="77" t="inlineStr">
        <is>
          <t>Unclear</t>
        </is>
      </c>
      <c r="AR299" s="77" t="inlineStr">
        <is>
          <t>All/standard</t>
        </is>
      </c>
      <c r="AS299" s="77" t="inlineStr"/>
    </row>
    <row r="300">
      <c r="A300" s="77" t="inlineStr">
        <is>
          <t>RG20</t>
        </is>
      </c>
      <c r="B300" s="77" t="inlineStr">
        <is>
          <t>Sheffield</t>
        </is>
      </c>
      <c r="C300" s="77" t="inlineStr">
        <is>
          <t>Programme/course</t>
        </is>
      </c>
      <c r="D300" s="77" t="inlineStr">
        <is>
          <t>RG20-S09</t>
        </is>
      </c>
      <c r="E300" s="77" t="inlineStr"/>
      <c r="F300" s="77" t="inlineStr">
        <is>
          <t>No</t>
        </is>
      </c>
      <c r="G300" s="79" t="inlineStr">
        <is>
          <t>Genesys (student-led software development organisation)</t>
        </is>
      </c>
      <c r="H300" s="77" t="inlineStr">
        <is>
          <t>Genesys (student-led software development organisation)</t>
        </is>
      </c>
      <c r="I300" s="77" t="inlineStr"/>
      <c r="J300" s="77" t="inlineStr">
        <is>
          <t>Final-year Computer Science module run as a student software company: customer-facing teams build custom web applications for real customers using agile/lean-startup practice, supported by staff of epiGenesys (a University subsidiary company).</t>
        </is>
      </c>
      <c r="K300" s="77" t="inlineStr">
        <is>
          <t>School of Computer Science (with epiGenesys)</t>
        </is>
      </c>
      <c r="L300" s="77" t="inlineStr">
        <is>
          <t>Computer Science (Software Engineering) MEng (core, 45 credits); Computer Science MComp variants (option)</t>
        </is>
      </c>
      <c r="M300" s="77" t="inlineStr">
        <is>
          <t>Engineering/computing</t>
        </is>
      </c>
      <c r="N300" s="77" t="inlineStr">
        <is>
          <t>Undergraduate</t>
        </is>
      </c>
      <c r="O300" s="77" t="inlineStr">
        <is>
          <t>Final year</t>
        </is>
      </c>
      <c r="P300" s="77" t="inlineStr">
        <is>
          <t>Named CS integrated-masters programmes</t>
        </is>
      </c>
      <c r="Q300" s="77" t="inlineStr">
        <is>
          <t>Compulsory within specified programmes</t>
        </is>
      </c>
      <c r="R300" s="77" t="inlineStr">
        <is>
          <t>Curricular</t>
        </is>
      </c>
      <c r="S300" s="77" t="inlineStr">
        <is>
          <t>45 credits (Software Engineering MEng core)</t>
        </is>
      </c>
      <c r="T300" s="77" t="inlineStr">
        <is>
          <t>Throughout final year</t>
        </is>
      </c>
      <c r="U300" s="77" t="inlineStr">
        <is>
          <t>Customer-facing teams</t>
        </is>
      </c>
      <c r="V300" s="77" t="inlineStr">
        <is>
          <t>Yes</t>
        </is>
      </c>
      <c r="W300" s="77" t="inlineStr">
        <is>
          <t>Teams build custom web applications solving customers' problems [1][2].</t>
        </is>
      </c>
      <c r="X300" s="77" t="inlineStr">
        <is>
          <t>Yes</t>
        </is>
      </c>
      <c r="Y300" s="77" t="inlineStr">
        <is>
          <t>Customer-facing teams [1]; students work in teams [2].</t>
        </is>
      </c>
      <c r="Z300" s="77" t="inlineStr">
        <is>
          <t>Unclear</t>
        </is>
      </c>
      <c r="AA300" s="77" t="inlineStr">
        <is>
          <t>Sources say 'real customers' / 'real contracts for real clients' [1][3] but do not say customers are external organisations; supporting company epiGenesys is a University subsidiary (internal).</t>
        </is>
      </c>
      <c r="AB300" s="77" t="inlineStr">
        <is>
          <t>Unclear</t>
        </is>
      </c>
      <c r="AC300" s="77" t="inlineStr">
        <is>
          <t>Customers commission web applications (identity/sector not evidenced)</t>
        </is>
      </c>
      <c r="AD300" s="77" t="inlineStr"/>
      <c r="AE300" s="77" t="inlineStr">
        <is>
          <t>Custom web application</t>
        </is>
      </c>
      <c r="AF300" s="77">
        <f>IF(OR(V300="No",X300="No",Z300="No"),"Outside strict definition",IF(AND(V300="Yes",X300="Yes",Z300="Yes"),"Meets all three","Potentially relevant; evidence incomplete"))</f>
        <v/>
      </c>
      <c r="AG300" s="77" t="inlineStr">
        <is>
          <t>Current status unclear</t>
        </is>
      </c>
      <c r="AH300" s="77" t="inlineStr">
        <is>
          <t>2026 entry course listing</t>
        </is>
      </c>
      <c r="AI300" s="77" t="inlineStr">
        <is>
          <t>Yes</t>
        </is>
      </c>
      <c r="AJ300" s="77">
        <f>IF(AND(AI300="Yes",AF300="Meets all three",AG300="Current delivery confirmed"),"Yes","No")</f>
        <v/>
      </c>
      <c r="AK300" s="77" t="inlineStr"/>
      <c r="AL300" s="77" t="inlineStr">
        <is>
          <t>RG20-S09-R1; RG20-S09-R2; RG20-S09-R3</t>
        </is>
      </c>
      <c r="AM300" s="77" t="inlineStr">
        <is>
          <t>Conflicting status evidence: 2026/2027 course pages list Genesys, but a Student Enterprise case study dates Genesys 2011-2017. Whether customers are external.</t>
        </is>
      </c>
      <c r="AN300" s="77" t="inlineStr"/>
      <c r="AO300" s="77" t="inlineStr">
        <is>
          <t>UK</t>
        </is>
      </c>
      <c r="AP300" s="77" t="inlineStr">
        <is>
          <t>UK – Russell Group</t>
        </is>
      </c>
      <c r="AQ300" s="77" t="inlineStr">
        <is>
          <t>&gt;1 term</t>
        </is>
      </c>
      <c r="AR300" s="77" t="inlineStr">
        <is>
          <t>Unclear</t>
        </is>
      </c>
      <c r="AS300" s="77" t="inlineStr"/>
    </row>
    <row r="301">
      <c r="A301" s="77" t="inlineStr">
        <is>
          <t>RG20</t>
        </is>
      </c>
      <c r="B301" s="77" t="inlineStr">
        <is>
          <t>Sheffield</t>
        </is>
      </c>
      <c r="C301" s="77" t="inlineStr">
        <is>
          <t>Programme/course</t>
        </is>
      </c>
      <c r="D301" s="77" t="inlineStr">
        <is>
          <t>RG20-S10</t>
        </is>
      </c>
      <c r="E301" s="77" t="inlineStr"/>
      <c r="F301" s="77" t="inlineStr">
        <is>
          <t>No</t>
        </is>
      </c>
      <c r="G301" s="79" t="inlineStr">
        <is>
          <t>Industrial Group Project in Physics</t>
        </is>
      </c>
      <c r="H301" s="77" t="inlineStr">
        <is>
          <t>Industrial Group Project in Physics</t>
        </is>
      </c>
      <c r="I301" s="77" t="inlineStr">
        <is>
          <t>MPS372</t>
        </is>
      </c>
      <c r="J301"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01" s="77" t="inlineStr">
        <is>
          <t>School of Mathematical and Physical Sciences (Physics)</t>
        </is>
      </c>
      <c r="L301" s="77" t="inlineStr">
        <is>
          <t>Physics with an Industrial Placement Year BSc; Physics/Astrophysics MPhys (option)</t>
        </is>
      </c>
      <c r="M301" s="77" t="inlineStr">
        <is>
          <t>Science</t>
        </is>
      </c>
      <c r="N301" s="77" t="inlineStr">
        <is>
          <t>Undergraduate</t>
        </is>
      </c>
      <c r="O301" s="77" t="inlineStr">
        <is>
          <t>Final year</t>
        </is>
      </c>
      <c r="P301" s="77" t="inlineStr">
        <is>
          <t>Physics degree students</t>
        </is>
      </c>
      <c r="Q301" s="77" t="inlineStr">
        <is>
          <t>Optional/elective</t>
        </is>
      </c>
      <c r="R301" s="77" t="inlineStr">
        <is>
          <t>Curricular</t>
        </is>
      </c>
      <c r="S301" s="77" t="inlineStr">
        <is>
          <t>20 credits; presentations and report</t>
        </is>
      </c>
      <c r="T301" s="77" t="inlineStr">
        <is>
          <t>Two semesters</t>
        </is>
      </c>
      <c r="U301" s="77" t="inlineStr">
        <is>
          <t>Group project with industrial client</t>
        </is>
      </c>
      <c r="V301" s="77" t="inlineStr">
        <is>
          <t>Yes</t>
        </is>
      </c>
      <c r="W301" s="77" t="inlineStr">
        <is>
          <t>Client-posed problem resolved over two semesters; presentations and report [1].</t>
        </is>
      </c>
      <c r="X301" s="77" t="inlineStr">
        <is>
          <t>Yes</t>
        </is>
      </c>
      <c r="Y301" s="77" t="inlineStr">
        <is>
          <t>'a group work on over two semesters' [1].</t>
        </is>
      </c>
      <c r="Z301" s="77" t="inlineStr">
        <is>
          <t>Yes</t>
        </is>
      </c>
      <c r="AA301" s="77" t="inlineStr">
        <is>
          <t>'The industrial client poses a problem'; interim and final presentations made to the client [1].</t>
        </is>
      </c>
      <c r="AB301" s="77" t="inlineStr">
        <is>
          <t>Business/commercial</t>
        </is>
      </c>
      <c r="AC301" s="77" t="inlineStr">
        <is>
          <t>Sets problem; receives interim and final presentations</t>
        </is>
      </c>
      <c r="AD301" s="77" t="inlineStr"/>
      <c r="AE301" s="77" t="inlineStr">
        <is>
          <t>Presentations and report to client</t>
        </is>
      </c>
      <c r="AF301" s="77">
        <f>IF(OR(V301="No",X301="No",Z301="No"),"Outside strict definition",IF(AND(V301="Yes",X301="Yes",Z301="Yes"),"Meets all three","Potentially relevant; evidence incomplete"))</f>
        <v/>
      </c>
      <c r="AG301" s="77" t="inlineStr">
        <is>
          <t>Current delivery confirmed</t>
        </is>
      </c>
      <c r="AH301" s="77" t="inlineStr">
        <is>
          <t>2025 entry course listing</t>
        </is>
      </c>
      <c r="AI301" s="77" t="inlineStr">
        <is>
          <t>Yes</t>
        </is>
      </c>
      <c r="AJ301" s="77">
        <f>IF(AND(AI301="Yes",AF301="Meets all three",AG301="Current delivery confirmed"),"Yes","No")</f>
        <v/>
      </c>
      <c r="AK301" s="77" t="inlineStr"/>
      <c r="AL301" s="77" t="inlineStr">
        <is>
          <t>RG20-S10-R1; RG20-S10-R2</t>
        </is>
      </c>
      <c r="AM301" s="77" t="inlineStr">
        <is>
          <t>Corroboration is a 2025-entry course listing rather than a dated cohort; number of projects not published.</t>
        </is>
      </c>
      <c r="AN301" s="77" t="inlineStr"/>
      <c r="AO301" s="77" t="inlineStr">
        <is>
          <t>UK</t>
        </is>
      </c>
      <c r="AP301" s="77" t="inlineStr">
        <is>
          <t>UK – Russell Group</t>
        </is>
      </c>
      <c r="AQ301" s="77" t="inlineStr">
        <is>
          <t>&gt;1 term</t>
        </is>
      </c>
      <c r="AR301" s="77" t="inlineStr">
        <is>
          <t>All/standard</t>
        </is>
      </c>
      <c r="AS301" s="77" t="inlineStr"/>
    </row>
    <row r="302">
      <c r="A302" s="77" t="inlineStr">
        <is>
          <t>RG20</t>
        </is>
      </c>
      <c r="B302" s="77" t="inlineStr">
        <is>
          <t>Sheffield</t>
        </is>
      </c>
      <c r="C302" s="77" t="inlineStr">
        <is>
          <t>Programme/course</t>
        </is>
      </c>
      <c r="D302" s="77" t="inlineStr">
        <is>
          <t>RG20-S11</t>
        </is>
      </c>
      <c r="E302" s="77" t="inlineStr"/>
      <c r="F302" s="77" t="inlineStr">
        <is>
          <t>No</t>
        </is>
      </c>
      <c r="G302" s="79" t="inlineStr">
        <is>
          <t>MArch Live Projects (Live Project 1 / Live Project 2)</t>
        </is>
      </c>
      <c r="H302" s="77" t="inlineStr">
        <is>
          <t>MArch Live Projects (Live Project 1 / Live Project 2)</t>
        </is>
      </c>
      <c r="I302" s="77" t="inlineStr"/>
      <c r="J302"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02" s="77" t="inlineStr">
        <is>
          <t>Sheffield School of Architecture and Landscape</t>
        </is>
      </c>
      <c r="L302" s="77" t="inlineStr">
        <is>
          <t>Architecture MArch; Architecture: Collaborative Practice MArch</t>
        </is>
      </c>
      <c r="M302" s="77" t="inlineStr">
        <is>
          <t>Other (law, health, design, architecture…)</t>
        </is>
      </c>
      <c r="N302" s="77" t="inlineStr">
        <is>
          <t>Postgraduate taught</t>
        </is>
      </c>
      <c r="O302" s="77" t="inlineStr">
        <is>
          <t>MArch Year 5 (LP1); Year 6 (LP2, Collaborative Practice)</t>
        </is>
      </c>
      <c r="P302" s="77" t="inlineStr">
        <is>
          <t>MArch students</t>
        </is>
      </c>
      <c r="Q302" s="77" t="inlineStr">
        <is>
          <t>Compulsory within specified programmes</t>
        </is>
      </c>
      <c r="R302" s="77" t="inlineStr">
        <is>
          <t>Curricular</t>
        </is>
      </c>
      <c r="S302" s="77" t="inlineStr">
        <is>
          <t>Core module (credit not retrieved); integrated with Ethical Practice module</t>
        </is>
      </c>
      <c r="T302" s="77" t="inlineStr">
        <is>
          <t>Not stated</t>
        </is>
      </c>
      <c r="U302" s="77" t="inlineStr">
        <is>
          <t>Group live project with client</t>
        </is>
      </c>
      <c r="V302" s="77" t="inlineStr">
        <is>
          <t>Yes</t>
        </is>
      </c>
      <c r="W302" s="77" t="inlineStr">
        <is>
          <t>Feasibility studies, masterplans, design/build etc. with defined end result [1][2].</t>
        </is>
      </c>
      <c r="X302" s="77" t="inlineStr">
        <is>
          <t>Yes</t>
        </is>
      </c>
      <c r="Y302" s="77" t="inlineStr">
        <is>
          <t>'Students work in Live Project groups'; teams of 13-15 [1][2].</t>
        </is>
      </c>
      <c r="Z302" s="77" t="inlineStr">
        <is>
          <t>Yes</t>
        </is>
      </c>
      <c r="AA302" s="77" t="inlineStr">
        <is>
          <t>Real clients (community groups, charities, health organisations, regional authorities) with regular client contact; outputs delivered to client [1][2].</t>
        </is>
      </c>
      <c r="AB302" s="77" t="inlineStr">
        <is>
          <t>Mixed</t>
        </is>
      </c>
      <c r="AC302" s="77" t="inlineStr">
        <is>
          <t>Client commissions brief, regular contact, receives presentation/report/build</t>
        </is>
      </c>
      <c r="AD302" s="77" t="inlineStr"/>
      <c r="AE302" s="77" t="inlineStr">
        <is>
          <t>Presentation, report, sometimes physical building work</t>
        </is>
      </c>
      <c r="AF302" s="77">
        <f>IF(OR(V302="No",X302="No",Z302="No"),"Outside strict definition",IF(AND(V302="Yes",X302="Yes",Z302="Yes"),"Meets all three","Potentially relevant; evidence incomplete"))</f>
        <v/>
      </c>
      <c r="AG302" s="77" t="inlineStr">
        <is>
          <t>Current delivery confirmed</t>
        </is>
      </c>
      <c r="AH302" s="77" t="inlineStr">
        <is>
          <t>2026/27 (2026-entry course pages)</t>
        </is>
      </c>
      <c r="AI302" s="77" t="inlineStr">
        <is>
          <t>Yes</t>
        </is>
      </c>
      <c r="AJ302" s="77">
        <f>IF(AND(AI302="Yes",AF302="Meets all three",AG302="Current delivery confirmed"),"Yes","No")</f>
        <v/>
      </c>
      <c r="AK302" s="77" t="inlineStr">
        <is>
          <t>150+ completed projects over ~20 years (cumulative)</t>
        </is>
      </c>
      <c r="AL302" s="77" t="inlineStr">
        <is>
          <t>RG20-S11-R1; RG20-S11-R2; RG20-S11-R3</t>
        </is>
      </c>
      <c r="AM302" s="77" t="inlineStr">
        <is>
          <t>Module length and credits; 2025/26 client list.</t>
        </is>
      </c>
      <c r="AN302" s="77" t="inlineStr"/>
      <c r="AO302" s="77" t="inlineStr">
        <is>
          <t>UK</t>
        </is>
      </c>
      <c r="AP302" s="77" t="inlineStr">
        <is>
          <t>UK – Russell Group</t>
        </is>
      </c>
      <c r="AQ302" s="77" t="inlineStr">
        <is>
          <t>Unclear</t>
        </is>
      </c>
      <c r="AR302" s="77" t="inlineStr">
        <is>
          <t>All/standard</t>
        </is>
      </c>
      <c r="AS302" s="77" t="inlineStr"/>
    </row>
    <row r="303">
      <c r="A303" s="77" t="inlineStr">
        <is>
          <t>RG20</t>
        </is>
      </c>
      <c r="B303" s="77" t="inlineStr">
        <is>
          <t>Sheffield</t>
        </is>
      </c>
      <c r="C303" s="77" t="inlineStr">
        <is>
          <t>Programme/course</t>
        </is>
      </c>
      <c r="D303" s="77" t="inlineStr">
        <is>
          <t>RG20-S12</t>
        </is>
      </c>
      <c r="E303" s="77" t="inlineStr"/>
      <c r="F303" s="77" t="inlineStr">
        <is>
          <t>No</t>
        </is>
      </c>
      <c r="G303" s="79" t="inlineStr">
        <is>
          <t>Mechanical Engineering MEng final-year group design project</t>
        </is>
      </c>
      <c r="H303" s="77" t="inlineStr">
        <is>
          <t>Mechanical Engineering MEng final-year group design project</t>
        </is>
      </c>
      <c r="I303" s="77" t="inlineStr"/>
      <c r="J303"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03" s="77" t="inlineStr">
        <is>
          <t>School of Mechanical, Aerospace and Civil Engineering</t>
        </is>
      </c>
      <c r="L303" s="77" t="inlineStr">
        <is>
          <t>Mechanical Engineering MEng</t>
        </is>
      </c>
      <c r="M303" s="77" t="inlineStr">
        <is>
          <t>Engineering/computing</t>
        </is>
      </c>
      <c r="N303" s="77" t="inlineStr">
        <is>
          <t>Undergraduate</t>
        </is>
      </c>
      <c r="O303" s="77" t="inlineStr">
        <is>
          <t>Final year</t>
        </is>
      </c>
      <c r="P303" s="77" t="inlineStr">
        <is>
          <t>MEng students</t>
        </is>
      </c>
      <c r="Q303" s="77" t="inlineStr">
        <is>
          <t>Compulsory within specified programmes</t>
        </is>
      </c>
      <c r="R303" s="77" t="inlineStr">
        <is>
          <t>Curricular</t>
        </is>
      </c>
      <c r="S303" s="77" t="inlineStr">
        <is>
          <t>45 credits (Capstone Group Design Project)</t>
        </is>
      </c>
      <c r="T303" s="77" t="inlineStr">
        <is>
          <t>Not stated</t>
        </is>
      </c>
      <c r="U303" s="77" t="inlineStr">
        <is>
          <t>Group design project</t>
        </is>
      </c>
      <c r="V303" s="77" t="inlineStr">
        <is>
          <t>Yes</t>
        </is>
      </c>
      <c r="W303" s="77" t="inlineStr">
        <is>
          <t>Group design project on real-life challenge [1].</t>
        </is>
      </c>
      <c r="X303" s="77" t="inlineStr">
        <is>
          <t>Yes</t>
        </is>
      </c>
      <c r="Y303" s="77" t="inlineStr">
        <is>
          <t>Group design project [1].</t>
        </is>
      </c>
      <c r="Z303" s="77" t="inlineStr">
        <is>
          <t>Unclear</t>
        </is>
      </c>
      <c r="AA303" s="77" t="inlineStr">
        <is>
          <t>Summary says challenge 'proposed by industrial partners' with 'real clients' [1], but the same page's capstone is described as a local-area regeneration project with no partner named; cannot confirm external partners are standard for one defined route.</t>
        </is>
      </c>
      <c r="AB303" s="77" t="inlineStr">
        <is>
          <t>Business/commercial</t>
        </is>
      </c>
      <c r="AC303" s="77" t="inlineStr">
        <is>
          <t>Industrial partners propose challenges (per paraphrase)</t>
        </is>
      </c>
      <c r="AD303" s="77" t="inlineStr"/>
      <c r="AE303" s="77" t="inlineStr">
        <is>
          <t>Design solution</t>
        </is>
      </c>
      <c r="AF303" s="77">
        <f>IF(OR(V303="No",X303="No",Z303="No"),"Outside strict definition",IF(AND(V303="Yes",X303="Yes",Z303="Yes"),"Meets all three","Potentially relevant; evidence incomplete"))</f>
        <v/>
      </c>
      <c r="AG303" s="77" t="inlineStr">
        <is>
          <t>Current delivery confirmed</t>
        </is>
      </c>
      <c r="AH303" s="77" t="inlineStr">
        <is>
          <t>2026 entry course listing</t>
        </is>
      </c>
      <c r="AI303" s="77" t="inlineStr">
        <is>
          <t>Yes</t>
        </is>
      </c>
      <c r="AJ303" s="77">
        <f>IF(AND(AI303="Yes",AF303="Meets all three",AG303="Current delivery confirmed"),"Yes","No")</f>
        <v/>
      </c>
      <c r="AK303" s="77" t="inlineStr"/>
      <c r="AL303" s="77" t="inlineStr">
        <is>
          <t>RG20-S12-R1</t>
        </is>
      </c>
      <c r="AM303" s="77" t="inlineStr">
        <is>
          <t>Search-summary paraphrase only (search budget exhausted before extended check); whether industry-proposed project and Capstone GDP are the same module.</t>
        </is>
      </c>
      <c r="AN303" s="77" t="inlineStr"/>
      <c r="AO303" s="77" t="inlineStr">
        <is>
          <t>UK</t>
        </is>
      </c>
      <c r="AP303" s="77" t="inlineStr">
        <is>
          <t>UK – Russell Group</t>
        </is>
      </c>
      <c r="AQ303" s="77" t="inlineStr">
        <is>
          <t>Unclear</t>
        </is>
      </c>
      <c r="AR303" s="77" t="inlineStr">
        <is>
          <t>Unclear</t>
        </is>
      </c>
      <c r="AS303" s="77" t="inlineStr"/>
    </row>
    <row r="304">
      <c r="A304" s="77" t="inlineStr">
        <is>
          <t>RG20</t>
        </is>
      </c>
      <c r="B304" s="77" t="inlineStr">
        <is>
          <t>Sheffield</t>
        </is>
      </c>
      <c r="C304" s="77" t="inlineStr">
        <is>
          <t>Programme/course</t>
        </is>
      </c>
      <c r="D304" s="77" t="inlineStr">
        <is>
          <t>RG20-S13</t>
        </is>
      </c>
      <c r="E304" s="77" t="inlineStr"/>
      <c r="F304" s="77" t="inlineStr">
        <is>
          <t>No</t>
        </is>
      </c>
      <c r="G304" s="79" t="inlineStr">
        <is>
          <t>Aerospace Engineering Industrial Training Programme / MEng Group Design Project</t>
        </is>
      </c>
      <c r="H304" s="77" t="inlineStr">
        <is>
          <t>Aerospace Engineering Industrial Training Programme / MEng Group Design Project</t>
        </is>
      </c>
      <c r="I304" s="77" t="inlineStr"/>
      <c r="J304"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04" s="77" t="inlineStr">
        <is>
          <t>School of Mechanical, Aerospace and Civil Engineering</t>
        </is>
      </c>
      <c r="L304" s="77" t="inlineStr">
        <is>
          <t>Aerospace Engineering degrees</t>
        </is>
      </c>
      <c r="M304" s="77" t="inlineStr">
        <is>
          <t>Engineering/computing</t>
        </is>
      </c>
      <c r="N304" s="77" t="inlineStr">
        <is>
          <t>Undergraduate</t>
        </is>
      </c>
      <c r="O304" s="77" t="inlineStr">
        <is>
          <t>Not stated (GDP: Year 3 MEng)</t>
        </is>
      </c>
      <c r="P304" s="77" t="inlineStr">
        <is>
          <t>Aerospace students</t>
        </is>
      </c>
      <c r="Q304" s="77" t="inlineStr">
        <is>
          <t>Unclear</t>
        </is>
      </c>
      <c r="R304" s="77" t="inlineStr">
        <is>
          <t>Curricular</t>
        </is>
      </c>
      <c r="S304" s="77" t="inlineStr">
        <is>
          <t>Not retrieved</t>
        </is>
      </c>
      <c r="T304" s="77" t="inlineStr">
        <is>
          <t>Not stated</t>
        </is>
      </c>
      <c r="U304" s="77" t="inlineStr">
        <is>
          <t>Group projects</t>
        </is>
      </c>
      <c r="V304" s="77" t="inlineStr">
        <is>
          <t>Yes</t>
        </is>
      </c>
      <c r="W304" s="77" t="inlineStr">
        <is>
          <t>Open-ended industrial problem [1].</t>
        </is>
      </c>
      <c r="X304" s="77" t="inlineStr">
        <is>
          <t>Yes</t>
        </is>
      </c>
      <c r="Y304" s="77" t="inlineStr">
        <is>
          <t>'work in groups' [1].</t>
        </is>
      </c>
      <c r="Z304" s="77" t="inlineStr">
        <is>
          <t>Yes</t>
        </is>
      </c>
      <c r="AA304" s="77" t="inlineStr">
        <is>
          <t>Industry partners (e.g., Airbus, Boeing) set problems; Industrial Advisory Board engineers assess part of GDP [1].</t>
        </is>
      </c>
      <c r="AB304" s="77" t="inlineStr">
        <is>
          <t>Business/commercial</t>
        </is>
      </c>
      <c r="AC304" s="77" t="inlineStr">
        <is>
          <t>Set problems (ITP); assess (GDP)</t>
        </is>
      </c>
      <c r="AD304" s="77" t="inlineStr">
        <is>
          <t>Airbus, Boeing (problem setters, undated); Rolls-Royce, Boeing, Caterpillar, BAE Systems (IAB assessors, undated)</t>
        </is>
      </c>
      <c r="AE304" s="77" t="inlineStr">
        <is>
          <t>Solution to industrial problem / group design</t>
        </is>
      </c>
      <c r="AF304" s="77">
        <f>IF(OR(V304="No",X304="No",Z304="No"),"Outside strict definition",IF(AND(V304="Yes",X304="Yes",Z304="Yes"),"Meets all three","Potentially relevant; evidence incomplete"))</f>
        <v/>
      </c>
      <c r="AG304" s="77" t="inlineStr">
        <is>
          <t>Current status unclear</t>
        </is>
      </c>
      <c r="AH304" s="77" t="inlineStr">
        <is>
          <t>undated</t>
        </is>
      </c>
      <c r="AI304" s="77" t="inlineStr">
        <is>
          <t>Yes</t>
        </is>
      </c>
      <c r="AJ304" s="77">
        <f>IF(AND(AI304="Yes",AF304="Meets all three",AG304="Current delivery confirmed"),"Yes","No")</f>
        <v/>
      </c>
      <c r="AK304" s="77" t="inlineStr"/>
      <c r="AL304" s="77" t="inlineStr">
        <is>
          <t>RG20-S13-R1</t>
        </is>
      </c>
      <c r="AM304" s="77" t="inlineStr">
        <is>
          <t>Undated careers page; ITP and GDP may be distinct routes; not corroborated by dated source (search budget exhausted). Search-summary paraphrase only.</t>
        </is>
      </c>
      <c r="AN304" s="77" t="inlineStr"/>
      <c r="AO304" s="77" t="inlineStr">
        <is>
          <t>UK</t>
        </is>
      </c>
      <c r="AP304" s="77" t="inlineStr">
        <is>
          <t>UK – Russell Group</t>
        </is>
      </c>
      <c r="AQ304" s="77" t="inlineStr">
        <is>
          <t>Unclear</t>
        </is>
      </c>
      <c r="AR304" s="77" t="inlineStr">
        <is>
          <t>All/standard</t>
        </is>
      </c>
      <c r="AS304" s="77" t="inlineStr"/>
    </row>
    <row r="305">
      <c r="A305" s="77" t="inlineStr">
        <is>
          <t>RG20</t>
        </is>
      </c>
      <c r="B305" s="77" t="inlineStr">
        <is>
          <t>Sheffield</t>
        </is>
      </c>
      <c r="C305" s="77" t="inlineStr">
        <is>
          <t>Programme/course</t>
        </is>
      </c>
      <c r="D305" s="77" t="inlineStr">
        <is>
          <t>RG20-S14</t>
        </is>
      </c>
      <c r="E305" s="77" t="inlineStr"/>
      <c r="F305" s="77" t="inlineStr">
        <is>
          <t>No</t>
        </is>
      </c>
      <c r="G305" s="79" t="inlineStr">
        <is>
          <t>Electrical and Electronic Engineering MEng final-year group project</t>
        </is>
      </c>
      <c r="H305" s="77" t="inlineStr">
        <is>
          <t>Electrical and Electronic Engineering MEng final-year group project</t>
        </is>
      </c>
      <c r="I305" s="77" t="inlineStr"/>
      <c r="J305" s="77" t="inlineStr">
        <is>
          <t>Final-year MEng group project in multidisciplinary teams where the brief is presented by industrialists involved.</t>
        </is>
      </c>
      <c r="K305" s="77" t="inlineStr">
        <is>
          <t>School of Electrical and Electronic Engineering</t>
        </is>
      </c>
      <c r="L305" s="77" t="inlineStr">
        <is>
          <t>Electrical and Electronic Engineering MEng</t>
        </is>
      </c>
      <c r="M305" s="77" t="inlineStr">
        <is>
          <t>Engineering/computing</t>
        </is>
      </c>
      <c r="N305" s="77" t="inlineStr">
        <is>
          <t>Undergraduate</t>
        </is>
      </c>
      <c r="O305" s="77" t="inlineStr">
        <is>
          <t>Final year</t>
        </is>
      </c>
      <c r="P305" s="77" t="inlineStr">
        <is>
          <t>MEng students</t>
        </is>
      </c>
      <c r="Q305" s="77" t="inlineStr">
        <is>
          <t>Unclear</t>
        </is>
      </c>
      <c r="R305" s="77" t="inlineStr">
        <is>
          <t>Curricular</t>
        </is>
      </c>
      <c r="S305" s="77" t="inlineStr">
        <is>
          <t>Not retrieved</t>
        </is>
      </c>
      <c r="T305" s="77" t="inlineStr">
        <is>
          <t>Not stated</t>
        </is>
      </c>
      <c r="U305" s="77" t="inlineStr">
        <is>
          <t>Multidisciplinary team project</t>
        </is>
      </c>
      <c r="V305" s="77" t="inlineStr">
        <is>
          <t>Yes</t>
        </is>
      </c>
      <c r="W305" s="77" t="inlineStr">
        <is>
          <t>Group project on industrial brief [1].</t>
        </is>
      </c>
      <c r="X305" s="77" t="inlineStr">
        <is>
          <t>Yes</t>
        </is>
      </c>
      <c r="Y305" s="77" t="inlineStr">
        <is>
          <t>Multidisciplinary teams [1].</t>
        </is>
      </c>
      <c r="Z305" s="77" t="inlineStr">
        <is>
          <t>Yes</t>
        </is>
      </c>
      <c r="AA305" s="77" t="inlineStr">
        <is>
          <t>Brief presented by industrialists involved [1].</t>
        </is>
      </c>
      <c r="AB305" s="77" t="inlineStr">
        <is>
          <t>Business/commercial</t>
        </is>
      </c>
      <c r="AC305" s="77" t="inlineStr">
        <is>
          <t>Present brief</t>
        </is>
      </c>
      <c r="AD305" s="77" t="inlineStr"/>
      <c r="AE305" s="77" t="inlineStr">
        <is>
          <t>Not stated</t>
        </is>
      </c>
      <c r="AF305" s="77">
        <f>IF(OR(V305="No",X305="No",Z305="No"),"Outside strict definition",IF(AND(V305="Yes",X305="Yes",Z305="Yes"),"Meets all three","Potentially relevant; evidence incomplete"))</f>
        <v/>
      </c>
      <c r="AG305" s="77" t="inlineStr">
        <is>
          <t>Current status unclear</t>
        </is>
      </c>
      <c r="AH305" s="77" t="inlineStr">
        <is>
          <t>2027 entry course listing</t>
        </is>
      </c>
      <c r="AI305" s="77" t="inlineStr">
        <is>
          <t>Yes</t>
        </is>
      </c>
      <c r="AJ305" s="77">
        <f>IF(AND(AI305="Yes",AF305="Meets all three",AG305="Current delivery confirmed"),"Yes","No")</f>
        <v/>
      </c>
      <c r="AK305" s="77" t="inlineStr"/>
      <c r="AL305" s="77" t="inlineStr">
        <is>
          <t>RG20-S14-R1</t>
        </is>
      </c>
      <c r="AM305" s="77" t="inlineStr">
        <is>
          <t>Search summary noted the page text is flagged as needing updating, conflicting with the 2027-entry listing; paraphrase only.</t>
        </is>
      </c>
      <c r="AN305" s="77" t="inlineStr"/>
      <c r="AO305" s="77" t="inlineStr">
        <is>
          <t>UK</t>
        </is>
      </c>
      <c r="AP305" s="77" t="inlineStr">
        <is>
          <t>UK – Russell Group</t>
        </is>
      </c>
      <c r="AQ305" s="77" t="inlineStr">
        <is>
          <t>Unclear</t>
        </is>
      </c>
      <c r="AR305" s="77" t="inlineStr">
        <is>
          <t>All/standard</t>
        </is>
      </c>
      <c r="AS305" s="77" t="inlineStr"/>
    </row>
    <row r="306">
      <c r="A306" s="77" t="inlineStr">
        <is>
          <t>RG21</t>
        </is>
      </c>
      <c r="B306" s="77" t="inlineStr">
        <is>
          <t>Southampton</t>
        </is>
      </c>
      <c r="C306" s="77" t="inlineStr">
        <is>
          <t>University-wide</t>
        </is>
      </c>
      <c r="D306" s="77" t="inlineStr">
        <is>
          <t>RG21-S01</t>
        </is>
      </c>
      <c r="E306" s="77" t="inlineStr"/>
      <c r="F306" s="77" t="inlineStr">
        <is>
          <t>No</t>
        </is>
      </c>
      <c r="G306" s="79" t="inlineStr">
        <is>
          <t>Student Innovation Projects</t>
        </is>
      </c>
      <c r="H306" s="77" t="inlineStr">
        <is>
          <t>Student Innovation Projects (live-client team projects)</t>
        </is>
      </c>
      <c r="I306" s="77" t="inlineStr"/>
      <c r="J306"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06" s="77" t="inlineStr">
        <is>
          <t>Careers, Employability and Student Enterprise</t>
        </is>
      </c>
      <c r="L306" s="77" t="inlineStr">
        <is>
          <t>Currently registered undergraduate and postgraduate students of any discipline who can commit to the full duration; places are competitive/applied for.</t>
        </is>
      </c>
      <c r="M306" s="77" t="inlineStr">
        <is>
          <t>Central provision</t>
        </is>
      </c>
      <c r="N306" s="77" t="inlineStr">
        <is>
          <t>Mixed</t>
        </is>
      </c>
      <c r="O306" s="77" t="inlineStr">
        <is>
          <t>Any</t>
        </is>
      </c>
      <c r="P306" s="77" t="inlineStr">
        <is>
          <t>Must apply; must be currently studying and able to commit to the 4 weeks; admissions/selection apply.</t>
        </is>
      </c>
      <c r="Q306" s="77" t="inlineStr">
        <is>
          <t>Selective/competitive</t>
        </is>
      </c>
      <c r="R306" s="77" t="inlineStr">
        <is>
          <t>Extracurricular</t>
        </is>
      </c>
      <c r="S306" s="77" t="inlineStr">
        <is>
          <t>No credit evidenced; co-curricular.</t>
        </is>
      </c>
      <c r="T306" s="77" t="inlineStr">
        <is>
          <t>About 4 weeks, 4-6 hours per week (older client guides: 6 weeks)</t>
        </is>
      </c>
      <c r="U306" s="77" t="inlineStr">
        <is>
          <t>Mix of virtual and in-person team meetings; kick-off training; client meetings.</t>
        </is>
      </c>
      <c r="V306" s="77" t="inlineStr">
        <is>
          <t>Yes</t>
        </is>
      </c>
      <c r="W306" s="77" t="inlineStr">
        <is>
          <t>Source 1/2: team works on a client-briefed business challenge and produces a final report and presentation; client brief approved by the University.</t>
        </is>
      </c>
      <c r="X306" s="77" t="inlineStr">
        <is>
          <t>Yes</t>
        </is>
      </c>
      <c r="Y306" s="77" t="inlineStr">
        <is>
          <t>Source 1/2: students work 'in small, interdisciplinary teams' (older guides 4-5; Innovation Challenge page 3-5).</t>
        </is>
      </c>
      <c r="Z306" s="77" t="inlineStr">
        <is>
          <t>Yes</t>
        </is>
      </c>
      <c r="AA306" s="77" t="inlineStr">
        <is>
          <t>Source 1/2: organisations submit a project brief for University approval, meet the team, and are asked to attend the student presentation and final report submission (client receives output).</t>
        </is>
      </c>
      <c r="AB306" s="77" t="inlineStr">
        <is>
          <t>Mixed</t>
        </is>
      </c>
      <c r="AC306" s="77" t="inlineStr">
        <is>
          <t>Business or non-profit client sets brief, meets team, attends final presentation and receives report.</t>
        </is>
      </c>
      <c r="AD306" s="77" t="inlineStr"/>
      <c r="AE306" s="77" t="inlineStr">
        <is>
          <t>Final report and client presentation</t>
        </is>
      </c>
      <c r="AF306" s="77">
        <f>IF(OR(V306="No",X306="No",Z306="No"),"Outside strict definition",IF(AND(V306="Yes",X306="Yes",Z306="Yes"),"Meets all three","Potentially relevant; evidence incomplete"))</f>
        <v/>
      </c>
      <c r="AG306" s="77" t="inlineStr">
        <is>
          <t>Current delivery confirmed</t>
        </is>
      </c>
      <c r="AH306" s="77" t="inlineStr">
        <is>
          <t>2025/26</t>
        </is>
      </c>
      <c r="AI306" s="77" t="inlineStr">
        <is>
          <t>Yes</t>
        </is>
      </c>
      <c r="AJ306" s="77">
        <f>IF(AND(AI306="Yes",AF306="Meets all three",AG306="Current delivery confirmed"),"Yes","No")</f>
        <v/>
      </c>
      <c r="AK306" s="77" t="inlineStr">
        <is>
          <t>'Up to 250 students per year' (search summary of a Southampton page; page date unclear).</t>
        </is>
      </c>
      <c r="AL306" s="77" t="inlineStr">
        <is>
          <t>RG21-S01-R1; RG21-S01-R2; RG21-S01-R3</t>
        </is>
      </c>
      <c r="AM306"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06" s="77" t="inlineStr">
        <is>
          <t>Student Innovation Projects and Challenges</t>
        </is>
      </c>
      <c r="AO306" s="77" t="inlineStr">
        <is>
          <t>UK</t>
        </is>
      </c>
      <c r="AP306" s="77" t="inlineStr">
        <is>
          <t>UK – Russell Group</t>
        </is>
      </c>
      <c r="AQ306" s="77" t="inlineStr">
        <is>
          <t>1–4 weeks</t>
        </is>
      </c>
      <c r="AR306" s="77" t="inlineStr">
        <is>
          <t>All/standard</t>
        </is>
      </c>
      <c r="AS306" s="77" t="inlineStr"/>
    </row>
    <row r="307">
      <c r="A307" s="77" t="inlineStr">
        <is>
          <t>RG21</t>
        </is>
      </c>
      <c r="B307" s="77" t="inlineStr">
        <is>
          <t>Southampton</t>
        </is>
      </c>
      <c r="C307" s="77" t="inlineStr">
        <is>
          <t>University-wide</t>
        </is>
      </c>
      <c r="D307" s="77" t="inlineStr">
        <is>
          <t>RG21-S02</t>
        </is>
      </c>
      <c r="E307" s="77" t="inlineStr"/>
      <c r="F307" s="77" t="inlineStr">
        <is>
          <t>No</t>
        </is>
      </c>
      <c r="G307" s="79" t="inlineStr">
        <is>
          <t>Student Innovation Challenge</t>
        </is>
      </c>
      <c r="H307" s="77" t="inlineStr">
        <is>
          <t>Student Innovation Challenge (Easter and Summer, 4-day employer challenge)</t>
        </is>
      </c>
      <c r="I307" s="77" t="inlineStr"/>
      <c r="J307" s="77" t="inlineStr">
        <is>
          <t>Intensive four-day project, run in the Easter and summer vacations, in which teams of 3-5 students tackle a real business challenge set by an employer, with a prize for the winning team.</t>
        </is>
      </c>
      <c r="K307" s="77" t="inlineStr">
        <is>
          <t>Careers, Employability and Student Enterprise</t>
        </is>
      </c>
      <c r="L307" s="77" t="inlineStr">
        <is>
          <t>Open to students from any degree (application).</t>
        </is>
      </c>
      <c r="M307" s="77" t="inlineStr">
        <is>
          <t>Central provision</t>
        </is>
      </c>
      <c r="N307" s="77" t="inlineStr">
        <is>
          <t>Mixed</t>
        </is>
      </c>
      <c r="O307" s="77" t="inlineStr"/>
      <c r="P307" s="77" t="inlineStr">
        <is>
          <t>Application; places capped.</t>
        </is>
      </c>
      <c r="Q307" s="77" t="inlineStr">
        <is>
          <t>Selective/competitive</t>
        </is>
      </c>
      <c r="R307" s="77" t="inlineStr">
        <is>
          <t>Extracurricular</t>
        </is>
      </c>
      <c r="S307" s="77" t="inlineStr">
        <is>
          <t>No credit evidenced.</t>
        </is>
      </c>
      <c r="T307" s="77" t="inlineStr">
        <is>
          <t>4 days</t>
        </is>
      </c>
      <c r="U307" s="77" t="inlineStr">
        <is>
          <t>Intensive vacation project; employer-provided challenge.</t>
        </is>
      </c>
      <c r="V307" s="77" t="inlineStr">
        <is>
          <t>Yes</t>
        </is>
      </c>
      <c r="W307" s="77" t="inlineStr">
        <is>
          <t>Source 1/2: team works on an employer-set business challenge for four days; client brief form (title, background, business need) approved by University (older guide). Defined output not explicitly quoted beyond team solution/presentation.</t>
        </is>
      </c>
      <c r="X307" s="77" t="inlineStr">
        <is>
          <t>Yes</t>
        </is>
      </c>
      <c r="Y307" s="77" t="inlineStr">
        <is>
          <t>Source 1/2: teams of 3-5 students (4-5 in the 2025-26 guide).</t>
        </is>
      </c>
      <c r="Z307" s="77" t="inlineStr">
        <is>
          <t>Yes</t>
        </is>
      </c>
      <c r="AA307" s="77" t="inlineStr">
        <is>
          <t>Source 1/2/3: employers submit a Client Brief Form and Client Agreement; challenge is 'from top employers'; (2021/22 guide) employers receive the team solutions and judge for the prize.</t>
        </is>
      </c>
      <c r="AB307" s="77" t="inlineStr">
        <is>
          <t>Business/commercial</t>
        </is>
      </c>
      <c r="AC307" s="77" t="inlineStr">
        <is>
          <t>Employer sets the challenge brief and engages with the teams.</t>
        </is>
      </c>
      <c r="AD307" s="77" t="inlineStr"/>
      <c r="AE307" s="77" t="inlineStr">
        <is>
          <t>Team solution/presentation to the employer (output form not quoted)</t>
        </is>
      </c>
      <c r="AF307" s="77">
        <f>IF(OR(V307="No",X307="No",Z307="No"),"Outside strict definition",IF(AND(V307="Yes",X307="Yes",Z307="Yes"),"Meets all three","Potentially relevant; evidence incomplete"))</f>
        <v/>
      </c>
      <c r="AG307" s="77" t="inlineStr">
        <is>
          <t>Current delivery confirmed</t>
        </is>
      </c>
      <c r="AH307" s="77" t="inlineStr">
        <is>
          <t>2025/26</t>
        </is>
      </c>
      <c r="AI307" s="77" t="inlineStr">
        <is>
          <t>Yes</t>
        </is>
      </c>
      <c r="AJ307" s="77">
        <f>IF(AND(AI307="Yes",AF307="Meets all three",AG307="Current delivery confirmed"),"Yes","No")</f>
        <v/>
      </c>
      <c r="AK307" s="77" t="inlineStr">
        <is>
          <t>'Limited to up to 100 students per year' (search summary; page date unclear).</t>
        </is>
      </c>
      <c r="AL307" s="77" t="inlineStr">
        <is>
          <t>RG21-S02-R1; RG21-S02-R2; RG21-S02-R3</t>
        </is>
      </c>
      <c r="AM307" s="77" t="inlineStr">
        <is>
          <t>Specific 2026 Easter/summer dates and named employers not found; defined output stated only indirectly (4-day format, so duration_band &lt;1 week).</t>
        </is>
      </c>
      <c r="AN307" s="77" t="inlineStr">
        <is>
          <t>Student Innovation Projects and Challenges (Innovation Challenge component)</t>
        </is>
      </c>
      <c r="AO307" s="77" t="inlineStr">
        <is>
          <t>UK</t>
        </is>
      </c>
      <c r="AP307" s="77" t="inlineStr">
        <is>
          <t>UK – Russell Group</t>
        </is>
      </c>
      <c r="AQ307" s="77" t="inlineStr">
        <is>
          <t>&lt;1 week</t>
        </is>
      </c>
      <c r="AR307" s="77" t="inlineStr">
        <is>
          <t>All/standard</t>
        </is>
      </c>
      <c r="AS307" s="77" t="inlineStr"/>
    </row>
    <row r="308">
      <c r="A308" s="77" t="inlineStr">
        <is>
          <t>RG21</t>
        </is>
      </c>
      <c r="B308" s="77" t="inlineStr">
        <is>
          <t>Southampton</t>
        </is>
      </c>
      <c r="C308" s="77" t="inlineStr">
        <is>
          <t>Programme/course</t>
        </is>
      </c>
      <c r="D308" s="77" t="inlineStr">
        <is>
          <t>RG21-S03</t>
        </is>
      </c>
      <c r="E308" s="77" t="inlineStr"/>
      <c r="F308" s="77" t="inlineStr">
        <is>
          <t>No</t>
        </is>
      </c>
      <c r="G308" s="79" t="inlineStr">
        <is>
          <t>Leading Sustainability, Innovation and Change (MBA live consulting project)</t>
        </is>
      </c>
      <c r="H308" s="77" t="inlineStr">
        <is>
          <t>MBA: Leading Sustainability, Innovation and Change - live group consulting project</t>
        </is>
      </c>
      <c r="I308" s="77" t="inlineStr"/>
      <c r="J308"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08" s="77" t="inlineStr">
        <is>
          <t>Southampton Business School</t>
        </is>
      </c>
      <c r="L308" s="77" t="inlineStr">
        <is>
          <t>MBA (full-time) and Global Executive MBA students</t>
        </is>
      </c>
      <c r="M308" s="77" t="inlineStr">
        <is>
          <t>Business/management</t>
        </is>
      </c>
      <c r="N308" s="77" t="inlineStr">
        <is>
          <t>Postgraduate taught</t>
        </is>
      </c>
      <c r="O308" s="77" t="inlineStr"/>
      <c r="P308" s="77" t="inlineStr"/>
      <c r="Q308" s="77" t="inlineStr">
        <is>
          <t>Compulsory within specified programmes</t>
        </is>
      </c>
      <c r="R308" s="77" t="inlineStr">
        <is>
          <t>Curricular</t>
        </is>
      </c>
      <c r="S308" s="77" t="inlineStr">
        <is>
          <t>Module component; credit weighting for the project not extracted.</t>
        </is>
      </c>
      <c r="T308" s="77" t="inlineStr">
        <is>
          <t>Part of a Semester 2 module (residential/study trip)</t>
        </is>
      </c>
      <c r="U308" s="77" t="inlineStr">
        <is>
          <t>Southampton teaching plus international study trip/residential; group consulting project</t>
        </is>
      </c>
      <c r="V308" s="77" t="inlineStr">
        <is>
          <t>Yes</t>
        </is>
      </c>
      <c r="W308" s="77" t="inlineStr">
        <is>
          <t>Source 1/2: 'live' group consulting project / consultancy project applying module learning to a business problem.</t>
        </is>
      </c>
      <c r="X308" s="77" t="inlineStr">
        <is>
          <t>Yes</t>
        </is>
      </c>
      <c r="Y308" s="77" t="inlineStr">
        <is>
          <t>Source 2: team of 5 to 7 students (Global Executive MBA); 2020-21 spec 4-6 per group.</t>
        </is>
      </c>
      <c r="Z308" s="77" t="inlineStr">
        <is>
          <t>Yes</t>
        </is>
      </c>
      <c r="AA308" s="77" t="inlineStr">
        <is>
          <t>Source 1/2: project is for a client/local organisation ('live' project with a client company).</t>
        </is>
      </c>
      <c r="AB308" s="77" t="inlineStr">
        <is>
          <t>Unclear</t>
        </is>
      </c>
      <c r="AC308" s="77" t="inlineStr">
        <is>
          <t>Client/local organisation hosts the live consultancy project; sector and how the client assesses/receives output not extracted.</t>
        </is>
      </c>
      <c r="AD308" s="77" t="inlineStr"/>
      <c r="AE308" s="77" t="inlineStr">
        <is>
          <t>Group consultancy project output for the client (report/presentation; form not quoted)</t>
        </is>
      </c>
      <c r="AF308" s="77">
        <f>IF(OR(V308="No",X308="No",Z308="No"),"Outside strict definition",IF(AND(V308="Yes",X308="Yes",Z308="Yes"),"Meets all three","Potentially relevant; evidence incomplete"))</f>
        <v/>
      </c>
      <c r="AG308" s="77" t="inlineStr">
        <is>
          <t>Current delivery confirmed</t>
        </is>
      </c>
      <c r="AH308" s="77" t="inlineStr">
        <is>
          <t>2026</t>
        </is>
      </c>
      <c r="AI308" s="77" t="inlineStr">
        <is>
          <t>Yes</t>
        </is>
      </c>
      <c r="AJ308" s="77">
        <f>IF(AND(AI308="Yes",AF308="Meets all three",AG308="Current delivery confirmed"),"Yes","No")</f>
        <v/>
      </c>
      <c r="AK308" s="77" t="inlineStr"/>
      <c r="AL308" s="77" t="inlineStr">
        <is>
          <t>RG21-S03-R1; RG21-S03-R2; RG21-S03-R3</t>
        </is>
      </c>
      <c r="AM308"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08" s="77" t="inlineStr"/>
      <c r="AO308" s="77" t="inlineStr">
        <is>
          <t>UK</t>
        </is>
      </c>
      <c r="AP308" s="77" t="inlineStr">
        <is>
          <t>UK – Russell Group</t>
        </is>
      </c>
      <c r="AQ308" s="77" t="inlineStr">
        <is>
          <t>Unclear</t>
        </is>
      </c>
      <c r="AR308" s="77" t="inlineStr">
        <is>
          <t>All/standard</t>
        </is>
      </c>
      <c r="AS308" s="77" t="inlineStr"/>
    </row>
    <row r="309">
      <c r="A309" s="77" t="inlineStr">
        <is>
          <t>RG21</t>
        </is>
      </c>
      <c r="B309" s="77" t="inlineStr">
        <is>
          <t>Southampton</t>
        </is>
      </c>
      <c r="C309" s="77" t="inlineStr">
        <is>
          <t>Programme/course</t>
        </is>
      </c>
      <c r="D309" s="77" t="inlineStr">
        <is>
          <t>RG21-S04</t>
        </is>
      </c>
      <c r="E309" s="77" t="inlineStr"/>
      <c r="F309" s="77" t="inlineStr">
        <is>
          <t>No</t>
        </is>
      </c>
      <c r="G309" s="79" t="inlineStr">
        <is>
          <t>Online Master in Management (MiM) live consulting module</t>
        </is>
      </c>
      <c r="H309" s="77" t="inlineStr">
        <is>
          <t>Online MiM: live group consulting project for an international client</t>
        </is>
      </c>
      <c r="I309" s="77" t="inlineStr"/>
      <c r="J309" s="77" t="inlineStr">
        <is>
          <t>A 15-credit module on the online Master in Management with a live group consulting project for an international client, ending in a group presentation and project report.</t>
        </is>
      </c>
      <c r="K309" s="77" t="inlineStr">
        <is>
          <t>Southampton Business School (online)</t>
        </is>
      </c>
      <c r="L309" s="77" t="inlineStr">
        <is>
          <t>Online MiM students</t>
        </is>
      </c>
      <c r="M309" s="77" t="inlineStr">
        <is>
          <t>Business/management</t>
        </is>
      </c>
      <c r="N309" s="77" t="inlineStr">
        <is>
          <t>Postgraduate taught</t>
        </is>
      </c>
      <c r="O309" s="77" t="inlineStr"/>
      <c r="P309" s="77" t="inlineStr"/>
      <c r="Q309" s="77" t="inlineStr">
        <is>
          <t>Compulsory within specified programmes</t>
        </is>
      </c>
      <c r="R309" s="77" t="inlineStr">
        <is>
          <t>Curricular</t>
        </is>
      </c>
      <c r="S309" s="77" t="inlineStr">
        <is>
          <t>15 credits (module)</t>
        </is>
      </c>
      <c r="T309" s="77" t="inlineStr">
        <is>
          <t>Unclear</t>
        </is>
      </c>
      <c r="U309" s="77" t="inlineStr">
        <is>
          <t>Online</t>
        </is>
      </c>
      <c r="V309" s="77" t="inlineStr">
        <is>
          <t>Yes</t>
        </is>
      </c>
      <c r="W309" s="77" t="inlineStr">
        <is>
          <t>Source 1: live group consulting project culminating in a project report and presentation.</t>
        </is>
      </c>
      <c r="X309" s="77" t="inlineStr">
        <is>
          <t>Yes</t>
        </is>
      </c>
      <c r="Y309" s="77" t="inlineStr">
        <is>
          <t>Source 1: 'live group consulting project'.</t>
        </is>
      </c>
      <c r="Z309" s="77" t="inlineStr">
        <is>
          <t>Yes</t>
        </is>
      </c>
      <c r="AA309" s="77" t="inlineStr">
        <is>
          <t>Source 1: client is an international client for the live project; how the client participates (brief, feedback) not extracted.</t>
        </is>
      </c>
      <c r="AB309" s="77" t="inlineStr">
        <is>
          <t>Unclear</t>
        </is>
      </c>
      <c r="AC309" s="77" t="inlineStr">
        <is>
          <t>International client; type and role not extracted.</t>
        </is>
      </c>
      <c r="AD309" s="77" t="inlineStr"/>
      <c r="AE309" s="77" t="inlineStr">
        <is>
          <t>Group project report and presentation</t>
        </is>
      </c>
      <c r="AF309" s="77">
        <f>IF(OR(V309="No",X309="No",Z309="No"),"Outside strict definition",IF(AND(V309="Yes",X309="Yes",Z309="Yes"),"Meets all three","Potentially relevant; evidence incomplete"))</f>
        <v/>
      </c>
      <c r="AG309" s="77" t="inlineStr">
        <is>
          <t>Current status unclear</t>
        </is>
      </c>
      <c r="AH309" s="77" t="inlineStr"/>
      <c r="AI309" s="77" t="inlineStr">
        <is>
          <t>Yes</t>
        </is>
      </c>
      <c r="AJ309" s="77">
        <f>IF(AND(AI309="Yes",AF309="Meets all three",AG309="Current delivery confirmed"),"Yes","No")</f>
        <v/>
      </c>
      <c r="AK309" s="77" t="inlineStr"/>
      <c r="AL309" s="77" t="inlineStr">
        <is>
          <t>RG21-S04-R1</t>
        </is>
      </c>
      <c r="AM309" s="77" t="inlineStr">
        <is>
          <t>Page undated; module code, delivery year, client type and client role not retrieved. Possibly the online delivery of the MBA module S3 (not confirmed), so not counted as a clear separate route.</t>
        </is>
      </c>
      <c r="AN309" s="77" t="inlineStr"/>
      <c r="AO309" s="77" t="inlineStr">
        <is>
          <t>UK</t>
        </is>
      </c>
      <c r="AP309" s="77" t="inlineStr">
        <is>
          <t>UK – Russell Group</t>
        </is>
      </c>
      <c r="AQ309" s="77" t="inlineStr">
        <is>
          <t>Unclear</t>
        </is>
      </c>
      <c r="AR309" s="77" t="inlineStr">
        <is>
          <t>Unclear</t>
        </is>
      </c>
      <c r="AS309" s="77" t="inlineStr"/>
    </row>
    <row r="310">
      <c r="A310" s="77" t="inlineStr">
        <is>
          <t>RG21</t>
        </is>
      </c>
      <c r="B310" s="77" t="inlineStr">
        <is>
          <t>Southampton</t>
        </is>
      </c>
      <c r="C310" s="77" t="inlineStr">
        <is>
          <t>Programme/course</t>
        </is>
      </c>
      <c r="D310" s="77" t="inlineStr">
        <is>
          <t>RG21-S05</t>
        </is>
      </c>
      <c r="E310" s="77" t="inlineStr"/>
      <c r="F310" s="77" t="inlineStr">
        <is>
          <t>No</t>
        </is>
      </c>
      <c r="G310" s="79" t="inlineStr">
        <is>
          <t>Interdisciplinary Group Project (FEEG6046)</t>
        </is>
      </c>
      <c r="H310" s="77" t="inlineStr">
        <is>
          <t>Interdisciplinary Group Project - CDT in Complex Integrated Systems for Defence and Security</t>
        </is>
      </c>
      <c r="I310" s="77" t="inlineStr">
        <is>
          <t>FEEG6046</t>
        </is>
      </c>
      <c r="J310"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10" s="77" t="inlineStr">
        <is>
          <t>CDT in Complex Integrated Systems for Defence and Security (Faculty of Engineering and Physical Sciences)</t>
        </is>
      </c>
      <c r="L310" s="77" t="inlineStr">
        <is>
          <t>CDT cohort students (module is compulsory; no referral)</t>
        </is>
      </c>
      <c r="M310" s="77" t="inlineStr">
        <is>
          <t>Engineering/computing</t>
        </is>
      </c>
      <c r="N310" s="77" t="inlineStr">
        <is>
          <t>Postgraduate research</t>
        </is>
      </c>
      <c r="O310" s="77" t="inlineStr">
        <is>
          <t>Year 1 (Semester 2)</t>
        </is>
      </c>
      <c r="P310" s="77" t="inlineStr">
        <is>
          <t>CDT cohort only.</t>
        </is>
      </c>
      <c r="Q310" s="77" t="inlineStr">
        <is>
          <t>Compulsory within specified programmes</t>
        </is>
      </c>
      <c r="R310" s="77" t="inlineStr">
        <is>
          <t>Curricular</t>
        </is>
      </c>
      <c r="S310" s="77" t="inlineStr">
        <is>
          <t>30 CATS (15 ECTS), Level 7; 2026-27 page lists technical report and video/audio recording; 2025-26 page lists group report/presentation 60% + individual contribution 40%.</t>
        </is>
      </c>
      <c r="T310" s="77" t="inlineStr">
        <is>
          <t>Semester 2</t>
        </is>
      </c>
      <c r="U310" s="77" t="inlineStr">
        <is>
          <t>Team project with supervisor and industrial advisor; interim review with industry partner.</t>
        </is>
      </c>
      <c r="V310" s="77" t="inlineStr">
        <is>
          <t>Yes</t>
        </is>
      </c>
      <c r="W310" s="77" t="inlineStr">
        <is>
          <t>Source 1: teams address a real-world problem set by industry or government partners and produce a demonstration plus report.</t>
        </is>
      </c>
      <c r="X310" s="77" t="inlineStr">
        <is>
          <t>Yes</t>
        </is>
      </c>
      <c r="Y310" s="77" t="inlineStr">
        <is>
          <t>Source 1: expected group size around 4, groups formed at start of Semester 2.</t>
        </is>
      </c>
      <c r="Z310" s="77" t="inlineStr">
        <is>
          <t>Yes</t>
        </is>
      </c>
      <c r="AA310" s="77" t="inlineStr">
        <is>
          <t>Source 1: problems set by industry/government partners; each team has an industrial advisor; industrial partner attends the week-1 meeting and mid-semester interim review (formative feedback); possible industry forum presentation.</t>
        </is>
      </c>
      <c r="AB310" s="77" t="inlineStr">
        <is>
          <t>Mixed</t>
        </is>
      </c>
      <c r="AC310" s="77" t="inlineStr">
        <is>
          <t>Industry or government partners set problem, advise, give formative feedback at interim review.</t>
        </is>
      </c>
      <c r="AD310" s="77" t="inlineStr"/>
      <c r="AE310" s="77" t="inlineStr">
        <is>
          <t>Demonstration of solution, group report and video</t>
        </is>
      </c>
      <c r="AF310" s="77">
        <f>IF(OR(V310="No",X310="No",Z310="No"),"Outside strict definition",IF(AND(V310="Yes",X310="Yes",Z310="Yes"),"Meets all three","Potentially relevant; evidence incomplete"))</f>
        <v/>
      </c>
      <c r="AG310" s="77" t="inlineStr">
        <is>
          <t>Current delivery confirmed</t>
        </is>
      </c>
      <c r="AH310" s="77" t="inlineStr">
        <is>
          <t>2026/27</t>
        </is>
      </c>
      <c r="AI310" s="77" t="inlineStr">
        <is>
          <t>Yes</t>
        </is>
      </c>
      <c r="AJ310" s="77">
        <f>IF(AND(AI310="Yes",AF310="Meets all three",AG310="Current delivery confirmed"),"Yes","No")</f>
        <v/>
      </c>
      <c r="AK310" s="77" t="inlineStr"/>
      <c r="AL310" s="77" t="inlineStr">
        <is>
          <t>RG21-S05-R1; RG21-S05-R2</t>
        </is>
      </c>
      <c r="AM310" s="77" t="inlineStr">
        <is>
          <t>Partner names not published. Cohort is a small CDT group; partner coverage inferred from module description stating problems are set by industry or government partners.</t>
        </is>
      </c>
      <c r="AN310" s="77" t="inlineStr"/>
      <c r="AO310" s="77" t="inlineStr">
        <is>
          <t>UK</t>
        </is>
      </c>
      <c r="AP310" s="77" t="inlineStr">
        <is>
          <t>UK – Russell Group</t>
        </is>
      </c>
      <c r="AQ310" s="77" t="inlineStr">
        <is>
          <t>~1 term/semester</t>
        </is>
      </c>
      <c r="AR310" s="77" t="inlineStr">
        <is>
          <t>All/standard</t>
        </is>
      </c>
      <c r="AS310" s="77" t="inlineStr"/>
    </row>
    <row r="311">
      <c r="A311" s="77" t="inlineStr">
        <is>
          <t>RG21</t>
        </is>
      </c>
      <c r="B311" s="77" t="inlineStr">
        <is>
          <t>Southampton</t>
        </is>
      </c>
      <c r="C311" s="77" t="inlineStr">
        <is>
          <t>Programme/course</t>
        </is>
      </c>
      <c r="D311" s="77" t="inlineStr">
        <is>
          <t>RG21-S06</t>
        </is>
      </c>
      <c r="E311" s="77" t="inlineStr"/>
      <c r="F311" s="77" t="inlineStr">
        <is>
          <t>No</t>
        </is>
      </c>
      <c r="G311" s="79" t="inlineStr">
        <is>
          <t>Interdisciplinary Team Project (SUST6003)</t>
        </is>
      </c>
      <c r="H311" s="77" t="inlineStr">
        <is>
          <t>Interdisciplinary Team Project - AI for Sustainability doctoral programme</t>
        </is>
      </c>
      <c r="I311" s="77" t="inlineStr">
        <is>
          <t>SUST6003</t>
        </is>
      </c>
      <c r="J311"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11" s="77" t="inlineStr">
        <is>
          <t>Doctoral Training Centre for AI for Sustainability</t>
        </is>
      </c>
      <c r="L311" s="77" t="inlineStr">
        <is>
          <t>AI for Sustainability doctoral programme entrants (compulsory)</t>
        </is>
      </c>
      <c r="M311" s="77" t="inlineStr">
        <is>
          <t>Engineering/computing; Science</t>
        </is>
      </c>
      <c r="N311" s="77" t="inlineStr">
        <is>
          <t>Postgraduate research</t>
        </is>
      </c>
      <c r="O311" s="77" t="inlineStr"/>
      <c r="P311" s="77" t="inlineStr"/>
      <c r="Q311" s="77" t="inlineStr">
        <is>
          <t>Compulsory within specified programmes</t>
        </is>
      </c>
      <c r="R311" s="77" t="inlineStr">
        <is>
          <t>Curricular</t>
        </is>
      </c>
      <c r="S311" s="77" t="inlineStr">
        <is>
          <t>30 CATS (15 ECTS), Level 7</t>
        </is>
      </c>
      <c r="T311" s="77" t="inlineStr">
        <is>
          <t>Semester 2</t>
        </is>
      </c>
      <c r="U311" s="77" t="inlineStr">
        <is>
          <t>Team project; starts with 2-day Software Carpentry workshop</t>
        </is>
      </c>
      <c r="V311" s="77" t="inlineStr">
        <is>
          <t>Yes</t>
        </is>
      </c>
      <c r="W311" s="77" t="inlineStr">
        <is>
          <t>Source 1: teams address a real-world sustainability problem and produce a demonstration.</t>
        </is>
      </c>
      <c r="X311" s="77" t="inlineStr">
        <is>
          <t>Yes</t>
        </is>
      </c>
      <c r="Y311" s="77" t="inlineStr">
        <is>
          <t>Source 1: 'Teams of students will work together'.</t>
        </is>
      </c>
      <c r="Z311" s="77" t="inlineStr">
        <is>
          <t>Yes</t>
        </is>
      </c>
      <c r="AA311" s="77" t="inlineStr">
        <is>
          <t>Source 1: problem set by industry and government partners; each team has an industry advisor.</t>
        </is>
      </c>
      <c r="AB311" s="77" t="inlineStr">
        <is>
          <t>Mixed</t>
        </is>
      </c>
      <c r="AC311" s="77" t="inlineStr">
        <is>
          <t>Industry and government partners set the problem and advise via an industry advisor.</t>
        </is>
      </c>
      <c r="AD311" s="77" t="inlineStr"/>
      <c r="AE311" s="77" t="inlineStr">
        <is>
          <t>Demonstration of solution</t>
        </is>
      </c>
      <c r="AF311" s="77">
        <f>IF(OR(V311="No",X311="No",Z311="No"),"Outside strict definition",IF(AND(V311="Yes",X311="Yes",Z311="Yes"),"Meets all three","Potentially relevant; evidence incomplete"))</f>
        <v/>
      </c>
      <c r="AG311" s="77" t="inlineStr">
        <is>
          <t>Current delivery confirmed</t>
        </is>
      </c>
      <c r="AH311" s="77" t="inlineStr">
        <is>
          <t>2025/26</t>
        </is>
      </c>
      <c r="AI311" s="77" t="inlineStr">
        <is>
          <t>Yes</t>
        </is>
      </c>
      <c r="AJ311" s="77">
        <f>IF(AND(AI311="Yes",AF311="Meets all three",AG311="Current delivery confirmed"),"Yes","No")</f>
        <v/>
      </c>
      <c r="AK311" s="77" t="inlineStr"/>
      <c r="AL311" s="77" t="inlineStr">
        <is>
          <t>RG21-S06-R1</t>
        </is>
      </c>
      <c r="AM311" s="77" t="inlineStr">
        <is>
          <t>2026/27 module page not retrieved; team size and partner names not shown. Module lead and cohort small.</t>
        </is>
      </c>
      <c r="AN311" s="77" t="inlineStr"/>
      <c r="AO311" s="77" t="inlineStr">
        <is>
          <t>UK</t>
        </is>
      </c>
      <c r="AP311" s="77" t="inlineStr">
        <is>
          <t>UK – Russell Group</t>
        </is>
      </c>
      <c r="AQ311" s="77" t="inlineStr">
        <is>
          <t>~1 term/semester</t>
        </is>
      </c>
      <c r="AR311" s="77" t="inlineStr">
        <is>
          <t>All/standard</t>
        </is>
      </c>
      <c r="AS311" s="77" t="inlineStr"/>
    </row>
    <row r="312">
      <c r="A312" s="77" t="inlineStr">
        <is>
          <t>RG21</t>
        </is>
      </c>
      <c r="B312" s="77" t="inlineStr">
        <is>
          <t>Southampton</t>
        </is>
      </c>
      <c r="C312" s="77" t="inlineStr">
        <is>
          <t>Programme/course</t>
        </is>
      </c>
      <c r="D312" s="77" t="inlineStr">
        <is>
          <t>RG21-S07</t>
        </is>
      </c>
      <c r="E312" s="77" t="inlineStr"/>
      <c r="F312" s="77" t="inlineStr">
        <is>
          <t>No</t>
        </is>
      </c>
      <c r="G312" s="79" t="inlineStr">
        <is>
          <t>Interdisciplinary Team Project (MIND6003)</t>
        </is>
      </c>
      <c r="H312" s="77" t="inlineStr">
        <is>
          <t>Interdisciplinary Team Project - MINDS CDT</t>
        </is>
      </c>
      <c r="I312" s="77" t="inlineStr">
        <is>
          <t>MIND6003</t>
        </is>
      </c>
      <c r="J312"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12" s="77" t="inlineStr">
        <is>
          <t>MINDS CDT</t>
        </is>
      </c>
      <c r="L312" s="77" t="inlineStr">
        <is>
          <t>MINDS CDT cohort</t>
        </is>
      </c>
      <c r="M312" s="77" t="inlineStr">
        <is>
          <t>Engineering/computing</t>
        </is>
      </c>
      <c r="N312" s="77" t="inlineStr">
        <is>
          <t>Postgraduate research</t>
        </is>
      </c>
      <c r="O312" s="77" t="inlineStr"/>
      <c r="P312" s="77" t="inlineStr"/>
      <c r="Q312" s="77" t="inlineStr">
        <is>
          <t>Compulsory within specified programmes</t>
        </is>
      </c>
      <c r="R312" s="77" t="inlineStr">
        <is>
          <t>Curricular</t>
        </is>
      </c>
      <c r="S312" s="77" t="inlineStr">
        <is>
          <t>30 CATS, Level 7</t>
        </is>
      </c>
      <c r="T312" s="77" t="inlineStr">
        <is>
          <t>Semester 2</t>
        </is>
      </c>
      <c r="U312" s="77" t="inlineStr">
        <is>
          <t>Team project; DemoFest in final week</t>
        </is>
      </c>
      <c r="V312" s="77" t="inlineStr">
        <is>
          <t>Yes</t>
        </is>
      </c>
      <c r="W312" s="77" t="inlineStr">
        <is>
          <t>Source 1: practical problem, integrated solution, demonstrated at DemoFest.</t>
        </is>
      </c>
      <c r="X312" s="77" t="inlineStr">
        <is>
          <t>Yes</t>
        </is>
      </c>
      <c r="Y312" s="77" t="inlineStr">
        <is>
          <t>Source 1: teams.</t>
        </is>
      </c>
      <c r="Z312" s="77" t="inlineStr">
        <is>
          <t>Yes</t>
        </is>
      </c>
      <c r="AA312" s="77" t="inlineStr">
        <is>
          <t>Source 1: problem set by outside partners; industry advisor per team.</t>
        </is>
      </c>
      <c r="AB312" s="77" t="inlineStr">
        <is>
          <t>Business/commercial</t>
        </is>
      </c>
      <c r="AC312" s="77" t="inlineStr">
        <is>
          <t>Outside (industry) partners set the problem; industry advisors. CDT partners named generically (Roke Manor, Thales, Intel, NXP in 2019 CDT news) not tied to this module.</t>
        </is>
      </c>
      <c r="AD312" s="77" t="inlineStr"/>
      <c r="AE312" s="77" t="inlineStr">
        <is>
          <t>Integrated electronics+AI solution demonstrated at DemoFest</t>
        </is>
      </c>
      <c r="AF312" s="77">
        <f>IF(OR(V312="No",X312="No",Z312="No"),"Outside strict definition",IF(AND(V312="Yes",X312="Yes",Z312="Yes"),"Meets all three","Potentially relevant; evidence incomplete"))</f>
        <v/>
      </c>
      <c r="AG312" s="77" t="inlineStr">
        <is>
          <t>Current status unclear</t>
        </is>
      </c>
      <c r="AH312" s="77" t="inlineStr">
        <is>
          <t>2023/24</t>
        </is>
      </c>
      <c r="AI312" s="77" t="inlineStr">
        <is>
          <t>Yes</t>
        </is>
      </c>
      <c r="AJ312" s="77">
        <f>IF(AND(AI312="Yes",AF312="Meets all three",AG312="Current delivery confirmed"),"Yes","No")</f>
        <v/>
      </c>
      <c r="AK312" s="77" t="inlineStr"/>
      <c r="AL312" s="77" t="inlineStr">
        <is>
          <t>RG21-S07-R1; RG21-S07-R2</t>
        </is>
      </c>
      <c r="AM312" s="77" t="inlineStr">
        <is>
          <t>Undated module page (module lead listed for 2023-24); no 2025/26 or 2026/27 evidence found. Partner type inferred from 'industry advisor' - 'outside partners' otherwise unspecified.</t>
        </is>
      </c>
      <c r="AN312" s="77" t="inlineStr"/>
      <c r="AO312" s="77" t="inlineStr">
        <is>
          <t>UK</t>
        </is>
      </c>
      <c r="AP312" s="77" t="inlineStr">
        <is>
          <t>UK – Russell Group</t>
        </is>
      </c>
      <c r="AQ312" s="77" t="inlineStr">
        <is>
          <t>~1 term/semester</t>
        </is>
      </c>
      <c r="AR312" s="77" t="inlineStr">
        <is>
          <t>All/standard</t>
        </is>
      </c>
      <c r="AS312" s="77" t="inlineStr"/>
    </row>
    <row r="313">
      <c r="A313" s="77" t="inlineStr">
        <is>
          <t>RG21</t>
        </is>
      </c>
      <c r="B313" s="77" t="inlineStr">
        <is>
          <t>Southampton</t>
        </is>
      </c>
      <c r="C313" s="77" t="inlineStr">
        <is>
          <t>Programme/course</t>
        </is>
      </c>
      <c r="D313" s="77" t="inlineStr">
        <is>
          <t>RG21-S08</t>
        </is>
      </c>
      <c r="E313" s="77" t="inlineStr"/>
      <c r="F313" s="77" t="inlineStr">
        <is>
          <t>No</t>
        </is>
      </c>
      <c r="G313" s="79" t="inlineStr">
        <is>
          <t>Small Scale Research Projects (PSYC8042)</t>
        </is>
      </c>
      <c r="H313" s="77" t="inlineStr">
        <is>
          <t>Doctorate in Educational Psychology: Small Scale Research Projects with a local authority partner</t>
        </is>
      </c>
      <c r="I313" s="77" t="inlineStr">
        <is>
          <t>PSYC8042</t>
        </is>
      </c>
      <c r="J313"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13" s="77" t="inlineStr">
        <is>
          <t>School of Psychology / Doctorate in Educational Psychology</t>
        </is>
      </c>
      <c r="L313" s="77" t="inlineStr">
        <is>
          <t>Doctorate in Educational Psychology trainees</t>
        </is>
      </c>
      <c r="M313" s="77" t="inlineStr">
        <is>
          <t>Arts/humanities/social sciences; Other (law, health, design, architecture…)</t>
        </is>
      </c>
      <c r="N313" s="77" t="inlineStr">
        <is>
          <t>Postgraduate taught</t>
        </is>
      </c>
      <c r="O313" s="77" t="inlineStr">
        <is>
          <t>Year 1</t>
        </is>
      </c>
      <c r="P313" s="77" t="inlineStr"/>
      <c r="Q313" s="77" t="inlineStr">
        <is>
          <t>Compulsory within specified programmes</t>
        </is>
      </c>
      <c r="R313" s="77" t="inlineStr">
        <is>
          <t>Curricular</t>
        </is>
      </c>
      <c r="S313" s="77" t="inlineStr">
        <is>
          <t>Core unit; write-up ~5,000 words (method/results collaborative); marked Fail/Low Pass/Pass/Distinction</t>
        </is>
      </c>
      <c r="T313" s="77" t="inlineStr">
        <is>
          <t>Unclear (Year 1 unit)</t>
        </is>
      </c>
      <c r="U313" s="77" t="inlineStr">
        <is>
          <t>Small-group research project</t>
        </is>
      </c>
      <c r="V313" s="77" t="inlineStr">
        <is>
          <t>Yes</t>
        </is>
      </c>
      <c r="W313" s="77" t="inlineStr">
        <is>
          <t>Source 1: trainees design and carry out a small-scale research project with ethics approval and a written report.</t>
        </is>
      </c>
      <c r="X313" s="77" t="inlineStr">
        <is>
          <t>Yes</t>
        </is>
      </c>
      <c r="Y313" s="77" t="inlineStr">
        <is>
          <t>Source 1: 'work in small groups'; method and results sections are collaborative group work (introduction and discussion individual).</t>
        </is>
      </c>
      <c r="Z313" s="77" t="inlineStr">
        <is>
          <t>Yes</t>
        </is>
      </c>
      <c r="AA313" s="77" t="inlineStr">
        <is>
          <t>Source 1: trainees work with a Local Authority Partner and module lead; (older handbook, source 2) projects are collaborative projects set by the local authority with a local authority EP and a University supervisor.</t>
        </is>
      </c>
      <c r="AB313" s="77" t="inlineStr">
        <is>
          <t>Public sector</t>
        </is>
      </c>
      <c r="AC313" s="77" t="inlineStr">
        <is>
          <t>Local authority partner works with groups and (older handbook) sets the projects; whether the LA receives the report is not extracted.</t>
        </is>
      </c>
      <c r="AD313" s="77" t="inlineStr"/>
      <c r="AE313" s="77" t="inlineStr">
        <is>
          <t>Group research project with a written report</t>
        </is>
      </c>
      <c r="AF313" s="77">
        <f>IF(OR(V313="No",X313="No",Z313="No"),"Outside strict definition",IF(AND(V313="Yes",X313="Yes",Z313="Yes"),"Meets all three","Potentially relevant; evidence incomplete"))</f>
        <v/>
      </c>
      <c r="AG313" s="77" t="inlineStr">
        <is>
          <t>Current delivery confirmed</t>
        </is>
      </c>
      <c r="AH313" s="77" t="inlineStr">
        <is>
          <t>2026/27</t>
        </is>
      </c>
      <c r="AI313" s="77" t="inlineStr">
        <is>
          <t>Yes</t>
        </is>
      </c>
      <c r="AJ313" s="77">
        <f>IF(AND(AI313="Yes",AF313="Meets all three",AG313="Current delivery confirmed"),"Yes","No")</f>
        <v/>
      </c>
      <c r="AK313" s="77" t="inlineStr"/>
      <c r="AL313" s="77" t="inlineStr">
        <is>
          <t>RG21-S08-R1; RG21-S08-R2</t>
        </is>
      </c>
      <c r="AM313"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13" s="77" t="inlineStr"/>
      <c r="AO313" s="77" t="inlineStr">
        <is>
          <t>UK</t>
        </is>
      </c>
      <c r="AP313" s="77" t="inlineStr">
        <is>
          <t>UK – Russell Group</t>
        </is>
      </c>
      <c r="AQ313" s="77" t="inlineStr">
        <is>
          <t>Unclear</t>
        </is>
      </c>
      <c r="AR313" s="77" t="inlineStr">
        <is>
          <t>All/standard</t>
        </is>
      </c>
      <c r="AS313" s="77" t="inlineStr"/>
    </row>
    <row r="314">
      <c r="A314" s="77" t="inlineStr">
        <is>
          <t>RG21</t>
        </is>
      </c>
      <c r="B314" s="77" t="inlineStr">
        <is>
          <t>Southampton</t>
        </is>
      </c>
      <c r="C314" s="77" t="inlineStr">
        <is>
          <t>Faculty/school</t>
        </is>
      </c>
      <c r="D314" s="77" t="inlineStr">
        <is>
          <t>RG21-S09</t>
        </is>
      </c>
      <c r="E314" s="77" t="inlineStr"/>
      <c r="F314" s="77" t="inlineStr">
        <is>
          <t>No</t>
        </is>
      </c>
      <c r="G314" s="79" t="inlineStr">
        <is>
          <t>Group Design Project (FEEG6013)</t>
        </is>
      </c>
      <c r="H314" s="77" t="inlineStr">
        <is>
          <t>Faculty-wide MEng Group Design Project</t>
        </is>
      </c>
      <c r="I314" s="77" t="inlineStr">
        <is>
          <t>FEEG6013</t>
        </is>
      </c>
      <c r="J314"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14" s="77" t="inlineStr">
        <is>
          <t>Faculty of Engineering and Physical Sciences</t>
        </is>
      </c>
      <c r="L314" s="77" t="inlineStr">
        <is>
          <t>Core in MEng programmes incl. Civil, Ship Science, Mechanical etc. (per programme specifications)</t>
        </is>
      </c>
      <c r="M314" s="77" t="inlineStr">
        <is>
          <t>Engineering/computing</t>
        </is>
      </c>
      <c r="N314" s="77" t="inlineStr">
        <is>
          <t>Undergraduate</t>
        </is>
      </c>
      <c r="O314" s="77" t="inlineStr">
        <is>
          <t>Final MEng year</t>
        </is>
      </c>
      <c r="P314" s="77" t="inlineStr"/>
      <c r="Q314" s="77" t="inlineStr">
        <is>
          <t>Compulsory within specified programmes</t>
        </is>
      </c>
      <c r="R314" s="77" t="inlineStr">
        <is>
          <t>Curricular</t>
        </is>
      </c>
      <c r="S314" s="77" t="inlineStr">
        <is>
          <t>45 CATS / 22.5 ECTS; group report, video, presentation plus individual design journal summary</t>
        </is>
      </c>
      <c r="T314" s="77" t="inlineStr">
        <is>
          <t>Full year (to May)</t>
        </is>
      </c>
      <c r="U314" s="77" t="inlineStr">
        <is>
          <t>Group design project with supervisor and sponsor</t>
        </is>
      </c>
      <c r="V314" s="77" t="inlineStr">
        <is>
          <t>Yes</t>
        </is>
      </c>
      <c r="W314" s="77" t="inlineStr">
        <is>
          <t>Source 1: group design problem with report, video and presentation.</t>
        </is>
      </c>
      <c r="X314" s="77" t="inlineStr">
        <is>
          <t>Yes</t>
        </is>
      </c>
      <c r="Y314" s="77" t="inlineStr">
        <is>
          <t>Source 1: groups present and submit group outputs.</t>
        </is>
      </c>
      <c r="Z314" s="77" t="inlineStr">
        <is>
          <t>Unclear</t>
        </is>
      </c>
      <c r="AA314" s="77" t="inlineStr">
        <is>
          <t>Source 1: 'any external sponsor' and 'many projects have additional sponsorship from industry' - sponsor involvement is optional/some projects.</t>
        </is>
      </c>
      <c r="AB314" s="77" t="inlineStr">
        <is>
          <t>Business/commercial</t>
        </is>
      </c>
      <c r="AC314" s="77" t="inlineStr">
        <is>
          <t>External industry sponsor (where present) meets groups and receives first-term progress presentation.</t>
        </is>
      </c>
      <c r="AD314" s="77" t="inlineStr"/>
      <c r="AE314" s="77" t="inlineStr">
        <is>
          <t>Design project report, video and final presentation</t>
        </is>
      </c>
      <c r="AF314" s="77">
        <f>IF(OR(V314="No",X314="No",Z314="No"),"Outside strict definition",IF(AND(V314="Yes",X314="Yes",Z314="Yes"),"Meets all three","Potentially relevant; evidence incomplete"))</f>
        <v/>
      </c>
      <c r="AG314" s="77" t="inlineStr">
        <is>
          <t>Current status unclear</t>
        </is>
      </c>
      <c r="AH314" s="77" t="inlineStr"/>
      <c r="AI314" s="77" t="inlineStr">
        <is>
          <t>Yes</t>
        </is>
      </c>
      <c r="AJ314" s="77">
        <f>IF(AND(AI314="Yes",AF314="Meets all three",AG314="Current delivery confirmed"),"Yes","No")</f>
        <v/>
      </c>
      <c r="AK314" s="77" t="inlineStr"/>
      <c r="AL314" s="77" t="inlineStr">
        <is>
          <t>RG21-S09-R1; RG21-S09-R2</t>
        </is>
      </c>
      <c r="AM314"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14" s="77" t="inlineStr"/>
      <c r="AO314" s="77" t="inlineStr">
        <is>
          <t>UK</t>
        </is>
      </c>
      <c r="AP314" s="77" t="inlineStr">
        <is>
          <t>UK – Russell Group</t>
        </is>
      </c>
      <c r="AQ314" s="77" t="inlineStr">
        <is>
          <t>&gt;1 term</t>
        </is>
      </c>
      <c r="AR314" s="77" t="inlineStr">
        <is>
          <t>Some projects</t>
        </is>
      </c>
      <c r="AS314" s="77" t="inlineStr"/>
    </row>
    <row r="315">
      <c r="A315" s="77" t="inlineStr">
        <is>
          <t>RG21</t>
        </is>
      </c>
      <c r="B315" s="77" t="inlineStr">
        <is>
          <t>Southampton</t>
        </is>
      </c>
      <c r="C315" s="77" t="inlineStr">
        <is>
          <t>Programme/course</t>
        </is>
      </c>
      <c r="D315" s="77" t="inlineStr">
        <is>
          <t>RG21-S10</t>
        </is>
      </c>
      <c r="E315" s="77" t="inlineStr"/>
      <c r="F315" s="77" t="inlineStr">
        <is>
          <t>No</t>
        </is>
      </c>
      <c r="G315" s="79" t="inlineStr">
        <is>
          <t>Group Design Project (ECSP6000 / ELEC6200)</t>
        </is>
      </c>
      <c r="H315" s="77" t="inlineStr">
        <is>
          <t>Electronics and Computer Science MEng Group Design Project</t>
        </is>
      </c>
      <c r="I315" s="77" t="inlineStr">
        <is>
          <t>ECSP6000 / ELEC6200</t>
        </is>
      </c>
      <c r="J315"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15" s="77" t="inlineStr">
        <is>
          <t>School of Electronics and Computer Science</t>
        </is>
      </c>
      <c r="L315" s="77" t="inlineStr">
        <is>
          <t>MEng Electronic Engineering (incl. with Computer Systems), Electrical and Electronic Engineering</t>
        </is>
      </c>
      <c r="M315" s="77" t="inlineStr">
        <is>
          <t>Engineering/computing</t>
        </is>
      </c>
      <c r="N315" s="77" t="inlineStr">
        <is>
          <t>Undergraduate</t>
        </is>
      </c>
      <c r="O315" s="77" t="inlineStr">
        <is>
          <t>Year 4 (MEng)</t>
        </is>
      </c>
      <c r="P315" s="77" t="inlineStr"/>
      <c r="Q315" s="77" t="inlineStr">
        <is>
          <t>Compulsory within specified programmes</t>
        </is>
      </c>
      <c r="R315" s="77" t="inlineStr">
        <is>
          <t>Curricular</t>
        </is>
      </c>
      <c r="S315" s="77" t="inlineStr">
        <is>
          <t>ECSP6000 page: individual reflection 10%, individual report 25%, group presentation/report 5%, group report 60%</t>
        </is>
      </c>
      <c r="T315" s="77" t="inlineStr">
        <is>
          <t>Unclear (year-long project)</t>
        </is>
      </c>
      <c r="U315" s="77" t="inlineStr">
        <is>
          <t>Group project with customer</t>
        </is>
      </c>
      <c r="V315" s="77" t="inlineStr">
        <is>
          <t>Yes</t>
        </is>
      </c>
      <c r="W315" s="77" t="inlineStr">
        <is>
          <t>Source 1: group design project to build proof of concept.</t>
        </is>
      </c>
      <c r="X315" s="77" t="inlineStr">
        <is>
          <t>Yes</t>
        </is>
      </c>
      <c r="Y315" s="77" t="inlineStr">
        <is>
          <t>Source 1: groups of at least four people.</t>
        </is>
      </c>
      <c r="Z315" s="77" t="inlineStr">
        <is>
          <t>Unclear</t>
        </is>
      </c>
      <c r="AA315" s="77" t="inlineStr">
        <is>
          <t>Source 1: customer may be industrial or academic; projects 'typically' from industrial partner - internal academic customers allowed.</t>
        </is>
      </c>
      <c r="AB315" s="77" t="inlineStr">
        <is>
          <t>Mixed</t>
        </is>
      </c>
      <c r="AC315" s="77" t="inlineStr">
        <is>
          <t>Industrial partner or academic research project acts as customer.</t>
        </is>
      </c>
      <c r="AD315" s="77" t="inlineStr"/>
      <c r="AE315" s="77" t="inlineStr">
        <is>
          <t>Prototype / proof of concept and group report</t>
        </is>
      </c>
      <c r="AF315" s="77">
        <f>IF(OR(V315="No",X315="No",Z315="No"),"Outside strict definition",IF(AND(V315="Yes",X315="Yes",Z315="Yes"),"Meets all three","Potentially relevant; evidence incomplete"))</f>
        <v/>
      </c>
      <c r="AG315" s="77" t="inlineStr">
        <is>
          <t>Current status unclear</t>
        </is>
      </c>
      <c r="AH315" s="77" t="inlineStr"/>
      <c r="AI315" s="77" t="inlineStr">
        <is>
          <t>Yes</t>
        </is>
      </c>
      <c r="AJ315" s="77">
        <f>IF(AND(AI315="Yes",AF315="Meets all three",AG315="Current delivery confirmed"),"Yes","No")</f>
        <v/>
      </c>
      <c r="AK315" s="77" t="inlineStr"/>
      <c r="AL315" s="77" t="inlineStr">
        <is>
          <t>RG21-S10-R1; RG21-S10-R2</t>
        </is>
      </c>
      <c r="AM315" s="77" t="inlineStr">
        <is>
          <t>Only future-year catalogue pages (2028-29 ECSP6000; 2029-30 ELEC6200) retrieved; programme page links a 2026-27 course description whose content was not seen. Share of industrial vs academic customers unknown.</t>
        </is>
      </c>
      <c r="AN315" s="77" t="inlineStr"/>
      <c r="AO315" s="77" t="inlineStr">
        <is>
          <t>UK</t>
        </is>
      </c>
      <c r="AP315" s="77" t="inlineStr">
        <is>
          <t>UK – Russell Group</t>
        </is>
      </c>
      <c r="AQ315" s="77" t="inlineStr">
        <is>
          <t>Unclear</t>
        </is>
      </c>
      <c r="AR315" s="77" t="inlineStr">
        <is>
          <t>Some projects</t>
        </is>
      </c>
      <c r="AS315" s="77" t="inlineStr"/>
    </row>
    <row r="316">
      <c r="A316" s="77" t="inlineStr">
        <is>
          <t>RG21</t>
        </is>
      </c>
      <c r="B316" s="77" t="inlineStr">
        <is>
          <t>Southampton</t>
        </is>
      </c>
      <c r="C316" s="77" t="inlineStr">
        <is>
          <t>Programme/course</t>
        </is>
      </c>
      <c r="D316" s="77" t="inlineStr">
        <is>
          <t>RG21-S11</t>
        </is>
      </c>
      <c r="E316" s="77" t="inlineStr"/>
      <c r="F316" s="77" t="inlineStr">
        <is>
          <t>No</t>
        </is>
      </c>
      <c r="G316" s="79" t="inlineStr">
        <is>
          <t>Design (ELEC2300)</t>
        </is>
      </c>
      <c r="H316" s="77" t="inlineStr">
        <is>
          <t>Part 2 Electronics Design (industry-judged group build)</t>
        </is>
      </c>
      <c r="I316" s="77" t="inlineStr">
        <is>
          <t>ELEC2300</t>
        </is>
      </c>
      <c r="J316" s="77" t="inlineStr">
        <is>
          <t>Student groups design, build and test a system to a predefined specification (e.g. drone, smart meter) and present it; a demonstration event has judges selected from industry evaluate the designs.</t>
        </is>
      </c>
      <c r="K316" s="77" t="inlineStr">
        <is>
          <t>School of Electronics and Computer Science</t>
        </is>
      </c>
      <c r="L316" s="77" t="inlineStr">
        <is>
          <t>Electronics/electrical/aerospace electronics programmes (project topic varies)</t>
        </is>
      </c>
      <c r="M316" s="77" t="inlineStr">
        <is>
          <t>Engineering/computing</t>
        </is>
      </c>
      <c r="N316" s="77" t="inlineStr">
        <is>
          <t>Undergraduate</t>
        </is>
      </c>
      <c r="O316" s="77" t="inlineStr">
        <is>
          <t>Part 2</t>
        </is>
      </c>
      <c r="P316" s="77" t="inlineStr"/>
      <c r="Q316" s="77" t="inlineStr">
        <is>
          <t>Compulsory within specified programmes</t>
        </is>
      </c>
      <c r="R316" s="77" t="inlineStr">
        <is>
          <t>Curricular</t>
        </is>
      </c>
      <c r="S316" s="77" t="inlineStr">
        <is>
          <t>Individual log books, group reports and quality assessment of designed system</t>
        </is>
      </c>
      <c r="T316" s="77" t="inlineStr">
        <is>
          <t>Unclear</t>
        </is>
      </c>
      <c r="U316" s="77" t="inlineStr">
        <is>
          <t>Group design-build-test; demo event</t>
        </is>
      </c>
      <c r="V316" s="77" t="inlineStr">
        <is>
          <t>Yes</t>
        </is>
      </c>
      <c r="W316" s="77" t="inlineStr">
        <is>
          <t>Source 1: design, build and test to specification; group reports.</t>
        </is>
      </c>
      <c r="X316" s="77" t="inlineStr">
        <is>
          <t>Yes</t>
        </is>
      </c>
      <c r="Y316" s="77" t="inlineStr">
        <is>
          <t>Source 1: 'student groups'.</t>
        </is>
      </c>
      <c r="Z316" s="77" t="inlineStr">
        <is>
          <t>Unclear</t>
        </is>
      </c>
      <c r="AA316" s="77" t="inlineStr">
        <is>
          <t>Source 1: specification is set by the department; the only external role is industry-selected judges at the demonstration (individuals/organisations not identified, no external brief).</t>
        </is>
      </c>
      <c r="AB316" s="77" t="inlineStr">
        <is>
          <t>Unclear</t>
        </is>
      </c>
      <c r="AC316" s="77" t="inlineStr">
        <is>
          <t>Industry judges evaluate the final demonstration.</t>
        </is>
      </c>
      <c r="AD316" s="77" t="inlineStr"/>
      <c r="AE316" s="77" t="inlineStr">
        <is>
          <t>Working designed system and group report</t>
        </is>
      </c>
      <c r="AF316" s="77">
        <f>IF(OR(V316="No",X316="No",Z316="No"),"Outside strict definition",IF(AND(V316="Yes",X316="Yes",Z316="Yes"),"Meets all three","Potentially relevant; evidence incomplete"))</f>
        <v/>
      </c>
      <c r="AG316" s="77" t="inlineStr">
        <is>
          <t>Current delivery confirmed</t>
        </is>
      </c>
      <c r="AH316" s="77" t="inlineStr">
        <is>
          <t>2026/27</t>
        </is>
      </c>
      <c r="AI316" s="77" t="inlineStr">
        <is>
          <t>Yes</t>
        </is>
      </c>
      <c r="AJ316" s="77">
        <f>IF(AND(AI316="Yes",AF316="Meets all three",AG316="Current delivery confirmed"),"Yes","No")</f>
        <v/>
      </c>
      <c r="AK316" s="77" t="inlineStr"/>
      <c r="AL316" s="77" t="inlineStr">
        <is>
          <t>RG21-S11-R1</t>
        </is>
      </c>
      <c r="AM316" s="77" t="inlineStr">
        <is>
          <t>Judging organisations not named; no external brief or client. Whether 'compulsory' is stated per programme not verified (reach inferred as programme-level).</t>
        </is>
      </c>
      <c r="AN316" s="77" t="inlineStr"/>
      <c r="AO316" s="77" t="inlineStr">
        <is>
          <t>UK</t>
        </is>
      </c>
      <c r="AP316" s="77" t="inlineStr">
        <is>
          <t>UK – Russell Group</t>
        </is>
      </c>
      <c r="AQ316" s="77" t="inlineStr">
        <is>
          <t>Unclear</t>
        </is>
      </c>
      <c r="AR316" s="77" t="inlineStr">
        <is>
          <t>Unclear</t>
        </is>
      </c>
      <c r="AS316" s="77" t="inlineStr"/>
    </row>
    <row r="317">
      <c r="A317" s="77" t="inlineStr">
        <is>
          <t>RG21</t>
        </is>
      </c>
      <c r="B317" s="77" t="inlineStr">
        <is>
          <t>Southampton</t>
        </is>
      </c>
      <c r="C317" s="77" t="inlineStr">
        <is>
          <t>Programme/course</t>
        </is>
      </c>
      <c r="D317" s="77" t="inlineStr">
        <is>
          <t>RG21-S12</t>
        </is>
      </c>
      <c r="E317" s="77" t="inlineStr"/>
      <c r="F317" s="77" t="inlineStr">
        <is>
          <t>No</t>
        </is>
      </c>
      <c r="G317" s="79" t="inlineStr">
        <is>
          <t>The Sustainability Professional (MSc) (GGES6008)</t>
        </is>
      </c>
      <c r="H317" s="77" t="inlineStr">
        <is>
          <t>The Sustainability Professional - group consultancy report</t>
        </is>
      </c>
      <c r="I317" s="77" t="inlineStr">
        <is>
          <t>GGES6008</t>
        </is>
      </c>
      <c r="J317" s="77" t="inlineStr">
        <is>
          <t>MSc module run with local and regional environmental and sustainability consultancies and other organisations; students work in groups to submit one full consultancy report as the primary assessment, plus an individual reflection and portfolio.</t>
        </is>
      </c>
      <c r="K317" s="77" t="inlineStr">
        <is>
          <t>School of Geography and Environmental Science</t>
        </is>
      </c>
      <c r="L317" s="77" t="inlineStr">
        <is>
          <t>Environmental/sustainability MSc programmes (which ones not confirmed)</t>
        </is>
      </c>
      <c r="M317" s="77" t="inlineStr">
        <is>
          <t>Science</t>
        </is>
      </c>
      <c r="N317" s="77" t="inlineStr">
        <is>
          <t>Postgraduate taught</t>
        </is>
      </c>
      <c r="O317" s="77" t="inlineStr"/>
      <c r="P317" s="77" t="inlineStr"/>
      <c r="Q317" s="77" t="inlineStr">
        <is>
          <t>Unclear</t>
        </is>
      </c>
      <c r="R317" s="77" t="inlineStr">
        <is>
          <t>Curricular</t>
        </is>
      </c>
      <c r="S317" s="77" t="inlineStr">
        <is>
          <t>Group consultancy report primary assessment; individual reflection and Sustainability Portfolio</t>
        </is>
      </c>
      <c r="T317" s="77" t="inlineStr">
        <is>
          <t>Unclear</t>
        </is>
      </c>
      <c r="U317" s="77" t="inlineStr">
        <is>
          <t>Expert-led case study workshops and group report</t>
        </is>
      </c>
      <c r="V317" s="77" t="inlineStr">
        <is>
          <t>Yes</t>
        </is>
      </c>
      <c r="W317" s="77" t="inlineStr">
        <is>
          <t>Source 1: group consultancy report as primary assessment via case study exercises.</t>
        </is>
      </c>
      <c r="X317" s="77" t="inlineStr">
        <is>
          <t>Yes</t>
        </is>
      </c>
      <c r="Y317" s="77" t="inlineStr">
        <is>
          <t>Source 1: students work in groups to submit one full consultancy report.</t>
        </is>
      </c>
      <c r="Z317" s="77" t="inlineStr">
        <is>
          <t>Unclear</t>
        </is>
      </c>
      <c r="AA317" s="77" t="inlineStr">
        <is>
          <t>Source 1: delivered in partnership with consultancies who deliver lectures and expert-led workshops; not stated that an external organisation supplies a live brief or receives the report.</t>
        </is>
      </c>
      <c r="AB317" s="77" t="inlineStr">
        <is>
          <t>Business/commercial</t>
        </is>
      </c>
      <c r="AC317" s="77" t="inlineStr">
        <is>
          <t>Consultancies contribute lectures and expert-led case-study workshops with feedback.</t>
        </is>
      </c>
      <c r="AD317" s="77" t="inlineStr"/>
      <c r="AE317" s="77" t="inlineStr">
        <is>
          <t>Group consultancy report</t>
        </is>
      </c>
      <c r="AF317" s="77">
        <f>IF(OR(V317="No",X317="No",Z317="No"),"Outside strict definition",IF(AND(V317="Yes",X317="Yes",Z317="Yes"),"Meets all three","Potentially relevant; evidence incomplete"))</f>
        <v/>
      </c>
      <c r="AG317" s="77" t="inlineStr">
        <is>
          <t>Current delivery confirmed</t>
        </is>
      </c>
      <c r="AH317" s="77" t="inlineStr">
        <is>
          <t>2026/27</t>
        </is>
      </c>
      <c r="AI317" s="77" t="inlineStr">
        <is>
          <t>Yes</t>
        </is>
      </c>
      <c r="AJ317" s="77">
        <f>IF(AND(AI317="Yes",AF317="Meets all three",AG317="Current delivery confirmed"),"Yes","No")</f>
        <v/>
      </c>
      <c r="AK317" s="77" t="inlineStr"/>
      <c r="AL317" s="77" t="inlineStr">
        <is>
          <t>RG21-S12-R1</t>
        </is>
      </c>
      <c r="AM317" s="77" t="inlineStr">
        <is>
          <t>Whether case studies are live external briefs and whether partners give feedback/assess is unknown; module-to-programme mapping unconfirmed.</t>
        </is>
      </c>
      <c r="AN317" s="77" t="inlineStr"/>
      <c r="AO317" s="77" t="inlineStr">
        <is>
          <t>UK</t>
        </is>
      </c>
      <c r="AP317" s="77" t="inlineStr">
        <is>
          <t>UK – Russell Group</t>
        </is>
      </c>
      <c r="AQ317" s="77" t="inlineStr">
        <is>
          <t>~1 term/semester</t>
        </is>
      </c>
      <c r="AR317" s="77" t="inlineStr">
        <is>
          <t>Unclear</t>
        </is>
      </c>
      <c r="AS317" s="77" t="inlineStr"/>
    </row>
    <row r="318">
      <c r="A318" s="77" t="inlineStr">
        <is>
          <t>RG21</t>
        </is>
      </c>
      <c r="B318" s="77" t="inlineStr">
        <is>
          <t>Southampton</t>
        </is>
      </c>
      <c r="C318" s="77" t="inlineStr">
        <is>
          <t>Programme/course</t>
        </is>
      </c>
      <c r="D318" s="77" t="inlineStr">
        <is>
          <t>RG21-S13</t>
        </is>
      </c>
      <c r="E318" s="77" t="inlineStr"/>
      <c r="F318" s="77" t="inlineStr">
        <is>
          <t>No</t>
        </is>
      </c>
      <c r="G318" s="79" t="inlineStr">
        <is>
          <t>Collaborate (Creative Computing) (ARTD2145)</t>
        </is>
      </c>
      <c r="H318" s="77" t="inlineStr">
        <is>
          <t>Collaborate (Creative Computing)</t>
        </is>
      </c>
      <c r="I318" s="77" t="inlineStr">
        <is>
          <t>ARTD2145</t>
        </is>
      </c>
      <c r="J318" s="77" t="inlineStr">
        <is>
          <t>Part 2 compulsory module (BSc Creative Computing): team projects in which students collaborate with students and/or practitioners from other disciplines or are set briefs from professional partners in the creative and cultural industries.</t>
        </is>
      </c>
      <c r="K318" s="77" t="inlineStr">
        <is>
          <t>Winchester School of Art, Department of Art and Media Technology</t>
        </is>
      </c>
      <c r="L318" s="77" t="inlineStr">
        <is>
          <t>BSc Creative Computing</t>
        </is>
      </c>
      <c r="M318" s="77" t="inlineStr">
        <is>
          <t>Arts/humanities/social sciences; Engineering/computing</t>
        </is>
      </c>
      <c r="N318" s="77" t="inlineStr">
        <is>
          <t>Undergraduate</t>
        </is>
      </c>
      <c r="O318" s="77" t="inlineStr">
        <is>
          <t>Year 2 (Level 5)</t>
        </is>
      </c>
      <c r="P318" s="77" t="inlineStr"/>
      <c r="Q318" s="77" t="inlineStr">
        <is>
          <t>Compulsory within specified programmes</t>
        </is>
      </c>
      <c r="R318" s="77" t="inlineStr">
        <is>
          <t>Curricular</t>
        </is>
      </c>
      <c r="S318" s="77" t="inlineStr">
        <is>
          <t>30 CATS / 15 ECTS; breakdown not seen</t>
        </is>
      </c>
      <c r="T318" s="77" t="inlineStr">
        <is>
          <t>Semester 1 (per search summary)</t>
        </is>
      </c>
      <c r="U318" s="77" t="inlineStr">
        <is>
          <t>Team projects</t>
        </is>
      </c>
      <c r="V318" s="77" t="inlineStr">
        <is>
          <t>Yes</t>
        </is>
      </c>
      <c r="W318" s="77" t="inlineStr">
        <is>
          <t>Source 1: group projects with team building and project management, producing creative outputs.</t>
        </is>
      </c>
      <c r="X318" s="77" t="inlineStr">
        <is>
          <t>Yes</t>
        </is>
      </c>
      <c r="Y318" s="77" t="inlineStr">
        <is>
          <t>Source 1: team building; collaborate with other students.</t>
        </is>
      </c>
      <c r="Z318" s="77" t="inlineStr">
        <is>
          <t>Unclear</t>
        </is>
      </c>
      <c r="AA318" s="77" t="inlineStr">
        <is>
          <t>Source 1: briefs 'from professional partners' is one option ('and/or' other-discipline collaboration) - external briefs optional.</t>
        </is>
      </c>
      <c r="AB318" s="77" t="inlineStr">
        <is>
          <t>Business/commercial</t>
        </is>
      </c>
      <c r="AC318" s="77" t="inlineStr">
        <is>
          <t>Professional partners in creative and cultural industries may set briefs.</t>
        </is>
      </c>
      <c r="AD318" s="77" t="inlineStr"/>
      <c r="AE318" s="77" t="inlineStr">
        <is>
          <t>Creative computing project outputs</t>
        </is>
      </c>
      <c r="AF318" s="77">
        <f>IF(OR(V318="No",X318="No",Z318="No"),"Outside strict definition",IF(AND(V318="Yes",X318="Yes",Z318="Yes"),"Meets all three","Potentially relevant; evidence incomplete"))</f>
        <v/>
      </c>
      <c r="AG318" s="77" t="inlineStr">
        <is>
          <t>Current delivery confirmed</t>
        </is>
      </c>
      <c r="AH318" s="77" t="inlineStr">
        <is>
          <t>2026/27</t>
        </is>
      </c>
      <c r="AI318" s="77" t="inlineStr">
        <is>
          <t>Yes</t>
        </is>
      </c>
      <c r="AJ318" s="77">
        <f>IF(AND(AI318="Yes",AF318="Meets all three",AG318="Current delivery confirmed"),"Yes","No")</f>
        <v/>
      </c>
      <c r="AK318" s="77" t="inlineStr"/>
      <c r="AL318" s="77" t="inlineStr">
        <is>
          <t>RG21-S13-R1</t>
        </is>
      </c>
      <c r="AM318" s="77" t="inlineStr">
        <is>
          <t>Which cohorts get external briefs; partner names; assessment breakdown.</t>
        </is>
      </c>
      <c r="AN318" s="77" t="inlineStr"/>
      <c r="AO318" s="77" t="inlineStr">
        <is>
          <t>UK</t>
        </is>
      </c>
      <c r="AP318" s="77" t="inlineStr">
        <is>
          <t>UK – Russell Group</t>
        </is>
      </c>
      <c r="AQ318" s="77" t="inlineStr">
        <is>
          <t>~1 term/semester</t>
        </is>
      </c>
      <c r="AR318" s="77" t="inlineStr">
        <is>
          <t>Some projects</t>
        </is>
      </c>
      <c r="AS318" s="77" t="inlineStr"/>
    </row>
    <row r="319">
      <c r="A319" s="77" t="inlineStr">
        <is>
          <t>RG21</t>
        </is>
      </c>
      <c r="B319" s="77" t="inlineStr">
        <is>
          <t>Southampton</t>
        </is>
      </c>
      <c r="C319" s="77" t="inlineStr">
        <is>
          <t>Programme/course</t>
        </is>
      </c>
      <c r="D319" s="77" t="inlineStr">
        <is>
          <t>RG21-S14</t>
        </is>
      </c>
      <c r="E319" s="77" t="inlineStr"/>
      <c r="F319" s="77" t="inlineStr">
        <is>
          <t>No</t>
        </is>
      </c>
      <c r="G319" s="79" t="inlineStr">
        <is>
          <t>Advertising and Branding in Action (ARTD6240)</t>
        </is>
      </c>
      <c r="H319" s="77" t="inlineStr">
        <is>
          <t>Advertising and Branding in Action (live briefs, agency simulation)</t>
        </is>
      </c>
      <c r="I319" s="77" t="inlineStr">
        <is>
          <t>ARTD6240</t>
        </is>
      </c>
      <c r="J319" s="77" t="inlineStr">
        <is>
          <t>MA Global Advertising and Branding module in which students work to live briefs acting in agency or in-house strategic account management roles, covering client brief interpretation, ideation, campaign planning and a pitch.</t>
        </is>
      </c>
      <c r="K319" s="77" t="inlineStr">
        <is>
          <t>Winchester School of Art</t>
        </is>
      </c>
      <c r="L319" s="77" t="inlineStr">
        <is>
          <t>MA Global Advertising and Branding (and online equivalent)</t>
        </is>
      </c>
      <c r="M319" s="77" t="inlineStr">
        <is>
          <t>Arts/humanities/social sciences</t>
        </is>
      </c>
      <c r="N319" s="77" t="inlineStr">
        <is>
          <t>Postgraduate taught</t>
        </is>
      </c>
      <c r="O319" s="77" t="inlineStr"/>
      <c r="P319" s="77" t="inlineStr"/>
      <c r="Q319" s="77" t="inlineStr">
        <is>
          <t>Compulsory within specified programmes</t>
        </is>
      </c>
      <c r="R319" s="77" t="inlineStr">
        <is>
          <t>Curricular</t>
        </is>
      </c>
      <c r="S319" s="77" t="inlineStr">
        <is>
          <t>300 study hours (48 taught); credit not extracted</t>
        </is>
      </c>
      <c r="T319" s="77" t="inlineStr">
        <is>
          <t>Semester 2 (assumed from sequence; unverified)</t>
        </is>
      </c>
      <c r="U319" s="77" t="inlineStr">
        <is>
          <t>Simulated agency</t>
        </is>
      </c>
      <c r="V319" s="77" t="inlineStr">
        <is>
          <t>Yes</t>
        </is>
      </c>
      <c r="W319" s="77" t="inlineStr">
        <is>
          <t>Source 1: campaign planning and pitch for a brief.</t>
        </is>
      </c>
      <c r="X319" s="77" t="inlineStr">
        <is>
          <t>Unclear</t>
        </is>
      </c>
      <c r="Y319" s="77" t="inlineStr">
        <is>
          <t>Source 1 does not say whether students work in teams or individually.</t>
        </is>
      </c>
      <c r="Z319" s="77" t="inlineStr">
        <is>
          <t>Unclear</t>
        </is>
      </c>
      <c r="AA319" s="77" t="inlineStr">
        <is>
          <t>Source 1: 'real client briefs in a simulated agency environment' - unclear whether an external client sets the brief or sees the pitch.</t>
        </is>
      </c>
      <c r="AB319" s="77" t="inlineStr">
        <is>
          <t>Unclear</t>
        </is>
      </c>
      <c r="AC319" s="77" t="inlineStr">
        <is>
          <t>Not evidenced.</t>
        </is>
      </c>
      <c r="AD319" s="77" t="inlineStr"/>
      <c r="AE319" s="77" t="inlineStr">
        <is>
          <t>Campaign pitch</t>
        </is>
      </c>
      <c r="AF319" s="77">
        <f>IF(OR(V319="No",X319="No",Z319="No"),"Outside strict definition",IF(AND(V319="Yes",X319="Yes",Z319="Yes"),"Meets all three","Potentially relevant; evidence incomplete"))</f>
        <v/>
      </c>
      <c r="AG319" s="77" t="inlineStr">
        <is>
          <t>Current delivery confirmed</t>
        </is>
      </c>
      <c r="AH319" s="77" t="inlineStr">
        <is>
          <t>2026/27</t>
        </is>
      </c>
      <c r="AI319" s="77" t="inlineStr">
        <is>
          <t>Yes</t>
        </is>
      </c>
      <c r="AJ319" s="77">
        <f>IF(AND(AI319="Yes",AF319="Meets all three",AG319="Current delivery confirmed"),"Yes","No")</f>
        <v/>
      </c>
      <c r="AK319" s="77" t="inlineStr"/>
      <c r="AL319" s="77" t="inlineStr">
        <is>
          <t>RG21-S14-R1</t>
        </is>
      </c>
      <c r="AM319" s="77" t="inlineStr">
        <is>
          <t>Whether briefs are from live external clients, group vs individual work, client participation.</t>
        </is>
      </c>
      <c r="AN319" s="77" t="inlineStr"/>
      <c r="AO319" s="77" t="inlineStr">
        <is>
          <t>UK</t>
        </is>
      </c>
      <c r="AP319" s="77" t="inlineStr">
        <is>
          <t>UK – Russell Group</t>
        </is>
      </c>
      <c r="AQ319" s="77" t="inlineStr">
        <is>
          <t>Unclear</t>
        </is>
      </c>
      <c r="AR319" s="77" t="inlineStr">
        <is>
          <t>Unclear</t>
        </is>
      </c>
      <c r="AS319" s="77" t="inlineStr"/>
    </row>
    <row r="320">
      <c r="A320" s="77" t="inlineStr">
        <is>
          <t>RG21</t>
        </is>
      </c>
      <c r="B320" s="77" t="inlineStr">
        <is>
          <t>Southampton</t>
        </is>
      </c>
      <c r="C320" s="77" t="inlineStr">
        <is>
          <t>Programme/course</t>
        </is>
      </c>
      <c r="D320" s="77" t="inlineStr">
        <is>
          <t>RG21-S15</t>
        </is>
      </c>
      <c r="E320" s="77" t="inlineStr"/>
      <c r="F320" s="77" t="inlineStr">
        <is>
          <t>No</t>
        </is>
      </c>
      <c r="G320" s="79" t="inlineStr">
        <is>
          <t>Industry Consultancy Projects (Centre for Risk Research)</t>
        </is>
      </c>
      <c r="H320" s="77" t="inlineStr">
        <is>
          <t>Centre for Risk Research industry consultancy projects</t>
        </is>
      </c>
      <c r="I320" s="77" t="inlineStr"/>
      <c r="J320"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20" s="77" t="inlineStr">
        <is>
          <t>Centre for Risk Research</t>
        </is>
      </c>
      <c r="L320" s="77" t="inlineStr">
        <is>
          <t>Risk research master's programmes (e.g. MSc Risk Management)</t>
        </is>
      </c>
      <c r="M320" s="77" t="inlineStr">
        <is>
          <t>Business/management</t>
        </is>
      </c>
      <c r="N320" s="77" t="inlineStr">
        <is>
          <t>Postgraduate taught</t>
        </is>
      </c>
      <c r="O320" s="77" t="inlineStr"/>
      <c r="P320" s="77" t="inlineStr"/>
      <c r="Q320" s="77" t="inlineStr">
        <is>
          <t>Unclear</t>
        </is>
      </c>
      <c r="R320" s="77" t="inlineStr">
        <is>
          <t>Unclear</t>
        </is>
      </c>
      <c r="S320" s="77" t="inlineStr"/>
      <c r="T320" s="77" t="inlineStr">
        <is>
          <t>Unclear</t>
        </is>
      </c>
      <c r="U320" s="77" t="inlineStr"/>
      <c r="V320" s="77" t="inlineStr">
        <is>
          <t>Unclear</t>
        </is>
      </c>
      <c r="W320" s="77" t="inlineStr">
        <is>
          <t>Page not retrieved; only headline 'industry-led dissertation projects' (source 2).</t>
        </is>
      </c>
      <c r="X320" s="77" t="inlineStr">
        <is>
          <t>Unclear</t>
        </is>
      </c>
      <c r="Y320" s="77" t="inlineStr">
        <is>
          <t>Dissertations are typically individual; group format not evidenced.</t>
        </is>
      </c>
      <c r="Z320" s="77" t="inlineStr">
        <is>
          <t>Unclear</t>
        </is>
      </c>
      <c r="AA320" s="77" t="inlineStr">
        <is>
          <t>Industry-led projects implied; role of organisations not extracted.</t>
        </is>
      </c>
      <c r="AB320" s="77" t="inlineStr">
        <is>
          <t>Unclear</t>
        </is>
      </c>
      <c r="AC320" s="77" t="inlineStr">
        <is>
          <t>Not extracted.</t>
        </is>
      </c>
      <c r="AD320" s="77" t="inlineStr"/>
      <c r="AE320" s="77" t="inlineStr">
        <is>
          <t>Unclear</t>
        </is>
      </c>
      <c r="AF320" s="77">
        <f>IF(OR(V320="No",X320="No",Z320="No"),"Outside strict definition",IF(AND(V320="Yes",X320="Yes",Z320="Yes"),"Meets all three","Potentially relevant; evidence incomplete"))</f>
        <v/>
      </c>
      <c r="AG320" s="77" t="inlineStr">
        <is>
          <t>Current status unclear</t>
        </is>
      </c>
      <c r="AH320" s="77" t="inlineStr"/>
      <c r="AI320" s="77" t="inlineStr">
        <is>
          <t>Yes</t>
        </is>
      </c>
      <c r="AJ320" s="77">
        <f>IF(AND(AI320="Yes",AF320="Meets all three",AG320="Current delivery confirmed"),"Yes","No")</f>
        <v/>
      </c>
      <c r="AK320" s="77" t="inlineStr"/>
      <c r="AL320" s="77" t="inlineStr">
        <is>
          <t>RG21-S15-R1; RG21-S15-R2</t>
        </is>
      </c>
      <c r="AM320" s="77" t="inlineStr">
        <is>
          <t>Direct page content unavailable via search; legacy intake unverified.</t>
        </is>
      </c>
      <c r="AN320" s="77" t="inlineStr">
        <is>
          <t>Industry Consultancy Projects</t>
        </is>
      </c>
      <c r="AO320" s="77" t="inlineStr">
        <is>
          <t>UK</t>
        </is>
      </c>
      <c r="AP320" s="77" t="inlineStr">
        <is>
          <t>UK – Russell Group</t>
        </is>
      </c>
      <c r="AQ320" s="77" t="inlineStr">
        <is>
          <t>Unclear</t>
        </is>
      </c>
      <c r="AR320" s="77" t="inlineStr">
        <is>
          <t>Unclear</t>
        </is>
      </c>
      <c r="AS320" s="77" t="inlineStr"/>
    </row>
    <row r="321">
      <c r="A321" s="77" t="inlineStr">
        <is>
          <t>RG22</t>
        </is>
      </c>
      <c r="B321" s="77" t="inlineStr">
        <is>
          <t>UCL</t>
        </is>
      </c>
      <c r="C321" s="77" t="inlineStr">
        <is>
          <t>Programme/course</t>
        </is>
      </c>
      <c r="D321" s="77" t="inlineStr">
        <is>
          <t>RG22-S01</t>
        </is>
      </c>
      <c r="E321" s="77" t="inlineStr"/>
      <c r="F321" s="77" t="inlineStr">
        <is>
          <t>No</t>
        </is>
      </c>
      <c r="G321" s="79" t="inlineStr">
        <is>
          <t>Systems Engineering (COMP0016) - UCL IXN team project</t>
        </is>
      </c>
      <c r="H321" s="77" t="inlineStr">
        <is>
          <t>Systems Engineering team project with external partner (UCL Industry Exchange Network)</t>
        </is>
      </c>
      <c r="I321" s="77" t="inlineStr">
        <is>
          <t>COMP0016</t>
        </is>
      </c>
      <c r="J321"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21" s="77" t="inlineStr">
        <is>
          <t>UCL Computer Science (Faculty of Engineering Sciences)</t>
        </is>
      </c>
      <c r="L321" s="77" t="inlineStr">
        <is>
          <t>BSc Computer Science; MEng Computer Science</t>
        </is>
      </c>
      <c r="M321" s="77" t="inlineStr">
        <is>
          <t>Engineering/computing</t>
        </is>
      </c>
      <c r="N321" s="77" t="inlineStr">
        <is>
          <t>Undergraduate</t>
        </is>
      </c>
      <c r="O321" s="77" t="inlineStr">
        <is>
          <t>Year 2 (FHEQ Level 5)</t>
        </is>
      </c>
      <c r="P321" s="77" t="inlineStr">
        <is>
          <t>Module restricted to BSc/MEng Computer Science; object-oriented programming prerequisite.</t>
        </is>
      </c>
      <c r="Q321" s="77" t="inlineStr">
        <is>
          <t>Compulsory within specified programmes</t>
        </is>
      </c>
      <c r="R321" s="77" t="inlineStr">
        <is>
          <t>Curricular</t>
        </is>
      </c>
      <c r="S321" s="77" t="inlineStr">
        <is>
          <t>30 credits; 100% group activity (4 assessments), individual contribution also considered</t>
        </is>
      </c>
      <c r="T321" s="77" t="inlineStr">
        <is>
          <t>Full academic year (30 credits, taught across terms; exact length not stated in extract)</t>
        </is>
      </c>
      <c r="U321" s="77" t="inlineStr">
        <is>
          <t>In-person team project with external partner, PGTA and academic supervisor</t>
        </is>
      </c>
      <c r="V321" s="77" t="inlineStr">
        <is>
          <t>Yes</t>
        </is>
      </c>
      <c r="W321" s="77" t="inlineStr">
        <is>
          <t>Source 1: groups build a proof-of-concept design and prototype for an external partner's requirements; portfolio incl. software and demo video.</t>
        </is>
      </c>
      <c r="X321" s="77" t="inlineStr">
        <is>
          <t>Yes</t>
        </is>
      </c>
      <c r="Y321" s="77" t="inlineStr">
        <is>
          <t>Source 1: 'groups'; assessed 100% by group activity with individual contribution considered.</t>
        </is>
      </c>
      <c r="Z321" s="77" t="inlineStr">
        <is>
          <t>Yes</t>
        </is>
      </c>
      <c r="AA321" s="77" t="inlineStr">
        <is>
          <t>Source 1: each group works on a project from an external partner and meets regularly with the partner for input and feedback. Source 2: BSc page says students complete a team project set by one of the industry partners via IXN.</t>
        </is>
      </c>
      <c r="AB321" s="77" t="inlineStr">
        <is>
          <t>Mixed</t>
        </is>
      </c>
      <c r="AC321" s="77" t="inlineStr">
        <is>
          <t>Partner supplies requirements/brief and gives regular feedback; students' prototype is for the partner.</t>
        </is>
      </c>
      <c r="AD321" s="77" t="inlineStr">
        <is>
          <t>Historical examples only (e.g. a British Heart Foundation chatbot in a 2021-22 team blog); no 2025/26 client list found.</t>
        </is>
      </c>
      <c r="AE321" s="77" t="inlineStr">
        <is>
          <t>Proof-of-concept prototype, software, portfolio and demo video for the external partner</t>
        </is>
      </c>
      <c r="AF321" s="77">
        <f>IF(OR(V321="No",X321="No",Z321="No"),"Outside strict definition",IF(AND(V321="Yes",X321="Yes",Z321="Yes"),"Meets all three","Potentially relevant; evidence incomplete"))</f>
        <v/>
      </c>
      <c r="AG321" s="77" t="inlineStr">
        <is>
          <t>Current delivery confirmed</t>
        </is>
      </c>
      <c r="AH321" s="77" t="inlineStr">
        <is>
          <t>2025/26</t>
        </is>
      </c>
      <c r="AI321" s="77" t="inlineStr">
        <is>
          <t>Yes</t>
        </is>
      </c>
      <c r="AJ321" s="77">
        <f>IF(AND(AI321="Yes",AF321="Meets all three",AG321="Current delivery confirmed"),"Yes","No")</f>
        <v/>
      </c>
      <c r="AK321" s="77" t="inlineStr"/>
      <c r="AL321" s="77" t="inlineStr">
        <is>
          <t>RG22-S01-R1; RG22-S01-R2; RG22-S01-R3; RG22-S01-R4</t>
        </is>
      </c>
      <c r="AM321"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21" s="77" t="inlineStr"/>
      <c r="AO321" s="77" t="inlineStr">
        <is>
          <t>UK</t>
        </is>
      </c>
      <c r="AP321" s="77" t="inlineStr">
        <is>
          <t>UK – Russell Group</t>
        </is>
      </c>
      <c r="AQ321" s="77" t="inlineStr">
        <is>
          <t>&gt;1 term</t>
        </is>
      </c>
      <c r="AR321" s="77" t="inlineStr">
        <is>
          <t>All/standard</t>
        </is>
      </c>
      <c r="AS321" s="77" t="inlineStr"/>
    </row>
    <row r="322">
      <c r="A322" s="77" t="inlineStr">
        <is>
          <t>RG22</t>
        </is>
      </c>
      <c r="B322" s="77" t="inlineStr">
        <is>
          <t>UCL</t>
        </is>
      </c>
      <c r="C322" s="77" t="inlineStr">
        <is>
          <t>Programme/course</t>
        </is>
      </c>
      <c r="D322" s="77" t="inlineStr">
        <is>
          <t>RG22-S02</t>
        </is>
      </c>
      <c r="E322" s="77" t="inlineStr"/>
      <c r="F322" s="77" t="inlineStr">
        <is>
          <t>No</t>
        </is>
      </c>
      <c r="G322" s="79" t="inlineStr">
        <is>
          <t>Industry supervised MSc &amp; Undergraduate projects (EEE-IXN) - final-year team projects</t>
        </is>
      </c>
      <c r="H322" s="77" t="inlineStr">
        <is>
          <t>EEE Industry eXchange Network final-year industry team projects</t>
        </is>
      </c>
      <c r="I322" s="77" t="inlineStr"/>
      <c r="J322"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22" s="77" t="inlineStr">
        <is>
          <t>UCL Electronic &amp; Electrical Engineering</t>
        </is>
      </c>
      <c r="L322" s="77" t="inlineStr">
        <is>
          <t>EEE undergraduates/MSc (final-year team route is fourth-year UG)</t>
        </is>
      </c>
      <c r="M322" s="77" t="inlineStr">
        <is>
          <t>Engineering/computing</t>
        </is>
      </c>
      <c r="N322" s="77" t="inlineStr">
        <is>
          <t>Undergraduate</t>
        </is>
      </c>
      <c r="O322" s="77" t="inlineStr">
        <is>
          <t>Year 4 (team route); Year 3 route is individual/themed groups of 2-3</t>
        </is>
      </c>
      <c r="P322" s="77" t="inlineStr">
        <is>
          <t>Not stated in extract; participation basis not clear.</t>
        </is>
      </c>
      <c r="Q322" s="77" t="inlineStr">
        <is>
          <t>Unclear</t>
        </is>
      </c>
      <c r="R322" s="77" t="inlineStr">
        <is>
          <t>Curricular</t>
        </is>
      </c>
      <c r="S322" s="77" t="inlineStr">
        <is>
          <t>Not stated in extract</t>
        </is>
      </c>
      <c r="T322" s="77" t="inlineStr">
        <is>
          <t>About six months part-time (project work Oct 2025 to Mar 2026 in the 2025/26 cycle)</t>
        </is>
      </c>
      <c r="U322" s="77" t="inlineStr">
        <is>
          <t>Company-mentored team project plus academic supervisor</t>
        </is>
      </c>
      <c r="V322" s="77" t="inlineStr">
        <is>
          <t>Yes</t>
        </is>
      </c>
      <c r="W322" s="77" t="inlineStr">
        <is>
          <t>Source 1: proof-of-concept projects defined by partner company; handover of final report and code/designs.</t>
        </is>
      </c>
      <c r="X322" s="77" t="inlineStr">
        <is>
          <t>Yes</t>
        </is>
      </c>
      <c r="Y322" s="77" t="inlineStr">
        <is>
          <t>Source 1: fourth-year projects are team efforts for groups of typically 4 or 5, each student taking part of the project with interdependence expected; student liaison officer.</t>
        </is>
      </c>
      <c r="Z322" s="77" t="inlineStr">
        <is>
          <t>Yes</t>
        </is>
      </c>
      <c r="AA322" s="77" t="inlineStr">
        <is>
          <t>Source 1: company must name a lead contact and technical mentor(s); each project has a company mentor alongside a UCL supervisor; students hand over to company mentor.</t>
        </is>
      </c>
      <c r="AB322" s="77" t="inlineStr">
        <is>
          <t>Business/commercial</t>
        </is>
      </c>
      <c r="AC322" s="77" t="inlineStr">
        <is>
          <t>Company proposes project, supplies technical mentor, receives proof-of-concept output.</t>
        </is>
      </c>
      <c r="AD322" s="77" t="inlineStr"/>
      <c r="AE322" s="77" t="inlineStr">
        <is>
          <t>Proof-of-concept design/prototype, final report, handover to company mentor</t>
        </is>
      </c>
      <c r="AF322" s="77">
        <f>IF(OR(V322="No",X322="No",Z322="No"),"Outside strict definition",IF(AND(V322="Yes",X322="Yes",Z322="Yes"),"Meets all three","Potentially relevant; evidence incomplete"))</f>
        <v/>
      </c>
      <c r="AG322" s="77" t="inlineStr">
        <is>
          <t>Current delivery confirmed</t>
        </is>
      </c>
      <c r="AH322" s="77" t="inlineStr">
        <is>
          <t>2025/26</t>
        </is>
      </c>
      <c r="AI322" s="77" t="inlineStr">
        <is>
          <t>Yes</t>
        </is>
      </c>
      <c r="AJ322" s="77">
        <f>IF(AND(AI322="Yes",AF322="Meets all three",AG322="Current delivery confirmed"),"Yes","No")</f>
        <v/>
      </c>
      <c r="AK322" s="77" t="inlineStr"/>
      <c r="AL322" s="77" t="inlineStr">
        <is>
          <t>RG22-S02-R1; RG22-S02-R2</t>
        </is>
      </c>
      <c r="AM322"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22" s="77" t="inlineStr"/>
      <c r="AO322" s="77" t="inlineStr">
        <is>
          <t>UK</t>
        </is>
      </c>
      <c r="AP322" s="77" t="inlineStr">
        <is>
          <t>UK – Russell Group</t>
        </is>
      </c>
      <c r="AQ322" s="77" t="inlineStr">
        <is>
          <t>&gt;1 term</t>
        </is>
      </c>
      <c r="AR322" s="77" t="inlineStr">
        <is>
          <t>All/standard</t>
        </is>
      </c>
      <c r="AS322" s="77" t="inlineStr"/>
    </row>
    <row r="323">
      <c r="A323" s="77" t="inlineStr">
        <is>
          <t>RG22</t>
        </is>
      </c>
      <c r="B323" s="77" t="inlineStr">
        <is>
          <t>UCL</t>
        </is>
      </c>
      <c r="C323" s="77" t="inlineStr">
        <is>
          <t>Faculty/school</t>
        </is>
      </c>
      <c r="D323" s="77" t="inlineStr">
        <is>
          <t>RG22-S03</t>
        </is>
      </c>
      <c r="E323" s="77" t="inlineStr"/>
      <c r="F323" s="77" t="inlineStr">
        <is>
          <t>Yes</t>
        </is>
      </c>
      <c r="G323" s="79" t="inlineStr">
        <is>
          <t>Integrated Engineering Programme (IEP)</t>
        </is>
      </c>
      <c r="H323" s="77" t="inlineStr">
        <is>
          <t>UCL Faculty of Engineering Sciences Integrated Engineering Programme</t>
        </is>
      </c>
      <c r="I323" s="77" t="inlineStr"/>
      <c r="J323" s="77" t="inlineStr">
        <is>
          <t>Faculty-wide project-based engineering curriculum: departmental Scenario weeks (Years 1-2) and the cross-disciplinary two-week How to Change the World project (end of Year 2). Umbrella record; children assessed separately.</t>
        </is>
      </c>
      <c r="K323" s="77" t="inlineStr">
        <is>
          <t>UCL Centre for Engineering Education / Faculty of Engineering Sciences</t>
        </is>
      </c>
      <c r="L323" s="77" t="inlineStr">
        <is>
          <t>Engineering degrees (Civil Engineering students do not currently take How to Change the World); Management Science takes an IEP minor</t>
        </is>
      </c>
      <c r="M323" s="77" t="inlineStr">
        <is>
          <t>Engineering/computing</t>
        </is>
      </c>
      <c r="N323" s="77" t="inlineStr">
        <is>
          <t>Undergraduate</t>
        </is>
      </c>
      <c r="O323" s="77" t="inlineStr">
        <is>
          <t>Years 1-2</t>
        </is>
      </c>
      <c r="P323" s="77" t="inlineStr"/>
      <c r="Q323" s="77" t="inlineStr">
        <is>
          <t>Compulsory within specified programmes</t>
        </is>
      </c>
      <c r="R323" s="77" t="inlineStr">
        <is>
          <t>Curricular</t>
        </is>
      </c>
      <c r="S323" s="77" t="inlineStr"/>
      <c r="T323" s="77" t="inlineStr"/>
      <c r="U323" s="77" t="inlineStr">
        <is>
          <t>Project weeks</t>
        </is>
      </c>
      <c r="V323" s="77" t="inlineStr">
        <is>
          <t>Yes</t>
        </is>
      </c>
      <c r="W323" s="77" t="inlineStr">
        <is>
          <t>Source 1</t>
        </is>
      </c>
      <c r="X323" s="77" t="inlineStr">
        <is>
          <t>Yes</t>
        </is>
      </c>
      <c r="Y323" s="77" t="inlineStr">
        <is>
          <t>Source 1</t>
        </is>
      </c>
      <c r="Z323" s="77" t="inlineStr">
        <is>
          <t>Unclear</t>
        </is>
      </c>
      <c r="AA323" s="77" t="inlineStr">
        <is>
          <t>Employer role differs by child record.</t>
        </is>
      </c>
      <c r="AB323" s="77" t="inlineStr">
        <is>
          <t>Mixed</t>
        </is>
      </c>
      <c r="AC323" s="77" t="inlineStr"/>
      <c r="AD323" s="77" t="inlineStr"/>
      <c r="AE323" s="77" t="inlineStr"/>
      <c r="AF323" s="77">
        <f>IF(OR(V323="No",X323="No",Z323="No"),"Outside strict definition",IF(AND(V323="Yes",X323="Yes",Z323="Yes"),"Meets all three","Potentially relevant; evidence incomplete"))</f>
        <v/>
      </c>
      <c r="AG323" s="77" t="inlineStr">
        <is>
          <t>Current status unclear</t>
        </is>
      </c>
      <c r="AH323" s="77" t="inlineStr">
        <is>
          <t>2025</t>
        </is>
      </c>
      <c r="AI323" s="77" t="inlineStr">
        <is>
          <t>No</t>
        </is>
      </c>
      <c r="AJ323" s="77">
        <f>IF(AND(AI323="Yes",AF323="Meets all three",AG323="Current delivery confirmed"),"Yes","No")</f>
        <v/>
      </c>
      <c r="AK323" s="77" t="inlineStr"/>
      <c r="AL323" s="77" t="inlineStr">
        <is>
          <t>RG22-S03-R1</t>
        </is>
      </c>
      <c r="AM323" s="77" t="inlineStr">
        <is>
          <t>Umbrella; see S4 and S5.</t>
        </is>
      </c>
      <c r="AN323" s="77" t="inlineStr"/>
      <c r="AO323" s="77" t="inlineStr">
        <is>
          <t>UK</t>
        </is>
      </c>
      <c r="AP323" s="77" t="inlineStr">
        <is>
          <t>UK – Russell Group</t>
        </is>
      </c>
      <c r="AQ323" s="77" t="inlineStr">
        <is>
          <t>Unclear</t>
        </is>
      </c>
      <c r="AR323" s="77" t="inlineStr">
        <is>
          <t>Unclear</t>
        </is>
      </c>
      <c r="AS323" s="77" t="inlineStr">
        <is>
          <t>No (umbrella; children counted)</t>
        </is>
      </c>
    </row>
    <row r="324">
      <c r="A324" s="77" t="inlineStr">
        <is>
          <t>RG22</t>
        </is>
      </c>
      <c r="B324" s="77" t="inlineStr">
        <is>
          <t>UCL</t>
        </is>
      </c>
      <c r="C324" s="77" t="inlineStr">
        <is>
          <t>Faculty/school</t>
        </is>
      </c>
      <c r="D324" s="77" t="inlineStr">
        <is>
          <t>RG22-S04</t>
        </is>
      </c>
      <c r="E324" s="77" t="inlineStr">
        <is>
          <t>RG22-S03</t>
        </is>
      </c>
      <c r="F324" s="77" t="inlineStr">
        <is>
          <t>No</t>
        </is>
      </c>
      <c r="G324" s="79" t="inlineStr">
        <is>
          <t>IEP Scenario weeks</t>
        </is>
      </c>
      <c r="H324" s="77" t="inlineStr">
        <is>
          <t>Scenario weeks (intensive departmental team design projects, Years 1-2)</t>
        </is>
      </c>
      <c r="I324" s="77" t="inlineStr"/>
      <c r="J324" s="77" t="inlineStr">
        <is>
          <t>Week-long intensive team design projects in Years 1 and 2 where other teaching stops; each department runs its own. Some scenarios occasionally involve start-ups, companies, third-sector professionals or communities.</t>
        </is>
      </c>
      <c r="K324" s="77" t="inlineStr">
        <is>
          <t>UCL Faculty of Engineering Sciences departments</t>
        </is>
      </c>
      <c r="L324" s="77" t="inlineStr"/>
      <c r="M324" s="77" t="inlineStr">
        <is>
          <t>Engineering/computing</t>
        </is>
      </c>
      <c r="N324" s="77" t="inlineStr">
        <is>
          <t>Undergraduate</t>
        </is>
      </c>
      <c r="O324" s="77" t="inlineStr">
        <is>
          <t>Years 1-2</t>
        </is>
      </c>
      <c r="P324" s="77" t="inlineStr"/>
      <c r="Q324" s="77" t="inlineStr">
        <is>
          <t>Compulsory within specified programmes</t>
        </is>
      </c>
      <c r="R324" s="77" t="inlineStr">
        <is>
          <t>Curricular</t>
        </is>
      </c>
      <c r="S324" s="77" t="inlineStr">
        <is>
          <t>Not stated</t>
        </is>
      </c>
      <c r="T324" s="77" t="inlineStr">
        <is>
          <t>One week per scenario</t>
        </is>
      </c>
      <c r="U324" s="77" t="inlineStr">
        <is>
          <t>Intensive team project week</t>
        </is>
      </c>
      <c r="V324" s="77" t="inlineStr">
        <is>
          <t>Yes</t>
        </is>
      </c>
      <c r="W324" s="77" t="inlineStr">
        <is>
          <t>Source 1: intensive project-based experiences, a single technical design project.</t>
        </is>
      </c>
      <c r="X324" s="77" t="inlineStr">
        <is>
          <t>Yes</t>
        </is>
      </c>
      <c r="Y324" s="77" t="inlineStr">
        <is>
          <t>Source 1: teams focus on one technical design project.</t>
        </is>
      </c>
      <c r="Z324" s="77" t="inlineStr">
        <is>
          <t>Unclear</t>
        </is>
      </c>
      <c r="AA324" s="77" t="inlineStr">
        <is>
          <t>Source 1: scenarios only 'occasionally' collaborate with industry/third sector/communities; not the norm.</t>
        </is>
      </c>
      <c r="AB324" s="77" t="inlineStr">
        <is>
          <t>Mixed</t>
        </is>
      </c>
      <c r="AC324" s="77" t="inlineStr">
        <is>
          <t>Occasional external input to some scenarios.</t>
        </is>
      </c>
      <c r="AD324" s="77" t="inlineStr"/>
      <c r="AE324" s="77" t="inlineStr">
        <is>
          <t>Technical design project output</t>
        </is>
      </c>
      <c r="AF324" s="77">
        <f>IF(OR(V324="No",X324="No",Z324="No"),"Outside strict definition",IF(AND(V324="Yes",X324="Yes",Z324="Yes"),"Meets all three","Potentially relevant; evidence incomplete"))</f>
        <v/>
      </c>
      <c r="AG324" s="77" t="inlineStr">
        <is>
          <t>Current status unclear</t>
        </is>
      </c>
      <c r="AH324" s="77" t="inlineStr">
        <is>
          <t>undated</t>
        </is>
      </c>
      <c r="AI324" s="77" t="inlineStr">
        <is>
          <t>Yes</t>
        </is>
      </c>
      <c r="AJ324" s="77">
        <f>IF(AND(AI324="Yes",AF324="Meets all three",AG324="Current delivery confirmed"),"Yes","No")</f>
        <v/>
      </c>
      <c r="AK324" s="77" t="inlineStr"/>
      <c r="AL324" s="77" t="inlineStr">
        <is>
          <t>RG22-S04-R1</t>
        </is>
      </c>
      <c r="AM324" s="77" t="inlineStr">
        <is>
          <t>No scenario-by-scenario list of external partners; undated page with no 2025/26 corroboration.</t>
        </is>
      </c>
      <c r="AN324" s="77" t="inlineStr"/>
      <c r="AO324" s="77" t="inlineStr">
        <is>
          <t>UK</t>
        </is>
      </c>
      <c r="AP324" s="77" t="inlineStr">
        <is>
          <t>UK – Russell Group</t>
        </is>
      </c>
      <c r="AQ324" s="77" t="inlineStr">
        <is>
          <t>&lt;1 week</t>
        </is>
      </c>
      <c r="AR324" s="77" t="inlineStr">
        <is>
          <t>Some projects</t>
        </is>
      </c>
      <c r="AS324" s="77" t="inlineStr"/>
    </row>
    <row r="325">
      <c r="A325" s="77" t="inlineStr">
        <is>
          <t>RG22</t>
        </is>
      </c>
      <c r="B325" s="77" t="inlineStr">
        <is>
          <t>UCL</t>
        </is>
      </c>
      <c r="C325" s="77" t="inlineStr">
        <is>
          <t>Faculty/school</t>
        </is>
      </c>
      <c r="D325" s="77" t="inlineStr">
        <is>
          <t>RG22-S05</t>
        </is>
      </c>
      <c r="E325" s="77" t="inlineStr">
        <is>
          <t>RG22-S03</t>
        </is>
      </c>
      <c r="F325" s="77" t="inlineStr">
        <is>
          <t>No</t>
        </is>
      </c>
      <c r="G325" s="79" t="inlineStr">
        <is>
          <t>How to Change the World (IEP)</t>
        </is>
      </c>
      <c r="H325" s="77" t="inlineStr">
        <is>
          <t>How to Change the World - two-week interdisciplinary team challenge</t>
        </is>
      </c>
      <c r="I325" s="77" t="inlineStr"/>
      <c r="J325"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25" s="77" t="inlineStr">
        <is>
          <t>UCL Centre for Engineering Education / Faculty of Engineering Sciences</t>
        </is>
      </c>
      <c r="L325" s="77" t="inlineStr">
        <is>
          <t>IEP engineering programmes, computer science, management science (Civil Engineering students do not currently participate)</t>
        </is>
      </c>
      <c r="M325" s="77" t="inlineStr">
        <is>
          <t>Engineering/computing; Business/management</t>
        </is>
      </c>
      <c r="N325" s="77" t="inlineStr">
        <is>
          <t>Undergraduate</t>
        </is>
      </c>
      <c r="O325" s="77" t="inlineStr">
        <is>
          <t>End of Year 2</t>
        </is>
      </c>
      <c r="P325" s="77" t="inlineStr"/>
      <c r="Q325" s="77" t="inlineStr">
        <is>
          <t>Compulsory within specified programmes</t>
        </is>
      </c>
      <c r="R325" s="77" t="inlineStr">
        <is>
          <t>Curricular</t>
        </is>
      </c>
      <c r="S325" s="77" t="inlineStr">
        <is>
          <t>Not stated</t>
        </is>
      </c>
      <c r="T325" s="77" t="inlineStr">
        <is>
          <t>Two weeks</t>
        </is>
      </c>
      <c r="U325" s="77" t="inlineStr">
        <is>
          <t>Intensive in-person challenge, workshops and pitch</t>
        </is>
      </c>
      <c r="V325" s="77" t="inlineStr">
        <is>
          <t>Yes</t>
        </is>
      </c>
      <c r="W325" s="77" t="inlineStr">
        <is>
          <t>Source 1: open-ended societal challenge; teams pitch concepts at final-day showcase.</t>
        </is>
      </c>
      <c r="X325" s="77" t="inlineStr">
        <is>
          <t>Yes</t>
        </is>
      </c>
      <c r="Y325" s="77" t="inlineStr">
        <is>
          <t>Source 1: teams of up to six engineering disciplines, computer scientists and management scientists.</t>
        </is>
      </c>
      <c r="Z325" s="77" t="inlineStr">
        <is>
          <t>Yes</t>
        </is>
      </c>
      <c r="AA325" s="77" t="inlineStr">
        <is>
          <t>Source 1: challenges created in partnership with external experts from policy, industry and the third sector; supported by industrial partners; teams pitch to a panel including external experts.</t>
        </is>
      </c>
      <c r="AB325" s="77" t="inlineStr">
        <is>
          <t>Mixed</t>
        </is>
      </c>
      <c r="AC325" s="77" t="inlineStr">
        <is>
          <t>Partners co-create challenges, run workshops and sit on feedback/judging panel.</t>
        </is>
      </c>
      <c r="AD325" s="77" t="inlineStr">
        <is>
          <t>Recent partners listed on UCL page (undated): UK Dept for Transport, ARUP, Engineers Without Borders UK, Motorola Solutions, Lloyds Banking Group.</t>
        </is>
      </c>
      <c r="AE325" s="77" t="inlineStr">
        <is>
          <t>Concept pitch/showcase</t>
        </is>
      </c>
      <c r="AF325" s="77">
        <f>IF(OR(V325="No",X325="No",Z325="No"),"Outside strict definition",IF(AND(V325="Yes",X325="Yes",Z325="Yes"),"Meets all three","Potentially relevant; evidence incomplete"))</f>
        <v/>
      </c>
      <c r="AG325" s="77" t="inlineStr">
        <is>
          <t>Current status unclear</t>
        </is>
      </c>
      <c r="AH325" s="77" t="inlineStr">
        <is>
          <t>2025</t>
        </is>
      </c>
      <c r="AI325" s="77" t="inlineStr">
        <is>
          <t>Yes</t>
        </is>
      </c>
      <c r="AJ325" s="77">
        <f>IF(AND(AI325="Yes",AF325="Meets all three",AG325="Current delivery confirmed"),"Yes","No")</f>
        <v/>
      </c>
      <c r="AK325" s="77" t="inlineStr"/>
      <c r="AL325" s="77" t="inlineStr">
        <is>
          <t>RG22-S05-R1; RG22-S05-R2</t>
        </is>
      </c>
      <c r="AM325"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25" s="77" t="inlineStr"/>
      <c r="AO325" s="77" t="inlineStr">
        <is>
          <t>UK</t>
        </is>
      </c>
      <c r="AP325" s="77" t="inlineStr">
        <is>
          <t>UK – Russell Group</t>
        </is>
      </c>
      <c r="AQ325" s="77" t="inlineStr">
        <is>
          <t>1-4 weeks</t>
        </is>
      </c>
      <c r="AR325" s="77" t="inlineStr">
        <is>
          <t>All/standard</t>
        </is>
      </c>
      <c r="AS325" s="77" t="inlineStr"/>
    </row>
    <row r="326">
      <c r="A326" s="77" t="inlineStr">
        <is>
          <t>RG22</t>
        </is>
      </c>
      <c r="B326" s="77" t="inlineStr">
        <is>
          <t>UCL</t>
        </is>
      </c>
      <c r="C326" s="77" t="inlineStr">
        <is>
          <t>Faculty/school</t>
        </is>
      </c>
      <c r="D326" s="77" t="inlineStr">
        <is>
          <t>RG22-S06</t>
        </is>
      </c>
      <c r="E326" s="77" t="inlineStr"/>
      <c r="F326" s="77" t="inlineStr">
        <is>
          <t>No</t>
        </is>
      </c>
      <c r="G326" s="79" t="inlineStr">
        <is>
          <t>Building a Better Future (BABF) consultancy project</t>
        </is>
      </c>
      <c r="H326" s="77" t="inlineStr">
        <is>
          <t>Bartlett Building a Better Future consultancy project (ExtendED Learning)</t>
        </is>
      </c>
      <c r="I326" s="77" t="inlineStr"/>
      <c r="J326"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26" s="77" t="inlineStr">
        <is>
          <t>The Bartlett (UCL Faculty of the Built Environment) via ExtendED Learning</t>
        </is>
      </c>
      <c r="L326" s="77" t="inlineStr">
        <is>
          <t>Bartlett students only</t>
        </is>
      </c>
      <c r="M326" s="77" t="inlineStr">
        <is>
          <t>Other (law, health, design, architecture…)</t>
        </is>
      </c>
      <c r="N326" s="77" t="inlineStr">
        <is>
          <t>Mixed</t>
        </is>
      </c>
      <c r="O326" s="77" t="inlineStr"/>
      <c r="P326" s="77" t="inlineStr">
        <is>
          <t>Open only to Bartlett students; places allocated by preference.</t>
        </is>
      </c>
      <c r="Q326" s="77" t="inlineStr">
        <is>
          <t>Optional/elective</t>
        </is>
      </c>
      <c r="R326" s="77" t="inlineStr">
        <is>
          <t>Extracurricular</t>
        </is>
      </c>
      <c r="S326" s="77" t="inlineStr">
        <is>
          <t>No credit evidenced</t>
        </is>
      </c>
      <c r="T326" s="77" t="inlineStr">
        <is>
          <t>Two weeks (1-17 June 2026)</t>
        </is>
      </c>
      <c r="U326" s="77" t="inlineStr">
        <is>
          <t>In-person workshops, site/office visits, showcase</t>
        </is>
      </c>
      <c r="V326" s="77" t="inlineStr">
        <is>
          <t>Yes</t>
        </is>
      </c>
      <c r="W326" s="77" t="inlineStr">
        <is>
          <t>Sources 1-2: briefs set by host organisations; teams deliver 10-minute presentation of recommendations.</t>
        </is>
      </c>
      <c r="X326" s="77" t="inlineStr">
        <is>
          <t>Yes</t>
        </is>
      </c>
      <c r="Y326" s="77" t="inlineStr">
        <is>
          <t>Source 1: teams of five to eight.</t>
        </is>
      </c>
      <c r="Z326" s="77" t="inlineStr">
        <is>
          <t>Yes</t>
        </is>
      </c>
      <c r="AA326" s="77" t="inlineStr">
        <is>
          <t>Source 1: briefs set by AtkinsRealis, Buro Happold, Hereworks UK, Turner &amp; Townsend, Gensler, LB Islington and LB Sutton; teams present to judging panel and host organisations.</t>
        </is>
      </c>
      <c r="AB326" s="77" t="inlineStr">
        <is>
          <t>Mixed</t>
        </is>
      </c>
      <c r="AC326" s="77" t="inlineStr">
        <is>
          <t>Host organisations set briefs, host office visits, receive presentation and Q&amp;A.</t>
        </is>
      </c>
      <c r="AD326" s="77" t="inlineStr">
        <is>
          <t>2026: AtkinsRealis, Buro Happold, Hereworks UK, Turner &amp; Townsend, Gensler, London Boroughs of Islington and Sutton</t>
        </is>
      </c>
      <c r="AE326" s="77" t="inlineStr">
        <is>
          <t>Recommendations presentation to host organisation</t>
        </is>
      </c>
      <c r="AF326" s="77">
        <f>IF(OR(V326="No",X326="No",Z326="No"),"Outside strict definition",IF(AND(V326="Yes",X326="Yes",Z326="Yes"),"Meets all three","Potentially relevant; evidence incomplete"))</f>
        <v/>
      </c>
      <c r="AG326" s="77" t="inlineStr">
        <is>
          <t>Current delivery confirmed</t>
        </is>
      </c>
      <c r="AH326" s="77" t="inlineStr">
        <is>
          <t>2025/26</t>
        </is>
      </c>
      <c r="AI326" s="77" t="inlineStr">
        <is>
          <t>Yes</t>
        </is>
      </c>
      <c r="AJ326" s="77">
        <f>IF(AND(AI326="Yes",AF326="Meets all three",AG326="Current delivery confirmed"),"Yes","No")</f>
        <v/>
      </c>
      <c r="AK326" s="77" t="inlineStr">
        <is>
          <t>83 students in third edition (2026)</t>
        </is>
      </c>
      <c r="AL326" s="77" t="inlineStr">
        <is>
          <t>RG22-S06-R1; RG22-S06-R2</t>
        </is>
      </c>
      <c r="AM326" s="77" t="inlineStr">
        <is>
          <t>2026/27 call not found.</t>
        </is>
      </c>
      <c r="AN326" s="77" t="inlineStr"/>
      <c r="AO326" s="77" t="inlineStr">
        <is>
          <t>UK</t>
        </is>
      </c>
      <c r="AP326" s="77" t="inlineStr">
        <is>
          <t>UK – Russell Group</t>
        </is>
      </c>
      <c r="AQ326" s="77" t="inlineStr">
        <is>
          <t>1-4 weeks</t>
        </is>
      </c>
      <c r="AR326" s="77" t="inlineStr">
        <is>
          <t>All/standard</t>
        </is>
      </c>
      <c r="AS326" s="77" t="inlineStr"/>
    </row>
    <row r="327">
      <c r="A327" s="77" t="inlineStr">
        <is>
          <t>RG22</t>
        </is>
      </c>
      <c r="B327" s="77" t="inlineStr">
        <is>
          <t>UCL</t>
        </is>
      </c>
      <c r="C327" s="77" t="inlineStr">
        <is>
          <t>University-wide</t>
        </is>
      </c>
      <c r="D327" s="77" t="inlineStr">
        <is>
          <t>RG22-S07</t>
        </is>
      </c>
      <c r="E327" s="77" t="inlineStr"/>
      <c r="F327" s="77" t="inlineStr">
        <is>
          <t>No</t>
        </is>
      </c>
      <c r="G327" s="79" t="inlineStr">
        <is>
          <t>International Industry Challenges (Practera Nano Projects) - ExtendED Learning</t>
        </is>
      </c>
      <c r="H327" s="77" t="inlineStr">
        <is>
          <t>International Industry Challenge teams</t>
        </is>
      </c>
      <c r="I327" s="77" t="inlineStr"/>
      <c r="J327"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27" s="77" t="inlineStr">
        <is>
          <t>UCL Careers / ExtendED Learning (Teaching &amp; Learning)</t>
        </is>
      </c>
      <c r="L327" s="77" t="inlineStr">
        <is>
          <t>All UCL undergraduate and taught postgraduate students (ExtendED eligibility)</t>
        </is>
      </c>
      <c r="M327" s="77" t="inlineStr">
        <is>
          <t>Central provision</t>
        </is>
      </c>
      <c r="N327" s="77" t="inlineStr">
        <is>
          <t>Mixed</t>
        </is>
      </c>
      <c r="O327" s="77" t="inlineStr"/>
      <c r="P327" s="77" t="inlineStr">
        <is>
          <t>ExtendED open to UG and PGT students; some places reserved for Careers Extra students; limited places (up to 150 in 2025).</t>
        </is>
      </c>
      <c r="Q327" s="77" t="inlineStr">
        <is>
          <t>Optional/elective</t>
        </is>
      </c>
      <c r="R327" s="77" t="inlineStr">
        <is>
          <t>Extracurricular</t>
        </is>
      </c>
      <c r="S327" s="77" t="inlineStr">
        <is>
          <t>Digital badge; no credit</t>
        </is>
      </c>
      <c r="T327" s="77" t="inlineStr">
        <is>
          <t>~25 hours, 26 May-15 June 2026</t>
        </is>
      </c>
      <c r="U327" s="77" t="inlineStr">
        <is>
          <t>Online teams with briefing, Q&amp;A, pitch</t>
        </is>
      </c>
      <c r="V327" s="77" t="inlineStr">
        <is>
          <t>Yes</t>
        </is>
      </c>
      <c r="W327" s="77" t="inlineStr">
        <is>
          <t>Source 1: team responds to one employer brief and delivers a pitch.</t>
        </is>
      </c>
      <c r="X327" s="77" t="inlineStr">
        <is>
          <t>Yes</t>
        </is>
      </c>
      <c r="Y327" s="77" t="inlineStr">
        <is>
          <t>Sources 1-2: 'teams' respond to a single brief; 'Industry Challenge Teams'.</t>
        </is>
      </c>
      <c r="Z327" s="77" t="inlineStr">
        <is>
          <t>Yes</t>
        </is>
      </c>
      <c r="AA327" s="77" t="inlineStr">
        <is>
          <t>Source 1: brief provided by a real international industry partner; team meets client at briefing and gets client feedback at pitch. Source 2 separates the AI-simulated variant (excluded).</t>
        </is>
      </c>
      <c r="AB327" s="77" t="inlineStr">
        <is>
          <t>Unclear</t>
        </is>
      </c>
      <c r="AC327" s="77" t="inlineStr">
        <is>
          <t>Employer sets brief, answers questions, gives pitch feedback.</t>
        </is>
      </c>
      <c r="AD327" s="77" t="inlineStr"/>
      <c r="AE327" s="77" t="inlineStr">
        <is>
          <t>Pitch to the employer</t>
        </is>
      </c>
      <c r="AF327" s="77">
        <f>IF(OR(V327="No",X327="No",Z327="No"),"Outside strict definition",IF(AND(V327="Yes",X327="Yes",Z327="Yes"),"Meets all three","Potentially relevant; evidence incomplete"))</f>
        <v/>
      </c>
      <c r="AG327" s="77" t="inlineStr">
        <is>
          <t>Current delivery confirmed</t>
        </is>
      </c>
      <c r="AH327" s="77" t="inlineStr">
        <is>
          <t>2025/26</t>
        </is>
      </c>
      <c r="AI327" s="77" t="inlineStr">
        <is>
          <t>Yes</t>
        </is>
      </c>
      <c r="AJ327" s="77">
        <f>IF(AND(AI327="Yes",AF327="Meets all three",AG327="Current delivery confirmed"),"Yes","No")</f>
        <v/>
      </c>
      <c r="AK327" s="77" t="inlineStr">
        <is>
          <t>Up to 150 places (2025 cycle)</t>
        </is>
      </c>
      <c r="AL327" s="77" t="inlineStr">
        <is>
          <t>RG22-S07-R1; RG22-S07-R2; RG22-S07-R3</t>
        </is>
      </c>
      <c r="AM327" s="77" t="inlineStr">
        <is>
          <t>Partner sector and named employers not found; exact team sizes not stated.</t>
        </is>
      </c>
      <c r="AN327" s="77" t="inlineStr"/>
      <c r="AO327" s="77" t="inlineStr">
        <is>
          <t>UK</t>
        </is>
      </c>
      <c r="AP327" s="77" t="inlineStr">
        <is>
          <t>UK – Russell Group</t>
        </is>
      </c>
      <c r="AQ327" s="77" t="inlineStr">
        <is>
          <t>1-4 weeks</t>
        </is>
      </c>
      <c r="AR327" s="77" t="inlineStr">
        <is>
          <t>All/standard</t>
        </is>
      </c>
      <c r="AS327" s="77" t="inlineStr"/>
    </row>
    <row r="328">
      <c r="A328" s="77" t="inlineStr">
        <is>
          <t>RG22</t>
        </is>
      </c>
      <c r="B328" s="77" t="inlineStr">
        <is>
          <t>UCL</t>
        </is>
      </c>
      <c r="C328" s="77" t="inlineStr">
        <is>
          <t>Programme/course</t>
        </is>
      </c>
      <c r="D328" s="77" t="inlineStr">
        <is>
          <t>RG22-S08</t>
        </is>
      </c>
      <c r="E328" s="77" t="inlineStr"/>
      <c r="F328" s="77" t="inlineStr">
        <is>
          <t>No</t>
        </is>
      </c>
      <c r="G328" s="79" t="inlineStr">
        <is>
          <t>Business Project (MSIN0314), MSc Marketing Science</t>
        </is>
      </c>
      <c r="H328" s="77" t="inlineStr">
        <is>
          <t>MSc Marketing Science Business Project</t>
        </is>
      </c>
      <c r="I328" s="77" t="inlineStr">
        <is>
          <t>MSIN0314</t>
        </is>
      </c>
      <c r="J328"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28" s="77" t="inlineStr">
        <is>
          <t>UCL School of Management</t>
        </is>
      </c>
      <c r="L328" s="77" t="inlineStr">
        <is>
          <t>MSc Marketing Science</t>
        </is>
      </c>
      <c r="M328" s="77" t="inlineStr">
        <is>
          <t>Business/management</t>
        </is>
      </c>
      <c r="N328" s="77" t="inlineStr">
        <is>
          <t>Postgraduate taught</t>
        </is>
      </c>
      <c r="O328" s="77" t="inlineStr"/>
      <c r="P328" s="77" t="inlineStr"/>
      <c r="Q328" s="77" t="inlineStr">
        <is>
          <t>Compulsory within specified programmes</t>
        </is>
      </c>
      <c r="R328" s="77" t="inlineStr">
        <is>
          <t>Curricular</t>
        </is>
      </c>
      <c r="S328" s="77" t="inlineStr">
        <is>
          <t>45 credits; individual and group components</t>
        </is>
      </c>
      <c r="T328" s="77" t="inlineStr">
        <is>
          <t>~10 weeks (Term 3)</t>
        </is>
      </c>
      <c r="U328" s="77" t="inlineStr">
        <is>
          <t>Supervised group consultancy project</t>
        </is>
      </c>
      <c r="V328" s="77" t="inlineStr">
        <is>
          <t>Yes</t>
        </is>
      </c>
      <c r="W328" s="77" t="inlineStr">
        <is>
          <t>Source 1: real marketing challenge; consultancy-style project.</t>
        </is>
      </c>
      <c r="X328" s="77" t="inlineStr">
        <is>
          <t>Yes</t>
        </is>
      </c>
      <c r="Y328" s="77" t="inlineStr">
        <is>
          <t>Source 1: students put into groups under faculty supervision; assessed with group and individual components.</t>
        </is>
      </c>
      <c r="Z328" s="77" t="inlineStr">
        <is>
          <t>Yes</t>
        </is>
      </c>
      <c r="AA328" s="77" t="inlineStr">
        <is>
          <t>Source 1: groups work with real-world external organisations (external client).</t>
        </is>
      </c>
      <c r="AB328" s="77" t="inlineStr">
        <is>
          <t>Unclear</t>
        </is>
      </c>
      <c r="AC328" s="77" t="inlineStr">
        <is>
          <t>External client organisation supplies the marketing challenge.</t>
        </is>
      </c>
      <c r="AD328" s="77" t="inlineStr"/>
      <c r="AE328" s="77" t="inlineStr">
        <is>
          <t>Consultancy project outputs for external organisation (not specified in extract)</t>
        </is>
      </c>
      <c r="AF328" s="77">
        <f>IF(OR(V328="No",X328="No",Z328="No"),"Outside strict definition",IF(AND(V328="Yes",X328="Yes",Z328="Yes"),"Meets all three","Potentially relevant; evidence incomplete"))</f>
        <v/>
      </c>
      <c r="AG328" s="77" t="inlineStr">
        <is>
          <t>Current status unclear</t>
        </is>
      </c>
      <c r="AH328" s="77" t="inlineStr">
        <is>
          <t>2025</t>
        </is>
      </c>
      <c r="AI328" s="77" t="inlineStr">
        <is>
          <t>Yes</t>
        </is>
      </c>
      <c r="AJ328" s="77">
        <f>IF(AND(AI328="Yes",AF328="Meets all three",AG328="Current delivery confirmed"),"Yes","No")</f>
        <v/>
      </c>
      <c r="AK328" s="77" t="inlineStr"/>
      <c r="AL328" s="77" t="inlineStr">
        <is>
          <t>RG22-S08-R1; RG22-S08-R2</t>
        </is>
      </c>
      <c r="AM328" s="77" t="inlineStr">
        <is>
          <t>Programme pages undated; no named 2025/26 clients or presentations found; 2025 info session and April 2025 advisory board are not delivery evidence. Partner sector not stated.</t>
        </is>
      </c>
      <c r="AN328" s="77" t="inlineStr"/>
      <c r="AO328" s="77" t="inlineStr">
        <is>
          <t>UK</t>
        </is>
      </c>
      <c r="AP328" s="77" t="inlineStr">
        <is>
          <t>UK – Russell Group</t>
        </is>
      </c>
      <c r="AQ328" s="77" t="inlineStr">
        <is>
          <t>~1 term/semester</t>
        </is>
      </c>
      <c r="AR328" s="77" t="inlineStr">
        <is>
          <t>All/standard</t>
        </is>
      </c>
      <c r="AS328" s="77" t="inlineStr"/>
    </row>
    <row r="329">
      <c r="A329" s="77" t="inlineStr">
        <is>
          <t>RG22</t>
        </is>
      </c>
      <c r="B329" s="77" t="inlineStr">
        <is>
          <t>UCL</t>
        </is>
      </c>
      <c r="C329" s="77" t="inlineStr">
        <is>
          <t>Programme/course</t>
        </is>
      </c>
      <c r="D329" s="77" t="inlineStr">
        <is>
          <t>RG22-S09</t>
        </is>
      </c>
      <c r="E329" s="77" t="inlineStr"/>
      <c r="F329" s="77" t="inlineStr">
        <is>
          <t>No</t>
        </is>
      </c>
      <c r="G329" s="79" t="inlineStr">
        <is>
          <t>Centre for Data Intensive Science and Industry (DISI) CDT group projects</t>
        </is>
      </c>
      <c r="H329" s="77" t="inlineStr">
        <is>
          <t>PhD CDT industry group projects</t>
        </is>
      </c>
      <c r="I329" s="77" t="inlineStr"/>
      <c r="J329"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29" s="77" t="inlineStr">
        <is>
          <t>UCL Centre for Data Intensive Science and Industry (Mathematical &amp; Physical Sciences)</t>
        </is>
      </c>
      <c r="L329" s="77" t="inlineStr">
        <is>
          <t>PhD students in the Data Intensive Science CDT</t>
        </is>
      </c>
      <c r="M329" s="77" t="inlineStr">
        <is>
          <t>Science</t>
        </is>
      </c>
      <c r="N329" s="77" t="inlineStr">
        <is>
          <t>Postgraduate research</t>
        </is>
      </c>
      <c r="O329" s="77" t="inlineStr">
        <is>
          <t>First-year PhD</t>
        </is>
      </c>
      <c r="P329" s="77" t="inlineStr"/>
      <c r="Q329" s="77" t="inlineStr">
        <is>
          <t>Compulsory within specified programmes</t>
        </is>
      </c>
      <c r="R329" s="77" t="inlineStr">
        <is>
          <t>Curricular</t>
        </is>
      </c>
      <c r="S329" s="77" t="inlineStr">
        <is>
          <t>Training component of CDT; credit not stated</t>
        </is>
      </c>
      <c r="T329" s="77" t="inlineStr">
        <is>
          <t>January-April, ~2 days per week</t>
        </is>
      </c>
      <c r="U329" s="77" t="inlineStr">
        <is>
          <t>Team projects with partner data</t>
        </is>
      </c>
      <c r="V329" s="77" t="inlineStr">
        <is>
          <t>Yes</t>
        </is>
      </c>
      <c r="W329" s="77" t="inlineStr">
        <is>
          <t>Source 1: partners bring real-world problems; example 2025 project building a machine-learning pipeline to detect levees for Fathom's flood maps.</t>
        </is>
      </c>
      <c r="X329" s="77" t="inlineStr">
        <is>
          <t>Yes</t>
        </is>
      </c>
      <c r="Y329" s="77" t="inlineStr">
        <is>
          <t>Source 1: teams of three to four junior PhD students.</t>
        </is>
      </c>
      <c r="Z329" s="77" t="inlineStr">
        <is>
          <t>Yes</t>
        </is>
      </c>
      <c r="AA329" s="77" t="inlineStr">
        <is>
          <t>Source 1: companies pitch projects at an annual partner event and provide problem/data; past partners ASOS, The Guardian, NCC Group, UKAEA, Fathom, Peak AI.</t>
        </is>
      </c>
      <c r="AB329" s="77" t="inlineStr">
        <is>
          <t>Business/commercial</t>
        </is>
      </c>
      <c r="AC329" s="77" t="inlineStr">
        <is>
          <t>Partner supplies problem and data, receives pipeline/analysis output.</t>
        </is>
      </c>
      <c r="AD329" s="77" t="inlineStr">
        <is>
          <t>ASOS, The Guardian, NCC Group, UK Atomic Energy Authority, Fathom, Peak AI (past rounds); 2025 Fathom</t>
        </is>
      </c>
      <c r="AE329" s="77" t="inlineStr">
        <is>
          <t>Data/ML pipeline or analysis for partner</t>
        </is>
      </c>
      <c r="AF329" s="77">
        <f>IF(OR(V329="No",X329="No",Z329="No"),"Outside strict definition",IF(AND(V329="Yes",X329="Yes",Z329="Yes"),"Meets all three","Potentially relevant; evidence incomplete"))</f>
        <v/>
      </c>
      <c r="AG329" s="77" t="inlineStr">
        <is>
          <t>Current delivery confirmed</t>
        </is>
      </c>
      <c r="AH329" s="77" t="inlineStr">
        <is>
          <t>2026</t>
        </is>
      </c>
      <c r="AI329" s="77" t="inlineStr">
        <is>
          <t>Yes</t>
        </is>
      </c>
      <c r="AJ329" s="77">
        <f>IF(AND(AI329="Yes",AF329="Meets all three",AG329="Current delivery confirmed"),"Yes","No")</f>
        <v/>
      </c>
      <c r="AK329" s="77" t="inlineStr">
        <is>
          <t>9 rounds completed; over 40 placements (separate route)</t>
        </is>
      </c>
      <c r="AL329" s="77" t="inlineStr">
        <is>
          <t>RG22-S09-R1; RG22-S09-R2</t>
        </is>
      </c>
      <c r="AM329" s="77" t="inlineStr">
        <is>
          <t>Compulsory status inferred from 'each PhD student takes two industry-led projects'; small centre cohort size not published.</t>
        </is>
      </c>
      <c r="AN329" s="77" t="inlineStr"/>
      <c r="AO329" s="77" t="inlineStr">
        <is>
          <t>UK</t>
        </is>
      </c>
      <c r="AP329" s="77" t="inlineStr">
        <is>
          <t>UK – Russell Group</t>
        </is>
      </c>
      <c r="AQ329" s="77" t="inlineStr">
        <is>
          <t>~1 term/semester</t>
        </is>
      </c>
      <c r="AR329" s="77" t="inlineStr">
        <is>
          <t>All/standard</t>
        </is>
      </c>
      <c r="AS329" s="77" t="inlineStr"/>
    </row>
    <row r="330">
      <c r="A330" s="77" t="inlineStr">
        <is>
          <t>RG22</t>
        </is>
      </c>
      <c r="B330" s="77" t="inlineStr">
        <is>
          <t>UCL</t>
        </is>
      </c>
      <c r="C330" s="77" t="inlineStr">
        <is>
          <t>Programme/course</t>
        </is>
      </c>
      <c r="D330" s="77" t="inlineStr">
        <is>
          <t>RG22-S10</t>
        </is>
      </c>
      <c r="E330" s="77" t="inlineStr"/>
      <c r="F330" s="77" t="inlineStr">
        <is>
          <t>No</t>
        </is>
      </c>
      <c r="G330" s="79" t="inlineStr">
        <is>
          <t>MPA Group Project (STEaPP)</t>
        </is>
      </c>
      <c r="H330" s="77" t="inlineStr">
        <is>
          <t>STEaPP Master of Public Administration group project for external clients</t>
        </is>
      </c>
      <c r="I330" s="77" t="inlineStr"/>
      <c r="J330"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30" s="77" t="inlineStr">
        <is>
          <t>UCL Dept of Science, Technology, Engineering and Public Policy (STEaPP)</t>
        </is>
      </c>
      <c r="L330" s="77" t="inlineStr">
        <is>
          <t>STEaPP MPA programmes (several specialisms)</t>
        </is>
      </c>
      <c r="M330" s="77" t="inlineStr">
        <is>
          <t>Arts/humanities/social sciences; Engineering/computing</t>
        </is>
      </c>
      <c r="N330" s="77" t="inlineStr">
        <is>
          <t>Postgraduate taught</t>
        </is>
      </c>
      <c r="O330" s="77" t="inlineStr"/>
      <c r="P330" s="77" t="inlineStr"/>
      <c r="Q330" s="77" t="inlineStr">
        <is>
          <t>Compulsory within specified programmes</t>
        </is>
      </c>
      <c r="R330" s="77" t="inlineStr">
        <is>
          <t>Curricular</t>
        </is>
      </c>
      <c r="S330" s="77" t="inlineStr">
        <is>
          <t>60-credit final project (per search summary); group-project assessment details not captured</t>
        </is>
      </c>
      <c r="T330" s="77" t="inlineStr">
        <is>
          <t>Nine months (Term 2 to summer)</t>
        </is>
      </c>
      <c r="U330" s="77" t="inlineStr">
        <is>
          <t>Supervised client team project</t>
        </is>
      </c>
      <c r="V330" s="77" t="inlineStr">
        <is>
          <t>Yes</t>
        </is>
      </c>
      <c r="W330" s="77" t="inlineStr">
        <is>
          <t>Source 1: real-world policy challenge for a client with output for the client.</t>
        </is>
      </c>
      <c r="X330" s="77" t="inlineStr">
        <is>
          <t>Yes</t>
        </is>
      </c>
      <c r="Y330" s="77" t="inlineStr">
        <is>
          <t>Source 1: group project is the default major component; example team of five working with BSI.</t>
        </is>
      </c>
      <c r="Z330" s="77" t="inlineStr">
        <is>
          <t>Yes</t>
        </is>
      </c>
      <c r="AA330" s="77" t="inlineStr">
        <is>
          <t>Source 1: external client for each project; clients include BSI, Alan Turing Institute, UK Government Office for Science, Chatham House, Save the Children UK, ARUP, UNESCO.</t>
        </is>
      </c>
      <c r="AB330" s="77" t="inlineStr">
        <is>
          <t>Mixed</t>
        </is>
      </c>
      <c r="AC330" s="77" t="inlineStr">
        <is>
          <t>Client sets the policy challenge and receives the project output.</t>
        </is>
      </c>
      <c r="AD330" s="77" t="inlineStr">
        <is>
          <t>Undated listings: BSI, Alan Turing Institute, GO-Science, Chatham House, Save the Children UK, ARUP, UNESCO, Demos Helsinki</t>
        </is>
      </c>
      <c r="AE330" s="77" t="inlineStr">
        <is>
          <t>Policy report/recommendations for client</t>
        </is>
      </c>
      <c r="AF330" s="77">
        <f>IF(OR(V330="No",X330="No",Z330="No"),"Outside strict definition",IF(AND(V330="Yes",X330="Yes",Z330="Yes"),"Meets all three","Potentially relevant; evidence incomplete"))</f>
        <v/>
      </c>
      <c r="AG330" s="77" t="inlineStr">
        <is>
          <t>Current status unclear</t>
        </is>
      </c>
      <c r="AH330" s="77" t="inlineStr">
        <is>
          <t>2026</t>
        </is>
      </c>
      <c r="AI330" s="77" t="inlineStr">
        <is>
          <t>Yes</t>
        </is>
      </c>
      <c r="AJ330" s="77">
        <f>IF(AND(AI330="Yes",AF330="Meets all three",AG330="Current delivery confirmed"),"Yes","No")</f>
        <v/>
      </c>
      <c r="AK330" s="77" t="inlineStr"/>
      <c r="AL330" s="77" t="inlineStr">
        <is>
          <t>RG22-S10-R1; RG22-S10-R2</t>
        </is>
      </c>
      <c r="AM330" s="77" t="inlineStr">
        <is>
          <t>Group-project pages undated; the dated 2026 catalogue update (25 Aug 2026) is for the individual project module STEP0036; no dated 2025/26 group client list found. Group assessment weight not captured.</t>
        </is>
      </c>
      <c r="AN330" s="77" t="inlineStr"/>
      <c r="AO330" s="77" t="inlineStr">
        <is>
          <t>UK</t>
        </is>
      </c>
      <c r="AP330" s="77" t="inlineStr">
        <is>
          <t>UK – Russell Group</t>
        </is>
      </c>
      <c r="AQ330" s="77" t="inlineStr">
        <is>
          <t>&gt;1 term</t>
        </is>
      </c>
      <c r="AR330" s="77" t="inlineStr">
        <is>
          <t>All/standard</t>
        </is>
      </c>
      <c r="AS330" s="77" t="inlineStr"/>
    </row>
    <row r="331">
      <c r="A331" s="77" t="inlineStr">
        <is>
          <t>RG22</t>
        </is>
      </c>
      <c r="B331" s="77" t="inlineStr">
        <is>
          <t>UCL</t>
        </is>
      </c>
      <c r="C331" s="77" t="inlineStr">
        <is>
          <t>Programme/course</t>
        </is>
      </c>
      <c r="D331" s="77" t="inlineStr">
        <is>
          <t>RG22-S11</t>
        </is>
      </c>
      <c r="E331" s="77" t="inlineStr"/>
      <c r="F331" s="77" t="inlineStr">
        <is>
          <t>No</t>
        </is>
      </c>
      <c r="G331" s="79" t="inlineStr">
        <is>
          <t>Urban Economic Development MSc - UK Practice Engagement (London Project)</t>
        </is>
      </c>
      <c r="H331" s="77" t="inlineStr">
        <is>
          <t>DPU MSc Urban Economic Development London Project</t>
        </is>
      </c>
      <c r="I331" s="77" t="inlineStr"/>
      <c r="J331"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31" s="77" t="inlineStr">
        <is>
          <t>Bartlett Development Planning Unit</t>
        </is>
      </c>
      <c r="L331" s="77" t="inlineStr">
        <is>
          <t>MSc Urban Economic Development</t>
        </is>
      </c>
      <c r="M331" s="77" t="inlineStr">
        <is>
          <t>Other (law, health, design, architecture…)</t>
        </is>
      </c>
      <c r="N331" s="77" t="inlineStr">
        <is>
          <t>Postgraduate taught</t>
        </is>
      </c>
      <c r="O331" s="77" t="inlineStr"/>
      <c r="P331" s="77" t="inlineStr"/>
      <c r="Q331" s="77" t="inlineStr">
        <is>
          <t>Compulsory within specified programmes</t>
        </is>
      </c>
      <c r="R331" s="77" t="inlineStr">
        <is>
          <t>Curricular</t>
        </is>
      </c>
      <c r="S331" s="77" t="inlineStr">
        <is>
          <t>Not captured</t>
        </is>
      </c>
      <c r="T331" s="77" t="inlineStr">
        <is>
          <t>Not stated</t>
        </is>
      </c>
      <c r="U331" s="77" t="inlineStr">
        <is>
          <t>Group applied research with partner organisations</t>
        </is>
      </c>
      <c r="V331" s="77" t="inlineStr">
        <is>
          <t>Yes</t>
        </is>
      </c>
      <c r="W331" s="77" t="inlineStr">
        <is>
          <t>Source 1: applied research projects, final policy-facing report.</t>
        </is>
      </c>
      <c r="X331" s="77" t="inlineStr">
        <is>
          <t>Yes</t>
        </is>
      </c>
      <c r="Y331" s="77" t="inlineStr">
        <is>
          <t>Source 1: 'student groups' investigated six projects.</t>
        </is>
      </c>
      <c r="Z331" s="77" t="inlineStr">
        <is>
          <t>Yes</t>
        </is>
      </c>
      <c r="AA331" s="77" t="inlineStr">
        <is>
          <t>Source 1: partner organisations pose research questions and engage practitioners; partners The Fitzrovia Partnership (2025-26); GLA, TfL, OPDC (2024-25).</t>
        </is>
      </c>
      <c r="AB331" s="77" t="inlineStr">
        <is>
          <t>Mixed</t>
        </is>
      </c>
      <c r="AC331" s="77" t="inlineStr">
        <is>
          <t>Partners set questions and receive reports.</t>
        </is>
      </c>
      <c r="AD331" s="77" t="inlineStr">
        <is>
          <t>2025-26 The Fitzrovia Partnership; 2024-25 GLA, TfL, OPDC</t>
        </is>
      </c>
      <c r="AE331" s="77" t="inlineStr">
        <is>
          <t>Policy-facing report/recommendations</t>
        </is>
      </c>
      <c r="AF331" s="77">
        <f>IF(OR(V331="No",X331="No",Z331="No"),"Outside strict definition",IF(AND(V331="Yes",X331="Yes",Z331="Yes"),"Meets all three","Potentially relevant; evidence incomplete"))</f>
        <v/>
      </c>
      <c r="AG331" s="77" t="inlineStr">
        <is>
          <t>Current delivery confirmed</t>
        </is>
      </c>
      <c r="AH331" s="77" t="inlineStr">
        <is>
          <t>2025/26</t>
        </is>
      </c>
      <c r="AI331" s="77" t="inlineStr">
        <is>
          <t>Yes</t>
        </is>
      </c>
      <c r="AJ331" s="77">
        <f>IF(AND(AI331="Yes",AF331="Meets all three",AG331="Current delivery confirmed"),"Yes","No")</f>
        <v/>
      </c>
      <c r="AK331" s="77" t="inlineStr"/>
      <c r="AL331" s="77" t="inlineStr">
        <is>
          <t>RG22-S11-R1</t>
        </is>
      </c>
      <c r="AM331" s="77" t="inlineStr">
        <is>
          <t>Duration, credit weight and compulsory status of the practice module not captured.</t>
        </is>
      </c>
      <c r="AN331" s="77" t="inlineStr"/>
      <c r="AO331" s="77" t="inlineStr">
        <is>
          <t>UK</t>
        </is>
      </c>
      <c r="AP331" s="77" t="inlineStr">
        <is>
          <t>UK – Russell Group</t>
        </is>
      </c>
      <c r="AQ331" s="77" t="inlineStr">
        <is>
          <t>Unclear</t>
        </is>
      </c>
      <c r="AR331" s="77" t="inlineStr">
        <is>
          <t>All/standard</t>
        </is>
      </c>
      <c r="AS331" s="77" t="inlineStr"/>
    </row>
    <row r="332">
      <c r="A332" s="77" t="inlineStr">
        <is>
          <t>RG22</t>
        </is>
      </c>
      <c r="B332" s="77" t="inlineStr">
        <is>
          <t>UCL</t>
        </is>
      </c>
      <c r="C332" s="77" t="inlineStr">
        <is>
          <t>Programme/course</t>
        </is>
      </c>
      <c r="D332" s="77" t="inlineStr">
        <is>
          <t>RG22-S12</t>
        </is>
      </c>
      <c r="E332" s="77" t="inlineStr"/>
      <c r="F332" s="77" t="inlineStr">
        <is>
          <t>No</t>
        </is>
      </c>
      <c r="G332" s="79" t="inlineStr">
        <is>
          <t>Urban Development Planning MSc - London Project</t>
        </is>
      </c>
      <c r="H332" s="77" t="inlineStr">
        <is>
          <t>DPU MSc UDP London Project with community groups</t>
        </is>
      </c>
      <c r="I332" s="77" t="inlineStr"/>
      <c r="J332" s="77" t="inlineStr">
        <is>
          <t>Annual October-December group project in the core practice module co-designed with Just Space (alliance of London community groups); latest documented 2023-2025 co-production of planning policy propositions linked to the Fairville project.</t>
        </is>
      </c>
      <c r="K332" s="77" t="inlineStr">
        <is>
          <t>Bartlett Development Planning Unit</t>
        </is>
      </c>
      <c r="L332" s="77" t="inlineStr">
        <is>
          <t>MSc Urban Development Planning</t>
        </is>
      </c>
      <c r="M332" s="77" t="inlineStr">
        <is>
          <t>Other (law, health, design, architecture…)</t>
        </is>
      </c>
      <c r="N332" s="77" t="inlineStr">
        <is>
          <t>Postgraduate taught</t>
        </is>
      </c>
      <c r="O332" s="77" t="inlineStr"/>
      <c r="P332" s="77" t="inlineStr"/>
      <c r="Q332" s="77" t="inlineStr">
        <is>
          <t>Compulsory within specified programmes</t>
        </is>
      </c>
      <c r="R332" s="77" t="inlineStr">
        <is>
          <t>Curricular</t>
        </is>
      </c>
      <c r="S332" s="77" t="inlineStr">
        <is>
          <t>Not captured (core practice module)</t>
        </is>
      </c>
      <c r="T332" s="77" t="inlineStr">
        <is>
          <t>October-December</t>
        </is>
      </c>
      <c r="U332" s="77" t="inlineStr">
        <is>
          <t>Group project with community partners</t>
        </is>
      </c>
      <c r="V332" s="77" t="inlineStr">
        <is>
          <t>Yes</t>
        </is>
      </c>
      <c r="W332" s="77" t="inlineStr">
        <is>
          <t>Source 1: co-produced planning policy propositions.</t>
        </is>
      </c>
      <c r="X332" s="77" t="inlineStr">
        <is>
          <t>Yes</t>
        </is>
      </c>
      <c r="Y332" s="77" t="inlineStr">
        <is>
          <t>Source 1: described as a group project (students).</t>
        </is>
      </c>
      <c r="Z332" s="77" t="inlineStr">
        <is>
          <t>Yes</t>
        </is>
      </c>
      <c r="AA332" s="77" t="inlineStr">
        <is>
          <t>Source 1: Just Space and Southwark Planning Network community groups co-design the project; partnership since 2014.</t>
        </is>
      </c>
      <c r="AB332" s="77" t="inlineStr">
        <is>
          <t>Charity/community</t>
        </is>
      </c>
      <c r="AC332" s="77" t="inlineStr">
        <is>
          <t>Community groups co-design topic and use outputs.</t>
        </is>
      </c>
      <c r="AD332" s="77" t="inlineStr">
        <is>
          <t>Just Space, Southwark Planning Network (earlier years)</t>
        </is>
      </c>
      <c r="AE332" s="77" t="inlineStr">
        <is>
          <t>Policy propositions/co-produced outputs</t>
        </is>
      </c>
      <c r="AF332" s="77">
        <f>IF(OR(V332="No",X332="No",Z332="No"),"Outside strict definition",IF(AND(V332="Yes",X332="Yes",Z332="Yes"),"Meets all three","Potentially relevant; evidence incomplete"))</f>
        <v/>
      </c>
      <c r="AG332" s="77" t="inlineStr">
        <is>
          <t>Current status unclear</t>
        </is>
      </c>
      <c r="AH332" s="77" t="inlineStr">
        <is>
          <t>2025</t>
        </is>
      </c>
      <c r="AI332" s="77" t="inlineStr">
        <is>
          <t>Yes</t>
        </is>
      </c>
      <c r="AJ332" s="77">
        <f>IF(AND(AI332="Yes",AF332="Meets all three",AG332="Current delivery confirmed"),"Yes","No")</f>
        <v/>
      </c>
      <c r="AK332" s="77" t="inlineStr"/>
      <c r="AL332" s="77" t="inlineStr">
        <is>
          <t>RG22-S12-R1</t>
        </is>
      </c>
      <c r="AM332" s="77" t="inlineStr">
        <is>
          <t>Latest project dated 2023-2025; no 2025/26 cohort confirmation. Team structure inferred from 'group project' wording.</t>
        </is>
      </c>
      <c r="AN332" s="77" t="inlineStr"/>
      <c r="AO332" s="77" t="inlineStr">
        <is>
          <t>UK</t>
        </is>
      </c>
      <c r="AP332" s="77" t="inlineStr">
        <is>
          <t>UK – Russell Group</t>
        </is>
      </c>
      <c r="AQ332" s="77" t="inlineStr">
        <is>
          <t>~1 term/semester</t>
        </is>
      </c>
      <c r="AR332" s="77" t="inlineStr">
        <is>
          <t>All/standard</t>
        </is>
      </c>
      <c r="AS332" s="77" t="inlineStr"/>
    </row>
    <row r="333">
      <c r="A333" s="77" t="inlineStr">
        <is>
          <t>RG22</t>
        </is>
      </c>
      <c r="B333" s="77" t="inlineStr">
        <is>
          <t>UCL</t>
        </is>
      </c>
      <c r="C333" s="77" t="inlineStr">
        <is>
          <t>Programme/course</t>
        </is>
      </c>
      <c r="D333" s="77" t="inlineStr">
        <is>
          <t>RG22-S13</t>
        </is>
      </c>
      <c r="E333" s="77" t="inlineStr"/>
      <c r="F333" s="77" t="inlineStr">
        <is>
          <t>No</t>
        </is>
      </c>
      <c r="G333" s="79" t="inlineStr">
        <is>
          <t>Community-engaged Planning Projects (BPLN0033)</t>
        </is>
      </c>
      <c r="H333" s="77" t="inlineStr">
        <is>
          <t>Community-engaged Planning Projects</t>
        </is>
      </c>
      <c r="I333" s="77" t="inlineStr">
        <is>
          <t>BPLN0033</t>
        </is>
      </c>
      <c r="J333"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33" s="77" t="inlineStr">
        <is>
          <t>Bartlett School of Planning</t>
        </is>
      </c>
      <c r="L333" s="77" t="inlineStr">
        <is>
          <t>Priority to Bartlett School of Planning students; strict cap</t>
        </is>
      </c>
      <c r="M333" s="77" t="inlineStr">
        <is>
          <t>Other (law, health, design, architecture…)</t>
        </is>
      </c>
      <c r="N333" s="77" t="inlineStr">
        <is>
          <t>Postgraduate taught</t>
        </is>
      </c>
      <c r="O333" s="77" t="inlineStr"/>
      <c r="P333" s="77" t="inlineStr"/>
      <c r="Q333" s="77" t="inlineStr">
        <is>
          <t>Optional/elective</t>
        </is>
      </c>
      <c r="R333" s="77" t="inlineStr">
        <is>
          <t>Curricular</t>
        </is>
      </c>
      <c r="S333" s="77" t="inlineStr">
        <is>
          <t>15 credits; 80% group activity, 20% coursework</t>
        </is>
      </c>
      <c r="T333" s="77" t="inlineStr">
        <is>
          <t>Term 2</t>
        </is>
      </c>
      <c r="U333" s="77" t="inlineStr">
        <is>
          <t>In person, 5+ days fieldwork</t>
        </is>
      </c>
      <c r="V333" s="77" t="inlineStr">
        <is>
          <t>Yes</t>
        </is>
      </c>
      <c r="W333" s="77" t="inlineStr">
        <is>
          <t>Source 1: participatory research project in the field.</t>
        </is>
      </c>
      <c r="X333" s="77" t="inlineStr">
        <is>
          <t>Yes</t>
        </is>
      </c>
      <c r="Y333" s="77" t="inlineStr">
        <is>
          <t>Source 1: 80% group activity assessment.</t>
        </is>
      </c>
      <c r="Z333" s="77" t="inlineStr">
        <is>
          <t>Unclear</t>
        </is>
      </c>
      <c r="AA333" s="77" t="inlineStr">
        <is>
          <t>Source 2 lists CEL elements (community-based research; assessment co-designed with community partners) but partners are unnamed and the page does not state their role in this module.</t>
        </is>
      </c>
      <c r="AB333" s="77" t="inlineStr">
        <is>
          <t>Charity/community</t>
        </is>
      </c>
      <c r="AC333" s="77" t="inlineStr">
        <is>
          <t>Unclear</t>
        </is>
      </c>
      <c r="AD333" s="77" t="inlineStr"/>
      <c r="AE333" s="77" t="inlineStr">
        <is>
          <t>Not stated</t>
        </is>
      </c>
      <c r="AF333" s="77">
        <f>IF(OR(V333="No",X333="No",Z333="No"),"Outside strict definition",IF(AND(V333="Yes",X333="Yes",Z333="Yes"),"Meets all three","Potentially relevant; evidence incomplete"))</f>
        <v/>
      </c>
      <c r="AG333" s="77" t="inlineStr">
        <is>
          <t>Current status unclear</t>
        </is>
      </c>
      <c r="AH333" s="77" t="inlineStr">
        <is>
          <t>undated</t>
        </is>
      </c>
      <c r="AI333" s="77" t="inlineStr">
        <is>
          <t>Yes</t>
        </is>
      </c>
      <c r="AJ333" s="77">
        <f>IF(AND(AI333="Yes",AF333="Meets all three",AG333="Current delivery confirmed"),"Yes","No")</f>
        <v/>
      </c>
      <c r="AK333" s="77" t="inlineStr">
        <is>
          <t>61 students in previous year (per catalogue)</t>
        </is>
      </c>
      <c r="AL333" s="77" t="inlineStr">
        <is>
          <t>RG22-S13-R1; RG22-S13-R2</t>
        </is>
      </c>
      <c r="AM333" s="77" t="inlineStr">
        <is>
          <t>Community partners unnamed; deliverable and current-year delivery unknown.</t>
        </is>
      </c>
      <c r="AN333" s="77" t="inlineStr"/>
      <c r="AO333" s="77" t="inlineStr">
        <is>
          <t>UK</t>
        </is>
      </c>
      <c r="AP333" s="77" t="inlineStr">
        <is>
          <t>UK – Russell Group</t>
        </is>
      </c>
      <c r="AQ333" s="77" t="inlineStr">
        <is>
          <t>~1 term/semester</t>
        </is>
      </c>
      <c r="AR333" s="77" t="inlineStr">
        <is>
          <t>Unclear</t>
        </is>
      </c>
      <c r="AS333" s="77" t="inlineStr"/>
    </row>
    <row r="334">
      <c r="A334" s="77" t="inlineStr">
        <is>
          <t>RG22</t>
        </is>
      </c>
      <c r="B334" s="77" t="inlineStr">
        <is>
          <t>UCL</t>
        </is>
      </c>
      <c r="C334" s="77" t="inlineStr">
        <is>
          <t>Programme/course</t>
        </is>
      </c>
      <c r="D334" s="77" t="inlineStr">
        <is>
          <t>RG22-S14</t>
        </is>
      </c>
      <c r="E334" s="77" t="inlineStr"/>
      <c r="F334" s="77" t="inlineStr">
        <is>
          <t>No</t>
        </is>
      </c>
      <c r="G334" s="79" t="inlineStr">
        <is>
          <t>The Collaborative Economy (BASC0070)</t>
        </is>
      </c>
      <c r="H334" s="77" t="inlineStr">
        <is>
          <t>The Collaborative Economy</t>
        </is>
      </c>
      <c r="I334" s="77" t="inlineStr">
        <is>
          <t>BASC0070</t>
        </is>
      </c>
      <c r="J334" s="77" t="inlineStr">
        <is>
          <t>Year 2 module on BA Creative Arts and Humanities in which peer teams work on a prompt, question or provocation set by an outside organisation, via a January briefing, March collaborative event and evaluation by students and organisations.</t>
        </is>
      </c>
      <c r="K334" s="77" t="inlineStr">
        <is>
          <t>UCL Arts and Sciences / Faculty of Arts &amp; Humanities</t>
        </is>
      </c>
      <c r="L334" s="77" t="inlineStr">
        <is>
          <t>BA Creative Arts and Humanities only</t>
        </is>
      </c>
      <c r="M334" s="77" t="inlineStr">
        <is>
          <t>Arts/humanities/social sciences</t>
        </is>
      </c>
      <c r="N334" s="77" t="inlineStr">
        <is>
          <t>Undergraduate</t>
        </is>
      </c>
      <c r="O334" s="77" t="inlineStr">
        <is>
          <t>Year 2 (Level 5)</t>
        </is>
      </c>
      <c r="P334" s="77" t="inlineStr"/>
      <c r="Q334" s="77" t="inlineStr">
        <is>
          <t>Compulsory within specified programmes</t>
        </is>
      </c>
      <c r="R334" s="77" t="inlineStr">
        <is>
          <t>Curricular</t>
        </is>
      </c>
      <c r="S334" s="77" t="inlineStr">
        <is>
          <t>Not captured</t>
        </is>
      </c>
      <c r="T334" s="77" t="inlineStr">
        <is>
          <t>January-March (2025 cycle)</t>
        </is>
      </c>
      <c r="U334" s="77" t="inlineStr">
        <is>
          <t>Team challenge with external organisations</t>
        </is>
      </c>
      <c r="V334" s="77" t="inlineStr">
        <is>
          <t>Unclear</t>
        </is>
      </c>
      <c r="W334" s="77" t="inlineStr">
        <is>
          <t>Source 1: team addresses an outside-set prompt and produces an output, but the output is not shown.</t>
        </is>
      </c>
      <c r="X334" s="77" t="inlineStr">
        <is>
          <t>Yes</t>
        </is>
      </c>
      <c r="Y334" s="77" t="inlineStr">
        <is>
          <t>Source 1: peer groups/teams.</t>
        </is>
      </c>
      <c r="Z334" s="77" t="inlineStr">
        <is>
          <t>Yes</t>
        </is>
      </c>
      <c r="AA334" s="77" t="inlineStr">
        <is>
          <t>Source 1: prompt set by an outside group; Source 2: organisations take part in the collaborative event and evaluation.</t>
        </is>
      </c>
      <c r="AB334" s="77" t="inlineStr">
        <is>
          <t>Unclear</t>
        </is>
      </c>
      <c r="AC334" s="77" t="inlineStr">
        <is>
          <t>Set prompt, attend event, evaluate.</t>
        </is>
      </c>
      <c r="AD334" s="77" t="inlineStr"/>
      <c r="AE334" s="77" t="inlineStr">
        <is>
          <t>Not stated</t>
        </is>
      </c>
      <c r="AF334" s="77">
        <f>IF(OR(V334="No",X334="No",Z334="No"),"Outside strict definition",IF(AND(V334="Yes",X334="Yes",Z334="Yes"),"Meets all three","Potentially relevant; evidence incomplete"))</f>
        <v/>
      </c>
      <c r="AG334" s="77" t="inlineStr">
        <is>
          <t>Current status unclear</t>
        </is>
      </c>
      <c r="AH334" s="77" t="inlineStr">
        <is>
          <t>2025</t>
        </is>
      </c>
      <c r="AI334" s="77" t="inlineStr">
        <is>
          <t>Yes</t>
        </is>
      </c>
      <c r="AJ334" s="77">
        <f>IF(AND(AI334="Yes",AF334="Meets all three",AG334="Current delivery confirmed"),"Yes","No")</f>
        <v/>
      </c>
      <c r="AK334" s="77" t="inlineStr"/>
      <c r="AL334" s="77" t="inlineStr">
        <is>
          <t>RG22-S14-R1; RG22-S14-R2</t>
        </is>
      </c>
      <c r="AM334" s="77" t="inlineStr">
        <is>
          <t>Output/assessment unknown; timeline from 2024 news about 2025 cycle; partner sector unknown.</t>
        </is>
      </c>
      <c r="AN334" s="77" t="inlineStr"/>
      <c r="AO334" s="77" t="inlineStr">
        <is>
          <t>UK</t>
        </is>
      </c>
      <c r="AP334" s="77" t="inlineStr">
        <is>
          <t>UK – Russell Group</t>
        </is>
      </c>
      <c r="AQ334" s="77" t="inlineStr">
        <is>
          <t>Unclear</t>
        </is>
      </c>
      <c r="AR334" s="77" t="inlineStr">
        <is>
          <t>All/standard</t>
        </is>
      </c>
      <c r="AS334" s="77" t="inlineStr"/>
    </row>
    <row r="335">
      <c r="A335" s="77" t="inlineStr">
        <is>
          <t>RG22</t>
        </is>
      </c>
      <c r="B335" s="77" t="inlineStr">
        <is>
          <t>UCL</t>
        </is>
      </c>
      <c r="C335" s="77" t="inlineStr">
        <is>
          <t>Programme/course</t>
        </is>
      </c>
      <c r="D335" s="77" t="inlineStr">
        <is>
          <t>RG22-S15</t>
        </is>
      </c>
      <c r="E335" s="77" t="inlineStr"/>
      <c r="F335" s="77" t="inlineStr">
        <is>
          <t>No</t>
        </is>
      </c>
      <c r="G335" s="79" t="inlineStr">
        <is>
          <t>Innovation and Group Design Project (MECH0049)</t>
        </is>
      </c>
      <c r="H335" s="77" t="inlineStr">
        <is>
          <t>Innovation and Group Design Project</t>
        </is>
      </c>
      <c r="I335" s="77" t="inlineStr">
        <is>
          <t>MECH0049</t>
        </is>
      </c>
      <c r="J335"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35" s="77" t="inlineStr">
        <is>
          <t>UCL Mechanical Engineering</t>
        </is>
      </c>
      <c r="L335" s="77" t="inlineStr">
        <is>
          <t>MSc Engineering with Finance; Engineering with Innovation and Entrepreneurship; Manufacturing with Innovation and Enterprise</t>
        </is>
      </c>
      <c r="M335" s="77" t="inlineStr">
        <is>
          <t>Engineering/computing</t>
        </is>
      </c>
      <c r="N335" s="77" t="inlineStr">
        <is>
          <t>Postgraduate taught</t>
        </is>
      </c>
      <c r="O335" s="77" t="inlineStr"/>
      <c r="P335" s="77" t="inlineStr"/>
      <c r="Q335" s="77" t="inlineStr">
        <is>
          <t>Compulsory within specified programmes</t>
        </is>
      </c>
      <c r="R335" s="77" t="inlineStr">
        <is>
          <t>Curricular</t>
        </is>
      </c>
      <c r="S335" s="77" t="inlineStr">
        <is>
          <t>30 credits; 100% group activity</t>
        </is>
      </c>
      <c r="T335" s="77" t="inlineStr">
        <is>
          <t>Terms 1-2</t>
        </is>
      </c>
      <c r="U335" s="77" t="inlineStr">
        <is>
          <t>In person</t>
        </is>
      </c>
      <c r="V335" s="77" t="inlineStr">
        <is>
          <t>Yes</t>
        </is>
      </c>
      <c r="W335" s="77" t="inlineStr">
        <is>
          <t>Source 1: prototype, specification, manufacturing plan, business plan.</t>
        </is>
      </c>
      <c r="X335" s="77" t="inlineStr">
        <is>
          <t>Yes</t>
        </is>
      </c>
      <c r="Y335" s="77" t="inlineStr">
        <is>
          <t>Source 1: 100% group activity.</t>
        </is>
      </c>
      <c r="Z335" s="77" t="inlineStr">
        <is>
          <t>Unclear</t>
        </is>
      </c>
      <c r="AA335" s="77" t="inlineStr">
        <is>
          <t>Source 1: 'work with industry in liaison, where possible'; own-idea alternative.</t>
        </is>
      </c>
      <c r="AB335" s="77" t="inlineStr">
        <is>
          <t>Business/commercial</t>
        </is>
      </c>
      <c r="AC335" s="77" t="inlineStr">
        <is>
          <t>Optional industry liaison</t>
        </is>
      </c>
      <c r="AD335" s="77" t="inlineStr"/>
      <c r="AE335" s="77" t="inlineStr">
        <is>
          <t>Prototype and business plan</t>
        </is>
      </c>
      <c r="AF335" s="77">
        <f>IF(OR(V335="No",X335="No",Z335="No"),"Outside strict definition",IF(AND(V335="Yes",X335="Yes",Z335="Yes"),"Meets all three","Potentially relevant; evidence incomplete"))</f>
        <v/>
      </c>
      <c r="AG335" s="77" t="inlineStr">
        <is>
          <t>Current delivery confirmed</t>
        </is>
      </c>
      <c r="AH335" s="77" t="inlineStr">
        <is>
          <t>2026/27</t>
        </is>
      </c>
      <c r="AI335" s="77" t="inlineStr">
        <is>
          <t>Yes</t>
        </is>
      </c>
      <c r="AJ335" s="77">
        <f>IF(AND(AI335="Yes",AF335="Meets all three",AG335="Current delivery confirmed"),"Yes","No")</f>
        <v/>
      </c>
      <c r="AK335" s="77" t="inlineStr">
        <is>
          <t>About 80 students in previous year (catalogue)</t>
        </is>
      </c>
      <c r="AL335" s="77" t="inlineStr">
        <is>
          <t>RG22-S15-R1</t>
        </is>
      </c>
      <c r="AM335" s="77" t="inlineStr">
        <is>
          <t>Share of industry-set projects unknown.</t>
        </is>
      </c>
      <c r="AN335" s="77" t="inlineStr"/>
      <c r="AO335" s="77" t="inlineStr">
        <is>
          <t>UK</t>
        </is>
      </c>
      <c r="AP335" s="77" t="inlineStr">
        <is>
          <t>UK – Russell Group</t>
        </is>
      </c>
      <c r="AQ335" s="77" t="inlineStr">
        <is>
          <t>&gt;1 term</t>
        </is>
      </c>
      <c r="AR335" s="77" t="inlineStr">
        <is>
          <t>Some projects</t>
        </is>
      </c>
      <c r="AS335" s="77" t="inlineStr"/>
    </row>
    <row r="336">
      <c r="A336" s="77" t="inlineStr">
        <is>
          <t>RG22</t>
        </is>
      </c>
      <c r="B336" s="77" t="inlineStr">
        <is>
          <t>UCL</t>
        </is>
      </c>
      <c r="C336" s="77" t="inlineStr">
        <is>
          <t>Programme/course</t>
        </is>
      </c>
      <c r="D336" s="77" t="inlineStr">
        <is>
          <t>RG22-S16</t>
        </is>
      </c>
      <c r="E336" s="77" t="inlineStr"/>
      <c r="F336" s="77" t="inlineStr">
        <is>
          <t>No</t>
        </is>
      </c>
      <c r="G336" s="79" t="inlineStr">
        <is>
          <t>MBA Health consultancy project (Global Business School for Health)</t>
        </is>
      </c>
      <c r="H336" s="77" t="inlineStr">
        <is>
          <t>MBA Health final-term consultancy project</t>
        </is>
      </c>
      <c r="I336" s="77" t="inlineStr"/>
      <c r="J336" s="77" t="inlineStr">
        <is>
          <t>Final-term consultancy project with a real health-sector client, with academic supervisor and industry mentor; students work independently or in small teams.</t>
        </is>
      </c>
      <c r="K336" s="77" t="inlineStr">
        <is>
          <t>UCL Global Business School for Health</t>
        </is>
      </c>
      <c r="L336" s="77" t="inlineStr">
        <is>
          <t>MBA Health (Executive MBA Health has similar Term 3 project)</t>
        </is>
      </c>
      <c r="M336" s="77" t="inlineStr">
        <is>
          <t>Business/management</t>
        </is>
      </c>
      <c r="N336" s="77" t="inlineStr">
        <is>
          <t>Postgraduate taught</t>
        </is>
      </c>
      <c r="O336" s="77" t="inlineStr"/>
      <c r="P336" s="77" t="inlineStr"/>
      <c r="Q336" s="77" t="inlineStr">
        <is>
          <t>Compulsory within specified programmes</t>
        </is>
      </c>
      <c r="R336" s="77" t="inlineStr">
        <is>
          <t>Curricular</t>
        </is>
      </c>
      <c r="S336" s="77" t="inlineStr">
        <is>
          <t>Not captured</t>
        </is>
      </c>
      <c r="T336" s="77" t="inlineStr">
        <is>
          <t>Final term</t>
        </is>
      </c>
      <c r="U336" s="77" t="inlineStr">
        <is>
          <t>Consultancy project</t>
        </is>
      </c>
      <c r="V336" s="77" t="inlineStr">
        <is>
          <t>Yes</t>
        </is>
      </c>
      <c r="W336" s="77" t="inlineStr">
        <is>
          <t>Source 1</t>
        </is>
      </c>
      <c r="X336" s="77" t="inlineStr">
        <is>
          <t>Unclear</t>
        </is>
      </c>
      <c r="Y336" s="77" t="inlineStr">
        <is>
          <t>Source 1: students work independently or in small teams; routes not separable.</t>
        </is>
      </c>
      <c r="Z336" s="77" t="inlineStr">
        <is>
          <t>Yes</t>
        </is>
      </c>
      <c r="AA336" s="77" t="inlineStr">
        <is>
          <t>Source 1: real client in the health sector; industry mentor.</t>
        </is>
      </c>
      <c r="AB336" s="77" t="inlineStr">
        <is>
          <t>Unclear</t>
        </is>
      </c>
      <c r="AC336" s="77" t="inlineStr">
        <is>
          <t>Client plus industry mentor</t>
        </is>
      </c>
      <c r="AD336" s="77" t="inlineStr"/>
      <c r="AE336" s="77" t="inlineStr">
        <is>
          <t>Consultancy solutions</t>
        </is>
      </c>
      <c r="AF336" s="77">
        <f>IF(OR(V336="No",X336="No",Z336="No"),"Outside strict definition",IF(AND(V336="Yes",X336="Yes",Z336="Yes"),"Meets all three","Potentially relevant; evidence incomplete"))</f>
        <v/>
      </c>
      <c r="AG336" s="77" t="inlineStr">
        <is>
          <t>Current status unclear</t>
        </is>
      </c>
      <c r="AH336" s="77" t="inlineStr">
        <is>
          <t>undated</t>
        </is>
      </c>
      <c r="AI336" s="77" t="inlineStr">
        <is>
          <t>Yes</t>
        </is>
      </c>
      <c r="AJ336" s="77">
        <f>IF(AND(AI336="Yes",AF336="Meets all three",AG336="Current delivery confirmed"),"Yes","No")</f>
        <v/>
      </c>
      <c r="AK336" s="77" t="inlineStr"/>
      <c r="AL336" s="77" t="inlineStr">
        <is>
          <t>RG22-S16-R1</t>
        </is>
      </c>
      <c r="AM336" s="77" t="inlineStr">
        <is>
          <t>Team vs individual split unknown.</t>
        </is>
      </c>
      <c r="AN336" s="77" t="inlineStr"/>
      <c r="AO336" s="77" t="inlineStr">
        <is>
          <t>UK</t>
        </is>
      </c>
      <c r="AP336" s="77" t="inlineStr">
        <is>
          <t>UK – Russell Group</t>
        </is>
      </c>
      <c r="AQ336" s="77" t="inlineStr">
        <is>
          <t>~1 term/semester</t>
        </is>
      </c>
      <c r="AR336" s="77" t="inlineStr">
        <is>
          <t>All/standard</t>
        </is>
      </c>
      <c r="AS336" s="77" t="inlineStr"/>
    </row>
    <row r="337">
      <c r="A337" s="77" t="inlineStr">
        <is>
          <t>RG22</t>
        </is>
      </c>
      <c r="B337" s="77" t="inlineStr">
        <is>
          <t>UCL</t>
        </is>
      </c>
      <c r="C337" s="77" t="inlineStr">
        <is>
          <t>University-wide</t>
        </is>
      </c>
      <c r="D337" s="77" t="inlineStr">
        <is>
          <t>RG22-S17</t>
        </is>
      </c>
      <c r="E337" s="77" t="inlineStr"/>
      <c r="F337" s="77" t="inlineStr">
        <is>
          <t>No</t>
        </is>
      </c>
      <c r="G337" s="79" t="inlineStr">
        <is>
          <t>UCL Researcher Consultancy Challenge</t>
        </is>
      </c>
      <c r="H337" s="77" t="inlineStr">
        <is>
          <t>Researcher Consultancy Challenge (UCL Careers)</t>
        </is>
      </c>
      <c r="I337" s="77" t="inlineStr"/>
      <c r="J337" s="77" t="inlineStr">
        <is>
          <t>Week-long programme for early-career researchers: a consultancy-skills training day followed by groups of researchers working on a real industry partner's problem, ending with presentations and feedback; usually July.</t>
        </is>
      </c>
      <c r="K337" s="77" t="inlineStr">
        <is>
          <t>UCL Careers (researcher careers)</t>
        </is>
      </c>
      <c r="L337" s="77" t="inlineStr">
        <is>
          <t>Early-career researchers (PhD students/postdocs)</t>
        </is>
      </c>
      <c r="M337" s="77" t="inlineStr">
        <is>
          <t>Central provision</t>
        </is>
      </c>
      <c r="N337" s="77" t="inlineStr">
        <is>
          <t>Postgraduate research</t>
        </is>
      </c>
      <c r="O337" s="77" t="inlineStr"/>
      <c r="P337" s="77" t="inlineStr">
        <is>
          <t>Early-career researchers only; application via newsletter.</t>
        </is>
      </c>
      <c r="Q337" s="77" t="inlineStr">
        <is>
          <t>Optional/elective</t>
        </is>
      </c>
      <c r="R337" s="77" t="inlineStr">
        <is>
          <t>Extracurricular</t>
        </is>
      </c>
      <c r="S337" s="77" t="inlineStr">
        <is>
          <t>None evidenced</t>
        </is>
      </c>
      <c r="T337" s="77" t="inlineStr">
        <is>
          <t>One week plus training day</t>
        </is>
      </c>
      <c r="U337" s="77" t="inlineStr">
        <is>
          <t>Team consultancy challenge</t>
        </is>
      </c>
      <c r="V337" s="77" t="inlineStr">
        <is>
          <t>Yes</t>
        </is>
      </c>
      <c r="W337" s="77" t="inlineStr">
        <is>
          <t>Source 1: team works on industry partner's problem and presents.</t>
        </is>
      </c>
      <c r="X337" s="77" t="inlineStr">
        <is>
          <t>Yes</t>
        </is>
      </c>
      <c r="Y337" s="77" t="inlineStr">
        <is>
          <t>Source 1: groups of researchers work together.</t>
        </is>
      </c>
      <c r="Z337" s="77" t="inlineStr">
        <is>
          <t>Yes</t>
        </is>
      </c>
      <c r="AA337" s="77" t="inlineStr">
        <is>
          <t>Source 1: industry partner's problem; presentations and feedback.</t>
        </is>
      </c>
      <c r="AB337" s="77" t="inlineStr">
        <is>
          <t>Business/commercial</t>
        </is>
      </c>
      <c r="AC337" s="77" t="inlineStr">
        <is>
          <t>Industry partner sets problem, gives feedback.</t>
        </is>
      </c>
      <c r="AD337" s="77" t="inlineStr"/>
      <c r="AE337" s="77" t="inlineStr">
        <is>
          <t>Presentation to partner</t>
        </is>
      </c>
      <c r="AF337" s="77">
        <f>IF(OR(V337="No",X337="No",Z337="No"),"Outside strict definition",IF(AND(V337="Yes",X337="Yes",Z337="Yes"),"Meets all three","Potentially relevant; evidence incomplete"))</f>
        <v/>
      </c>
      <c r="AG337" s="77" t="inlineStr">
        <is>
          <t>Current status unclear</t>
        </is>
      </c>
      <c r="AH337" s="77" t="inlineStr">
        <is>
          <t>2026</t>
        </is>
      </c>
      <c r="AI337" s="77" t="inlineStr">
        <is>
          <t>Yes</t>
        </is>
      </c>
      <c r="AJ337" s="77">
        <f>IF(AND(AI337="Yes",AF337="Meets all three",AG337="Current delivery confirmed"),"Yes","No")</f>
        <v/>
      </c>
      <c r="AK337" s="77" t="inlineStr"/>
      <c r="AL337" s="77" t="inlineStr">
        <is>
          <t>RG22-S17-R1</t>
        </is>
      </c>
      <c r="AM337" s="77" t="inlineStr">
        <is>
          <t>2026 training day described as 'likely' 3 July 2026; no confirmation it ran; partner names not found.</t>
        </is>
      </c>
      <c r="AN337" s="77" t="inlineStr"/>
      <c r="AO337" s="77" t="inlineStr">
        <is>
          <t>UK</t>
        </is>
      </c>
      <c r="AP337" s="77" t="inlineStr">
        <is>
          <t>UK – Russell Group</t>
        </is>
      </c>
      <c r="AQ337" s="77" t="inlineStr">
        <is>
          <t>1-4 weeks</t>
        </is>
      </c>
      <c r="AR337" s="77" t="inlineStr">
        <is>
          <t>All/standard</t>
        </is>
      </c>
      <c r="AS337" s="77" t="inlineStr"/>
    </row>
    <row r="338">
      <c r="A338" s="77" t="inlineStr">
        <is>
          <t>RG22</t>
        </is>
      </c>
      <c r="B338" s="77" t="inlineStr">
        <is>
          <t>UCL</t>
        </is>
      </c>
      <c r="C338" s="77" t="inlineStr">
        <is>
          <t>University-wide</t>
        </is>
      </c>
      <c r="D338" s="77" t="inlineStr">
        <is>
          <t>RG22-S18</t>
        </is>
      </c>
      <c r="E338" s="77" t="inlineStr"/>
      <c r="F338" s="77" t="inlineStr">
        <is>
          <t>No</t>
        </is>
      </c>
      <c r="G338" s="79" t="inlineStr">
        <is>
          <t>Grand Challenges x ChangeMakers</t>
        </is>
      </c>
      <c r="H338" s="77" t="inlineStr">
        <is>
          <t>UCL Grand Challenges x ChangeMakers student-staff projects</t>
        </is>
      </c>
      <c r="I338" s="77" t="inlineStr"/>
      <c r="J338"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38" s="77" t="inlineStr">
        <is>
          <t>UCL Grand Challenges / ChangeMakers</t>
        </is>
      </c>
      <c r="L338" s="77" t="inlineStr">
        <is>
          <t>Any UCL students and staff</t>
        </is>
      </c>
      <c r="M338" s="77" t="inlineStr">
        <is>
          <t>Central provision</t>
        </is>
      </c>
      <c r="N338" s="77" t="inlineStr">
        <is>
          <t>Mixed</t>
        </is>
      </c>
      <c r="O338" s="77" t="inlineStr"/>
      <c r="P338" s="77" t="inlineStr">
        <is>
          <t>Joint student-staff application; competitive funding.</t>
        </is>
      </c>
      <c r="Q338" s="77" t="inlineStr">
        <is>
          <t>Selective/competitive</t>
        </is>
      </c>
      <c r="R338" s="77" t="inlineStr">
        <is>
          <t>Extracurricular</t>
        </is>
      </c>
      <c r="S338" s="77" t="inlineStr">
        <is>
          <t>None</t>
        </is>
      </c>
      <c r="T338" s="77" t="inlineStr">
        <is>
          <t>~12 weeks across the year</t>
        </is>
      </c>
      <c r="U338" s="77" t="inlineStr">
        <is>
          <t>Funded student-staff project teams</t>
        </is>
      </c>
      <c r="V338" s="77" t="inlineStr">
        <is>
          <t>Yes</t>
        </is>
      </c>
      <c r="W338" s="77" t="inlineStr">
        <is>
          <t>Sources 1-2: ~12-week funded projects under Grand Challenge themes.</t>
        </is>
      </c>
      <c r="X338" s="77" t="inlineStr">
        <is>
          <t>Yes</t>
        </is>
      </c>
      <c r="Y338" s="77" t="inlineStr">
        <is>
          <t>Source 1: teams of at least two students plus staff.</t>
        </is>
      </c>
      <c r="Z338" s="77" t="inlineStr">
        <is>
          <t>Unclear</t>
        </is>
      </c>
      <c r="AA338" s="77" t="inlineStr">
        <is>
          <t>Partners are student-staff; no requirement for an external organisation. Only incidental external engagement (e.g. a site visit to OXCUU in one past project).</t>
        </is>
      </c>
      <c r="AB338" s="77" t="inlineStr">
        <is>
          <t>Other</t>
        </is>
      </c>
      <c r="AC338" s="77" t="inlineStr">
        <is>
          <t>Internal student-staff partnership; external involvement optional/incidental.</t>
        </is>
      </c>
      <c r="AD338" s="77" t="inlineStr"/>
      <c r="AE338" s="77" t="inlineStr">
        <is>
          <t>Project-specific</t>
        </is>
      </c>
      <c r="AF338" s="77">
        <f>IF(OR(V338="No",X338="No",Z338="No"),"Outside strict definition",IF(AND(V338="Yes",X338="Yes",Z338="Yes"),"Meets all three","Potentially relevant; evidence incomplete"))</f>
        <v/>
      </c>
      <c r="AG338" s="77" t="inlineStr">
        <is>
          <t>Current delivery confirmed</t>
        </is>
      </c>
      <c r="AH338" s="77" t="inlineStr">
        <is>
          <t>2025/26</t>
        </is>
      </c>
      <c r="AI338" s="77" t="inlineStr">
        <is>
          <t>Yes</t>
        </is>
      </c>
      <c r="AJ338" s="77">
        <f>IF(AND(AI338="Yes",AF338="Meets all three",AG338="Current delivery confirmed"),"Yes","No")</f>
        <v/>
      </c>
      <c r="AK338" s="77" t="inlineStr">
        <is>
          <t>15 funded projects, 35 student partners (2025-26)</t>
        </is>
      </c>
      <c r="AL338" s="77" t="inlineStr">
        <is>
          <t>RG22-S18-R1; RG22-S18-R2</t>
        </is>
      </c>
      <c r="AM338" s="77" t="inlineStr">
        <is>
          <t>Legacy row cited a 'September 2026 application call'; the September 2026 UCL page found says the next programme 'launches soon' (no open call or deadline). The 2025-26 call closed 23 Jan 2026. C is not shown: no external-organisation requirement.</t>
        </is>
      </c>
      <c r="AN338" s="77" t="inlineStr">
        <is>
          <t>Grand Challenges × ChangeMakers</t>
        </is>
      </c>
      <c r="AO338" s="77" t="inlineStr">
        <is>
          <t>UK</t>
        </is>
      </c>
      <c r="AP338" s="77" t="inlineStr">
        <is>
          <t>UK – Russell Group</t>
        </is>
      </c>
      <c r="AQ338" s="77" t="inlineStr">
        <is>
          <t>~1 term/semester</t>
        </is>
      </c>
      <c r="AR338" s="77" t="inlineStr">
        <is>
          <t>Some projects</t>
        </is>
      </c>
      <c r="AS338" s="77" t="inlineStr"/>
    </row>
    <row r="339">
      <c r="A339" s="77" t="inlineStr">
        <is>
          <t>RG23</t>
        </is>
      </c>
      <c r="B339" s="77" t="inlineStr">
        <is>
          <t>Warwick</t>
        </is>
      </c>
      <c r="C339" s="77" t="inlineStr">
        <is>
          <t>University-wide</t>
        </is>
      </c>
      <c r="D339" s="77" t="inlineStr">
        <is>
          <t>RG23-S01</t>
        </is>
      </c>
      <c r="E339" s="77" t="inlineStr"/>
      <c r="F339" s="77" t="inlineStr">
        <is>
          <t>No</t>
        </is>
      </c>
      <c r="G339" s="79" t="inlineStr">
        <is>
          <t>TeamWork International Experience Programme</t>
        </is>
      </c>
      <c r="H339" s="77" t="inlineStr">
        <is>
          <t>TeamWork International Experience Programme</t>
        </is>
      </c>
      <c r="I339" s="77" t="inlineStr"/>
      <c r="J339"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39" s="77" t="inlineStr">
        <is>
          <t>Warwick Careers (Student Opportunity) - employer-facing international programme</t>
        </is>
      </c>
      <c r="L339" s="77" t="inlineStr">
        <is>
          <t>All Warwick students (application and induction required)</t>
        </is>
      </c>
      <c r="M339" s="77" t="inlineStr">
        <is>
          <t>Central provision</t>
        </is>
      </c>
      <c r="N339" s="77" t="inlineStr">
        <is>
          <t>Mixed</t>
        </is>
      </c>
      <c r="O339" s="77" t="inlineStr">
        <is>
          <t>Any (teams mixed by year and degree)</t>
        </is>
      </c>
      <c r="P339" s="77" t="inlineStr">
        <is>
          <t>Students must apply for a place and complete a detailed induction programme; a bursary for students from under-represented groups was offered in the 2024 round (may have changed).</t>
        </is>
      </c>
      <c r="Q339" s="77" t="inlineStr">
        <is>
          <t>Selective/competitive</t>
        </is>
      </c>
      <c r="R339" s="77" t="inlineStr">
        <is>
          <t>Extracurricular</t>
        </is>
      </c>
      <c r="S339" s="77" t="inlineStr">
        <is>
          <t>No credit evidenced (careers programme).</t>
        </is>
      </c>
      <c r="T339" s="77" t="inlineStr">
        <is>
          <t>4 weeks, part-time (~10 hours/week for students; ~2 hours/week from the organisation)</t>
        </is>
      </c>
      <c r="U339" s="77" t="inlineStr">
        <is>
          <t>Online, multi-university teams</t>
        </is>
      </c>
      <c r="V339" s="77" t="inlineStr">
        <is>
          <t>Yes</t>
        </is>
      </c>
      <c r="W339" s="77" t="inlineStr">
        <is>
          <t>Teams work on a project the organisation describes (project detail supplied by the organisation) and finish with a project presentation to the organisation [1][2].</t>
        </is>
      </c>
      <c r="X339" s="77" t="inlineStr">
        <is>
          <t>Yes</t>
        </is>
      </c>
      <c r="Y339" s="77" t="inlineStr">
        <is>
          <t>Teams of up to 6 students assigned by the programme, multidisciplinary and mixed by year and degree [2].</t>
        </is>
      </c>
      <c r="Z339" s="77" t="inlineStr">
        <is>
          <t>Yes</t>
        </is>
      </c>
      <c r="AA339" s="77" t="inlineStr">
        <is>
          <t>The external organisation supplies the project, gives a pre-project briefing, holds regular check-ins and attends the final project presentation meeting [2]; employer feedback from the 2024 and 2025 rounds published [3].</t>
        </is>
      </c>
      <c r="AB339" s="77" t="inlineStr">
        <is>
          <t>Mixed</t>
        </is>
      </c>
      <c r="AC339" s="77" t="inlineStr">
        <is>
          <t>Supplies project brief; briefs, checks in with and receives final presentation from student team</t>
        </is>
      </c>
      <c r="AD339" s="77" t="inlineStr"/>
      <c r="AE339" s="77" t="inlineStr">
        <is>
          <t>Final project presentation to the organisation</t>
        </is>
      </c>
      <c r="AF339" s="77">
        <f>IF(OR(V339="No",X339="No",Z339="No"),"Outside strict definition",IF(AND(V339="Yes",X339="Yes",Z339="Yes"),"Meets all three","Potentially relevant; evidence incomplete"))</f>
        <v/>
      </c>
      <c r="AG339" s="77" t="inlineStr">
        <is>
          <t>Current delivery confirmed</t>
        </is>
      </c>
      <c r="AH339" s="77" t="inlineStr">
        <is>
          <t>2026/27 (next programme announced for March 2027; 2024 and 2025 rounds delivered)</t>
        </is>
      </c>
      <c r="AI339" s="77" t="inlineStr">
        <is>
          <t>Yes</t>
        </is>
      </c>
      <c r="AJ339" s="77">
        <f>IF(AND(AI339="Yes",AF339="Meets all three",AG339="Current delivery confirmed"),"Yes","No")</f>
        <v/>
      </c>
      <c r="AK339" s="77" t="inlineStr"/>
      <c r="AL339" s="77" t="inlineStr">
        <is>
          <t>RG23-S01-R1; RG23-S01-R2; RG23-S01-R3</t>
        </is>
      </c>
      <c r="AM339"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39" s="77" t="inlineStr"/>
      <c r="AO339" s="77" t="inlineStr">
        <is>
          <t>UK</t>
        </is>
      </c>
      <c r="AP339" s="77" t="inlineStr">
        <is>
          <t>UK – Russell Group</t>
        </is>
      </c>
      <c r="AQ339" s="77" t="inlineStr">
        <is>
          <t>1–4 weeks</t>
        </is>
      </c>
      <c r="AR339" s="77" t="inlineStr">
        <is>
          <t>All/standard</t>
        </is>
      </c>
      <c r="AS339" s="77" t="inlineStr"/>
    </row>
    <row r="340">
      <c r="A340" s="77" t="inlineStr">
        <is>
          <t>RG23</t>
        </is>
      </c>
      <c r="B340" s="77" t="inlineStr">
        <is>
          <t>Warwick</t>
        </is>
      </c>
      <c r="C340" s="77" t="inlineStr">
        <is>
          <t>Programme/course</t>
        </is>
      </c>
      <c r="D340" s="77" t="inlineStr">
        <is>
          <t>RG23-S02</t>
        </is>
      </c>
      <c r="E340" s="77" t="inlineStr"/>
      <c r="F340" s="77" t="inlineStr">
        <is>
          <t>No</t>
        </is>
      </c>
      <c r="G340" s="79" t="inlineStr">
        <is>
          <t>Strategic Consulting Project (group SCP) - MBA</t>
        </is>
      </c>
      <c r="H340" s="77" t="inlineStr">
        <is>
          <t>Strategic Consulting Project (group route)</t>
        </is>
      </c>
      <c r="I340" s="77" t="inlineStr"/>
      <c r="J340"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40" s="77" t="inlineStr">
        <is>
          <t>Warwick Business School (CareersPlus / Employer Relations project team)</t>
        </is>
      </c>
      <c r="L340" s="77" t="inlineStr">
        <is>
          <t>MBA programmes (Full-time MBA per 2026 FAQ; Global Online MBA structure, January 2027 intake)</t>
        </is>
      </c>
      <c r="M340" s="77" t="inlineStr">
        <is>
          <t>Business/management</t>
        </is>
      </c>
      <c r="N340" s="77" t="inlineStr">
        <is>
          <t>Postgraduate taught</t>
        </is>
      </c>
      <c r="O340" s="77" t="inlineStr">
        <is>
          <t>Final stage of MBA (summer)</t>
        </is>
      </c>
      <c r="P340" s="77" t="inlineStr">
        <is>
          <t>MBA students only for group SCPs (2026 FAQ: Masters students can only be offered Individual Projects); client selects group by interview.</t>
        </is>
      </c>
      <c r="Q340" s="77" t="inlineStr">
        <is>
          <t>Optional/elective</t>
        </is>
      </c>
      <c r="R340" s="77" t="inlineStr">
        <is>
          <t>Curricular</t>
        </is>
      </c>
      <c r="S340" s="77" t="inlineStr">
        <is>
          <t>MBA final project (alternative to an Individual Project/dissertation); exact credit not captured.</t>
        </is>
      </c>
      <c r="T340" s="77" t="inlineStr">
        <is>
          <t>Typically 10-12 weeks, June to September</t>
        </is>
      </c>
      <c r="U340" s="77" t="inlineStr">
        <is>
          <t>In person / on site or virtual with client</t>
        </is>
      </c>
      <c r="V340" s="77" t="inlineStr">
        <is>
          <t>Yes</t>
        </is>
      </c>
      <c r="W340" s="77" t="inlineStr">
        <is>
          <t>Client completes a project brief and Project Agreement defining deliverables such as a presentation or management report [1]; Global Online MBA SCP addresses 'at least one topic posed by the Client' [2].</t>
        </is>
      </c>
      <c r="X340" s="77" t="inlineStr">
        <is>
          <t>Yes</t>
        </is>
      </c>
      <c r="Y340" s="77" t="inlineStr">
        <is>
          <t>'A group SCP consists of 3 students who will present themselves as a self-formed group' [1]; Global Online MBA: 'as a group of three' [2].</t>
        </is>
      </c>
      <c r="Z340" s="77" t="inlineStr">
        <is>
          <t>Yes</t>
        </is>
      </c>
      <c r="AA340" s="77" t="inlineStr">
        <is>
          <t>Client organisation submits the brief, interviews the group, must allocate an employee as mentor/point of contact, provides data access and reimburses expenses; max two group projects per organisation [1].</t>
        </is>
      </c>
      <c r="AB340" s="77" t="inlineStr">
        <is>
          <t>Unclear</t>
        </is>
      </c>
      <c r="AC340" s="77" t="inlineStr">
        <is>
          <t>Client: sets brief, selects group, mentors, receives deliverables</t>
        </is>
      </c>
      <c r="AD340" s="77" t="inlineStr"/>
      <c r="AE340" s="77" t="inlineStr">
        <is>
          <t>Presentation and/or management report agreed in Project Agreement</t>
        </is>
      </c>
      <c r="AF340" s="77">
        <f>IF(OR(V340="No",X340="No",Z340="No"),"Outside strict definition",IF(AND(V340="Yes",X340="Yes",Z340="Yes"),"Meets all three","Potentially relevant; evidence incomplete"))</f>
        <v/>
      </c>
      <c r="AG340" s="77" t="inlineStr">
        <is>
          <t>Current delivery confirmed</t>
        </is>
      </c>
      <c r="AH340" s="77" t="inlineStr">
        <is>
          <t>2026 (2026 project FAQ); Global Online MBA January 2027 structure</t>
        </is>
      </c>
      <c r="AI340" s="77" t="inlineStr">
        <is>
          <t>Yes</t>
        </is>
      </c>
      <c r="AJ340" s="77">
        <f>IF(AND(AI340="Yes",AF340="Meets all three",AG340="Current delivery confirmed"),"Yes","No")</f>
        <v/>
      </c>
      <c r="AK340" s="77" t="inlineStr"/>
      <c r="AL340" s="77" t="inlineStr">
        <is>
          <t>RG23-S02-R1; RG23-S02-R2</t>
        </is>
      </c>
      <c r="AM340"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40" s="77" t="inlineStr"/>
      <c r="AO340" s="77" t="inlineStr">
        <is>
          <t>UK</t>
        </is>
      </c>
      <c r="AP340" s="77" t="inlineStr">
        <is>
          <t>UK – Russell Group</t>
        </is>
      </c>
      <c r="AQ340" s="77" t="inlineStr">
        <is>
          <t>~1 term/semester</t>
        </is>
      </c>
      <c r="AR340" s="77" t="inlineStr">
        <is>
          <t>All/standard</t>
        </is>
      </c>
      <c r="AS340" s="77" t="inlineStr"/>
    </row>
    <row r="341">
      <c r="A341" s="77" t="inlineStr">
        <is>
          <t>RG23</t>
        </is>
      </c>
      <c r="B341" s="77" t="inlineStr">
        <is>
          <t>Warwick</t>
        </is>
      </c>
      <c r="C341" s="77" t="inlineStr">
        <is>
          <t>Programme/course</t>
        </is>
      </c>
      <c r="D341" s="77" t="inlineStr">
        <is>
          <t>RG23-S03</t>
        </is>
      </c>
      <c r="E341" s="77" t="inlineStr"/>
      <c r="F341" s="77" t="inlineStr">
        <is>
          <t>No</t>
        </is>
      </c>
      <c r="G341" s="79" t="inlineStr">
        <is>
          <t>LeadershipPlus group consultancy project (Full-time MBA)</t>
        </is>
      </c>
      <c r="H341" s="77" t="inlineStr">
        <is>
          <t>LeadershipPlus group consultancy project</t>
        </is>
      </c>
      <c r="I341" s="77" t="inlineStr"/>
      <c r="J341"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41" s="77" t="inlineStr">
        <is>
          <t>Warwick Business School</t>
        </is>
      </c>
      <c r="L341" s="77" t="inlineStr">
        <is>
          <t>Full-time MBA</t>
        </is>
      </c>
      <c r="M341" s="77" t="inlineStr">
        <is>
          <t>Business/management</t>
        </is>
      </c>
      <c r="N341" s="77" t="inlineStr">
        <is>
          <t>Postgraduate taught</t>
        </is>
      </c>
      <c r="O341" s="77" t="inlineStr">
        <is>
          <t>Full-time MBA (spring term)</t>
        </is>
      </c>
      <c r="P341" s="77" t="inlineStr">
        <is>
          <t>Full-time MBA students</t>
        </is>
      </c>
      <c r="Q341" s="77" t="inlineStr">
        <is>
          <t>Unclear</t>
        </is>
      </c>
      <c r="R341" s="77" t="inlineStr">
        <is>
          <t>Curricular</t>
        </is>
      </c>
      <c r="S341" s="77" t="inlineStr">
        <is>
          <t>Not captured</t>
        </is>
      </c>
      <c r="T341" s="77" t="inlineStr">
        <is>
          <t>About 9-10 weeks (sources differ), January to March</t>
        </is>
      </c>
      <c r="U341" s="77" t="inlineStr">
        <is>
          <t>In person with client</t>
        </is>
      </c>
      <c r="V341" s="77" t="inlineStr">
        <is>
          <t>Yes</t>
        </is>
      </c>
      <c r="W341" s="77" t="inlineStr">
        <is>
          <t>Client's current business issue investigated; practical recommendations delivered [1][2].</t>
        </is>
      </c>
      <c r="X341" s="77" t="inlineStr">
        <is>
          <t>Yes</t>
        </is>
      </c>
      <c r="Y341" s="77" t="inlineStr">
        <is>
          <t>Groups of six to eight Full-time MBA students [1]; blog describes groups of seven or eight [2].</t>
        </is>
      </c>
      <c r="Z341" s="77" t="inlineStr">
        <is>
          <t>Yes</t>
        </is>
      </c>
      <c r="AA341" s="77" t="inlineStr">
        <is>
          <t>Corporate, SME or not-for-profit clients supply the business issue and receive findings presented to client and staff [1][2].</t>
        </is>
      </c>
      <c r="AB341" s="77" t="inlineStr">
        <is>
          <t>Mixed</t>
        </is>
      </c>
      <c r="AC341" s="77" t="inlineStr">
        <is>
          <t>Client sets business issue; receives presentation and recommendations</t>
        </is>
      </c>
      <c r="AD341" s="77" t="inlineStr"/>
      <c r="AE341" s="77" t="inlineStr">
        <is>
          <t>Findings and recommendations presented to client</t>
        </is>
      </c>
      <c r="AF341" s="77">
        <f>IF(OR(V341="No",X341="No",Z341="No"),"Outside strict definition",IF(AND(V341="Yes",X341="Yes",Z341="Yes"),"Meets all three","Potentially relevant; evidence incomplete"))</f>
        <v/>
      </c>
      <c r="AG341" s="77" t="inlineStr">
        <is>
          <t>Current status unclear</t>
        </is>
      </c>
      <c r="AH341" s="77" t="inlineStr">
        <is>
          <t>undated (one page described as 2024-era)</t>
        </is>
      </c>
      <c r="AI341" s="77" t="inlineStr">
        <is>
          <t>Yes</t>
        </is>
      </c>
      <c r="AJ341" s="77">
        <f>IF(AND(AI341="Yes",AF341="Meets all three",AG341="Current delivery confirmed"),"Yes","No")</f>
        <v/>
      </c>
      <c r="AK341" s="77" t="inlineStr"/>
      <c r="AL341" s="77" t="inlineStr">
        <is>
          <t>RG23-S03-R1; RG23-S03-R2; RG23-S03-R3</t>
        </is>
      </c>
      <c r="AM341" s="77" t="inlineStr">
        <is>
          <t>Sources undated or inconsistent (9 vs 10 weeks); no dated 2025/26-2026/27 corroboration; whether compulsory for all FT MBA students not confirmed.</t>
        </is>
      </c>
      <c r="AN341" s="77" t="inlineStr"/>
      <c r="AO341" s="77" t="inlineStr">
        <is>
          <t>UK</t>
        </is>
      </c>
      <c r="AP341" s="77" t="inlineStr">
        <is>
          <t>UK – Russell Group</t>
        </is>
      </c>
      <c r="AQ341" s="77" t="inlineStr">
        <is>
          <t>~1 term/semester</t>
        </is>
      </c>
      <c r="AR341" s="77" t="inlineStr">
        <is>
          <t>All/standard</t>
        </is>
      </c>
      <c r="AS341" s="77" t="inlineStr"/>
    </row>
    <row r="342">
      <c r="A342" s="77" t="inlineStr">
        <is>
          <t>RG23</t>
        </is>
      </c>
      <c r="B342" s="77" t="inlineStr">
        <is>
          <t>Warwick</t>
        </is>
      </c>
      <c r="C342" s="77" t="inlineStr">
        <is>
          <t>Programme/course</t>
        </is>
      </c>
      <c r="D342" s="77" t="inlineStr">
        <is>
          <t>RG23-S04</t>
        </is>
      </c>
      <c r="E342" s="77" t="inlineStr"/>
      <c r="F342" s="77" t="inlineStr">
        <is>
          <t>No</t>
        </is>
      </c>
      <c r="G342" s="79" t="inlineStr">
        <is>
          <t>Business with Consulting MSc - live client consulting projects</t>
        </is>
      </c>
      <c r="H342" s="77" t="inlineStr">
        <is>
          <t>MSc Business with Consulting live client projects</t>
        </is>
      </c>
      <c r="I342" s="77" t="inlineStr"/>
      <c r="J342"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42" s="77" t="inlineStr">
        <is>
          <t>Warwick Business School</t>
        </is>
      </c>
      <c r="L342" s="77" t="inlineStr">
        <is>
          <t>MSc Business with Consulting</t>
        </is>
      </c>
      <c r="M342" s="77" t="inlineStr">
        <is>
          <t>Business/management</t>
        </is>
      </c>
      <c r="N342" s="77" t="inlineStr">
        <is>
          <t>Postgraduate taught</t>
        </is>
      </c>
      <c r="O342" s="77" t="inlineStr">
        <is>
          <t>Terms 1-2</t>
        </is>
      </c>
      <c r="P342" s="77" t="inlineStr">
        <is>
          <t>MSc Business with Consulting students</t>
        </is>
      </c>
      <c r="Q342" s="77" t="inlineStr">
        <is>
          <t>Unclear</t>
        </is>
      </c>
      <c r="R342" s="77" t="inlineStr">
        <is>
          <t>Curricular</t>
        </is>
      </c>
      <c r="S342" s="77" t="inlineStr"/>
      <c r="T342" s="77" t="inlineStr">
        <is>
          <t>Within terms 1-2 (exact length unknown)</t>
        </is>
      </c>
      <c r="U342" s="77" t="inlineStr"/>
      <c r="V342" s="77" t="inlineStr">
        <is>
          <t>Yes</t>
        </is>
      </c>
      <c r="W342" s="77" t="inlineStr">
        <is>
          <t>Alumni: 'the consulting projects in the first two terms involved real clients and we got to experience the full experience of a live project' [1].</t>
        </is>
      </c>
      <c r="X342" s="77" t="inlineStr">
        <is>
          <t>Unclear</t>
        </is>
      </c>
      <c r="Y342" s="77" t="inlineStr">
        <is>
          <t>Search summary states students were split into teams, but the statement could not be tied to a specific source page.</t>
        </is>
      </c>
      <c r="Z342" s="77" t="inlineStr">
        <is>
          <t>Yes</t>
        </is>
      </c>
      <c r="AA342" s="77" t="inlineStr">
        <is>
          <t>Alumni accounts describe 'real clients' / 'live client projects' [1][2]; role of client (brief, feedback) not detailed.</t>
        </is>
      </c>
      <c r="AB342" s="77" t="inlineStr">
        <is>
          <t>Unclear</t>
        </is>
      </c>
      <c r="AC342" s="77" t="inlineStr">
        <is>
          <t>Real client provides live project (detail unknown)</t>
        </is>
      </c>
      <c r="AD342" s="77" t="inlineStr"/>
      <c r="AE342" s="77" t="inlineStr"/>
      <c r="AF342" s="77">
        <f>IF(OR(V342="No",X342="No",Z342="No"),"Outside strict definition",IF(AND(V342="Yes",X342="Yes",Z342="Yes"),"Meets all three","Potentially relevant; evidence incomplete"))</f>
        <v/>
      </c>
      <c r="AG342" s="77" t="inlineStr">
        <is>
          <t>Current status unclear</t>
        </is>
      </c>
      <c r="AH342" s="77" t="inlineStr">
        <is>
          <t>undated alumni blogs; course page for 2027 entry does not name the project</t>
        </is>
      </c>
      <c r="AI342" s="77" t="inlineStr">
        <is>
          <t>Yes</t>
        </is>
      </c>
      <c r="AJ342" s="77">
        <f>IF(AND(AI342="Yes",AF342="Meets all three",AG342="Current delivery confirmed"),"Yes","No")</f>
        <v/>
      </c>
      <c r="AK342" s="77" t="inlineStr"/>
      <c r="AL342" s="77" t="inlineStr">
        <is>
          <t>RG23-S04-R1; RG23-S04-R2; RG23-S04-R3</t>
        </is>
      </c>
      <c r="AM342" s="77" t="inlineStr">
        <is>
          <t>Module code, team structure and client role not verified in official module documentation; current delivery not dated.</t>
        </is>
      </c>
      <c r="AN342" s="77" t="inlineStr"/>
      <c r="AO342" s="77" t="inlineStr">
        <is>
          <t>UK</t>
        </is>
      </c>
      <c r="AP342" s="77" t="inlineStr">
        <is>
          <t>UK – Russell Group</t>
        </is>
      </c>
      <c r="AQ342" s="77" t="inlineStr">
        <is>
          <t>Unclear</t>
        </is>
      </c>
      <c r="AR342" s="77" t="inlineStr">
        <is>
          <t>Unclear</t>
        </is>
      </c>
      <c r="AS342" s="77" t="inlineStr"/>
    </row>
    <row r="343">
      <c r="A343" s="77" t="inlineStr">
        <is>
          <t>RG23</t>
        </is>
      </c>
      <c r="B343" s="77" t="inlineStr">
        <is>
          <t>Warwick</t>
        </is>
      </c>
      <c r="C343" s="77" t="inlineStr">
        <is>
          <t>Programme/course</t>
        </is>
      </c>
      <c r="D343" s="77" t="inlineStr">
        <is>
          <t>RG23-S05</t>
        </is>
      </c>
      <c r="E343" s="77" t="inlineStr"/>
      <c r="F343" s="77" t="inlineStr">
        <is>
          <t>No</t>
        </is>
      </c>
      <c r="G343" s="79" t="inlineStr">
        <is>
          <t>Business Consulting</t>
        </is>
      </c>
      <c r="H343" s="77" t="inlineStr">
        <is>
          <t>Business Consulting (Foundation Year)</t>
        </is>
      </c>
      <c r="I343" s="77" t="inlineStr">
        <is>
          <t>IB013-15</t>
        </is>
      </c>
      <c r="J343"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43" s="77" t="inlineStr">
        <is>
          <t>Warwick Business School</t>
        </is>
      </c>
      <c r="L343" s="77" t="inlineStr">
        <is>
          <t>Business and Management / Management / International Business Management with Foundation Year BSc</t>
        </is>
      </c>
      <c r="M343" s="77" t="inlineStr">
        <is>
          <t>Business/management</t>
        </is>
      </c>
      <c r="N343" s="77" t="inlineStr">
        <is>
          <t>Undergraduate</t>
        </is>
      </c>
      <c r="O343" s="77" t="inlineStr">
        <is>
          <t>Foundation year</t>
        </is>
      </c>
      <c r="P343" s="77" t="inlineStr">
        <is>
          <t>Foundation-year students on WBS programmes</t>
        </is>
      </c>
      <c r="Q343" s="77" t="inlineStr">
        <is>
          <t>Compulsory within specified programmes</t>
        </is>
      </c>
      <c r="R343" s="77" t="inlineStr">
        <is>
          <t>Curricular</t>
        </is>
      </c>
      <c r="S343" s="77" t="inlineStr">
        <is>
          <t>15 credits; 70% individual assignment, 20% group presentation, 10% individual contribution report</t>
        </is>
      </c>
      <c r="T343" s="77" t="inlineStr">
        <is>
          <t>10 weeks</t>
        </is>
      </c>
      <c r="U343" s="77" t="inlineStr"/>
      <c r="V343" s="77" t="inlineStr">
        <is>
          <t>Yes</t>
        </is>
      </c>
      <c r="W343" s="77" t="inlineStr">
        <is>
          <t>Students work on a business consulting project with an organisation [1]; third-term project working with an organisation to identify an issue or challenge [2].</t>
        </is>
      </c>
      <c r="X343" s="77" t="inlineStr">
        <is>
          <t>Unclear</t>
        </is>
      </c>
      <c r="Y343" s="77" t="inlineStr">
        <is>
          <t>Group presentation worth 20% but main output is a 70% individual assignment; a resit route replaces group work [1]. Joint output not established.</t>
        </is>
      </c>
      <c r="Z343" s="77" t="inlineStr">
        <is>
          <t>Unclear</t>
        </is>
      </c>
      <c r="AA343" s="77" t="inlineStr">
        <is>
          <t>'project working with an organisation' [2], but catalogue frames the report as on 'a placement or chosen business' [1]; organisation's role (brief, feedback) not documented.</t>
        </is>
      </c>
      <c r="AB343" s="77" t="inlineStr">
        <is>
          <t>Unclear</t>
        </is>
      </c>
      <c r="AC343" s="77" t="inlineStr"/>
      <c r="AD343" s="77" t="inlineStr"/>
      <c r="AE343" s="77" t="inlineStr"/>
      <c r="AF343" s="77">
        <f>IF(OR(V343="No",X343="No",Z343="No"),"Outside strict definition",IF(AND(V343="Yes",X343="Yes",Z343="Yes"),"Meets all three","Potentially relevant; evidence incomplete"))</f>
        <v/>
      </c>
      <c r="AG343" s="77" t="inlineStr">
        <is>
          <t>Current status unclear</t>
        </is>
      </c>
      <c r="AH343" s="77" t="inlineStr">
        <is>
          <t>2024 (module catalogue)</t>
        </is>
      </c>
      <c r="AI343" s="77" t="inlineStr">
        <is>
          <t>Yes</t>
        </is>
      </c>
      <c r="AJ343" s="77">
        <f>IF(AND(AI343="Yes",AF343="Meets all three",AG343="Current delivery confirmed"),"Yes","No")</f>
        <v/>
      </c>
      <c r="AK343" s="77" t="inlineStr"/>
      <c r="AL343" s="77" t="inlineStr">
        <is>
          <t>RG23-S05-R1; RG23-S05-R2</t>
        </is>
      </c>
      <c r="AM343" s="77" t="inlineStr">
        <is>
          <t>Whether organisation participates actively; whether project is group or individual; no 2025/26+ catalogue seen.</t>
        </is>
      </c>
      <c r="AN343" s="77" t="inlineStr"/>
      <c r="AO343" s="77" t="inlineStr">
        <is>
          <t>UK</t>
        </is>
      </c>
      <c r="AP343" s="77" t="inlineStr">
        <is>
          <t>UK – Russell Group</t>
        </is>
      </c>
      <c r="AQ343" s="77" t="inlineStr">
        <is>
          <t>~1 term/semester</t>
        </is>
      </c>
      <c r="AR343" s="77" t="inlineStr">
        <is>
          <t>Unclear</t>
        </is>
      </c>
      <c r="AS343" s="77" t="inlineStr"/>
    </row>
    <row r="344">
      <c r="A344" s="77" t="inlineStr">
        <is>
          <t>RG23</t>
        </is>
      </c>
      <c r="B344" s="77" t="inlineStr">
        <is>
          <t>Warwick</t>
        </is>
      </c>
      <c r="C344" s="77" t="inlineStr">
        <is>
          <t>Faculty/school</t>
        </is>
      </c>
      <c r="D344" s="77" t="inlineStr">
        <is>
          <t>RG23-S06</t>
        </is>
      </c>
      <c r="E344" s="77" t="inlineStr"/>
      <c r="F344" s="77" t="inlineStr">
        <is>
          <t>No</t>
        </is>
      </c>
      <c r="G344" s="79" t="inlineStr">
        <is>
          <t>Group Project</t>
        </is>
      </c>
      <c r="H344" s="77" t="inlineStr">
        <is>
          <t>Engineering MEng Group Project</t>
        </is>
      </c>
      <c r="I344" s="77" t="inlineStr">
        <is>
          <t>ES410-30</t>
        </is>
      </c>
      <c r="J344"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44" s="77" t="inlineStr">
        <is>
          <t>School of Engineering</t>
        </is>
      </c>
      <c r="L344" s="77" t="inlineStr">
        <is>
          <t>MEng Mechanical, Electronic, Civil, Automotive, Biomedical Systems, Systems Engineering etc.</t>
        </is>
      </c>
      <c r="M344" s="77" t="inlineStr">
        <is>
          <t>Engineering/computing</t>
        </is>
      </c>
      <c r="N344" s="77" t="inlineStr">
        <is>
          <t>Undergraduate</t>
        </is>
      </c>
      <c r="O344" s="77" t="inlineStr">
        <is>
          <t>Year 4 (MEng)</t>
        </is>
      </c>
      <c r="P344" s="77" t="inlineStr">
        <is>
          <t>MEng engineering students</t>
        </is>
      </c>
      <c r="Q344" s="77" t="inlineStr">
        <is>
          <t>Compulsory within specified programmes</t>
        </is>
      </c>
      <c r="R344" s="77" t="inlineStr">
        <is>
          <t>Curricular</t>
        </is>
      </c>
      <c r="S344" s="77" t="inlineStr">
        <is>
          <t>30 credits, 100% coursework</t>
        </is>
      </c>
      <c r="T344" s="77" t="inlineStr">
        <is>
          <t>25 weeks</t>
        </is>
      </c>
      <c r="U344" s="77" t="inlineStr"/>
      <c r="V344" s="77" t="inlineStr">
        <is>
          <t>Yes</t>
        </is>
      </c>
      <c r="W344" s="77" t="inlineStr">
        <is>
          <t>Defined project tasks set each year, e.g. reservoir design, racing car, submarine [1][2].</t>
        </is>
      </c>
      <c r="X344" s="77" t="inlineStr">
        <is>
          <t>Yes</t>
        </is>
      </c>
      <c r="Y344" s="77" t="inlineStr">
        <is>
          <t>Teams normally six students drawn from different degree streams [1].</t>
        </is>
      </c>
      <c r="Z344" s="77" t="inlineStr">
        <is>
          <t>Unclear</t>
        </is>
      </c>
      <c r="AA344" s="77" t="inlineStr">
        <is>
          <t>Projects 'ideally have industrial backing or can at least show industrial applicability' where possible [1] - industrial involvement is an aspiration, not the documented norm.</t>
        </is>
      </c>
      <c r="AB344" s="77" t="inlineStr">
        <is>
          <t>Unclear</t>
        </is>
      </c>
      <c r="AC344" s="77" t="inlineStr">
        <is>
          <t>Industrial backing for some projects (nature unspecified)</t>
        </is>
      </c>
      <c r="AD344" s="77" t="inlineStr">
        <is>
          <t>Severn Trent named as example project context on course page (role unverified)</t>
        </is>
      </c>
      <c r="AE344" s="77" t="inlineStr"/>
      <c r="AF344" s="77">
        <f>IF(OR(V344="No",X344="No",Z344="No"),"Outside strict definition",IF(AND(V344="Yes",X344="Yes",Z344="Yes"),"Meets all three","Potentially relevant; evidence incomplete"))</f>
        <v/>
      </c>
      <c r="AG344" s="77" t="inlineStr">
        <is>
          <t>Current status unclear</t>
        </is>
      </c>
      <c r="AH344" s="77" t="inlineStr">
        <is>
          <t>2022 (module catalogue)</t>
        </is>
      </c>
      <c r="AI344" s="77" t="inlineStr">
        <is>
          <t>Yes</t>
        </is>
      </c>
      <c r="AJ344" s="77">
        <f>IF(AND(AI344="Yes",AF344="Meets all three",AG344="Current delivery confirmed"),"Yes","No")</f>
        <v/>
      </c>
      <c r="AK344" s="77" t="inlineStr"/>
      <c r="AL344" s="77" t="inlineStr">
        <is>
          <t>RG23-S06-R1; RG23-S06-R2</t>
        </is>
      </c>
      <c r="AM344" s="77" t="inlineStr">
        <is>
          <t>No 2025/26+ catalogue entry seen; share and role of industrial sponsors unknown.</t>
        </is>
      </c>
      <c r="AN344" s="77" t="inlineStr"/>
      <c r="AO344" s="77" t="inlineStr">
        <is>
          <t>UK</t>
        </is>
      </c>
      <c r="AP344" s="77" t="inlineStr">
        <is>
          <t>UK – Russell Group</t>
        </is>
      </c>
      <c r="AQ344" s="77" t="inlineStr">
        <is>
          <t>&gt;1 term</t>
        </is>
      </c>
      <c r="AR344" s="77" t="inlineStr">
        <is>
          <t>Some projects</t>
        </is>
      </c>
      <c r="AS344" s="77" t="inlineStr"/>
    </row>
    <row r="345">
      <c r="A345" s="77" t="inlineStr">
        <is>
          <t>RG23</t>
        </is>
      </c>
      <c r="B345" s="77" t="inlineStr">
        <is>
          <t>Warwick</t>
        </is>
      </c>
      <c r="C345" s="77" t="inlineStr">
        <is>
          <t>Programme/course</t>
        </is>
      </c>
      <c r="D345" s="77" t="inlineStr">
        <is>
          <t>RG23-S07</t>
        </is>
      </c>
      <c r="E345" s="77" t="inlineStr"/>
      <c r="F345" s="77" t="inlineStr">
        <is>
          <t>No</t>
        </is>
      </c>
      <c r="G345" s="79" t="inlineStr">
        <is>
          <t>Group Project</t>
        </is>
      </c>
      <c r="H345" s="77" t="inlineStr">
        <is>
          <t>Group Project (Degree Apprenticeship, Electromechanical Engineering)</t>
        </is>
      </c>
      <c r="I345" s="77" t="inlineStr">
        <is>
          <t>ES3H7-30</t>
        </is>
      </c>
      <c r="J345" s="77" t="inlineStr">
        <is>
          <t>Level 3, 30-credit group project for degree apprentices; groups of normally six students undertake tasks predetermined each year by the School of Engineering Project Director in conjunction with industry (employers).</t>
        </is>
      </c>
      <c r="K345" s="77" t="inlineStr">
        <is>
          <t>School of Engineering</t>
        </is>
      </c>
      <c r="L345" s="77" t="inlineStr">
        <is>
          <t>Degree Apprenticeship in Electromechanical Engineering (DESA-H360), Year 4</t>
        </is>
      </c>
      <c r="M345" s="77" t="inlineStr">
        <is>
          <t>Engineering/computing</t>
        </is>
      </c>
      <c r="N345" s="77" t="inlineStr">
        <is>
          <t>Undergraduate</t>
        </is>
      </c>
      <c r="O345" s="77" t="inlineStr">
        <is>
          <t>Year 4 of apprenticeship programme</t>
        </is>
      </c>
      <c r="P345" s="77" t="inlineStr">
        <is>
          <t>Degree apprentices on DESA-H360</t>
        </is>
      </c>
      <c r="Q345" s="77" t="inlineStr">
        <is>
          <t>Compulsory within specified programmes</t>
        </is>
      </c>
      <c r="R345" s="77" t="inlineStr">
        <is>
          <t>Curricular</t>
        </is>
      </c>
      <c r="S345" s="77" t="inlineStr">
        <is>
          <t>30 credits, 100% coursework</t>
        </is>
      </c>
      <c r="T345" s="77" t="inlineStr"/>
      <c r="U345" s="77" t="inlineStr"/>
      <c r="V345" s="77" t="inlineStr">
        <is>
          <t>Yes</t>
        </is>
      </c>
      <c r="W345" s="77" t="inlineStr">
        <is>
          <t>Predetermined group project tasks set each year [1].</t>
        </is>
      </c>
      <c r="X345" s="77" t="inlineStr">
        <is>
          <t>Yes</t>
        </is>
      </c>
      <c r="Y345" s="77" t="inlineStr">
        <is>
          <t>Groups normally of six students [1].</t>
        </is>
      </c>
      <c r="Z345" s="77" t="inlineStr">
        <is>
          <t>Yes</t>
        </is>
      </c>
      <c r="AA345" s="77" t="inlineStr">
        <is>
          <t>'Tasks will be predetermined by the School of Engineering Project Director in conjunction with industry (employers) each year' [1] - employers co-set the brief.</t>
        </is>
      </c>
      <c r="AB345" s="77" t="inlineStr">
        <is>
          <t>Business/commercial</t>
        </is>
      </c>
      <c r="AC345" s="77" t="inlineStr">
        <is>
          <t>Employers co-set project tasks</t>
        </is>
      </c>
      <c r="AD345" s="77" t="inlineStr"/>
      <c r="AE345" s="77" t="inlineStr"/>
      <c r="AF345" s="77">
        <f>IF(OR(V345="No",X345="No",Z345="No"),"Outside strict definition",IF(AND(V345="Yes",X345="Yes",Z345="Yes"),"Meets all three","Potentially relevant; evidence incomplete"))</f>
        <v/>
      </c>
      <c r="AG345" s="77" t="inlineStr">
        <is>
          <t>Current status unclear</t>
        </is>
      </c>
      <c r="AH345" s="77" t="inlineStr">
        <is>
          <t>2024 (module catalogue)</t>
        </is>
      </c>
      <c r="AI345" s="77" t="inlineStr">
        <is>
          <t>Yes</t>
        </is>
      </c>
      <c r="AJ345" s="77">
        <f>IF(AND(AI345="Yes",AF345="Meets all three",AG345="Current delivery confirmed"),"Yes","No")</f>
        <v/>
      </c>
      <c r="AK345" s="77" t="inlineStr"/>
      <c r="AL345" s="77" t="inlineStr">
        <is>
          <t>RG23-S07-R1</t>
        </is>
      </c>
      <c r="AM345" s="77" t="inlineStr">
        <is>
          <t>No 2025/26+ catalogue seen; whether employers are apprentices' own employers and whether they assess/receive outputs unknown.</t>
        </is>
      </c>
      <c r="AN345" s="77" t="inlineStr"/>
      <c r="AO345" s="77" t="inlineStr">
        <is>
          <t>UK</t>
        </is>
      </c>
      <c r="AP345" s="77" t="inlineStr">
        <is>
          <t>UK – Russell Group</t>
        </is>
      </c>
      <c r="AQ345" s="77" t="inlineStr">
        <is>
          <t>Unclear</t>
        </is>
      </c>
      <c r="AR345" s="77" t="inlineStr">
        <is>
          <t>All/standard</t>
        </is>
      </c>
      <c r="AS345" s="77" t="inlineStr"/>
    </row>
    <row r="346">
      <c r="A346" s="77" t="inlineStr">
        <is>
          <t>RG23</t>
        </is>
      </c>
      <c r="B346" s="77" t="inlineStr">
        <is>
          <t>Warwick</t>
        </is>
      </c>
      <c r="C346" s="77" t="inlineStr">
        <is>
          <t>Programme/course</t>
        </is>
      </c>
      <c r="D346" s="77" t="inlineStr">
        <is>
          <t>RG23-S08</t>
        </is>
      </c>
      <c r="E346" s="77" t="inlineStr"/>
      <c r="F346" s="77" t="inlineStr">
        <is>
          <t>No</t>
        </is>
      </c>
      <c r="G346" s="79" t="inlineStr">
        <is>
          <t>Group Project</t>
        </is>
      </c>
      <c r="H346" s="77" t="inlineStr">
        <is>
          <t>Computer Science Group Project</t>
        </is>
      </c>
      <c r="I346" s="77" t="inlineStr">
        <is>
          <t>CS407-30</t>
        </is>
      </c>
      <c r="J346" s="77" t="inlineStr">
        <is>
          <t>Final-year (MEng) Computer Science group project in which groups of 4-6 students engineer a complex software system or conduct a research project to the requirements of a customer, who may be an academic or an industrial partner.</t>
        </is>
      </c>
      <c r="K346" s="77" t="inlineStr">
        <is>
          <t>Department of Computer Science</t>
        </is>
      </c>
      <c r="L346" s="77" t="inlineStr">
        <is>
          <t>Computer Science MEng (Year 4)</t>
        </is>
      </c>
      <c r="M346" s="77" t="inlineStr">
        <is>
          <t>Engineering/computing</t>
        </is>
      </c>
      <c r="N346" s="77" t="inlineStr">
        <is>
          <t>Undergraduate</t>
        </is>
      </c>
      <c r="O346" s="77" t="inlineStr">
        <is>
          <t>Year 4 (MEng)</t>
        </is>
      </c>
      <c r="P346" s="77" t="inlineStr"/>
      <c r="Q346" s="77" t="inlineStr">
        <is>
          <t>Unclear</t>
        </is>
      </c>
      <c r="R346" s="77" t="inlineStr">
        <is>
          <t>Curricular</t>
        </is>
      </c>
      <c r="S346" s="77" t="inlineStr">
        <is>
          <t>30 credits</t>
        </is>
      </c>
      <c r="T346" s="77" t="inlineStr"/>
      <c r="U346" s="77" t="inlineStr"/>
      <c r="V346" s="77" t="inlineStr">
        <is>
          <t>Yes</t>
        </is>
      </c>
      <c r="W346" s="77" t="inlineStr">
        <is>
          <t>Engineer complex software systems or conduct research projects 'according to the requirements of a customer' [1].</t>
        </is>
      </c>
      <c r="X346" s="77" t="inlineStr">
        <is>
          <t>Yes</t>
        </is>
      </c>
      <c r="Y346" s="77" t="inlineStr">
        <is>
          <t>Each group has between 4 and 6 students [1].</t>
        </is>
      </c>
      <c r="Z346" s="77" t="inlineStr">
        <is>
          <t>Unclear</t>
        </is>
      </c>
      <c r="AA346" s="77" t="inlineStr">
        <is>
          <t>Customer 'may be an academic or an industrial partner' [1]; archived catalogue said the customer 'will normally be an industrial partner' [2] - current wording does not make external customers the norm.</t>
        </is>
      </c>
      <c r="AB346" s="77" t="inlineStr">
        <is>
          <t>Mixed</t>
        </is>
      </c>
      <c r="AC346" s="77" t="inlineStr">
        <is>
          <t>Customer sets requirements (academic/internal or industrial)</t>
        </is>
      </c>
      <c r="AD346" s="77" t="inlineStr"/>
      <c r="AE346" s="77" t="inlineStr"/>
      <c r="AF346" s="77">
        <f>IF(OR(V346="No",X346="No",Z346="No"),"Outside strict definition",IF(AND(V346="Yes",X346="Yes",Z346="Yes"),"Meets all three","Potentially relevant; evidence incomplete"))</f>
        <v/>
      </c>
      <c r="AG346" s="77" t="inlineStr">
        <is>
          <t>Current status unclear</t>
        </is>
      </c>
      <c r="AH346" s="77" t="inlineStr">
        <is>
          <t>Undated module page; Fourth Year Computer Science MEng 2025/26 course page exists but CS407 listing not confirmed in extract</t>
        </is>
      </c>
      <c r="AI346" s="77" t="inlineStr">
        <is>
          <t>Yes</t>
        </is>
      </c>
      <c r="AJ346" s="77">
        <f>IF(AND(AI346="Yes",AF346="Meets all three",AG346="Current delivery confirmed"),"Yes","No")</f>
        <v/>
      </c>
      <c r="AK346" s="77" t="inlineStr"/>
      <c r="AL346" s="77" t="inlineStr">
        <is>
          <t>RG23-S08-R1; RG23-S08-R2</t>
        </is>
      </c>
      <c r="AM346" s="77" t="inlineStr">
        <is>
          <t>Share of industrial customers; whether CS407 is listed on 2025/26-2026/27 course structures (not confirmed in extract).</t>
        </is>
      </c>
      <c r="AN346" s="77" t="inlineStr"/>
      <c r="AO346" s="77" t="inlineStr">
        <is>
          <t>UK</t>
        </is>
      </c>
      <c r="AP346" s="77" t="inlineStr">
        <is>
          <t>UK – Russell Group</t>
        </is>
      </c>
      <c r="AQ346" s="77" t="inlineStr">
        <is>
          <t>&gt;1 term</t>
        </is>
      </c>
      <c r="AR346" s="77" t="inlineStr">
        <is>
          <t>Some projects</t>
        </is>
      </c>
      <c r="AS346" s="77" t="inlineStr"/>
    </row>
    <row r="347">
      <c r="A347" s="77" t="inlineStr">
        <is>
          <t>RG23</t>
        </is>
      </c>
      <c r="B347" s="77" t="inlineStr">
        <is>
          <t>Warwick</t>
        </is>
      </c>
      <c r="C347" s="77" t="inlineStr">
        <is>
          <t>Programme/course</t>
        </is>
      </c>
      <c r="D347" s="77" t="inlineStr">
        <is>
          <t>RG23-S09</t>
        </is>
      </c>
      <c r="E347" s="77" t="inlineStr"/>
      <c r="F347" s="77" t="inlineStr">
        <is>
          <t>No</t>
        </is>
      </c>
      <c r="G347" s="79" t="inlineStr">
        <is>
          <t>Industry Impact Projects (MSc International Trade, Strategy and Operations)</t>
        </is>
      </c>
      <c r="H347" s="77" t="inlineStr">
        <is>
          <t>Industry Impact Projects</t>
        </is>
      </c>
      <c r="I347" s="77" t="inlineStr"/>
      <c r="J347"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47" s="77" t="inlineStr">
        <is>
          <t>WMG</t>
        </is>
      </c>
      <c r="L347" s="77" t="inlineStr">
        <is>
          <t>MSc International Trade, Strategy and Operations</t>
        </is>
      </c>
      <c r="M347" s="77" t="inlineStr">
        <is>
          <t>Engineering/computing</t>
        </is>
      </c>
      <c r="N347" s="77" t="inlineStr">
        <is>
          <t>Postgraduate taught</t>
        </is>
      </c>
      <c r="O347" s="77" t="inlineStr"/>
      <c r="P347" s="77" t="inlineStr"/>
      <c r="Q347" s="77" t="inlineStr">
        <is>
          <t>Unclear</t>
        </is>
      </c>
      <c r="R347" s="77" t="inlineStr">
        <is>
          <t>Curricular</t>
        </is>
      </c>
      <c r="S347" s="77" t="inlineStr"/>
      <c r="T347" s="77" t="inlineStr"/>
      <c r="U347" s="77" t="inlineStr"/>
      <c r="V347" s="77" t="inlineStr">
        <is>
          <t>Yes</t>
        </is>
      </c>
      <c r="W347" s="77" t="inlineStr">
        <is>
          <t>Pre-defined industrial challenge (e.g. EV lifecycle assessment, steel logistics) [1].</t>
        </is>
      </c>
      <c r="X347" s="77" t="inlineStr">
        <is>
          <t>Yes</t>
        </is>
      </c>
      <c r="Y347" s="77" t="inlineStr">
        <is>
          <t>'groups of students work on a pre-defined industrial challenge' [1].</t>
        </is>
      </c>
      <c r="Z347" s="77" t="inlineStr">
        <is>
          <t>Yes</t>
        </is>
      </c>
      <c r="AA347" s="77" t="inlineStr">
        <is>
          <t>Challenge provided by a corporate partner; students collaborated with Tata Motors, Tata Steel and Tata AutoComp Systems [1].</t>
        </is>
      </c>
      <c r="AB347" s="77" t="inlineStr">
        <is>
          <t>Business/commercial</t>
        </is>
      </c>
      <c r="AC347" s="77" t="inlineStr">
        <is>
          <t>Corporate partner provides industrial challenge</t>
        </is>
      </c>
      <c r="AD347" s="77" t="inlineStr">
        <is>
          <t>Tata Motors, Tata Steel, Tata AutoComp Systems (year not stated)</t>
        </is>
      </c>
      <c r="AE347" s="77" t="inlineStr"/>
      <c r="AF347" s="77">
        <f>IF(OR(V347="No",X347="No",Z347="No"),"Outside strict definition",IF(AND(V347="Yes",X347="Yes",Z347="Yes"),"Meets all three","Potentially relevant; evidence incomplete"))</f>
        <v/>
      </c>
      <c r="AG347" s="77" t="inlineStr">
        <is>
          <t>Current status unclear</t>
        </is>
      </c>
      <c r="AH347" s="77" t="inlineStr">
        <is>
          <t>undated programme page</t>
        </is>
      </c>
      <c r="AI347" s="77" t="inlineStr">
        <is>
          <t>Yes</t>
        </is>
      </c>
      <c r="AJ347" s="77">
        <f>IF(AND(AI347="Yes",AF347="Meets all three",AG347="Current delivery confirmed"),"Yes","No")</f>
        <v/>
      </c>
      <c r="AK347" s="77" t="inlineStr"/>
      <c r="AL347" s="77" t="inlineStr">
        <is>
          <t>RG23-S09-R1</t>
        </is>
      </c>
      <c r="AM347" s="77" t="inlineStr">
        <is>
          <t>Evidence is a search-summary paraphrase only (extended verification search could not be run: search budget exhausted); credit, duration, compulsory status and current delivery not verified.</t>
        </is>
      </c>
      <c r="AN347" s="77" t="inlineStr"/>
      <c r="AO347" s="77" t="inlineStr">
        <is>
          <t>UK</t>
        </is>
      </c>
      <c r="AP347" s="77" t="inlineStr">
        <is>
          <t>UK – Russell Group</t>
        </is>
      </c>
      <c r="AQ347" s="77" t="inlineStr">
        <is>
          <t>Unclear</t>
        </is>
      </c>
      <c r="AR347" s="77" t="inlineStr">
        <is>
          <t>All/standard</t>
        </is>
      </c>
      <c r="AS347" s="77" t="inlineStr"/>
    </row>
    <row r="348">
      <c r="A348" s="77" t="inlineStr">
        <is>
          <t>RG23</t>
        </is>
      </c>
      <c r="B348" s="77" t="inlineStr">
        <is>
          <t>Warwick</t>
        </is>
      </c>
      <c r="C348" s="77" t="inlineStr">
        <is>
          <t>Programme/course</t>
        </is>
      </c>
      <c r="D348" s="77" t="inlineStr">
        <is>
          <t>RG23-S10</t>
        </is>
      </c>
      <c r="E348" s="77" t="inlineStr"/>
      <c r="F348" s="77" t="inlineStr">
        <is>
          <t>No</t>
        </is>
      </c>
      <c r="G348" s="79" t="inlineStr">
        <is>
          <t>Industry Collaboration Project (MSc Innovation and Entrepreneurship)</t>
        </is>
      </c>
      <c r="H348" s="77" t="inlineStr">
        <is>
          <t>Industry Collaboration Project</t>
        </is>
      </c>
      <c r="I348" s="77" t="inlineStr"/>
      <c r="J348" s="77" t="inlineStr">
        <is>
          <t>WMG MSc Innovation and Entrepreneurship project in which students develop solutions to a real-world industry problem set in consultation with a WMG partner organisation; assessed by supervisor and independent assessor. Not described as a team project.</t>
        </is>
      </c>
      <c r="K348" s="77" t="inlineStr">
        <is>
          <t>WMG</t>
        </is>
      </c>
      <c r="L348" s="77" t="inlineStr">
        <is>
          <t>MSc Innovation and Entrepreneurship</t>
        </is>
      </c>
      <c r="M348" s="77" t="inlineStr">
        <is>
          <t>Engineering/computing</t>
        </is>
      </c>
      <c r="N348" s="77" t="inlineStr">
        <is>
          <t>Postgraduate taught</t>
        </is>
      </c>
      <c r="O348" s="77" t="inlineStr"/>
      <c r="P348" s="77" t="inlineStr"/>
      <c r="Q348" s="77" t="inlineStr">
        <is>
          <t>Unclear</t>
        </is>
      </c>
      <c r="R348" s="77" t="inlineStr">
        <is>
          <t>Curricular</t>
        </is>
      </c>
      <c r="S348" s="77" t="inlineStr"/>
      <c r="T348" s="77" t="inlineStr"/>
      <c r="U348" s="77" t="inlineStr"/>
      <c r="V348" s="77" t="inlineStr">
        <is>
          <t>Yes</t>
        </is>
      </c>
      <c r="W348" s="77" t="inlineStr">
        <is>
          <t>Solutions to a real-world industry problem [1].</t>
        </is>
      </c>
      <c r="X348" s="77" t="inlineStr">
        <is>
          <t>Unclear</t>
        </is>
      </c>
      <c r="Y348" s="77" t="inlineStr">
        <is>
          <t>Page describes a project but not team working [1].</t>
        </is>
      </c>
      <c r="Z348" s="77" t="inlineStr">
        <is>
          <t>Yes</t>
        </is>
      </c>
      <c r="AA348" s="77" t="inlineStr">
        <is>
          <t>Problem set in consultation with a WMG partner organisation [1].</t>
        </is>
      </c>
      <c r="AB348" s="77" t="inlineStr">
        <is>
          <t>Unclear</t>
        </is>
      </c>
      <c r="AC348" s="77" t="inlineStr">
        <is>
          <t>Partner organisation co-sets problem</t>
        </is>
      </c>
      <c r="AD348" s="77" t="inlineStr"/>
      <c r="AE348" s="77" t="inlineStr"/>
      <c r="AF348" s="77">
        <f>IF(OR(V348="No",X348="No",Z348="No"),"Outside strict definition",IF(AND(V348="Yes",X348="Yes",Z348="Yes"),"Meets all three","Potentially relevant; evidence incomplete"))</f>
        <v/>
      </c>
      <c r="AG348" s="77" t="inlineStr">
        <is>
          <t>Current status unclear</t>
        </is>
      </c>
      <c r="AH348" s="77" t="inlineStr">
        <is>
          <t>undated programme page</t>
        </is>
      </c>
      <c r="AI348" s="77" t="inlineStr">
        <is>
          <t>Yes</t>
        </is>
      </c>
      <c r="AJ348" s="77">
        <f>IF(AND(AI348="Yes",AF348="Meets all three",AG348="Current delivery confirmed"),"Yes","No")</f>
        <v/>
      </c>
      <c r="AK348" s="77" t="inlineStr"/>
      <c r="AL348" s="77" t="inlineStr">
        <is>
          <t>RG23-S10-R1</t>
        </is>
      </c>
      <c r="AM348" s="77" t="inlineStr">
        <is>
          <t>Individual vs group not established; paraphrase only; WMG partner organisations assumed external (not verified).</t>
        </is>
      </c>
      <c r="AN348" s="77" t="inlineStr"/>
      <c r="AO348" s="77" t="inlineStr">
        <is>
          <t>UK</t>
        </is>
      </c>
      <c r="AP348" s="77" t="inlineStr">
        <is>
          <t>UK – Russell Group</t>
        </is>
      </c>
      <c r="AQ348" s="77" t="inlineStr">
        <is>
          <t>Unclear</t>
        </is>
      </c>
      <c r="AR348" s="77" t="inlineStr">
        <is>
          <t>All/standard</t>
        </is>
      </c>
      <c r="AS348" s="77" t="inlineStr"/>
    </row>
    <row r="349">
      <c r="A349" s="77" t="inlineStr">
        <is>
          <t>RG23</t>
        </is>
      </c>
      <c r="B349" s="77" t="inlineStr">
        <is>
          <t>Warwick</t>
        </is>
      </c>
      <c r="C349" s="77" t="inlineStr">
        <is>
          <t>Programme/course</t>
        </is>
      </c>
      <c r="D349" s="77" t="inlineStr">
        <is>
          <t>RG23-S11</t>
        </is>
      </c>
      <c r="E349" s="77" t="inlineStr"/>
      <c r="F349" s="77" t="inlineStr">
        <is>
          <t>No</t>
        </is>
      </c>
      <c r="G349" s="79" t="inlineStr">
        <is>
          <t>Practice-based Project</t>
        </is>
      </c>
      <c r="H349" s="77" t="inlineStr">
        <is>
          <t>Practice-based Project (Global Sustainable Development)</t>
        </is>
      </c>
      <c r="I349" s="77" t="inlineStr">
        <is>
          <t>GD903-60</t>
        </is>
      </c>
      <c r="J349"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49" s="77" t="inlineStr">
        <is>
          <t>Global Sustainable Development (School for Cross-faculty Studies)</t>
        </is>
      </c>
      <c r="L349" s="77" t="inlineStr">
        <is>
          <t>GSD Masters programmes</t>
        </is>
      </c>
      <c r="M349" s="77" t="inlineStr">
        <is>
          <t>Arts/humanities/social sciences</t>
        </is>
      </c>
      <c r="N349" s="77" t="inlineStr">
        <is>
          <t>Postgraduate taught</t>
        </is>
      </c>
      <c r="O349" s="77" t="inlineStr"/>
      <c r="P349" s="77" t="inlineStr"/>
      <c r="Q349" s="77" t="inlineStr">
        <is>
          <t>Unclear</t>
        </is>
      </c>
      <c r="R349" s="77" t="inlineStr">
        <is>
          <t>Curricular</t>
        </is>
      </c>
      <c r="S349" s="77" t="inlineStr">
        <is>
          <t>60 credits</t>
        </is>
      </c>
      <c r="T349" s="77" t="inlineStr"/>
      <c r="U349" s="77" t="inlineStr"/>
      <c r="V349" s="77" t="inlineStr">
        <is>
          <t>Yes</t>
        </is>
      </c>
      <c r="W349" s="77" t="inlineStr">
        <is>
          <t>'client' project brief for promoting sustainable development [1].</t>
        </is>
      </c>
      <c r="X349" s="77" t="inlineStr">
        <is>
          <t>Yes</t>
        </is>
      </c>
      <c r="Y349" s="77" t="inlineStr">
        <is>
          <t>Teams work on the client project brief [1].</t>
        </is>
      </c>
      <c r="Z349" s="77" t="inlineStr">
        <is>
          <t>Unclear</t>
        </is>
      </c>
      <c r="AA349" s="77" t="inlineStr">
        <is>
          <t>Partner 'may be' external organisations identified by the student or Placement Officer [1] - external clients not documented as the norm.</t>
        </is>
      </c>
      <c r="AB349" s="77" t="inlineStr">
        <is>
          <t>Unclear</t>
        </is>
      </c>
      <c r="AC349" s="77" t="inlineStr"/>
      <c r="AD349" s="77" t="inlineStr"/>
      <c r="AE349" s="77" t="inlineStr"/>
      <c r="AF349" s="77">
        <f>IF(OR(V349="No",X349="No",Z349="No"),"Outside strict definition",IF(AND(V349="Yes",X349="Yes",Z349="Yes"),"Meets all three","Potentially relevant; evidence incomplete"))</f>
        <v/>
      </c>
      <c r="AG349" s="77" t="inlineStr">
        <is>
          <t>Current status unclear</t>
        </is>
      </c>
      <c r="AH349" s="77" t="inlineStr">
        <is>
          <t>2021 (module catalogue)</t>
        </is>
      </c>
      <c r="AI349" s="77" t="inlineStr">
        <is>
          <t>Yes</t>
        </is>
      </c>
      <c r="AJ349" s="77">
        <f>IF(AND(AI349="Yes",AF349="Meets all three",AG349="Current delivery confirmed"),"Yes","No")</f>
        <v/>
      </c>
      <c r="AK349" s="77" t="inlineStr"/>
      <c r="AL349" s="77" t="inlineStr">
        <is>
          <t>RG23-S11-R1</t>
        </is>
      </c>
      <c r="AM349" s="77" t="inlineStr">
        <is>
          <t>Only 2021 catalogue seen (paraphrase); whether still delivered; client sources.</t>
        </is>
      </c>
      <c r="AN349" s="77" t="inlineStr"/>
      <c r="AO349" s="77" t="inlineStr">
        <is>
          <t>UK</t>
        </is>
      </c>
      <c r="AP349" s="77" t="inlineStr">
        <is>
          <t>UK – Russell Group</t>
        </is>
      </c>
      <c r="AQ349" s="77" t="inlineStr">
        <is>
          <t>Unclear</t>
        </is>
      </c>
      <c r="AR349" s="77" t="inlineStr">
        <is>
          <t>Some projects</t>
        </is>
      </c>
      <c r="AS349" s="77" t="inlineStr"/>
    </row>
    <row r="350">
      <c r="A350" s="77" t="inlineStr">
        <is>
          <t>RG23</t>
        </is>
      </c>
      <c r="B350" s="77" t="inlineStr">
        <is>
          <t>Warwick</t>
        </is>
      </c>
      <c r="C350" s="77" t="inlineStr">
        <is>
          <t>Programme/course</t>
        </is>
      </c>
      <c r="D350" s="77" t="inlineStr">
        <is>
          <t>RG23-S12</t>
        </is>
      </c>
      <c r="E350" s="77" t="inlineStr"/>
      <c r="F350" s="77" t="inlineStr">
        <is>
          <t>No</t>
        </is>
      </c>
      <c r="G350" s="79" t="inlineStr">
        <is>
          <t>Applied Communication Project</t>
        </is>
      </c>
      <c r="H350" s="77" t="inlineStr">
        <is>
          <t>Applied Communication Project</t>
        </is>
      </c>
      <c r="I350" s="77" t="inlineStr">
        <is>
          <t>LP916-15</t>
        </is>
      </c>
      <c r="J350" s="77" t="inlineStr">
        <is>
          <t>Applied Linguistics postgraduate module (15 credits) in which teams work on a live brief and present a strategic proposal to the client at the end of the module.</t>
        </is>
      </c>
      <c r="K350" s="77" t="inlineStr">
        <is>
          <t>Applied Linguistics</t>
        </is>
      </c>
      <c r="L350" s="77" t="inlineStr"/>
      <c r="M350" s="77" t="inlineStr">
        <is>
          <t>Arts/humanities/social sciences</t>
        </is>
      </c>
      <c r="N350" s="77" t="inlineStr">
        <is>
          <t>Postgraduate taught</t>
        </is>
      </c>
      <c r="O350" s="77" t="inlineStr"/>
      <c r="P350" s="77" t="inlineStr"/>
      <c r="Q350" s="77" t="inlineStr">
        <is>
          <t>Unclear</t>
        </is>
      </c>
      <c r="R350" s="77" t="inlineStr">
        <is>
          <t>Curricular</t>
        </is>
      </c>
      <c r="S350" s="77" t="inlineStr">
        <is>
          <t>15 credits</t>
        </is>
      </c>
      <c r="T350" s="77" t="inlineStr"/>
      <c r="U350" s="77" t="inlineStr"/>
      <c r="V350" s="77" t="inlineStr">
        <is>
          <t>Yes</t>
        </is>
      </c>
      <c r="W350" s="77" t="inlineStr">
        <is>
          <t>Live brief leading to a strategic proposal [1].</t>
        </is>
      </c>
      <c r="X350" s="77" t="inlineStr">
        <is>
          <t>Yes</t>
        </is>
      </c>
      <c r="Y350" s="77" t="inlineStr">
        <is>
          <t>Teams work on the live brief [1].</t>
        </is>
      </c>
      <c r="Z350" s="77" t="inlineStr">
        <is>
          <t>Unclear</t>
        </is>
      </c>
      <c r="AA350" s="77" t="inlineStr">
        <is>
          <t>Proposal presented to 'the client' [1]; whether clients are external organisations is not stated in the extract.</t>
        </is>
      </c>
      <c r="AB350" s="77" t="inlineStr">
        <is>
          <t>Unclear</t>
        </is>
      </c>
      <c r="AC350" s="77" t="inlineStr">
        <is>
          <t>Client sets live brief and receives proposal (identity unknown)</t>
        </is>
      </c>
      <c r="AD350" s="77" t="inlineStr"/>
      <c r="AE350" s="77" t="inlineStr"/>
      <c r="AF350" s="77">
        <f>IF(OR(V350="No",X350="No",Z350="No"),"Outside strict definition",IF(AND(V350="Yes",X350="Yes",Z350="Yes"),"Meets all three","Potentially relevant; evidence incomplete"))</f>
        <v/>
      </c>
      <c r="AG350" s="77" t="inlineStr">
        <is>
          <t>Current status unclear</t>
        </is>
      </c>
      <c r="AH350" s="77" t="inlineStr">
        <is>
          <t>2024 (module catalogue)</t>
        </is>
      </c>
      <c r="AI350" s="77" t="inlineStr">
        <is>
          <t>Yes</t>
        </is>
      </c>
      <c r="AJ350" s="77">
        <f>IF(AND(AI350="Yes",AF350="Meets all three",AG350="Current delivery confirmed"),"Yes","No")</f>
        <v/>
      </c>
      <c r="AK350" s="77" t="inlineStr"/>
      <c r="AL350" s="77" t="inlineStr">
        <is>
          <t>RG23-S12-R1</t>
        </is>
      </c>
      <c r="AM350" s="77" t="inlineStr">
        <is>
          <t>Client identity/externality; programme eligibility; current delivery; paraphrase only.</t>
        </is>
      </c>
      <c r="AN350" s="77" t="inlineStr"/>
      <c r="AO350" s="77" t="inlineStr">
        <is>
          <t>UK</t>
        </is>
      </c>
      <c r="AP350" s="77" t="inlineStr">
        <is>
          <t>UK – Russell Group</t>
        </is>
      </c>
      <c r="AQ350" s="77" t="inlineStr">
        <is>
          <t>Unclear</t>
        </is>
      </c>
      <c r="AR350" s="77" t="inlineStr">
        <is>
          <t>Unclear</t>
        </is>
      </c>
      <c r="AS350" s="77" t="inlineStr"/>
    </row>
    <row r="351">
      <c r="A351" s="77" t="inlineStr">
        <is>
          <t>RG24</t>
        </is>
      </c>
      <c r="B351" s="77" t="inlineStr">
        <is>
          <t>York</t>
        </is>
      </c>
      <c r="C351" s="77" t="inlineStr">
        <is>
          <t>University-wide</t>
        </is>
      </c>
      <c r="D351" s="77" t="inlineStr">
        <is>
          <t>RG24-S01</t>
        </is>
      </c>
      <c r="E351" s="77" t="inlineStr"/>
      <c r="F351" s="77" t="inlineStr">
        <is>
          <t>Yes</t>
        </is>
      </c>
      <c r="G351" s="79" t="inlineStr">
        <is>
          <t>York Interdisciplinary Modules (YIMs)</t>
        </is>
      </c>
      <c r="H351" s="77" t="inlineStr">
        <is>
          <t>York Interdisciplinary Modules</t>
        </is>
      </c>
      <c r="I351" s="77" t="inlineStr"/>
      <c r="J351"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51" s="77" t="inlineStr">
        <is>
          <t>Environmental Sustainability at York (ESAY) with participating departments</t>
        </is>
      </c>
      <c r="L351" s="77" t="inlineStr">
        <is>
          <t>Elective modules open (subject to timetable and department availability) to 3rd-year undergraduates and, for some modules, postgraduates</t>
        </is>
      </c>
      <c r="M351" s="77" t="inlineStr">
        <is>
          <t>Central provision</t>
        </is>
      </c>
      <c r="N351" s="77" t="inlineStr">
        <is>
          <t>Mixed</t>
        </is>
      </c>
      <c r="O351" s="77" t="inlineStr"/>
      <c r="P351" s="77" t="inlineStr"/>
      <c r="Q351" s="77" t="inlineStr">
        <is>
          <t>Optional/elective</t>
        </is>
      </c>
      <c r="R351" s="77" t="inlineStr">
        <is>
          <t>Curricular</t>
        </is>
      </c>
      <c r="S351" s="77" t="inlineStr">
        <is>
          <t>20 credits (elective)</t>
        </is>
      </c>
      <c r="T351" s="77" t="inlineStr"/>
      <c r="U351" s="77" t="inlineStr"/>
      <c r="V351" s="77" t="inlineStr">
        <is>
          <t>Unclear</t>
        </is>
      </c>
      <c r="W351" s="77" t="inlineStr">
        <is>
          <t>Umbrella; project content depends on module (src 1).</t>
        </is>
      </c>
      <c r="X351" s="77" t="inlineStr">
        <is>
          <t>Yes</t>
        </is>
      </c>
      <c r="Y351" s="77" t="inlineStr">
        <is>
          <t>Students work in multi-disciplinary teams (src 1).</t>
        </is>
      </c>
      <c r="Z351" s="77" t="inlineStr">
        <is>
          <t>Unclear</t>
        </is>
      </c>
      <c r="AA351" s="77" t="inlineStr">
        <is>
          <t>'Only in some YIMs do students work with outside organisations' such as community groups, small businesses, government bodies and/or NGOs (src 1, search paraphrase). Tested at child level.</t>
        </is>
      </c>
      <c r="AB351" s="77" t="inlineStr">
        <is>
          <t>Mixed</t>
        </is>
      </c>
      <c r="AC351" s="77" t="inlineStr"/>
      <c r="AD351" s="77" t="inlineStr"/>
      <c r="AE351" s="77" t="inlineStr"/>
      <c r="AF351" s="77">
        <f>IF(OR(V351="No",X351="No",Z351="No"),"Outside strict definition",IF(AND(V351="Yes",X351="Yes",Z351="Yes"),"Meets all three","Potentially relevant; evidence incomplete"))</f>
        <v/>
      </c>
      <c r="AG351" s="77" t="inlineStr">
        <is>
          <t>Current delivery confirmed</t>
        </is>
      </c>
      <c r="AH351" s="77" t="inlineStr">
        <is>
          <t>2026/27</t>
        </is>
      </c>
      <c r="AI351" s="77" t="inlineStr">
        <is>
          <t>No</t>
        </is>
      </c>
      <c r="AJ351" s="77">
        <f>IF(AND(AI351="Yes",AF351="Meets all three",AG351="Current delivery confirmed"),"Yes","No")</f>
        <v/>
      </c>
      <c r="AK351" s="77" t="inlineStr"/>
      <c r="AL351" s="77" t="inlineStr">
        <is>
          <t>RG24-S01-R1; RG24-S01-R2</t>
        </is>
      </c>
      <c r="AM351" s="77" t="inlineStr">
        <is>
          <t>Not counted separately; children S1, S2 carry the assessment. Other YIMs (e.g. Future of Food, Sustainability and Policy) not tested for external partners.</t>
        </is>
      </c>
      <c r="AN351" s="77" t="inlineStr">
        <is>
          <t>York Interdisciplinary Modules</t>
        </is>
      </c>
      <c r="AO351" s="77" t="inlineStr">
        <is>
          <t>UK</t>
        </is>
      </c>
      <c r="AP351" s="77" t="inlineStr">
        <is>
          <t>UK – Russell Group</t>
        </is>
      </c>
      <c r="AQ351" s="77" t="inlineStr">
        <is>
          <t>Unclear</t>
        </is>
      </c>
      <c r="AR351" s="77" t="inlineStr">
        <is>
          <t>Some projects</t>
        </is>
      </c>
      <c r="AS351" s="77" t="inlineStr">
        <is>
          <t>No (umbrella; children counted)</t>
        </is>
      </c>
    </row>
    <row r="352">
      <c r="A352" s="77" t="inlineStr">
        <is>
          <t>RG24</t>
        </is>
      </c>
      <c r="B352" s="77" t="inlineStr">
        <is>
          <t>York</t>
        </is>
      </c>
      <c r="C352" s="77" t="inlineStr">
        <is>
          <t>Cross-faculty</t>
        </is>
      </c>
      <c r="D352" s="77" t="inlineStr">
        <is>
          <t>RG24-S02</t>
        </is>
      </c>
      <c r="E352" s="77" t="inlineStr">
        <is>
          <t>RG24-S01</t>
        </is>
      </c>
      <c r="F352" s="77" t="inlineStr">
        <is>
          <t>No</t>
        </is>
      </c>
      <c r="G352" s="79" t="inlineStr">
        <is>
          <t>Sustainability Clinic</t>
        </is>
      </c>
      <c r="H352" s="77" t="inlineStr">
        <is>
          <t>Sustainability Clinic</t>
        </is>
      </c>
      <c r="I352" s="77" t="inlineStr">
        <is>
          <t>ESA00001H / ESA00002H / ESA00002M (elective); ENV00054H and ENV00111M (Environment and Geography versions)</t>
        </is>
      </c>
      <c r="J352"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52" s="77" t="inlineStr">
        <is>
          <t>Environmental Sustainability at York (ESAY) with Environment and Geography and participating departments</t>
        </is>
      </c>
      <c r="L352" s="77" t="inlineStr">
        <is>
          <t>Elective for 3rd-year undergraduates (semester 1, repeated semester 2) and postgraduates (semester 2) across departments, subject to timetable and department availability; core for 3rd-year Environment and Geography undergraduates (per search summary)</t>
        </is>
      </c>
      <c r="M352" s="77" t="inlineStr">
        <is>
          <t>Central provision; Science</t>
        </is>
      </c>
      <c r="N352" s="77" t="inlineStr">
        <is>
          <t>Mixed</t>
        </is>
      </c>
      <c r="O352" s="77" t="inlineStr">
        <is>
          <t>UG year 3; PGT</t>
        </is>
      </c>
      <c r="P352" s="77" t="inlineStr">
        <is>
          <t>Subject to timetable and department availability; not shown as open to every degree</t>
        </is>
      </c>
      <c r="Q352" s="77" t="inlineStr">
        <is>
          <t>Optional/elective</t>
        </is>
      </c>
      <c r="R352" s="77" t="inlineStr">
        <is>
          <t>Curricular</t>
        </is>
      </c>
      <c r="S352" s="77" t="inlineStr">
        <is>
          <t>20 credits; reflective report (2000 words UG ESA00001H 2025-26; 3000 words PG ENV00111M)</t>
        </is>
      </c>
      <c r="T352" s="77" t="inlineStr">
        <is>
          <t>One semester</t>
        </is>
      </c>
      <c r="U352" s="77" t="inlineStr">
        <is>
          <t>Team project with client, facilitator, training workshops</t>
        </is>
      </c>
      <c r="V352" s="77" t="inlineStr">
        <is>
          <t>Yes</t>
        </is>
      </c>
      <c r="W352" s="77" t="inlineStr">
        <is>
          <t>Students 'work on behalf of clients on live real-world sustainability problems'; learning outcomes include defining and undertaking a live project and understanding client needs (src 1,3).</t>
        </is>
      </c>
      <c r="X352" s="77" t="inlineStr">
        <is>
          <t>Yes</t>
        </is>
      </c>
      <c r="Y352" s="77" t="inlineStr">
        <is>
          <t>'All projects are tackled by multi-disciplinary student teams drawn from a range of Departments' (src 1).</t>
        </is>
      </c>
      <c r="Z352" s="77" t="inlineStr">
        <is>
          <t>Yes</t>
        </is>
      </c>
      <c r="AA352"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52" s="77" t="inlineStr">
        <is>
          <t>Mixed</t>
        </is>
      </c>
      <c r="AC352" s="77" t="inlineStr">
        <is>
          <t>Supplies live problem as client; receives team outputs</t>
        </is>
      </c>
      <c r="AD352" s="77" t="inlineStr">
        <is>
          <t>Yorkshire Wildlife Trust, The Rugby Football League, York Minster, North Yorkshire Moors Railway (undated pages)</t>
        </is>
      </c>
      <c r="AE352" s="77" t="inlineStr">
        <is>
          <t>Client project outputs plus individual reflective report</t>
        </is>
      </c>
      <c r="AF352" s="77">
        <f>IF(OR(V352="No",X352="No",Z352="No"),"Outside strict definition",IF(AND(V352="Yes",X352="Yes",Z352="Yes"),"Meets all three","Potentially relevant; evidence incomplete"))</f>
        <v/>
      </c>
      <c r="AG352" s="77" t="inlineStr">
        <is>
          <t>Current delivery confirmed</t>
        </is>
      </c>
      <c r="AH352" s="77" t="inlineStr">
        <is>
          <t>2026/27</t>
        </is>
      </c>
      <c r="AI352" s="77" t="inlineStr">
        <is>
          <t>Yes</t>
        </is>
      </c>
      <c r="AJ352" s="77">
        <f>IF(AND(AI352="Yes",AF352="Meets all three",AG352="Current delivery confirmed"),"Yes","No")</f>
        <v/>
      </c>
      <c r="AK352" s="77" t="inlineStr">
        <is>
          <t>'Over 450 students and 65 partner organisations have taken part to date' (cumulative; university news page, search summary; year of statement unclear; a different page reports 69 organisations)</t>
        </is>
      </c>
      <c r="AL352" s="77" t="inlineStr">
        <is>
          <t>RG24-S02-R1; RG24-S02-R2; RG24-S02-R3; RG24-S02-R4</t>
        </is>
      </c>
      <c r="AM352" s="77" t="inlineStr">
        <is>
          <t>Eligibility is 'subject to department availability', so University-wide access not established (kept Cross-faculty, as legacy). Core status within Environment and Geography is from a search summary of the 2023-24/24-25 catalogue.</t>
        </is>
      </c>
      <c r="AN352" s="77" t="inlineStr">
        <is>
          <t>Sustainability Clinic</t>
        </is>
      </c>
      <c r="AO352" s="77" t="inlineStr">
        <is>
          <t>UK</t>
        </is>
      </c>
      <c r="AP352" s="77" t="inlineStr">
        <is>
          <t>UK – Russell Group</t>
        </is>
      </c>
      <c r="AQ352" s="77" t="inlineStr">
        <is>
          <t>~1 term/semester</t>
        </is>
      </c>
      <c r="AR352" s="77" t="inlineStr">
        <is>
          <t>All/standard</t>
        </is>
      </c>
      <c r="AS352" s="77" t="inlineStr"/>
    </row>
    <row r="353">
      <c r="A353" s="77" t="inlineStr">
        <is>
          <t>RG24</t>
        </is>
      </c>
      <c r="B353" s="77" t="inlineStr">
        <is>
          <t>York</t>
        </is>
      </c>
      <c r="C353" s="77" t="inlineStr">
        <is>
          <t>Cross-faculty</t>
        </is>
      </c>
      <c r="D353" s="77" t="inlineStr">
        <is>
          <t>RG24-S03</t>
        </is>
      </c>
      <c r="E353" s="77" t="inlineStr">
        <is>
          <t>RG24-S01</t>
        </is>
      </c>
      <c r="F353" s="77" t="inlineStr">
        <is>
          <t>No</t>
        </is>
      </c>
      <c r="G353" s="79" t="inlineStr">
        <is>
          <t>Climate Crisis Action Lab (Climate Crisis: Advocacy and Action YIM)</t>
        </is>
      </c>
      <c r="H353" s="77" t="inlineStr">
        <is>
          <t>Climate Crisis Action Lab</t>
        </is>
      </c>
      <c r="I353" s="77" t="inlineStr">
        <is>
          <t>ESA00003H</t>
        </is>
      </c>
      <c r="J353"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53" s="77" t="inlineStr">
        <is>
          <t>Chemistry, Environment and Geography, York Law School (via ESAY)</t>
        </is>
      </c>
      <c r="L353" s="77" t="inlineStr">
        <is>
          <t>Elective, 3rd-year undergraduates (YIM)</t>
        </is>
      </c>
      <c r="M353" s="77" t="inlineStr">
        <is>
          <t>Central provision; Science; Other (law, health, design, architecture…)</t>
        </is>
      </c>
      <c r="N353" s="77" t="inlineStr">
        <is>
          <t>Undergraduate</t>
        </is>
      </c>
      <c r="O353" s="77" t="inlineStr">
        <is>
          <t>Year 3</t>
        </is>
      </c>
      <c r="P353" s="77" t="inlineStr"/>
      <c r="Q353" s="77" t="inlineStr">
        <is>
          <t>Optional/elective</t>
        </is>
      </c>
      <c r="R353" s="77" t="inlineStr">
        <is>
          <t>Curricular</t>
        </is>
      </c>
      <c r="S353" s="77" t="inlineStr">
        <is>
          <t>20 credits (YIM); group output and individual participation/contribution assessed</t>
        </is>
      </c>
      <c r="T353" s="77" t="inlineStr">
        <is>
          <t>One semester</t>
        </is>
      </c>
      <c r="U353" s="77" t="inlineStr">
        <is>
          <t>Multidisciplinary team project for a campaign-group client</t>
        </is>
      </c>
      <c r="V353" s="77" t="inlineStr">
        <is>
          <t>Yes</t>
        </is>
      </c>
      <c r="W353" s="77" t="inlineStr">
        <is>
          <t>Outside organisation gives a brief; teams produce evidence analysis and a group output plus a client-facing report or campaign materials (src 1).</t>
        </is>
      </c>
      <c r="X353" s="77" t="inlineStr">
        <is>
          <t>Yes</t>
        </is>
      </c>
      <c r="Y353" s="77" t="inlineStr">
        <is>
          <t>Students are split into multidisciplinary teams; group report assessed with individual contributions specified (src 1).</t>
        </is>
      </c>
      <c r="Z353" s="77" t="inlineStr">
        <is>
          <t>Yes</t>
        </is>
      </c>
      <c r="AA353" s="77" t="inlineStr">
        <is>
          <t>'Each year an outside organisation gives the team a short brief' - likely a campaign group such as the Environmental Law Foundation; client receives non-assessed output (src 1).</t>
        </is>
      </c>
      <c r="AB353" s="77" t="inlineStr">
        <is>
          <t>Charity/community</t>
        </is>
      </c>
      <c r="AC353" s="77" t="inlineStr">
        <is>
          <t>Sets brief; receives client-facing report/campaign materials</t>
        </is>
      </c>
      <c r="AD353" s="77" t="inlineStr">
        <is>
          <t>Environmental Law Foundation and Rights: Community: Action given as likely examples (not confirmed for a specific year)</t>
        </is>
      </c>
      <c r="AE353" s="77" t="inlineStr">
        <is>
          <t>Group report; client-facing report or campaign materials</t>
        </is>
      </c>
      <c r="AF353" s="77">
        <f>IF(OR(V353="No",X353="No",Z353="No"),"Outside strict definition",IF(AND(V353="Yes",X353="Yes",Z353="Yes"),"Meets all three","Potentially relevant; evidence incomplete"))</f>
        <v/>
      </c>
      <c r="AG353" s="77" t="inlineStr">
        <is>
          <t>Paused/discontinued</t>
        </is>
      </c>
      <c r="AH353" s="77" t="inlineStr">
        <is>
          <t>2025/26</t>
        </is>
      </c>
      <c r="AI353" s="77" t="inlineStr">
        <is>
          <t>Yes</t>
        </is>
      </c>
      <c r="AJ353" s="77">
        <f>IF(AND(AI353="Yes",AF353="Meets all three",AG353="Current delivery confirmed"),"Yes","No")</f>
        <v/>
      </c>
      <c r="AK353" s="77" t="inlineStr"/>
      <c r="AL353" s="77" t="inlineStr">
        <is>
          <t>RG24-S03-R1; RG24-S03-R2</t>
        </is>
      </c>
      <c r="AM353" s="77" t="inlineStr">
        <is>
          <t>York YIM teaching page states the module will not run in 2026/27, while a features page says it is available from 2026/27 - treated as not running in 2026/27 (verify with esay@york.ac.uk). Partner naming is 'likely', not confirmed for a cohort.</t>
        </is>
      </c>
      <c r="AN353" s="77" t="inlineStr"/>
      <c r="AO353" s="77" t="inlineStr">
        <is>
          <t>UK</t>
        </is>
      </c>
      <c r="AP353" s="77" t="inlineStr">
        <is>
          <t>UK – Russell Group</t>
        </is>
      </c>
      <c r="AQ353" s="77" t="inlineStr">
        <is>
          <t>~1 term/semester</t>
        </is>
      </c>
      <c r="AR353" s="77" t="inlineStr">
        <is>
          <t>All/standard</t>
        </is>
      </c>
      <c r="AS353" s="77" t="inlineStr"/>
    </row>
    <row r="354">
      <c r="A354" s="77" t="inlineStr">
        <is>
          <t>RG24</t>
        </is>
      </c>
      <c r="B354" s="77" t="inlineStr">
        <is>
          <t>York</t>
        </is>
      </c>
      <c r="C354" s="77" t="inlineStr">
        <is>
          <t>Cross-faculty</t>
        </is>
      </c>
      <c r="D354" s="77" t="inlineStr">
        <is>
          <t>RG24-S04</t>
        </is>
      </c>
      <c r="E354" s="77" t="inlineStr"/>
      <c r="F354" s="77" t="inlineStr">
        <is>
          <t>Yes</t>
        </is>
      </c>
      <c r="G354" s="79" t="inlineStr">
        <is>
          <t>Community Engaged Learning (CEL)</t>
        </is>
      </c>
      <c r="H354" s="77" t="inlineStr">
        <is>
          <t>Community Engaged Learning</t>
        </is>
      </c>
      <c r="I354" s="77" t="inlineStr"/>
      <c r="J354"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54" s="77" t="inlineStr">
        <is>
          <t>Community Engaged Learning team, University of York</t>
        </is>
      </c>
      <c r="L354" s="77" t="inlineStr">
        <is>
          <t>Module-specific; e.g. Public History projects limited to History students</t>
        </is>
      </c>
      <c r="M354" s="77" t="inlineStr">
        <is>
          <t>Central provision; Arts/humanities/social sciences; Science</t>
        </is>
      </c>
      <c r="N354" s="77" t="inlineStr">
        <is>
          <t>Undergraduate</t>
        </is>
      </c>
      <c r="O354" s="77" t="inlineStr"/>
      <c r="P354" s="77" t="inlineStr"/>
      <c r="Q354" s="77" t="inlineStr">
        <is>
          <t>Unclear</t>
        </is>
      </c>
      <c r="R354" s="77" t="inlineStr">
        <is>
          <t>Curricular</t>
        </is>
      </c>
      <c r="S354" s="77" t="inlineStr"/>
      <c r="T354" s="77" t="inlineStr"/>
      <c r="U354" s="77" t="inlineStr"/>
      <c r="V354" s="77" t="inlineStr">
        <is>
          <t>Yes</t>
        </is>
      </c>
      <c r="W354" s="77" t="inlineStr">
        <is>
          <t>'Collaborate with external partners on real-world challenges' (src 1).</t>
        </is>
      </c>
      <c r="X354" s="77" t="inlineStr">
        <is>
          <t>Yes</t>
        </is>
      </c>
      <c r="Y354" s="77" t="inlineStr">
        <is>
          <t>Student-delivered team projects (src 1).</t>
        </is>
      </c>
      <c r="Z354" s="77" t="inlineStr">
        <is>
          <t>Unclear</t>
        </is>
      </c>
      <c r="AA354" s="77" t="inlineStr">
        <is>
          <t>Community partners (158 in 2024/25) - mostly charities/community organisations; mixed with some internal bodies in examples (src 1).</t>
        </is>
      </c>
      <c r="AB354" s="77" t="inlineStr">
        <is>
          <t>Mixed</t>
        </is>
      </c>
      <c r="AC354" s="77" t="inlineStr"/>
      <c r="AD354" s="77" t="inlineStr"/>
      <c r="AE354" s="77" t="inlineStr"/>
      <c r="AF354" s="77">
        <f>IF(OR(V354="No",X354="No",Z354="No"),"Outside strict definition",IF(AND(V354="Yes",X354="Yes",Z354="Yes"),"Meets all three","Potentially relevant; evidence incomplete"))</f>
        <v/>
      </c>
      <c r="AG354" s="77" t="inlineStr">
        <is>
          <t>Current delivery confirmed</t>
        </is>
      </c>
      <c r="AH354" s="77" t="inlineStr">
        <is>
          <t>2024/25</t>
        </is>
      </c>
      <c r="AI354" s="77" t="inlineStr">
        <is>
          <t>No</t>
        </is>
      </c>
      <c r="AJ354" s="77">
        <f>IF(AND(AI354="Yes",AF354="Meets all three",AG354="Current delivery confirmed"),"Yes","No")</f>
        <v/>
      </c>
      <c r="AK354" s="77" t="inlineStr">
        <is>
          <t>2024/25: 158 community partners, 1,424 students, 61 student-delivered projects (CEL staff page, as reported in search summary); another university page says CEL is in 12 taught modules across three faculties</t>
        </is>
      </c>
      <c r="AL354" s="77" t="inlineStr">
        <is>
          <t>RG24-S04-R1</t>
        </is>
      </c>
      <c r="AM354" s="77" t="inlineStr">
        <is>
          <t>Umbrella, not counted. The 12 CEL taught modules are not all identified; further departmental instances likely.</t>
        </is>
      </c>
      <c r="AN354" s="77" t="inlineStr"/>
      <c r="AO354" s="77" t="inlineStr">
        <is>
          <t>UK</t>
        </is>
      </c>
      <c r="AP354" s="77" t="inlineStr">
        <is>
          <t>UK – Russell Group</t>
        </is>
      </c>
      <c r="AQ354" s="77" t="inlineStr">
        <is>
          <t>Unclear</t>
        </is>
      </c>
      <c r="AR354" s="77" t="inlineStr">
        <is>
          <t>Unclear</t>
        </is>
      </c>
      <c r="AS354" s="77" t="inlineStr">
        <is>
          <t>No (umbrella; children counted)</t>
        </is>
      </c>
    </row>
    <row r="355">
      <c r="A355" s="77" t="inlineStr">
        <is>
          <t>RG24</t>
        </is>
      </c>
      <c r="B355" s="77" t="inlineStr">
        <is>
          <t>York</t>
        </is>
      </c>
      <c r="C355" s="77" t="inlineStr">
        <is>
          <t>Programme/course</t>
        </is>
      </c>
      <c r="D355" s="77" t="inlineStr">
        <is>
          <t>RG24-S05</t>
        </is>
      </c>
      <c r="E355" s="77" t="inlineStr">
        <is>
          <t>RG24-S04</t>
        </is>
      </c>
      <c r="F355" s="77" t="inlineStr">
        <is>
          <t>No</t>
        </is>
      </c>
      <c r="G355" s="79" t="inlineStr">
        <is>
          <t>Public History Project</t>
        </is>
      </c>
      <c r="H355" s="77" t="inlineStr">
        <is>
          <t>Public History Project</t>
        </is>
      </c>
      <c r="I355" s="77" t="inlineStr">
        <is>
          <t>HIS00130I</t>
        </is>
      </c>
      <c r="J355"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55" s="77" t="inlineStr">
        <is>
          <t>Department of History</t>
        </is>
      </c>
      <c r="L355" s="77" t="inlineStr">
        <is>
          <t>BA History (core Year 2)</t>
        </is>
      </c>
      <c r="M355" s="77" t="inlineStr">
        <is>
          <t>Arts/humanities/social sciences</t>
        </is>
      </c>
      <c r="N355" s="77" t="inlineStr">
        <is>
          <t>Undergraduate</t>
        </is>
      </c>
      <c r="O355" s="77" t="inlineStr">
        <is>
          <t>Year 2</t>
        </is>
      </c>
      <c r="P355" s="77" t="inlineStr">
        <is>
          <t>History students only</t>
        </is>
      </c>
      <c r="Q355" s="77" t="inlineStr">
        <is>
          <t>Compulsory within specified programmes</t>
        </is>
      </c>
      <c r="R355" s="77" t="inlineStr">
        <is>
          <t>Curricular</t>
        </is>
      </c>
      <c r="S355" s="77" t="inlineStr">
        <is>
          <t>20 credits; group presentation and 1,500-word individual reflection</t>
        </is>
      </c>
      <c r="T355" s="77" t="inlineStr">
        <is>
          <t>Semester 1</t>
        </is>
      </c>
      <c r="U355" s="77" t="inlineStr">
        <is>
          <t>Team project for external partner</t>
        </is>
      </c>
      <c r="V355" s="77" t="inlineStr">
        <is>
          <t>Yes</t>
        </is>
      </c>
      <c r="W355" s="77" t="inlineStr">
        <is>
          <t>Teams work on a public history project to a partner brief; examples of outputs listed (src 1).</t>
        </is>
      </c>
      <c r="X355" s="77" t="inlineStr">
        <is>
          <t>Yes</t>
        </is>
      </c>
      <c r="Y355" s="77" t="inlineStr">
        <is>
          <t>'Students work in small teams'; summative group presentation (src 1).</t>
        </is>
      </c>
      <c r="Z355" s="77" t="inlineStr">
        <is>
          <t>Yes</t>
        </is>
      </c>
      <c r="AA355" s="77" t="inlineStr">
        <is>
          <t>Brief supplied by an external partner organisation such as a museum or community group; partner-use outputs (src 1).</t>
        </is>
      </c>
      <c r="AB355" s="77" t="inlineStr">
        <is>
          <t>Mixed</t>
        </is>
      </c>
      <c r="AC355" s="77" t="inlineStr">
        <is>
          <t>Provides project brief; recipient of output</t>
        </is>
      </c>
      <c r="AD355" s="77" t="inlineStr"/>
      <c r="AE355" s="77" t="inlineStr">
        <is>
          <t>Public history resource/event plus group presentation</t>
        </is>
      </c>
      <c r="AF355" s="77">
        <f>IF(OR(V355="No",X355="No",Z355="No"),"Outside strict definition",IF(AND(V355="Yes",X355="Yes",Z355="Yes"),"Meets all three","Potentially relevant; evidence incomplete"))</f>
        <v/>
      </c>
      <c r="AG355" s="77" t="inlineStr">
        <is>
          <t>Current delivery confirmed</t>
        </is>
      </c>
      <c r="AH355" s="77" t="inlineStr">
        <is>
          <t>2025/26</t>
        </is>
      </c>
      <c r="AI355" s="77" t="inlineStr">
        <is>
          <t>Yes</t>
        </is>
      </c>
      <c r="AJ355" s="77">
        <f>IF(AND(AI355="Yes",AF355="Meets all three",AG355="Current delivery confirmed"),"Yes","No")</f>
        <v/>
      </c>
      <c r="AK355" s="77" t="inlineStr"/>
      <c r="AL355" s="77" t="inlineStr">
        <is>
          <t>RG24-S05-R1; RG24-S05-R2</t>
        </is>
      </c>
      <c r="AM355" s="77" t="inlineStr">
        <is>
          <t>No 2026/27 entry seen; partners/mix of internal vs external (e.g. University archives) not enumerated.</t>
        </is>
      </c>
      <c r="AN355" s="77" t="inlineStr"/>
      <c r="AO355" s="77" t="inlineStr">
        <is>
          <t>UK</t>
        </is>
      </c>
      <c r="AP355" s="77" t="inlineStr">
        <is>
          <t>UK – Russell Group</t>
        </is>
      </c>
      <c r="AQ355" s="77" t="inlineStr">
        <is>
          <t>~1 term/semester</t>
        </is>
      </c>
      <c r="AR355" s="77" t="inlineStr">
        <is>
          <t>All/standard</t>
        </is>
      </c>
      <c r="AS355" s="77" t="inlineStr"/>
    </row>
    <row r="356">
      <c r="A356" s="77" t="inlineStr">
        <is>
          <t>RG24</t>
        </is>
      </c>
      <c r="B356" s="77" t="inlineStr">
        <is>
          <t>York</t>
        </is>
      </c>
      <c r="C356" s="77" t="inlineStr">
        <is>
          <t>Programme/course</t>
        </is>
      </c>
      <c r="D356" s="77" t="inlineStr">
        <is>
          <t>RG24-S06</t>
        </is>
      </c>
      <c r="E356" s="77" t="inlineStr">
        <is>
          <t>RG24-S04</t>
        </is>
      </c>
      <c r="F356" s="77" t="inlineStr">
        <is>
          <t>No</t>
        </is>
      </c>
      <c r="G356" s="79" t="inlineStr">
        <is>
          <t>Community Action Project</t>
        </is>
      </c>
      <c r="H356" s="77" t="inlineStr">
        <is>
          <t>Community Action Project</t>
        </is>
      </c>
      <c r="I356" s="77" t="inlineStr">
        <is>
          <t>PSY00075H</t>
        </is>
      </c>
      <c r="J356"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56" s="77" t="inlineStr">
        <is>
          <t>Department of Psychology</t>
        </is>
      </c>
      <c r="L356" s="77" t="inlineStr">
        <is>
          <t>Psychology students (level H module); wider eligibility not established</t>
        </is>
      </c>
      <c r="M356" s="77" t="inlineStr">
        <is>
          <t>Science</t>
        </is>
      </c>
      <c r="N356" s="77" t="inlineStr">
        <is>
          <t>Undergraduate</t>
        </is>
      </c>
      <c r="O356" s="77" t="inlineStr"/>
      <c r="P356" s="77" t="inlineStr"/>
      <c r="Q356" s="77" t="inlineStr">
        <is>
          <t>Unclear</t>
        </is>
      </c>
      <c r="R356" s="77" t="inlineStr">
        <is>
          <t>Curricular</t>
        </is>
      </c>
      <c r="S356" s="77" t="inlineStr">
        <is>
          <t>20 credits</t>
        </is>
      </c>
      <c r="T356" s="77" t="inlineStr">
        <is>
          <t>Not stated in extract</t>
        </is>
      </c>
      <c r="U356" s="77" t="inlineStr">
        <is>
          <t>Team project for external partner</t>
        </is>
      </c>
      <c r="V356" s="77" t="inlineStr">
        <is>
          <t>Yes</t>
        </is>
      </c>
      <c r="W356" s="77" t="inlineStr">
        <is>
          <t>Teams deliver projects for non-academic audiences to partner brief (src 1).</t>
        </is>
      </c>
      <c r="X356" s="77" t="inlineStr">
        <is>
          <t>Yes</t>
        </is>
      </c>
      <c r="Y356" s="77" t="inlineStr">
        <is>
          <t>'Students will work in small teams to a brief provided by an external partner organisation' (src 1).</t>
        </is>
      </c>
      <c r="Z356" s="77" t="inlineStr">
        <is>
          <t>Yes</t>
        </is>
      </c>
      <c r="AA356" s="77" t="inlineStr">
        <is>
          <t>External partner organisation provides brief; CEL page says teams work with local charities to capture and analyse evidence of their impact (src 1,2).</t>
        </is>
      </c>
      <c r="AB356" s="77" t="inlineStr">
        <is>
          <t>Charity/community</t>
        </is>
      </c>
      <c r="AC356" s="77" t="inlineStr">
        <is>
          <t>Provides brief; receives outputs</t>
        </is>
      </c>
      <c r="AD356" s="77" t="inlineStr"/>
      <c r="AE356" s="77" t="inlineStr">
        <is>
          <t>Non-academic output (e.g. impact evidence analysis, resources)</t>
        </is>
      </c>
      <c r="AF356" s="77">
        <f>IF(OR(V356="No",X356="No",Z356="No"),"Outside strict definition",IF(AND(V356="Yes",X356="Yes",Z356="Yes"),"Meets all three","Potentially relevant; evidence incomplete"))</f>
        <v/>
      </c>
      <c r="AG356" s="77" t="inlineStr">
        <is>
          <t>Current delivery confirmed</t>
        </is>
      </c>
      <c r="AH356" s="77" t="inlineStr">
        <is>
          <t>2025/26</t>
        </is>
      </c>
      <c r="AI356" s="77" t="inlineStr">
        <is>
          <t>Yes</t>
        </is>
      </c>
      <c r="AJ356" s="77">
        <f>IF(AND(AI356="Yes",AF356="Meets all three",AG356="Current delivery confirmed"),"Yes","No")</f>
        <v/>
      </c>
      <c r="AK356" s="77" t="inlineStr"/>
      <c r="AL356" s="77" t="inlineStr">
        <is>
          <t>RG24-S06-R1; RG24-S06-R2</t>
        </is>
      </c>
      <c r="AM356" s="77" t="inlineStr">
        <is>
          <t>Whether compulsory/elective and open outside Psychology not shown; no named partners; 2026/27 specification reportedly available but not read.</t>
        </is>
      </c>
      <c r="AN356" s="77" t="inlineStr"/>
      <c r="AO356" s="77" t="inlineStr">
        <is>
          <t>UK</t>
        </is>
      </c>
      <c r="AP356" s="77" t="inlineStr">
        <is>
          <t>UK – Russell Group</t>
        </is>
      </c>
      <c r="AQ356" s="77" t="inlineStr">
        <is>
          <t>Unclear</t>
        </is>
      </c>
      <c r="AR356" s="77" t="inlineStr">
        <is>
          <t>All/standard</t>
        </is>
      </c>
      <c r="AS356" s="77" t="inlineStr"/>
    </row>
    <row r="357">
      <c r="A357" s="77" t="inlineStr">
        <is>
          <t>RG24</t>
        </is>
      </c>
      <c r="B357" s="77" t="inlineStr">
        <is>
          <t>York</t>
        </is>
      </c>
      <c r="C357" s="77" t="inlineStr">
        <is>
          <t>Programme/course</t>
        </is>
      </c>
      <c r="D357" s="77" t="inlineStr">
        <is>
          <t>RG24-S07</t>
        </is>
      </c>
      <c r="E357" s="77" t="inlineStr">
        <is>
          <t>RG24-S04</t>
        </is>
      </c>
      <c r="F357" s="77" t="inlineStr">
        <is>
          <t>No</t>
        </is>
      </c>
      <c r="G357" s="79" t="inlineStr">
        <is>
          <t>Beyond the Book: Community Projects - Semester 1</t>
        </is>
      </c>
      <c r="H357" s="77" t="inlineStr">
        <is>
          <t>Beyond the Book: Community Projects</t>
        </is>
      </c>
      <c r="I357" s="77" t="inlineStr">
        <is>
          <t>ENG00175I</t>
        </is>
      </c>
      <c r="J357" s="77" t="inlineStr">
        <is>
          <t>CEL module in English and Related Literature: each semester the CEL team sets up partner projects; students rank preferences and are allocated to project teams that deliver outputs (e.g. podcast, recipe book, event design, oral histories).</t>
        </is>
      </c>
      <c r="K357" s="77" t="inlineStr">
        <is>
          <t>Department of English and Related Literature with CEL team</t>
        </is>
      </c>
      <c r="L357" s="77" t="inlineStr">
        <is>
          <t>Not established beyond English</t>
        </is>
      </c>
      <c r="M357" s="77" t="inlineStr">
        <is>
          <t>Arts/humanities/social sciences</t>
        </is>
      </c>
      <c r="N357" s="77" t="inlineStr">
        <is>
          <t>Undergraduate</t>
        </is>
      </c>
      <c r="O357" s="77" t="inlineStr"/>
      <c r="P357" s="77" t="inlineStr"/>
      <c r="Q357" s="77" t="inlineStr">
        <is>
          <t>Unclear</t>
        </is>
      </c>
      <c r="R357" s="77" t="inlineStr">
        <is>
          <t>Curricular</t>
        </is>
      </c>
      <c r="S357" s="77" t="inlineStr">
        <is>
          <t>20 credits</t>
        </is>
      </c>
      <c r="T357" s="77" t="inlineStr">
        <is>
          <t>Semester 1</t>
        </is>
      </c>
      <c r="U357" s="77" t="inlineStr">
        <is>
          <t>Allocated team projects with partners</t>
        </is>
      </c>
      <c r="V357" s="77" t="inlineStr">
        <is>
          <t>Yes</t>
        </is>
      </c>
      <c r="W357" s="77" t="inlineStr">
        <is>
          <t>Listed pilot projects each have a defined output (podcast, book of recipes, event design, oral histories) (src 1).</t>
        </is>
      </c>
      <c r="X357" s="77" t="inlineStr">
        <is>
          <t>Yes</t>
        </is>
      </c>
      <c r="Y357" s="77" t="inlineStr">
        <is>
          <t>Students are allocated to 'project teams' based on ranked choices (src 1, search summary).</t>
        </is>
      </c>
      <c r="Z357" s="77" t="inlineStr">
        <is>
          <t>Unclear</t>
        </is>
      </c>
      <c r="AA357" s="77" t="inlineStr">
        <is>
          <t>Pilot partners include external bodies (York City of Sanctuary; York Mystery Plays) but also University-affiliated bodies (Borthwick Institute of Archives; York Festival of Ideas) - internal share undetermined.</t>
        </is>
      </c>
      <c r="AB357" s="77" t="inlineStr">
        <is>
          <t>Mixed</t>
        </is>
      </c>
      <c r="AC357" s="77" t="inlineStr">
        <is>
          <t>Hosts project / receives output</t>
        </is>
      </c>
      <c r="AD357" s="77" t="inlineStr">
        <is>
          <t>Borthwick Institute of Archives, York City of Sanctuary, York Festival of Ideas, York Mystery Plays (pilot projects, catalogue)</t>
        </is>
      </c>
      <c r="AE357" s="77" t="inlineStr">
        <is>
          <t>Project output for partner</t>
        </is>
      </c>
      <c r="AF357" s="77">
        <f>IF(OR(V357="No",X357="No",Z357="No"),"Outside strict definition",IF(AND(V357="Yes",X357="Yes",Z357="Yes"),"Meets all three","Potentially relevant; evidence incomplete"))</f>
        <v/>
      </c>
      <c r="AG357" s="77" t="inlineStr">
        <is>
          <t>Current delivery confirmed</t>
        </is>
      </c>
      <c r="AH357" s="77" t="inlineStr">
        <is>
          <t>2026/27</t>
        </is>
      </c>
      <c r="AI357" s="77" t="inlineStr">
        <is>
          <t>Yes</t>
        </is>
      </c>
      <c r="AJ357" s="77">
        <f>IF(AND(AI357="Yes",AF357="Meets all three",AG357="Current delivery confirmed"),"Yes","No")</f>
        <v/>
      </c>
      <c r="AK357" s="77" t="inlineStr"/>
      <c r="AL357" s="77" t="inlineStr">
        <is>
          <t>RG24-S07-R1</t>
        </is>
      </c>
      <c r="AM357" s="77" t="inlineStr">
        <is>
          <t>Mixed internal/external partners; partners for 2026/27 not published; C left Unclear per mixed-client ruling.</t>
        </is>
      </c>
      <c r="AN357" s="77" t="inlineStr"/>
      <c r="AO357" s="77" t="inlineStr">
        <is>
          <t>UK</t>
        </is>
      </c>
      <c r="AP357" s="77" t="inlineStr">
        <is>
          <t>UK – Russell Group</t>
        </is>
      </c>
      <c r="AQ357" s="77" t="inlineStr">
        <is>
          <t>~1 term/semester</t>
        </is>
      </c>
      <c r="AR357" s="77" t="inlineStr">
        <is>
          <t>Unclear</t>
        </is>
      </c>
      <c r="AS357" s="77" t="inlineStr"/>
    </row>
    <row r="358">
      <c r="A358" s="77" t="inlineStr">
        <is>
          <t>RG24</t>
        </is>
      </c>
      <c r="B358" s="77" t="inlineStr">
        <is>
          <t>York</t>
        </is>
      </c>
      <c r="C358" s="77" t="inlineStr">
        <is>
          <t>Programme/course</t>
        </is>
      </c>
      <c r="D358" s="77" t="inlineStr">
        <is>
          <t>RG24-S08</t>
        </is>
      </c>
      <c r="E358" s="77" t="inlineStr"/>
      <c r="F358" s="77" t="inlineStr">
        <is>
          <t>No</t>
        </is>
      </c>
      <c r="G358" s="79" t="inlineStr">
        <is>
          <t>Student consultancy projects / Business Consultancy Project</t>
        </is>
      </c>
      <c r="H358" s="77" t="inlineStr">
        <is>
          <t>Undergraduate Business Consultancy Project</t>
        </is>
      </c>
      <c r="I358" s="77" t="inlineStr">
        <is>
          <t>MAN00019H</t>
        </is>
      </c>
      <c r="J358"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58" s="77" t="inlineStr">
        <is>
          <t>School for Business and Society / York Management School</t>
        </is>
      </c>
      <c r="L358" s="77" t="inlineStr">
        <is>
          <t>Option in BA Business and Society (and with a year in industry) and BSc Accounting, Business Finance and Management; other programmes not confirmed</t>
        </is>
      </c>
      <c r="M358" s="77" t="inlineStr">
        <is>
          <t>Business/management</t>
        </is>
      </c>
      <c r="N358" s="77" t="inlineStr">
        <is>
          <t>Undergraduate</t>
        </is>
      </c>
      <c r="O358" s="77" t="inlineStr">
        <is>
          <t>Year 3 (Year 4 with industry year)</t>
        </is>
      </c>
      <c r="P358" s="77" t="inlineStr"/>
      <c r="Q358" s="77" t="inlineStr">
        <is>
          <t>Optional/elective</t>
        </is>
      </c>
      <c r="R358" s="77" t="inlineStr">
        <is>
          <t>Curricular</t>
        </is>
      </c>
      <c r="S358" s="77" t="inlineStr">
        <is>
          <t>20 credits; 60% coursework, 40% groupwork</t>
        </is>
      </c>
      <c r="T358" s="77" t="inlineStr">
        <is>
          <t>Six-week part-time assignment within Semester 2 (project Jan-Mar)</t>
        </is>
      </c>
      <c r="U358" s="77" t="inlineStr">
        <is>
          <t>Group consultancy for client</t>
        </is>
      </c>
      <c r="V358" s="77" t="inlineStr">
        <is>
          <t>Yes</t>
        </is>
      </c>
      <c r="W358" s="77" t="inlineStr">
        <is>
          <t>Problem definition to final report; client-specified project (src 1,2).</t>
        </is>
      </c>
      <c r="X358" s="77" t="inlineStr">
        <is>
          <t>Yes</t>
        </is>
      </c>
      <c r="Y358" s="77" t="inlineStr">
        <is>
          <t>'Undergraduate students deliver a six-week part-time consultancy assignment in groups for individual clients' (src 2); 40% groupwork assessment (src 1).</t>
        </is>
      </c>
      <c r="Z358" s="77" t="inlineStr">
        <is>
          <t>Yes</t>
        </is>
      </c>
      <c r="AA358" s="77" t="inlineStr">
        <is>
          <t>Clients (businesses, charities, public sector) specify the project and receive the consultancy output (src 2).</t>
        </is>
      </c>
      <c r="AB358" s="77" t="inlineStr">
        <is>
          <t>Mixed</t>
        </is>
      </c>
      <c r="AC358" s="77" t="inlineStr">
        <is>
          <t>Client: specifies project and receives deliverable</t>
        </is>
      </c>
      <c r="AD358" s="77" t="inlineStr"/>
      <c r="AE358" s="77" t="inlineStr">
        <is>
          <t>Consultancy report/recommendations to client</t>
        </is>
      </c>
      <c r="AF358" s="77">
        <f>IF(OR(V358="No",X358="No",Z358="No"),"Outside strict definition",IF(AND(V358="Yes",X358="Yes",Z358="Yes"),"Meets all three","Potentially relevant; evidence incomplete"))</f>
        <v/>
      </c>
      <c r="AG358" s="77" t="inlineStr">
        <is>
          <t>Current delivery confirmed</t>
        </is>
      </c>
      <c r="AH358" s="77" t="inlineStr">
        <is>
          <t>2026/27</t>
        </is>
      </c>
      <c r="AI358" s="77" t="inlineStr">
        <is>
          <t>Yes</t>
        </is>
      </c>
      <c r="AJ358" s="77">
        <f>IF(AND(AI358="Yes",AF358="Meets all three",AG358="Current delivery confirmed"),"Yes","No")</f>
        <v/>
      </c>
      <c r="AK358" s="77" t="inlineStr"/>
      <c r="AL358" s="77" t="inlineStr">
        <is>
          <t>RG24-S08-R1; RG24-S08-R2; RG24-S08-R3</t>
        </is>
      </c>
      <c r="AM358"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58" s="77" t="inlineStr"/>
      <c r="AO358" s="77" t="inlineStr">
        <is>
          <t>UK</t>
        </is>
      </c>
      <c r="AP358" s="77" t="inlineStr">
        <is>
          <t>UK – Russell Group</t>
        </is>
      </c>
      <c r="AQ358" s="77" t="inlineStr">
        <is>
          <t>~1 term/semester</t>
        </is>
      </c>
      <c r="AR358" s="77" t="inlineStr">
        <is>
          <t>All/standard</t>
        </is>
      </c>
      <c r="AS358" s="77" t="inlineStr"/>
    </row>
    <row r="359">
      <c r="A359" s="77" t="inlineStr">
        <is>
          <t>RG24</t>
        </is>
      </c>
      <c r="B359" s="77" t="inlineStr">
        <is>
          <t>York</t>
        </is>
      </c>
      <c r="C359" s="77" t="inlineStr">
        <is>
          <t>Programme/course</t>
        </is>
      </c>
      <c r="D359" s="77" t="inlineStr">
        <is>
          <t>RG24-S09</t>
        </is>
      </c>
      <c r="E359" s="77" t="inlineStr"/>
      <c r="F359" s="77" t="inlineStr">
        <is>
          <t>No</t>
        </is>
      </c>
      <c r="G359" s="79" t="inlineStr">
        <is>
          <t>MSc Management applied (work-based) dissertation with live business projects</t>
        </is>
      </c>
      <c r="H359" s="77" t="inlineStr">
        <is>
          <t>Work-based dissertation</t>
        </is>
      </c>
      <c r="I359" s="77" t="inlineStr"/>
      <c r="J359"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59" s="77" t="inlineStr">
        <is>
          <t>York Management School</t>
        </is>
      </c>
      <c r="L359" s="77" t="inlineStr">
        <is>
          <t>MSc Management (similar applied routes appear on other York MSc pages but are unconfirmed)</t>
        </is>
      </c>
      <c r="M359" s="77" t="inlineStr">
        <is>
          <t>Business/management</t>
        </is>
      </c>
      <c r="N359" s="77" t="inlineStr">
        <is>
          <t>Postgraduate taught</t>
        </is>
      </c>
      <c r="O359" s="77" t="inlineStr"/>
      <c r="P359" s="77" t="inlineStr"/>
      <c r="Q359" s="77" t="inlineStr">
        <is>
          <t>Optional/elective</t>
        </is>
      </c>
      <c r="R359" s="77" t="inlineStr">
        <is>
          <t>Curricular</t>
        </is>
      </c>
      <c r="S359" s="77" t="inlineStr">
        <is>
          <t>Dissertation route (credit not stated in extract)</t>
        </is>
      </c>
      <c r="T359" s="77" t="inlineStr">
        <is>
          <t>Dissertation period (not stated)</t>
        </is>
      </c>
      <c r="U359" s="77" t="inlineStr">
        <is>
          <t>Small-group live project</t>
        </is>
      </c>
      <c r="V359" s="77" t="inlineStr">
        <is>
          <t>Yes</t>
        </is>
      </c>
      <c r="W359" s="77" t="inlineStr">
        <is>
          <t>'Actual, live challenges set by businesses' (src 1).</t>
        </is>
      </c>
      <c r="X359" s="77" t="inlineStr">
        <is>
          <t>Yes</t>
        </is>
      </c>
      <c r="Y359" s="77" t="inlineStr">
        <is>
          <t>'Working in small groups with a single company' (src 1, search summary); note: reassessment of whether the output is a joint deliverable or individual dissertation not verified.</t>
        </is>
      </c>
      <c r="Z359" s="77" t="inlineStr">
        <is>
          <t>Yes</t>
        </is>
      </c>
      <c r="AA359" s="77" t="inlineStr">
        <is>
          <t>Challenges set by businesses; check-ins with the business through project coordinator; past partners Optio Group, Think Consulting Solutions, Gong Cha Global (src 1).</t>
        </is>
      </c>
      <c r="AB359" s="77" t="inlineStr">
        <is>
          <t>Business/commercial</t>
        </is>
      </c>
      <c r="AC359" s="77" t="inlineStr">
        <is>
          <t>Sets challenge; ongoing check-ins</t>
        </is>
      </c>
      <c r="AD359" s="77" t="inlineStr">
        <is>
          <t>Optio Group, Think Consulting Solutions, Gong Cha Global (undated course page)</t>
        </is>
      </c>
      <c r="AE359" s="77" t="inlineStr">
        <is>
          <t>Applied dissertation/report for business</t>
        </is>
      </c>
      <c r="AF359" s="77">
        <f>IF(OR(V359="No",X359="No",Z359="No"),"Outside strict definition",IF(AND(V359="Yes",X359="Yes",Z359="Yes"),"Meets all three","Potentially relevant; evidence incomplete"))</f>
        <v/>
      </c>
      <c r="AG359" s="77" t="inlineStr">
        <is>
          <t>Current status unclear</t>
        </is>
      </c>
      <c r="AH359" s="77" t="inlineStr">
        <is>
          <t>undated</t>
        </is>
      </c>
      <c r="AI359" s="77" t="inlineStr">
        <is>
          <t>Yes</t>
        </is>
      </c>
      <c r="AJ359" s="77">
        <f>IF(AND(AI359="Yes",AF359="Meets all three",AG359="Current delivery confirmed"),"Yes","No")</f>
        <v/>
      </c>
      <c r="AK359" s="77" t="inlineStr"/>
      <c r="AL359" s="77" t="inlineStr">
        <is>
          <t>RG24-S09-R1</t>
        </is>
      </c>
      <c r="AM359" s="77" t="inlineStr">
        <is>
          <t>Course page undated and no dated corroboration; whether the final assessed output is individual (dissertation) or group not confirmed - B should be re-verified.</t>
        </is>
      </c>
      <c r="AN359" s="77" t="inlineStr"/>
      <c r="AO359" s="77" t="inlineStr">
        <is>
          <t>UK</t>
        </is>
      </c>
      <c r="AP359" s="77" t="inlineStr">
        <is>
          <t>UK – Russell Group</t>
        </is>
      </c>
      <c r="AQ359" s="77" t="inlineStr">
        <is>
          <t>Unclear</t>
        </is>
      </c>
      <c r="AR359" s="77" t="inlineStr">
        <is>
          <t>All/standard</t>
        </is>
      </c>
      <c r="AS359" s="77" t="inlineStr"/>
    </row>
    <row r="360">
      <c r="A360" s="77" t="inlineStr">
        <is>
          <t>RG24</t>
        </is>
      </c>
      <c r="B360" s="77" t="inlineStr">
        <is>
          <t>York</t>
        </is>
      </c>
      <c r="C360" s="77" t="inlineStr">
        <is>
          <t>Programme/course</t>
        </is>
      </c>
      <c r="D360" s="77" t="inlineStr">
        <is>
          <t>RG24-S10</t>
        </is>
      </c>
      <c r="E360" s="77" t="inlineStr"/>
      <c r="F360" s="77" t="inlineStr">
        <is>
          <t>No</t>
        </is>
      </c>
      <c r="G360" s="79" t="inlineStr">
        <is>
          <t>Group Sustainable Business Project</t>
        </is>
      </c>
      <c r="H360" s="77" t="inlineStr">
        <is>
          <t>Group Sustainable Business Project</t>
        </is>
      </c>
      <c r="I360" s="77" t="inlineStr">
        <is>
          <t>ENV00120M</t>
        </is>
      </c>
      <c r="J360"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60" s="77" t="inlineStr">
        <is>
          <t>Department of Environment and Geography</t>
        </is>
      </c>
      <c r="L360" s="77" t="inlineStr">
        <is>
          <t>MSc Sustainable Business: Leadership, Innovation and Management (core)</t>
        </is>
      </c>
      <c r="M360" s="77" t="inlineStr">
        <is>
          <t>Business/management; Science</t>
        </is>
      </c>
      <c r="N360" s="77" t="inlineStr">
        <is>
          <t>Postgraduate taught</t>
        </is>
      </c>
      <c r="O360" s="77" t="inlineStr"/>
      <c r="P360" s="77" t="inlineStr"/>
      <c r="Q360" s="77" t="inlineStr">
        <is>
          <t>Compulsory within specified programmes</t>
        </is>
      </c>
      <c r="R360" s="77" t="inlineStr">
        <is>
          <t>Curricular</t>
        </is>
      </c>
      <c r="S360" s="77" t="inlineStr">
        <is>
          <t>20 credits; individual report built on group project report proposal</t>
        </is>
      </c>
      <c r="T360" s="77" t="inlineStr">
        <is>
          <t>Semester 2</t>
        </is>
      </c>
      <c r="U360" s="77" t="inlineStr">
        <is>
          <t>Group project with business partners</t>
        </is>
      </c>
      <c r="V360" s="77" t="inlineStr">
        <is>
          <t>Yes</t>
        </is>
      </c>
      <c r="W360" s="77" t="inlineStr">
        <is>
          <t>Projects developed from broad ideas defined by business partners; group proposal and report (src 1).</t>
        </is>
      </c>
      <c r="X360" s="77" t="inlineStr">
        <is>
          <t>Yes</t>
        </is>
      </c>
      <c r="Y360" s="77" t="inlineStr">
        <is>
          <t>'Developed and implemented by student groups'; group proposal (src 1).</t>
        </is>
      </c>
      <c r="Z360" s="77" t="inlineStr">
        <is>
          <t>Yes</t>
        </is>
      </c>
      <c r="AA360" s="77" t="inlineStr">
        <is>
          <t>Business partners define ideas, meet groups weekly and review reports in seminars (src 1); course page describes collaborating with an external organisation committed to sustainable business (src 2).</t>
        </is>
      </c>
      <c r="AB360" s="77" t="inlineStr">
        <is>
          <t>Business/commercial</t>
        </is>
      </c>
      <c r="AC360" s="77" t="inlineStr">
        <is>
          <t>Defines project idea; weekly meetings; reviews reports</t>
        </is>
      </c>
      <c r="AD360" s="77" t="inlineStr"/>
      <c r="AE360" s="77" t="inlineStr">
        <is>
          <t>Group proposal and individual sustainable business report</t>
        </is>
      </c>
      <c r="AF360" s="77">
        <f>IF(OR(V360="No",X360="No",Z360="No"),"Outside strict definition",IF(AND(V360="Yes",X360="Yes",Z360="Yes"),"Meets all three","Potentially relevant; evidence incomplete"))</f>
        <v/>
      </c>
      <c r="AG360" s="77" t="inlineStr">
        <is>
          <t>Current delivery confirmed</t>
        </is>
      </c>
      <c r="AH360" s="77" t="inlineStr">
        <is>
          <t>2025/26</t>
        </is>
      </c>
      <c r="AI360" s="77" t="inlineStr">
        <is>
          <t>Yes</t>
        </is>
      </c>
      <c r="AJ360" s="77">
        <f>IF(AND(AI360="Yes",AF360="Meets all three",AG360="Current delivery confirmed"),"Yes","No")</f>
        <v/>
      </c>
      <c r="AK360" s="77" t="inlineStr"/>
      <c r="AL360" s="77" t="inlineStr">
        <is>
          <t>RG24-S10-R1; RG24-S10-R2</t>
        </is>
      </c>
      <c r="AM360" s="77" t="inlineStr">
        <is>
          <t>No named partners; 2026/27 specification exists but not seen; final report is individual though prepared within a group project.</t>
        </is>
      </c>
      <c r="AN360" s="77" t="inlineStr"/>
      <c r="AO360" s="77" t="inlineStr">
        <is>
          <t>UK</t>
        </is>
      </c>
      <c r="AP360" s="77" t="inlineStr">
        <is>
          <t>UK – Russell Group</t>
        </is>
      </c>
      <c r="AQ360" s="77" t="inlineStr">
        <is>
          <t>~1 term/semester</t>
        </is>
      </c>
      <c r="AR360" s="77" t="inlineStr">
        <is>
          <t>All/standard</t>
        </is>
      </c>
      <c r="AS360" s="77" t="inlineStr"/>
    </row>
    <row r="361">
      <c r="A361" s="77" t="inlineStr">
        <is>
          <t>RG24</t>
        </is>
      </c>
      <c r="B361" s="77" t="inlineStr">
        <is>
          <t>York</t>
        </is>
      </c>
      <c r="C361" s="77" t="inlineStr">
        <is>
          <t>Programme/course</t>
        </is>
      </c>
      <c r="D361" s="77" t="inlineStr">
        <is>
          <t>RG24-S11</t>
        </is>
      </c>
      <c r="E361" s="77" t="inlineStr"/>
      <c r="F361" s="77" t="inlineStr">
        <is>
          <t>No</t>
        </is>
      </c>
      <c r="G361" s="79" t="inlineStr">
        <is>
          <t>Migrants' Rights: Law and Policy Clinic</t>
        </is>
      </c>
      <c r="H361" s="77" t="inlineStr">
        <is>
          <t>Migrants' Rights: Law and Policy Clinic</t>
        </is>
      </c>
      <c r="I361" s="77" t="inlineStr">
        <is>
          <t>LAW00093H</t>
        </is>
      </c>
      <c r="J361"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61" s="77" t="inlineStr">
        <is>
          <t>York Law School</t>
        </is>
      </c>
      <c r="L361" s="77" t="inlineStr">
        <is>
          <t>Law students (level H); eligibility not further established</t>
        </is>
      </c>
      <c r="M361" s="77" t="inlineStr">
        <is>
          <t>Other (law, health, design, architecture…)</t>
        </is>
      </c>
      <c r="N361" s="77" t="inlineStr">
        <is>
          <t>Undergraduate</t>
        </is>
      </c>
      <c r="O361" s="77" t="inlineStr"/>
      <c r="P361" s="77" t="inlineStr"/>
      <c r="Q361" s="77" t="inlineStr">
        <is>
          <t>Optional/elective</t>
        </is>
      </c>
      <c r="R361" s="77" t="inlineStr">
        <is>
          <t>Curricular</t>
        </is>
      </c>
      <c r="S361" s="77" t="inlineStr">
        <is>
          <t>Not stated in extract</t>
        </is>
      </c>
      <c r="T361" s="77" t="inlineStr"/>
      <c r="U361" s="77" t="inlineStr"/>
      <c r="V361" s="77" t="inlineStr">
        <is>
          <t>Yes</t>
        </is>
      </c>
      <c r="W361" s="77" t="inlineStr">
        <is>
          <t>Advice letters per case plus policy briefing (src 1).</t>
        </is>
      </c>
      <c r="X361" s="77" t="inlineStr">
        <is>
          <t>Yes</t>
        </is>
      </c>
      <c r="Y361" s="77" t="inlineStr">
        <is>
          <t>'Each group will advise on two cases' (src 1).</t>
        </is>
      </c>
      <c r="Z361" s="77" t="inlineStr">
        <is>
          <t>Yes</t>
        </is>
      </c>
      <c r="AA361" s="77" t="inlineStr">
        <is>
          <t>'Cases are likely to come from charities and organisations working with migrants. These organisations will be treated as clients' (src 1) - hedged wording.</t>
        </is>
      </c>
      <c r="AB361" s="77" t="inlineStr">
        <is>
          <t>Mixed</t>
        </is>
      </c>
      <c r="AC361" s="77" t="inlineStr">
        <is>
          <t>Client commissioning written advice</t>
        </is>
      </c>
      <c r="AD361" s="77" t="inlineStr"/>
      <c r="AE361" s="77" t="inlineStr">
        <is>
          <t>Written advice letters; law/policy briefing</t>
        </is>
      </c>
      <c r="AF361" s="77">
        <f>IF(OR(V361="No",X361="No",Z361="No"),"Outside strict definition",IF(AND(V361="Yes",X361="Yes",Z361="Yes"),"Meets all three","Potentially relevant; evidence incomplete"))</f>
        <v/>
      </c>
      <c r="AG361" s="77" t="inlineStr">
        <is>
          <t>Current status unclear</t>
        </is>
      </c>
      <c r="AH361" s="77" t="inlineStr">
        <is>
          <t>2024/25</t>
        </is>
      </c>
      <c r="AI361" s="77" t="inlineStr">
        <is>
          <t>Yes</t>
        </is>
      </c>
      <c r="AJ361" s="77">
        <f>IF(AND(AI361="Yes",AF361="Meets all three",AG361="Current delivery confirmed"),"Yes","No")</f>
        <v/>
      </c>
      <c r="AK361" s="77" t="inlineStr"/>
      <c r="AL361" s="77" t="inlineStr">
        <is>
          <t>RG24-S11-R1; RG24-S11-R2</t>
        </is>
      </c>
      <c r="AM361" s="77" t="inlineStr">
        <is>
          <t>Only a 2024-25 catalogue entry and an undated clinic page seen; no 2025/26 or 2026/27 confirmation; 'likely to come from' hedge.</t>
        </is>
      </c>
      <c r="AN361" s="77" t="inlineStr"/>
      <c r="AO361" s="77" t="inlineStr">
        <is>
          <t>UK</t>
        </is>
      </c>
      <c r="AP361" s="77" t="inlineStr">
        <is>
          <t>UK – Russell Group</t>
        </is>
      </c>
      <c r="AQ361" s="77" t="inlineStr">
        <is>
          <t>~1 term/semester</t>
        </is>
      </c>
      <c r="AR361" s="77" t="inlineStr">
        <is>
          <t>All/standard</t>
        </is>
      </c>
      <c r="AS361" s="77" t="inlineStr"/>
    </row>
    <row r="362">
      <c r="A362" s="77" t="inlineStr">
        <is>
          <t>RG24</t>
        </is>
      </c>
      <c r="B362" s="77" t="inlineStr">
        <is>
          <t>York</t>
        </is>
      </c>
      <c r="C362" s="77" t="inlineStr">
        <is>
          <t>Programme/course</t>
        </is>
      </c>
      <c r="D362" s="77" t="inlineStr">
        <is>
          <t>RG24-S12</t>
        </is>
      </c>
      <c r="E362" s="77" t="inlineStr"/>
      <c r="F362" s="77" t="inlineStr">
        <is>
          <t>No</t>
        </is>
      </c>
      <c r="G362" s="79" t="inlineStr">
        <is>
          <t>Education STEP 1 programme</t>
        </is>
      </c>
      <c r="H362" s="77" t="inlineStr">
        <is>
          <t>Education STEP 1 first-year employer/community challenge</t>
        </is>
      </c>
      <c r="I362" s="77" t="inlineStr"/>
      <c r="J362" s="77" t="inlineStr">
        <is>
          <t>Education-exclusive first-year programme in which teams solve a real-world educational problem presented by a community partner / industry employer, researching the issue and presenting a solution to the partner.</t>
        </is>
      </c>
      <c r="K362" s="77" t="inlineStr">
        <is>
          <t>Department of Education</t>
        </is>
      </c>
      <c r="L362" s="77" t="inlineStr">
        <is>
          <t>First-year Education students</t>
        </is>
      </c>
      <c r="M362" s="77" t="inlineStr">
        <is>
          <t>Arts/humanities/social sciences</t>
        </is>
      </c>
      <c r="N362" s="77" t="inlineStr">
        <is>
          <t>Undergraduate</t>
        </is>
      </c>
      <c r="O362" s="77" t="inlineStr">
        <is>
          <t>Year 1</t>
        </is>
      </c>
      <c r="P362" s="77" t="inlineStr"/>
      <c r="Q362" s="77" t="inlineStr">
        <is>
          <t>Unclear</t>
        </is>
      </c>
      <c r="R362" s="77" t="inlineStr">
        <is>
          <t>Unclear</t>
        </is>
      </c>
      <c r="S362" s="77" t="inlineStr"/>
      <c r="T362" s="77" t="inlineStr"/>
      <c r="U362" s="77" t="inlineStr"/>
      <c r="V362" s="77" t="inlineStr">
        <is>
          <t>Yes</t>
        </is>
      </c>
      <c r="W362" s="77" t="inlineStr">
        <is>
          <t>Defined challenge; solution researched and presented to the partner (src 1).</t>
        </is>
      </c>
      <c r="X362" s="77" t="inlineStr">
        <is>
          <t>Yes</t>
        </is>
      </c>
      <c r="Y362" s="77" t="inlineStr">
        <is>
          <t>'Students work in teams' (src 1).</t>
        </is>
      </c>
      <c r="Z362" s="77" t="inlineStr">
        <is>
          <t>Yes</t>
        </is>
      </c>
      <c r="AA362" s="77" t="inlineStr">
        <is>
          <t>Challenge supplied by community partner/employer; solution presented to the partner (src 1).</t>
        </is>
      </c>
      <c r="AB362" s="77" t="inlineStr">
        <is>
          <t>Unclear</t>
        </is>
      </c>
      <c r="AC362" s="77" t="inlineStr">
        <is>
          <t>Sets challenge; receives presentation</t>
        </is>
      </c>
      <c r="AD362" s="77" t="inlineStr"/>
      <c r="AE362" s="77" t="inlineStr">
        <is>
          <t>Team solution presentation</t>
        </is>
      </c>
      <c r="AF362" s="77">
        <f>IF(OR(V362="No",X362="No",Z362="No"),"Outside strict definition",IF(AND(V362="Yes",X362="Yes",Z362="Yes"),"Meets all three","Potentially relevant; evidence incomplete"))</f>
        <v/>
      </c>
      <c r="AG362" s="77" t="inlineStr">
        <is>
          <t>Current status unclear</t>
        </is>
      </c>
      <c r="AH362" s="77" t="inlineStr">
        <is>
          <t>undated</t>
        </is>
      </c>
      <c r="AI362" s="77" t="inlineStr">
        <is>
          <t>Yes</t>
        </is>
      </c>
      <c r="AJ362" s="77">
        <f>IF(AND(AI362="Yes",AF362="Meets all three",AG362="Current delivery confirmed"),"Yes","No")</f>
        <v/>
      </c>
      <c r="AK362" s="77" t="inlineStr"/>
      <c r="AL362" s="77" t="inlineStr">
        <is>
          <t>RG24-S12-R1</t>
        </is>
      </c>
      <c r="AM362" s="77" t="inlineStr">
        <is>
          <t>Single undated careers page; no module catalogue entry found; credit-bearing status, duration, partners and whether currently running unknown; partner described both as 'industry employer' and 'community partner'.</t>
        </is>
      </c>
      <c r="AN362" s="77" t="inlineStr"/>
      <c r="AO362" s="77" t="inlineStr">
        <is>
          <t>UK</t>
        </is>
      </c>
      <c r="AP362" s="77" t="inlineStr">
        <is>
          <t>UK – Russell Group</t>
        </is>
      </c>
      <c r="AQ362" s="77" t="inlineStr">
        <is>
          <t>Unclear</t>
        </is>
      </c>
      <c r="AR362" s="77" t="inlineStr">
        <is>
          <t>All/standard</t>
        </is>
      </c>
      <c r="AS362" s="77" t="inlineStr"/>
    </row>
    <row r="363">
      <c r="A363" s="77" t="inlineStr">
        <is>
          <t>RG24</t>
        </is>
      </c>
      <c r="B363" s="77" t="inlineStr">
        <is>
          <t>York</t>
        </is>
      </c>
      <c r="C363" s="77" t="inlineStr">
        <is>
          <t>Programme/course</t>
        </is>
      </c>
      <c r="D363" s="77" t="inlineStr">
        <is>
          <t>RG24-S13</t>
        </is>
      </c>
      <c r="E363" s="77" t="inlineStr"/>
      <c r="F363" s="77" t="inlineStr">
        <is>
          <t>No</t>
        </is>
      </c>
      <c r="G363" s="79" t="inlineStr">
        <is>
          <t>Group Project (Integrated Masters) - Computer Science</t>
        </is>
      </c>
      <c r="H363" s="77" t="inlineStr">
        <is>
          <t>Group Project (Integrated Masters)</t>
        </is>
      </c>
      <c r="I363" s="77" t="inlineStr">
        <is>
          <t>COM00138M</t>
        </is>
      </c>
      <c r="J363" s="77" t="inlineStr">
        <is>
          <t>40-credit software engineering team project simulating real-world industrial projects, with teams meeting the module leader and/or an external customer; learning outcomes include communicating with customers who have a problem to be solved.</t>
        </is>
      </c>
      <c r="K363" s="77" t="inlineStr">
        <is>
          <t>Department of Computer Science</t>
        </is>
      </c>
      <c r="L363" s="77" t="inlineStr">
        <is>
          <t>Integrated Masters Computer Science (level M)</t>
        </is>
      </c>
      <c r="M363" s="77" t="inlineStr">
        <is>
          <t>Engineering/computing</t>
        </is>
      </c>
      <c r="N363" s="77" t="inlineStr">
        <is>
          <t>Undergraduate</t>
        </is>
      </c>
      <c r="O363" s="77" t="inlineStr"/>
      <c r="P363" s="77" t="inlineStr"/>
      <c r="Q363" s="77" t="inlineStr">
        <is>
          <t>Compulsory within specified programmes</t>
        </is>
      </c>
      <c r="R363" s="77" t="inlineStr">
        <is>
          <t>Curricular</t>
        </is>
      </c>
      <c r="S363" s="77" t="inlineStr">
        <is>
          <t>40 credits; groupwork 90% (20%+70%) and 10% coursework</t>
        </is>
      </c>
      <c r="T363" s="77" t="inlineStr">
        <is>
          <t>Semester 1 to Semester 2</t>
        </is>
      </c>
      <c r="U363" s="77" t="inlineStr"/>
      <c r="V363" s="77" t="inlineStr">
        <is>
          <t>Yes</t>
        </is>
      </c>
      <c r="W363" s="77" t="inlineStr">
        <is>
          <t>Software engineering project for a customer (src 1).</t>
        </is>
      </c>
      <c r="X363" s="77" t="inlineStr">
        <is>
          <t>Yes</t>
        </is>
      </c>
      <c r="Y363" s="77" t="inlineStr">
        <is>
          <t>Team project; groupwork assessments (src 1).</t>
        </is>
      </c>
      <c r="Z363" s="77" t="inlineStr">
        <is>
          <t>Unclear</t>
        </is>
      </c>
      <c r="AA363" s="77" t="inlineStr">
        <is>
          <t>'Each team will have several meetings with either the module leader or the external customer or both' - external customer role optional/unclear; aim is to 'simulate' industrial context (src 1).</t>
        </is>
      </c>
      <c r="AB363" s="77" t="inlineStr">
        <is>
          <t>Unclear</t>
        </is>
      </c>
      <c r="AC363" s="77" t="inlineStr">
        <is>
          <t>External customer meetings (extent unclear)</t>
        </is>
      </c>
      <c r="AD363" s="77" t="inlineStr"/>
      <c r="AE363" s="77" t="inlineStr"/>
      <c r="AF363" s="77">
        <f>IF(OR(V363="No",X363="No",Z363="No"),"Outside strict definition",IF(AND(V363="Yes",X363="Yes",Z363="Yes"),"Meets all three","Potentially relevant; evidence incomplete"))</f>
        <v/>
      </c>
      <c r="AG363" s="77" t="inlineStr">
        <is>
          <t>Current delivery confirmed</t>
        </is>
      </c>
      <c r="AH363" s="77" t="inlineStr">
        <is>
          <t>2026/27</t>
        </is>
      </c>
      <c r="AI363" s="77" t="inlineStr">
        <is>
          <t>Yes</t>
        </is>
      </c>
      <c r="AJ363" s="77">
        <f>IF(AND(AI363="Yes",AF363="Meets all three",AG363="Current delivery confirmed"),"Yes","No")</f>
        <v/>
      </c>
      <c r="AK363" s="77" t="inlineStr"/>
      <c r="AL363" s="77" t="inlineStr">
        <is>
          <t>RG24-S13-R1</t>
        </is>
      </c>
      <c r="AM363" s="77" t="inlineStr">
        <is>
          <t>Whether customers are external organisations for all teams, or module leader/staff; no named customers. Compulsory status inferred from integrated masters module but not verified.</t>
        </is>
      </c>
      <c r="AN363" s="77" t="inlineStr"/>
      <c r="AO363" s="77" t="inlineStr">
        <is>
          <t>UK</t>
        </is>
      </c>
      <c r="AP363" s="77" t="inlineStr">
        <is>
          <t>UK – Russell Group</t>
        </is>
      </c>
      <c r="AQ363" s="77" t="inlineStr">
        <is>
          <t>&gt;1 term</t>
        </is>
      </c>
      <c r="AR363" s="77" t="inlineStr">
        <is>
          <t>Unclear</t>
        </is>
      </c>
      <c r="AS363" s="77" t="inlineStr"/>
    </row>
    <row r="364">
      <c r="A364" s="77" t="inlineStr">
        <is>
          <t>UK02</t>
        </is>
      </c>
      <c r="B364" s="77" t="inlineStr">
        <is>
          <t>St Andrews</t>
        </is>
      </c>
      <c r="C364" s="77" t="inlineStr">
        <is>
          <t>Unclear</t>
        </is>
      </c>
      <c r="D364" s="77" t="inlineStr">
        <is>
          <t>UK02-S01</t>
        </is>
      </c>
      <c r="E364" s="77" t="inlineStr"/>
      <c r="F364" s="77" t="inlineStr">
        <is>
          <t>No</t>
        </is>
      </c>
      <c r="G364" s="79" t="inlineStr">
        <is>
          <t>Vertically Integrated Projects (VIP)</t>
        </is>
      </c>
      <c r="H364" s="77" t="inlineStr">
        <is>
          <t>Vertically Integrated Projects (VIP)</t>
        </is>
      </c>
      <c r="I364" s="77" t="inlineStr">
        <is>
          <t>VP-prefixed modules (e.g. VP2026)</t>
        </is>
      </c>
      <c r="J364"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64" s="77" t="inlineStr">
        <is>
          <t>Central Education (VIP team, viprojects@st-andrews.ac.uk)</t>
        </is>
      </c>
      <c r="L364" s="77" t="inlineStr">
        <is>
          <t>Not re-verified in this review (legacy row states Arts and Science students at different study levels)</t>
        </is>
      </c>
      <c r="M364" s="77" t="inlineStr">
        <is>
          <t>Central provision</t>
        </is>
      </c>
      <c r="N364" s="77" t="inlineStr">
        <is>
          <t>Undergraduate</t>
        </is>
      </c>
      <c r="O364" s="77" t="inlineStr">
        <is>
          <t>Different levels of study combined</t>
        </is>
      </c>
      <c r="P364" s="77" t="inlineStr">
        <is>
          <t>One VIP per semester; must be taken for credit; application required (rolling, projects may close when full). Faculty-level eligibility not re-verified.</t>
        </is>
      </c>
      <c r="Q364" s="77" t="inlineStr">
        <is>
          <t>Optional/elective</t>
        </is>
      </c>
      <c r="R364" s="77" t="inlineStr">
        <is>
          <t>Curricular</t>
        </is>
      </c>
      <c r="S364" s="77" t="inlineStr">
        <is>
          <t>10, 15, 20 or 30 SCOTCAT credits per semester; 5 credits for returning students; appears on transcript</t>
        </is>
      </c>
      <c r="T364" s="77" t="inlineStr">
        <is>
          <t>Per semester; multi-semester participation encouraged</t>
        </is>
      </c>
      <c r="U364" s="77" t="inlineStr">
        <is>
          <t>In person research team</t>
        </is>
      </c>
      <c r="V364" s="77" t="inlineStr">
        <is>
          <t>Yes</t>
        </is>
      </c>
      <c r="W364" s="77" t="inlineStr">
        <is>
          <t>Team contributes to an ongoing research project addressing 'genuine research questions' [2][3]; St Andrews Forest example produces a commissioned report and group presentation [4].</t>
        </is>
      </c>
      <c r="X364" s="77" t="inlineStr">
        <is>
          <t>Yes</t>
        </is>
      </c>
      <c r="Y364" s="77" t="inlineStr">
        <is>
          <t>'A VIP brings together a student team formed from different disciplines and levels of study' [3]; the team addresses research questions jointly [2].</t>
        </is>
      </c>
      <c r="Z364" s="77" t="inlineStr">
        <is>
          <t>Unclear</t>
        </is>
      </c>
      <c r="AA364"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t>
        </is>
      </c>
      <c r="AB364" s="77" t="inlineStr">
        <is>
          <t>Unclear</t>
        </is>
      </c>
      <c r="AC364" s="77" t="inlineStr">
        <is>
          <t>Mostly internal academic research; occasional external practitioners/community participants in individual projects</t>
        </is>
      </c>
      <c r="AD364" s="77" t="inlineStr"/>
      <c r="AE364" s="77" t="inlineStr">
        <is>
          <t>Research contributions; project-specific outputs (e.g. report and group presentation in St Andrews Forest VIP)</t>
        </is>
      </c>
      <c r="AF364" s="77">
        <f>IF(OR(V364="No",X364="No",Z364="No"),"Outside strict definition",IF(AND(V364="Yes",X364="Yes",Z364="Yes"),"Meets all three","Potentially relevant; evidence incomplete"))</f>
        <v/>
      </c>
      <c r="AG364" s="77" t="inlineStr">
        <is>
          <t>Current delivery confirmed</t>
        </is>
      </c>
      <c r="AH364" s="77" t="inlineStr">
        <is>
          <t>2026/27</t>
        </is>
      </c>
      <c r="AI364" s="77" t="inlineStr">
        <is>
          <t>Yes</t>
        </is>
      </c>
      <c r="AJ364" s="77">
        <f>IF(AND(AI364="Yes",AF364="Meets all three",AG364="Current delivery confirmed"),"Yes","No")</f>
        <v/>
      </c>
      <c r="AK364" s="77" t="inlineStr"/>
      <c r="AL364" s="77" t="inlineStr">
        <is>
          <t>UK02-S01-R1; UK02-S01-R2; UK02-S01-R3; UK02-S01-R4; UK02-S01-R5</t>
        </is>
      </c>
      <c r="AM364" s="77" t="inlineStr">
        <is>
          <t>Which of the current VIP projects (projects page) involve external organisations as brief-setters or recipients; faculty eligibility (legacy: Arts and Science) not re-verified because the search budget was exhausted.</t>
        </is>
      </c>
      <c r="AN364" s="77" t="inlineStr">
        <is>
          <t>Vertically Integrated Projects (VIP)</t>
        </is>
      </c>
      <c r="AO364" s="77" t="inlineStr">
        <is>
          <t>UK</t>
        </is>
      </c>
      <c r="AP364" s="77" t="inlineStr">
        <is>
          <t>UK – additional</t>
        </is>
      </c>
      <c r="AQ364" s="77" t="inlineStr">
        <is>
          <t>~1 term/semester</t>
        </is>
      </c>
      <c r="AR364" s="77" t="inlineStr">
        <is>
          <t>Some projects</t>
        </is>
      </c>
      <c r="AS364" s="77" t="inlineStr"/>
    </row>
    <row r="365">
      <c r="A365" s="77" t="inlineStr">
        <is>
          <t>UK02</t>
        </is>
      </c>
      <c r="B365" s="77" t="inlineStr">
        <is>
          <t>St Andrews</t>
        </is>
      </c>
      <c r="C365" s="77" t="inlineStr">
        <is>
          <t>University-wide</t>
        </is>
      </c>
      <c r="D365" s="77" t="inlineStr">
        <is>
          <t>UK02-S02</t>
        </is>
      </c>
      <c r="E365" s="77" t="inlineStr"/>
      <c r="F365" s="77" t="inlineStr">
        <is>
          <t>No</t>
        </is>
      </c>
      <c r="G365" s="79" t="inlineStr">
        <is>
          <t>Summer Team Enterprise Programme (STEP)</t>
        </is>
      </c>
      <c r="H365" s="77" t="inlineStr">
        <is>
          <t>Summer Team Enterprise Programme (STEP)</t>
        </is>
      </c>
      <c r="I365" s="77" t="inlineStr"/>
      <c r="J365"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365" s="77" t="inlineStr">
        <is>
          <t>International Education and Lifelong Learning Institute (IELLI) / Education</t>
        </is>
      </c>
      <c r="L365" s="77" t="inlineStr">
        <is>
          <t>St Andrews undergraduates (no faculty restriction stated)</t>
        </is>
      </c>
      <c r="M365" s="77" t="inlineStr">
        <is>
          <t>Central provision</t>
        </is>
      </c>
      <c r="N365" s="77" t="inlineStr">
        <is>
          <t>Undergraduate</t>
        </is>
      </c>
      <c r="O365" s="77" t="inlineStr">
        <is>
          <t>Not stated</t>
        </is>
      </c>
      <c r="P365" s="77" t="inlineStr">
        <is>
          <t>Application required (2026 deadline 4 May)</t>
        </is>
      </c>
      <c r="Q365" s="77" t="inlineStr">
        <is>
          <t>Selective/competitive</t>
        </is>
      </c>
      <c r="R365" s="77" t="inlineStr">
        <is>
          <t>Extracurricular</t>
        </is>
      </c>
      <c r="S365" s="77" t="inlineStr">
        <is>
          <t>No credit; recorded on HEAR transcript; LinkedIn badge on completion</t>
        </is>
      </c>
      <c r="T365" s="77" t="inlineStr">
        <is>
          <t>About 7 weeks (2026: core project work 25 May-13 July; closing ceremony 3 August), 4-6 hours/week</t>
        </is>
      </c>
      <c r="U365" s="77" t="inlineStr">
        <is>
          <t>Online, remote teams</t>
        </is>
      </c>
      <c r="V365" s="77" t="inlineStr">
        <is>
          <t>Yes</t>
        </is>
      </c>
      <c r="W365" s="77" t="inlineStr">
        <is>
          <t>'Real-life project' with outputs such as research report, video, educational resource, creative work or website [1]; 'real consulting project' [2].</t>
        </is>
      </c>
      <c r="X365" s="77" t="inlineStr">
        <is>
          <t>Yes</t>
        </is>
      </c>
      <c r="Y365" s="77" t="inlineStr">
        <is>
          <t>Students placed in a remote project team of six or seven undergraduates [1].</t>
        </is>
      </c>
      <c r="Z365" s="77" t="inlineStr">
        <is>
          <t>No</t>
        </is>
      </c>
      <c r="AA365" s="77" t="inlineStr">
        <is>
          <t>Clients are internal: projects are 'designed and supported by University staff' [1] for 'various University academic Schools and professional service units' [2]. No external organisation evidenced.</t>
        </is>
      </c>
      <c r="AB365" s="77" t="inlineStr">
        <is>
          <t>Other</t>
        </is>
      </c>
      <c r="AC365" s="77" t="inlineStr">
        <is>
          <t>Internal University Schools and professional service units act as project sponsors (internal clients - does not satisfy C)</t>
        </is>
      </c>
      <c r="AD365" s="77" t="inlineStr"/>
      <c r="AE365" s="77" t="inlineStr">
        <is>
          <t>Research report, video, educational resource, creative work or website</t>
        </is>
      </c>
      <c r="AF365" s="77">
        <f>IF(OR(V365="No",X365="No",Z365="No"),"Outside strict definition",IF(AND(V365="Yes",X365="Yes",Z365="Yes"),"Meets all three","Potentially relevant; evidence incomplete"))</f>
        <v/>
      </c>
      <c r="AG365" s="77" t="inlineStr">
        <is>
          <t>Current delivery confirmed</t>
        </is>
      </c>
      <c r="AH365" s="77" t="inlineStr">
        <is>
          <t>2026</t>
        </is>
      </c>
      <c r="AI365" s="77" t="inlineStr">
        <is>
          <t>Yes</t>
        </is>
      </c>
      <c r="AJ365" s="77">
        <f>IF(AND(AI365="Yes",AF365="Meets all three",AG365="Current delivery confirmed"),"Yes","No")</f>
        <v/>
      </c>
      <c r="AK365" s="77" t="inlineStr"/>
      <c r="AL365" s="77" t="inlineStr">
        <is>
          <t>UK02-S02-R1; UK02-S02-R2</t>
        </is>
      </c>
      <c r="AM365" s="77" t="inlineStr">
        <is>
          <t>Duration band left Unclear: about 7 weeks part-time (4-6 h/week), which falls between the '1-4 weeks' and '~1 term' bands. The 2026 project list was not retrieved, so some projects may have external sponsors.</t>
        </is>
      </c>
      <c r="AN365" s="77" t="inlineStr"/>
      <c r="AO365" s="77" t="inlineStr">
        <is>
          <t>UK</t>
        </is>
      </c>
      <c r="AP365" s="77" t="inlineStr">
        <is>
          <t>UK – additional</t>
        </is>
      </c>
      <c r="AQ365" s="77" t="inlineStr">
        <is>
          <t>Unclear</t>
        </is>
      </c>
      <c r="AR365" s="77" t="inlineStr">
        <is>
          <t>Unclear</t>
        </is>
      </c>
      <c r="AS365" s="77" t="inlineStr"/>
    </row>
    <row r="366">
      <c r="A366" s="77" t="inlineStr">
        <is>
          <t>UK02</t>
        </is>
      </c>
      <c r="B366" s="77" t="inlineStr">
        <is>
          <t>St Andrews</t>
        </is>
      </c>
      <c r="C366" s="77" t="inlineStr">
        <is>
          <t>Programme/course</t>
        </is>
      </c>
      <c r="D366" s="77" t="inlineStr">
        <is>
          <t>UK02-S03</t>
        </is>
      </c>
      <c r="E366" s="77" t="inlineStr"/>
      <c r="F366" s="77" t="inlineStr">
        <is>
          <t>No</t>
        </is>
      </c>
      <c r="G366" s="79" t="inlineStr">
        <is>
          <t>CS3099 Software Engineering Team Project</t>
        </is>
      </c>
      <c r="H366" s="77" t="inlineStr">
        <is>
          <t>CS3099 Software Engineering Team Project</t>
        </is>
      </c>
      <c r="I366" s="77" t="inlineStr">
        <is>
          <t>CS3099</t>
        </is>
      </c>
      <c r="J366"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366" s="77" t="inlineStr">
        <is>
          <t>School of Computer Science</t>
        </is>
      </c>
      <c r="L366" s="77" t="inlineStr">
        <is>
          <t>Computer Science honours (prerequisites CS2002 and CS2101 or CS2001)</t>
        </is>
      </c>
      <c r="M366" s="77" t="inlineStr">
        <is>
          <t>Engineering/computing</t>
        </is>
      </c>
      <c r="N366" s="77" t="inlineStr">
        <is>
          <t>Undergraduate</t>
        </is>
      </c>
      <c r="O366" s="77" t="inlineStr">
        <is>
          <t>Year 3</t>
        </is>
      </c>
      <c r="P366" s="77" t="inlineStr">
        <is>
          <t>Prerequisites CS2002 and (CS2101 or CS2001)</t>
        </is>
      </c>
      <c r="Q366" s="77" t="inlineStr">
        <is>
          <t>Unclear</t>
        </is>
      </c>
      <c r="R366" s="77" t="inlineStr">
        <is>
          <t>Curricular</t>
        </is>
      </c>
      <c r="S366" s="77" t="inlineStr">
        <is>
          <t>30 SCOTCAT (15 ECTS); 100% coursework, no reassessment</t>
        </is>
      </c>
      <c r="T366" s="77" t="inlineStr">
        <is>
          <t>Full year</t>
        </is>
      </c>
      <c r="U366" s="77" t="inlineStr">
        <is>
          <t>In person team project</t>
        </is>
      </c>
      <c r="V366" s="77" t="inlineStr">
        <is>
          <t>Yes</t>
        </is>
      </c>
      <c r="W366" s="77" t="inlineStr">
        <is>
          <t>Teams build a medium-sized software system from specification to documentation [1].</t>
        </is>
      </c>
      <c r="X366" s="77" t="inlineStr">
        <is>
          <t>Yes</t>
        </is>
      </c>
      <c r="Y366" s="77" t="inlineStr">
        <is>
          <t>Team project; third-year undergraduates 'work in groups to create a software product' [1][2].</t>
        </is>
      </c>
      <c r="Z366" s="77" t="inlineStr">
        <is>
          <t>Unclear</t>
        </is>
      </c>
      <c r="AA366"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366" s="77" t="inlineStr">
        <is>
          <t>Business/commercial</t>
        </is>
      </c>
      <c r="AC366" s="77" t="inlineStr">
        <is>
          <t>Involvement of Experian and Skyscanner (role unspecified); Skyscanner collaborated on accessibility theme</t>
        </is>
      </c>
      <c r="AD366" s="77" t="inlineStr">
        <is>
          <t>Experian, Skyscanner (blog, April 2025)</t>
        </is>
      </c>
      <c r="AE366" s="77" t="inlineStr">
        <is>
          <t>Software product with documentation</t>
        </is>
      </c>
      <c r="AF366" s="77">
        <f>IF(OR(V366="No",X366="No",Z366="No"),"Outside strict definition",IF(AND(V366="Yes",X366="Yes",Z366="Yes"),"Meets all three","Potentially relevant; evidence incomplete"))</f>
        <v/>
      </c>
      <c r="AG366" s="77" t="inlineStr">
        <is>
          <t>Current delivery confirmed</t>
        </is>
      </c>
      <c r="AH366" s="77" t="inlineStr">
        <is>
          <t>2026/27</t>
        </is>
      </c>
      <c r="AI366" s="77" t="inlineStr">
        <is>
          <t>Yes</t>
        </is>
      </c>
      <c r="AJ366" s="77">
        <f>IF(AND(AI366="Yes",AF366="Meets all three",AG366="Current delivery confirmed"),"Yes","No")</f>
        <v/>
      </c>
      <c r="AK366" s="77" t="inlineStr"/>
      <c r="AL366" s="77" t="inlineStr">
        <is>
          <t>UK02-S03-R1; UK02-S03-R2; UK02-S03-R3</t>
        </is>
      </c>
      <c r="AM366" s="77" t="inlineStr">
        <is>
          <t>Whether industry partners set project briefs for all/some teams and whether this continued after 2025; whether CS3099 is compulsory for CS single honours.</t>
        </is>
      </c>
      <c r="AN366" s="77" t="inlineStr"/>
      <c r="AO366" s="77" t="inlineStr">
        <is>
          <t>UK</t>
        </is>
      </c>
      <c r="AP366" s="77" t="inlineStr">
        <is>
          <t>UK – additional</t>
        </is>
      </c>
      <c r="AQ366" s="77" t="inlineStr">
        <is>
          <t>&gt;1 term</t>
        </is>
      </c>
      <c r="AR366" s="77" t="inlineStr">
        <is>
          <t>Unclear</t>
        </is>
      </c>
      <c r="AS366" s="77" t="inlineStr"/>
    </row>
    <row r="367">
      <c r="A367" s="77" t="inlineStr">
        <is>
          <t>UK02</t>
        </is>
      </c>
      <c r="B367" s="77" t="inlineStr">
        <is>
          <t>St Andrews</t>
        </is>
      </c>
      <c r="C367" s="77" t="inlineStr">
        <is>
          <t>Programme/course</t>
        </is>
      </c>
      <c r="D367" s="77" t="inlineStr">
        <is>
          <t>UK02-S04</t>
        </is>
      </c>
      <c r="E367" s="77" t="inlineStr"/>
      <c r="F367" s="77" t="inlineStr">
        <is>
          <t>No</t>
        </is>
      </c>
      <c r="G367" s="79" t="inlineStr">
        <is>
          <t>Management MSc - consultancy projects with local organisations</t>
        </is>
      </c>
      <c r="H367" s="77" t="inlineStr">
        <is>
          <t>Management MSc - consultancy projects with local organisations</t>
        </is>
      </c>
      <c r="I367" s="77" t="inlineStr"/>
      <c r="J367"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367" s="77" t="inlineStr">
        <is>
          <t>Business School (formerly School of Management)</t>
        </is>
      </c>
      <c r="L367" s="77" t="inlineStr">
        <is>
          <t>Management MSc</t>
        </is>
      </c>
      <c r="M367" s="77" t="inlineStr">
        <is>
          <t>Business/management</t>
        </is>
      </c>
      <c r="N367" s="77" t="inlineStr">
        <is>
          <t>Postgraduate taught</t>
        </is>
      </c>
      <c r="O367" s="77" t="inlineStr">
        <is>
          <t>One-year MSc</t>
        </is>
      </c>
      <c r="P367" s="77" t="inlineStr">
        <is>
          <t>Management MSc students</t>
        </is>
      </c>
      <c r="Q367" s="77" t="inlineStr">
        <is>
          <t>Unclear</t>
        </is>
      </c>
      <c r="R367" s="77" t="inlineStr">
        <is>
          <t>Unclear</t>
        </is>
      </c>
      <c r="S367" s="77" t="inlineStr">
        <is>
          <t>Not identified</t>
        </is>
      </c>
      <c r="T367" s="77" t="inlineStr">
        <is>
          <t>Not identified</t>
        </is>
      </c>
      <c r="U367" s="77" t="inlineStr">
        <is>
          <t>Not identified</t>
        </is>
      </c>
      <c r="V367" s="77" t="inlineStr">
        <is>
          <t>Unclear</t>
        </is>
      </c>
      <c r="W367" s="77" t="inlineStr">
        <is>
          <t>'Consultancy projects' named [1], but no brief, output or module description found.</t>
        </is>
      </c>
      <c r="X367" s="77" t="inlineStr">
        <is>
          <t>Unclear</t>
        </is>
      </c>
      <c r="Y367" s="77" t="inlineStr">
        <is>
          <t>No team evidence for the consultancy projects; MLitt archive page mentions 'consultancy projects, and team activities' separately [2].</t>
        </is>
      </c>
      <c r="Z367" s="77" t="inlineStr">
        <is>
          <t>Unclear</t>
        </is>
      </c>
      <c r="AA367" s="77" t="inlineStr">
        <is>
          <t>Projects are 'with local organisations' [1]; worded as an 'opportunity', role of organisations not described.</t>
        </is>
      </c>
      <c r="AB367" s="77" t="inlineStr">
        <is>
          <t>Unclear</t>
        </is>
      </c>
      <c r="AC367" s="77" t="inlineStr">
        <is>
          <t>Local organisations (role not described)</t>
        </is>
      </c>
      <c r="AD367" s="77" t="inlineStr"/>
      <c r="AE367" s="77" t="inlineStr">
        <is>
          <t>Not identified</t>
        </is>
      </c>
      <c r="AF367" s="77">
        <f>IF(OR(V367="No",X367="No",Z367="No"),"Outside strict definition",IF(AND(V367="Yes",X367="Yes",Z367="Yes"),"Meets all three","Potentially relevant; evidence incomplete"))</f>
        <v/>
      </c>
      <c r="AG367" s="77" t="inlineStr">
        <is>
          <t>Current status unclear</t>
        </is>
      </c>
      <c r="AH367" s="77" t="inlineStr">
        <is>
          <t>2027 entry (prospectus)</t>
        </is>
      </c>
      <c r="AI367" s="77" t="inlineStr">
        <is>
          <t>Yes</t>
        </is>
      </c>
      <c r="AJ367" s="77">
        <f>IF(AND(AI367="Yes",AF367="Meets all three",AG367="Current delivery confirmed"),"Yes","No")</f>
        <v/>
      </c>
      <c r="AK367" s="77" t="inlineStr"/>
      <c r="AL367" s="77" t="inlineStr">
        <is>
          <t>UK02-S04-R1; UK02-S04-R2</t>
        </is>
      </c>
      <c r="AM367"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367" s="77" t="inlineStr"/>
      <c r="AO367" s="77" t="inlineStr">
        <is>
          <t>UK</t>
        </is>
      </c>
      <c r="AP367" s="77" t="inlineStr">
        <is>
          <t>UK – additional</t>
        </is>
      </c>
      <c r="AQ367" s="77" t="inlineStr">
        <is>
          <t>Unclear</t>
        </is>
      </c>
      <c r="AR367" s="77" t="inlineStr">
        <is>
          <t>Unclear</t>
        </is>
      </c>
      <c r="AS367" s="77" t="inlineStr"/>
    </row>
    <row r="368">
      <c r="A368" s="77" t="inlineStr">
        <is>
          <t>UK03</t>
        </is>
      </c>
      <c r="B368" s="77" t="inlineStr">
        <is>
          <t>Lancaster</t>
        </is>
      </c>
      <c r="C368" s="77" t="inlineStr">
        <is>
          <t>Faculty/school</t>
        </is>
      </c>
      <c r="D368" s="77" t="inlineStr">
        <is>
          <t>UK03-S01</t>
        </is>
      </c>
      <c r="E368" s="77" t="inlineStr"/>
      <c r="F368" s="77" t="inlineStr">
        <is>
          <t>Yes</t>
        </is>
      </c>
      <c r="G368" s="79" t="inlineStr">
        <is>
          <t>LUMS Company Projects / Consultancy Projects (Management School consultancy project modules)</t>
        </is>
      </c>
      <c r="H368" s="77" t="inlineStr"/>
      <c r="I368" s="77" t="inlineStr"/>
      <c r="J368"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368" s="77" t="inlineStr">
        <is>
          <t>Lancaster University Management School (LUMS) Careers / Company Projects team</t>
        </is>
      </c>
      <c r="L368" s="77" t="inlineStr">
        <is>
          <t>Management School degrees that include a consultancy or company-project module; compulsory in some degrees, optional in others (alternatives may be offered)</t>
        </is>
      </c>
      <c r="M368" s="77" t="inlineStr">
        <is>
          <t>Business/management</t>
        </is>
      </c>
      <c r="N368" s="77" t="inlineStr">
        <is>
          <t>Mixed</t>
        </is>
      </c>
      <c r="O368" s="77" t="inlineStr"/>
      <c r="P368" s="77" t="inlineStr"/>
      <c r="Q368" s="77" t="inlineStr">
        <is>
          <t>Compulsory within specified programmes</t>
        </is>
      </c>
      <c r="R368" s="77" t="inlineStr">
        <is>
          <t>Curricular</t>
        </is>
      </c>
      <c r="S368" s="77" t="inlineStr"/>
      <c r="T368" s="77" t="inlineStr">
        <is>
          <t>Varies by module</t>
        </is>
      </c>
      <c r="U368" s="77" t="inlineStr"/>
      <c r="V368" s="77" t="inlineStr">
        <is>
          <t>Yes</t>
        </is>
      </c>
      <c r="W368" s="77" t="inlineStr">
        <is>
          <t>Teams tackle a real-world challenge for a partner company (src 1).</t>
        </is>
      </c>
      <c r="X368" s="77" t="inlineStr">
        <is>
          <t>Yes</t>
        </is>
      </c>
      <c r="Y368" s="77" t="inlineStr">
        <is>
          <t>'Work in small teams' (src 1).</t>
        </is>
      </c>
      <c r="Z368" s="77" t="inlineStr">
        <is>
          <t>Yes</t>
        </is>
      </c>
      <c r="AA368" s="77" t="inlineStr">
        <is>
          <t>Partner companies (Companies House-registered, trading 1+ year, 5-10 hours commitment) supply the project; teams negotiate scope with the client (src 1, 2).</t>
        </is>
      </c>
      <c r="AB368" s="77" t="inlineStr">
        <is>
          <t>Business/commercial</t>
        </is>
      </c>
      <c r="AC368" s="77" t="inlineStr">
        <is>
          <t>Company hosts supply live project and contact time</t>
        </is>
      </c>
      <c r="AD368" s="77" t="inlineStr"/>
      <c r="AE368" s="77" t="inlineStr">
        <is>
          <t>Consultancy report/recommendations to company</t>
        </is>
      </c>
      <c r="AF368" s="77">
        <f>IF(OR(V368="No",X368="No",Z368="No"),"Outside strict definition",IF(AND(V368="Yes",X368="Yes",Z368="Yes"),"Meets all three","Potentially relevant; evidence incomplete"))</f>
        <v/>
      </c>
      <c r="AG368" s="77" t="inlineStr">
        <is>
          <t>Current status unclear</t>
        </is>
      </c>
      <c r="AH368" s="77" t="inlineStr">
        <is>
          <t>2025 (news: 668 students since 2023)</t>
        </is>
      </c>
      <c r="AI368" s="77" t="inlineStr">
        <is>
          <t>No</t>
        </is>
      </c>
      <c r="AJ368" s="77">
        <f>IF(AND(AI368="Yes",AF368="Meets all three",AG368="Current delivery confirmed"),"Yes","No")</f>
        <v/>
      </c>
      <c r="AK368" s="77" t="inlineStr">
        <is>
          <t>Careers Projects Team: &gt;150 bespoke projects delivered; since 2023, 668 students and &gt;160 employer partners (cumulative, news item c. 2025); LUMS also states &gt;800 consultancy projects since 2010 (search summary, unquoted).</t>
        </is>
      </c>
      <c r="AL368" s="77" t="inlineStr">
        <is>
          <t>UK03-S01-R1; UK03-S01-R2; UK03-S01-R3</t>
        </is>
      </c>
      <c r="AM368" s="77" t="inlineStr">
        <is>
          <t>Umbrella page does not name modules/degrees; undated pages. Counted via children.</t>
        </is>
      </c>
      <c r="AN368" s="77" t="inlineStr"/>
      <c r="AO368" s="77" t="inlineStr">
        <is>
          <t>UK</t>
        </is>
      </c>
      <c r="AP368" s="77" t="inlineStr">
        <is>
          <t>UK – additional</t>
        </is>
      </c>
      <c r="AQ368" s="77" t="inlineStr">
        <is>
          <t>Unclear</t>
        </is>
      </c>
      <c r="AR368" s="77" t="inlineStr">
        <is>
          <t>All/standard</t>
        </is>
      </c>
      <c r="AS368" s="77" t="inlineStr">
        <is>
          <t>No (umbrella; children counted)</t>
        </is>
      </c>
    </row>
    <row r="369">
      <c r="A369" s="77" t="inlineStr">
        <is>
          <t>UK03</t>
        </is>
      </c>
      <c r="B369" s="77" t="inlineStr">
        <is>
          <t>Lancaster</t>
        </is>
      </c>
      <c r="C369" s="77" t="inlineStr">
        <is>
          <t>Programme/course</t>
        </is>
      </c>
      <c r="D369" s="77" t="inlineStr">
        <is>
          <t>UK03-S02</t>
        </is>
      </c>
      <c r="E369" s="77" t="inlineStr">
        <is>
          <t>UK03-S01</t>
        </is>
      </c>
      <c r="F369" s="77" t="inlineStr">
        <is>
          <t>No</t>
        </is>
      </c>
      <c r="G369" s="79" t="inlineStr">
        <is>
          <t>Research Consultancy Project (BSc Marketing and related Marketing degrees)</t>
        </is>
      </c>
      <c r="H369" s="77" t="inlineStr"/>
      <c r="I369" s="77" t="inlineStr"/>
      <c r="J369"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369" s="77" t="inlineStr">
        <is>
          <t>LUMS Department of Marketing</t>
        </is>
      </c>
      <c r="L369" s="77" t="inlineStr">
        <is>
          <t>BSc Marketing (N500), Marketing with Psychology (N5C8), Marketing (Industry) (N505) and related degrees</t>
        </is>
      </c>
      <c r="M369" s="77" t="inlineStr">
        <is>
          <t>Business/management</t>
        </is>
      </c>
      <c r="N369" s="77" t="inlineStr">
        <is>
          <t>Undergraduate</t>
        </is>
      </c>
      <c r="O369" s="77" t="inlineStr">
        <is>
          <t>Final year</t>
        </is>
      </c>
      <c r="P369" s="77" t="inlineStr"/>
      <c r="Q369" s="77" t="inlineStr">
        <is>
          <t>Compulsory within specified programmes</t>
        </is>
      </c>
      <c r="R369" s="77" t="inlineStr">
        <is>
          <t>Curricular</t>
        </is>
      </c>
      <c r="S369" s="77" t="inlineStr"/>
      <c r="T369" s="77" t="inlineStr">
        <is>
          <t>Module length not retrieved</t>
        </is>
      </c>
      <c r="U369" s="77" t="inlineStr"/>
      <c r="V369" s="77" t="inlineStr">
        <is>
          <t>Yes</t>
        </is>
      </c>
      <c r="W369" s="77" t="inlineStr">
        <is>
          <t>Consultancy-style research project investigating a marketing issue for a live client (src 1, 2).</t>
        </is>
      </c>
      <c r="X369" s="77" t="inlineStr">
        <is>
          <t>Yes</t>
        </is>
      </c>
      <c r="Y369" s="77" t="inlineStr">
        <is>
          <t>'as part of a small team' (src 1).</t>
        </is>
      </c>
      <c r="Z369" s="77" t="inlineStr">
        <is>
          <t>Yes</t>
        </is>
      </c>
      <c r="AA369" s="77" t="inlineStr">
        <is>
          <t>Live client project; groups negotiate scope with client; past clients listed (src 2, 3).</t>
        </is>
      </c>
      <c r="AB369" s="77" t="inlineStr">
        <is>
          <t>Mixed</t>
        </is>
      </c>
      <c r="AC369" s="77" t="inlineStr">
        <is>
          <t>Client sets brief; scope negotiated with client</t>
        </is>
      </c>
      <c r="AD369" s="77" t="inlineStr">
        <is>
          <t>MOBO Awards, Saatchi &amp; Saatchi, Tesco, Lake District Tourism, plus SMEs and charities (as listed on Marketing with Psychology (Industry) page, undated)</t>
        </is>
      </c>
      <c r="AE369" s="77" t="inlineStr">
        <is>
          <t>Group research report/presentation to client</t>
        </is>
      </c>
      <c r="AF369" s="77">
        <f>IF(OR(V369="No",X369="No",Z369="No"),"Outside strict definition",IF(AND(V369="Yes",X369="Yes",Z369="Yes"),"Meets all three","Potentially relevant; evidence incomplete"))</f>
        <v/>
      </c>
      <c r="AG369" s="77" t="inlineStr">
        <is>
          <t>Current status unclear</t>
        </is>
      </c>
      <c r="AH369" s="77" t="inlineStr">
        <is>
          <t>2026 entry page</t>
        </is>
      </c>
      <c r="AI369" s="77" t="inlineStr">
        <is>
          <t>Yes</t>
        </is>
      </c>
      <c r="AJ369" s="77">
        <f>IF(AND(AI369="Yes",AF369="Meets all three",AG369="Current delivery confirmed"),"Yes","No")</f>
        <v/>
      </c>
      <c r="AK369" s="77" t="inlineStr"/>
      <c r="AL369" s="77" t="inlineStr">
        <is>
          <t>UK03-S02-R1; UK03-S02-R2; UK03-S02-R3</t>
        </is>
      </c>
      <c r="AM369"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369" s="77" t="inlineStr"/>
      <c r="AO369" s="77" t="inlineStr">
        <is>
          <t>UK</t>
        </is>
      </c>
      <c r="AP369" s="77" t="inlineStr">
        <is>
          <t>UK – additional</t>
        </is>
      </c>
      <c r="AQ369" s="77" t="inlineStr">
        <is>
          <t>~1 term/semester</t>
        </is>
      </c>
      <c r="AR369" s="77" t="inlineStr">
        <is>
          <t>All/standard</t>
        </is>
      </c>
      <c r="AS369" s="77" t="inlineStr"/>
    </row>
    <row r="370">
      <c r="A370" s="77" t="inlineStr">
        <is>
          <t>UK03</t>
        </is>
      </c>
      <c r="B370" s="77" t="inlineStr">
        <is>
          <t>Lancaster</t>
        </is>
      </c>
      <c r="C370" s="77" t="inlineStr">
        <is>
          <t>Programme/course</t>
        </is>
      </c>
      <c r="D370" s="77" t="inlineStr">
        <is>
          <t>UK03-S03</t>
        </is>
      </c>
      <c r="E370" s="77" t="inlineStr">
        <is>
          <t>UK03-S01</t>
        </is>
      </c>
      <c r="F370" s="77" t="inlineStr">
        <is>
          <t>No</t>
        </is>
      </c>
      <c r="G370" s="79" t="inlineStr">
        <is>
          <t>Design Consultancy (BA Design; Marketing and Design BSc)</t>
        </is>
      </c>
      <c r="H370" s="77" t="inlineStr"/>
      <c r="I370" s="77" t="inlineStr"/>
      <c r="J370"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370" s="77" t="inlineStr">
        <is>
          <t>Lancaster Institute for Contemporary Arts / Design (Faculty of Humanities, Arts and Social Sciences); Marketing and Design jointly with LUMS</t>
        </is>
      </c>
      <c r="L370" s="77" t="inlineStr">
        <is>
          <t>BA Design (W281) and variants; Marketing and Design BSc (NW52)</t>
        </is>
      </c>
      <c r="M370" s="77" t="inlineStr">
        <is>
          <t>Arts/humanities/social sciences; Other (law, health, design, architecture…)</t>
        </is>
      </c>
      <c r="N370" s="77" t="inlineStr">
        <is>
          <t>Undergraduate</t>
        </is>
      </c>
      <c r="O370" s="77" t="inlineStr">
        <is>
          <t>Final year</t>
        </is>
      </c>
      <c r="P370" s="77" t="inlineStr"/>
      <c r="Q370" s="77" t="inlineStr">
        <is>
          <t>Compulsory within specified programmes</t>
        </is>
      </c>
      <c r="R370" s="77" t="inlineStr">
        <is>
          <t>Curricular</t>
        </is>
      </c>
      <c r="S370" s="77" t="inlineStr"/>
      <c r="T370" s="77" t="inlineStr">
        <is>
          <t>Entire final year (stated on Study Abroad variant page)</t>
        </is>
      </c>
      <c r="U370" s="77" t="inlineStr"/>
      <c r="V370" s="77" t="inlineStr">
        <is>
          <t>Yes</t>
        </is>
      </c>
      <c r="W370" s="77" t="inlineStr">
        <is>
          <t>Live project with a real client delivering creative solutions (src 1).</t>
        </is>
      </c>
      <c r="X370" s="77" t="inlineStr">
        <is>
          <t>Yes</t>
        </is>
      </c>
      <c r="Y370" s="77" t="inlineStr">
        <is>
          <t>'In a team, you will tackle real business challenges'; aligned with 'your team's strengths' (src 1).</t>
        </is>
      </c>
      <c r="Z370" s="77" t="inlineStr">
        <is>
          <t>Yes</t>
        </is>
      </c>
      <c r="AA370" s="77" t="inlineStr">
        <is>
          <t>Briefs are shaped with the client; students manage client relationships (src 1).</t>
        </is>
      </c>
      <c r="AB370" s="77" t="inlineStr">
        <is>
          <t>Unclear</t>
        </is>
      </c>
      <c r="AC370" s="77" t="inlineStr">
        <is>
          <t>Real client shapes brief</t>
        </is>
      </c>
      <c r="AD370" s="77" t="inlineStr"/>
      <c r="AE370" s="77" t="inlineStr">
        <is>
          <t>Design solution/research for client</t>
        </is>
      </c>
      <c r="AF370" s="77">
        <f>IF(OR(V370="No",X370="No",Z370="No"),"Outside strict definition",IF(AND(V370="Yes",X370="Yes",Z370="Yes"),"Meets all three","Potentially relevant; evidence incomplete"))</f>
        <v/>
      </c>
      <c r="AG370" s="77" t="inlineStr">
        <is>
          <t>Current status unclear</t>
        </is>
      </c>
      <c r="AH370" s="77" t="inlineStr">
        <is>
          <t>2026 entry page</t>
        </is>
      </c>
      <c r="AI370" s="77" t="inlineStr">
        <is>
          <t>Yes</t>
        </is>
      </c>
      <c r="AJ370" s="77">
        <f>IF(AND(AI370="Yes",AF370="Meets all three",AG370="Current delivery confirmed"),"Yes","No")</f>
        <v/>
      </c>
      <c r="AK370" s="77" t="inlineStr"/>
      <c r="AL370" s="77" t="inlineStr">
        <is>
          <t>UK03-S03-R1; UK03-S03-R2; UK03-S03-R3</t>
        </is>
      </c>
      <c r="AM370" s="77" t="inlineStr">
        <is>
          <t>Client sectors/names not retrieved; credit not retrieved; no cohort/dated delivery evidence beyond 2026-entry course pages.</t>
        </is>
      </c>
      <c r="AN370" s="77" t="inlineStr"/>
      <c r="AO370" s="77" t="inlineStr">
        <is>
          <t>UK</t>
        </is>
      </c>
      <c r="AP370" s="77" t="inlineStr">
        <is>
          <t>UK – additional</t>
        </is>
      </c>
      <c r="AQ370" s="77" t="inlineStr">
        <is>
          <t>&gt;1 term</t>
        </is>
      </c>
      <c r="AR370" s="77" t="inlineStr">
        <is>
          <t>All/standard</t>
        </is>
      </c>
      <c r="AS370" s="77" t="inlineStr"/>
    </row>
    <row r="371">
      <c r="A371" s="77" t="inlineStr">
        <is>
          <t>UK03</t>
        </is>
      </c>
      <c r="B371" s="77" t="inlineStr">
        <is>
          <t>Lancaster</t>
        </is>
      </c>
      <c r="C371" s="77" t="inlineStr">
        <is>
          <t>Programme/course</t>
        </is>
      </c>
      <c r="D371" s="77" t="inlineStr">
        <is>
          <t>UK03-S04</t>
        </is>
      </c>
      <c r="E371" s="77" t="inlineStr">
        <is>
          <t>UK03-S01</t>
        </is>
      </c>
      <c r="F371" s="77" t="inlineStr">
        <is>
          <t>No</t>
        </is>
      </c>
      <c r="G371" s="79" t="inlineStr">
        <is>
          <t>MBA Consultancy Challenge and Corporate Challenge (Lancaster MBA)</t>
        </is>
      </c>
      <c r="H371" s="77" t="inlineStr"/>
      <c r="I371" s="77" t="inlineStr"/>
      <c r="J371" s="77" t="inlineStr">
        <is>
          <t>Action-learning MBA challenge in which teams act as consultants to a client organisation, analyse a problem and develop implementable recommendations; the programme culminates in a Corporate Challenge consultancy project for a major firm.</t>
        </is>
      </c>
      <c r="K371" s="77" t="inlineStr">
        <is>
          <t>LUMS MBA</t>
        </is>
      </c>
      <c r="L371" s="77" t="inlineStr">
        <is>
          <t>Lancaster MBA (full-time); Executive MBA has a similar group consultancy challenge</t>
        </is>
      </c>
      <c r="M371" s="77" t="inlineStr">
        <is>
          <t>Business/management</t>
        </is>
      </c>
      <c r="N371" s="77" t="inlineStr">
        <is>
          <t>Postgraduate taught</t>
        </is>
      </c>
      <c r="O371" s="77" t="inlineStr"/>
      <c r="P371" s="77" t="inlineStr"/>
      <c r="Q371" s="77" t="inlineStr">
        <is>
          <t>Compulsory within specified programmes</t>
        </is>
      </c>
      <c r="R371" s="77" t="inlineStr">
        <is>
          <t>Curricular</t>
        </is>
      </c>
      <c r="S371" s="77" t="inlineStr"/>
      <c r="T371" s="77" t="inlineStr">
        <is>
          <t>Fixed points in programme (not retrieved)</t>
        </is>
      </c>
      <c r="U371" s="77" t="inlineStr"/>
      <c r="V371" s="77" t="inlineStr">
        <is>
          <t>Yes</t>
        </is>
      </c>
      <c r="W371" s="77" t="inlineStr">
        <is>
          <t>Analyse a problem for a client organisation and develop recommendations (src 1).</t>
        </is>
      </c>
      <c r="X371" s="77" t="inlineStr">
        <is>
          <t>Yes</t>
        </is>
      </c>
      <c r="Y371" s="77" t="inlineStr">
        <is>
          <t>'Teams of students' act as consultants; one blog describes 10 teams of 4-5 (older) (src 1).</t>
        </is>
      </c>
      <c r="Z371" s="77" t="inlineStr">
        <is>
          <t>Yes</t>
        </is>
      </c>
      <c r="AA371" s="77" t="inlineStr">
        <is>
          <t>Client organisation supplies the problem and receives recommendations; RSPCA testimonial praises an MBA student team (src 1, 2).</t>
        </is>
      </c>
      <c r="AB371" s="77" t="inlineStr">
        <is>
          <t>Mixed</t>
        </is>
      </c>
      <c r="AC371" s="77" t="inlineStr">
        <is>
          <t>Client organisation sets problem</t>
        </is>
      </c>
      <c r="AD371" s="77" t="inlineStr"/>
      <c r="AE371" s="77" t="inlineStr">
        <is>
          <t>Consultancy recommendations to client</t>
        </is>
      </c>
      <c r="AF371" s="77">
        <f>IF(OR(V371="No",X371="No",Z371="No"),"Outside strict definition",IF(AND(V371="Yes",X371="Yes",Z371="Yes"),"Meets all three","Potentially relevant; evidence incomplete"))</f>
        <v/>
      </c>
      <c r="AG371" s="77" t="inlineStr">
        <is>
          <t>Current status unclear</t>
        </is>
      </c>
      <c r="AH371" s="77" t="inlineStr">
        <is>
          <t>undated</t>
        </is>
      </c>
      <c r="AI371" s="77" t="inlineStr">
        <is>
          <t>Yes</t>
        </is>
      </c>
      <c r="AJ371" s="77">
        <f>IF(AND(AI371="Yes",AF371="Meets all three",AG371="Current delivery confirmed"),"Yes","No")</f>
        <v/>
      </c>
      <c r="AK371" s="77" t="inlineStr"/>
      <c r="AL371" s="77" t="inlineStr">
        <is>
          <t>UK03-S04-R1; UK03-S04-R2</t>
        </is>
      </c>
      <c r="AM371" s="77" t="inlineStr">
        <is>
          <t>Pages undated; module name/credit/team size for current MBA not confirmed; Executive MBA version says 'real-life problem or business simulation' (Unclear).</t>
        </is>
      </c>
      <c r="AN371" s="77" t="inlineStr"/>
      <c r="AO371" s="77" t="inlineStr">
        <is>
          <t>UK</t>
        </is>
      </c>
      <c r="AP371" s="77" t="inlineStr">
        <is>
          <t>UK – additional</t>
        </is>
      </c>
      <c r="AQ371" s="77" t="inlineStr">
        <is>
          <t>Unclear</t>
        </is>
      </c>
      <c r="AR371" s="77" t="inlineStr">
        <is>
          <t>All/standard</t>
        </is>
      </c>
      <c r="AS371" s="77" t="inlineStr"/>
    </row>
    <row r="372">
      <c r="A372" s="77" t="inlineStr">
        <is>
          <t>UK03</t>
        </is>
      </c>
      <c r="B372" s="77" t="inlineStr">
        <is>
          <t>Lancaster</t>
        </is>
      </c>
      <c r="C372" s="77" t="inlineStr">
        <is>
          <t>Programme/course</t>
        </is>
      </c>
      <c r="D372" s="77" t="inlineStr">
        <is>
          <t>UK03-S05</t>
        </is>
      </c>
      <c r="E372" s="77" t="inlineStr">
        <is>
          <t>UK03-S01</t>
        </is>
      </c>
      <c r="F372" s="77" t="inlineStr">
        <is>
          <t>No</t>
        </is>
      </c>
      <c r="G372" s="79" t="inlineStr">
        <is>
          <t>Company-based group project (MSc Advanced Management, Consulting and Change)</t>
        </is>
      </c>
      <c r="H372" s="77" t="inlineStr"/>
      <c r="I372" s="77" t="inlineStr"/>
      <c r="J372"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372" s="77" t="inlineStr">
        <is>
          <t>LUMS Organisation, Work and Technology</t>
        </is>
      </c>
      <c r="L372" s="77" t="inlineStr">
        <is>
          <t>MSc Advanced Management, Consulting and Change</t>
        </is>
      </c>
      <c r="M372" s="77" t="inlineStr">
        <is>
          <t>Business/management</t>
        </is>
      </c>
      <c r="N372" s="77" t="inlineStr">
        <is>
          <t>Postgraduate taught</t>
        </is>
      </c>
      <c r="O372" s="77" t="inlineStr"/>
      <c r="P372" s="77" t="inlineStr"/>
      <c r="Q372" s="77" t="inlineStr">
        <is>
          <t>Optional/elective</t>
        </is>
      </c>
      <c r="R372" s="77" t="inlineStr">
        <is>
          <t>Curricular</t>
        </is>
      </c>
      <c r="S372" s="77" t="inlineStr"/>
      <c r="T372" s="77" t="inlineStr">
        <is>
          <t>Dissertation period (not retrieved)</t>
        </is>
      </c>
      <c r="U372" s="77" t="inlineStr"/>
      <c r="V372" s="77" t="inlineStr">
        <is>
          <t>Yes</t>
        </is>
      </c>
      <c r="W372" s="77" t="inlineStr">
        <is>
          <t>Company-based project as dissertation option (src 1).</t>
        </is>
      </c>
      <c r="X372" s="77" t="inlineStr">
        <is>
          <t>Yes</t>
        </is>
      </c>
      <c r="Y372" s="77" t="inlineStr">
        <is>
          <t>'working in groups and in collaboration with an industry partner' (src 1).</t>
        </is>
      </c>
      <c r="Z372" s="77" t="inlineStr">
        <is>
          <t>Yes</t>
        </is>
      </c>
      <c r="AA372" s="77" t="inlineStr">
        <is>
          <t>Industry partner collaborates on the company-based project (src 1).</t>
        </is>
      </c>
      <c r="AB372" s="77" t="inlineStr">
        <is>
          <t>Business/commercial</t>
        </is>
      </c>
      <c r="AC372" s="77" t="inlineStr">
        <is>
          <t>Industry partner collaborates; clients assigned</t>
        </is>
      </c>
      <c r="AD372" s="77" t="inlineStr"/>
      <c r="AE372" s="77" t="inlineStr">
        <is>
          <t>Group company report/consulting intervention</t>
        </is>
      </c>
      <c r="AF372" s="77">
        <f>IF(OR(V372="No",X372="No",Z372="No"),"Outside strict definition",IF(AND(V372="Yes",X372="Yes",Z372="Yes"),"Meets all three","Potentially relevant; evidence incomplete"))</f>
        <v/>
      </c>
      <c r="AG372" s="77" t="inlineStr">
        <is>
          <t>Current delivery confirmed</t>
        </is>
      </c>
      <c r="AH372" s="77" t="inlineStr">
        <is>
          <t>2026/27 (2026-entry course page)</t>
        </is>
      </c>
      <c r="AI372" s="77" t="inlineStr">
        <is>
          <t>Yes</t>
        </is>
      </c>
      <c r="AJ372" s="77">
        <f>IF(AND(AI372="Yes",AF372="Meets all three",AG372="Current delivery confirmed"),"Yes","No")</f>
        <v/>
      </c>
      <c r="AK372" s="77" t="inlineStr"/>
      <c r="AL372" s="77" t="inlineStr">
        <is>
          <t>UK03-S05-R1</t>
        </is>
      </c>
      <c r="AM372" s="77" t="inlineStr">
        <is>
          <t>Group formation process is from the sister MSc Management blog; module code/credit not retrieved. Programme described as evolved from MA Human Resources and Consulting.</t>
        </is>
      </c>
      <c r="AN372" s="77" t="inlineStr"/>
      <c r="AO372" s="77" t="inlineStr">
        <is>
          <t>UK</t>
        </is>
      </c>
      <c r="AP372" s="77" t="inlineStr">
        <is>
          <t>UK – additional</t>
        </is>
      </c>
      <c r="AQ372" s="77" t="inlineStr">
        <is>
          <t>Unclear</t>
        </is>
      </c>
      <c r="AR372" s="77" t="inlineStr">
        <is>
          <t>All/standard</t>
        </is>
      </c>
      <c r="AS372" s="77" t="inlineStr"/>
    </row>
    <row r="373">
      <c r="A373" s="77" t="inlineStr">
        <is>
          <t>UK03</t>
        </is>
      </c>
      <c r="B373" s="77" t="inlineStr">
        <is>
          <t>Lancaster</t>
        </is>
      </c>
      <c r="C373" s="77" t="inlineStr">
        <is>
          <t>Programme/course</t>
        </is>
      </c>
      <c r="D373" s="77" t="inlineStr">
        <is>
          <t>UK03-S06</t>
        </is>
      </c>
      <c r="E373" s="77" t="inlineStr">
        <is>
          <t>UK03-S01</t>
        </is>
      </c>
      <c r="F373" s="77" t="inlineStr">
        <is>
          <t>No</t>
        </is>
      </c>
      <c r="G373" s="79" t="inlineStr">
        <is>
          <t>Organisational Diagnosis and Consulting live project (MA Human Resources and Consulting)</t>
        </is>
      </c>
      <c r="H373" s="77" t="inlineStr"/>
      <c r="I373" s="77" t="inlineStr"/>
      <c r="J373"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373" s="77" t="inlineStr">
        <is>
          <t>LUMS Organisation, Work and Technology</t>
        </is>
      </c>
      <c r="L373" s="77" t="inlineStr">
        <is>
          <t>MA Human Resources and Consulting</t>
        </is>
      </c>
      <c r="M373" s="77" t="inlineStr">
        <is>
          <t>Business/management</t>
        </is>
      </c>
      <c r="N373" s="77" t="inlineStr">
        <is>
          <t>Postgraduate taught</t>
        </is>
      </c>
      <c r="O373" s="77" t="inlineStr"/>
      <c r="P373" s="77" t="inlineStr"/>
      <c r="Q373" s="77" t="inlineStr">
        <is>
          <t>Compulsory within specified programmes</t>
        </is>
      </c>
      <c r="R373" s="77" t="inlineStr">
        <is>
          <t>Curricular</t>
        </is>
      </c>
      <c r="S373" s="77" t="inlineStr"/>
      <c r="T373" s="77" t="inlineStr">
        <is>
          <t>8-10 weeks in Term 2 (sources differ: 8 weeks; 10 weeks)</t>
        </is>
      </c>
      <c r="U373" s="77" t="inlineStr"/>
      <c r="V373" s="77" t="inlineStr">
        <is>
          <t>Yes</t>
        </is>
      </c>
      <c r="W373" s="77" t="inlineStr">
        <is>
          <t>Live consultancy brief (src 1).</t>
        </is>
      </c>
      <c r="X373" s="77" t="inlineStr">
        <is>
          <t>Yes</t>
        </is>
      </c>
      <c r="Y373" s="77" t="inlineStr">
        <is>
          <t>Teams of six-eight (src 1).</t>
        </is>
      </c>
      <c r="Z373" s="77" t="inlineStr">
        <is>
          <t>Yes</t>
        </is>
      </c>
      <c r="AA373" s="77" t="inlineStr">
        <is>
          <t>Client organisation (private/public sector) provides live brief (src 1, 2).</t>
        </is>
      </c>
      <c r="AB373" s="77" t="inlineStr">
        <is>
          <t>Mixed</t>
        </is>
      </c>
      <c r="AC373" s="77" t="inlineStr">
        <is>
          <t>Client sets HR brief</t>
        </is>
      </c>
      <c r="AD373" s="77" t="inlineStr"/>
      <c r="AE373" s="77" t="inlineStr">
        <is>
          <t>Diagnosis and recommendations to client</t>
        </is>
      </c>
      <c r="AF373" s="77">
        <f>IF(OR(V373="No",X373="No",Z373="No"),"Outside strict definition",IF(AND(V373="Yes",X373="Yes",Z373="Yes"),"Meets all three","Potentially relevant; evidence incomplete"))</f>
        <v/>
      </c>
      <c r="AG373" s="77" t="inlineStr">
        <is>
          <t>Current delivery confirmed</t>
        </is>
      </c>
      <c r="AH373" s="77" t="inlineStr">
        <is>
          <t>2025/26 (2025-entry page)</t>
        </is>
      </c>
      <c r="AI373" s="77" t="inlineStr">
        <is>
          <t>No</t>
        </is>
      </c>
      <c r="AJ373" s="77">
        <f>IF(AND(AI373="Yes",AF373="Meets all three",AG373="Current delivery confirmed"),"Yes","No")</f>
        <v/>
      </c>
      <c r="AK373" s="77" t="inlineStr"/>
      <c r="AL373" s="77" t="inlineStr">
        <is>
          <t>UK03-S06-R1; UK03-S06-R2</t>
        </is>
      </c>
      <c r="AM373" s="77" t="inlineStr">
        <is>
          <t>Search summary indicates the MA has been succeeded by MSc Advanced Management, Consulting and Change (S5), so this may be discontinued for 2026 entry; flagged as probable predecessor of S5 and not to be double counted.</t>
        </is>
      </c>
      <c r="AN373" s="77" t="inlineStr"/>
      <c r="AO373" s="77" t="inlineStr">
        <is>
          <t>UK</t>
        </is>
      </c>
      <c r="AP373" s="77" t="inlineStr">
        <is>
          <t>UK – additional</t>
        </is>
      </c>
      <c r="AQ373" s="77" t="inlineStr">
        <is>
          <t>~1 term/semester</t>
        </is>
      </c>
      <c r="AR373" s="77" t="inlineStr">
        <is>
          <t>All/standard</t>
        </is>
      </c>
      <c r="AS373" s="77" t="inlineStr">
        <is>
          <t>No (possible duplicate of UK03-S05)</t>
        </is>
      </c>
    </row>
    <row r="374">
      <c r="A374" s="77" t="inlineStr">
        <is>
          <t>UK03</t>
        </is>
      </c>
      <c r="B374" s="77" t="inlineStr">
        <is>
          <t>Lancaster</t>
        </is>
      </c>
      <c r="C374" s="77" t="inlineStr">
        <is>
          <t>Programme/course</t>
        </is>
      </c>
      <c r="D374" s="77" t="inlineStr">
        <is>
          <t>UK03-S07</t>
        </is>
      </c>
      <c r="E374" s="77" t="inlineStr">
        <is>
          <t>UK03-S01</t>
        </is>
      </c>
      <c r="F374" s="77" t="inlineStr">
        <is>
          <t>No</t>
        </is>
      </c>
      <c r="G374" s="79" t="inlineStr">
        <is>
          <t>Company-based project (MSc Management)</t>
        </is>
      </c>
      <c r="H374" s="77" t="inlineStr"/>
      <c r="I374" s="77" t="inlineStr"/>
      <c r="J374"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374" s="77" t="inlineStr">
        <is>
          <t>LUMS</t>
        </is>
      </c>
      <c r="L374" s="77" t="inlineStr">
        <is>
          <t>MSc Management (MiM) and sibling Management MSc programmes (International Business and Strategic Management; Management and AI pages also appear)</t>
        </is>
      </c>
      <c r="M374" s="77" t="inlineStr">
        <is>
          <t>Business/management</t>
        </is>
      </c>
      <c r="N374" s="77" t="inlineStr">
        <is>
          <t>Postgraduate taught</t>
        </is>
      </c>
      <c r="O374" s="77" t="inlineStr"/>
      <c r="P374" s="77" t="inlineStr"/>
      <c r="Q374" s="77" t="inlineStr">
        <is>
          <t>Optional/elective</t>
        </is>
      </c>
      <c r="R374" s="77" t="inlineStr">
        <is>
          <t>Curricular</t>
        </is>
      </c>
      <c r="S374" s="77" t="inlineStr"/>
      <c r="T374" s="77" t="inlineStr">
        <is>
          <t>Not retrieved</t>
        </is>
      </c>
      <c r="U374" s="77" t="inlineStr"/>
      <c r="V374" s="77" t="inlineStr">
        <is>
          <t>Yes</t>
        </is>
      </c>
      <c r="W374" s="77" t="inlineStr">
        <is>
          <t>Assessed company report on a live business issue (src 1).</t>
        </is>
      </c>
      <c r="X374" s="77" t="inlineStr">
        <is>
          <t>Yes</t>
        </is>
      </c>
      <c r="Y374" s="77" t="inlineStr">
        <is>
          <t>Team of four students (src 1).</t>
        </is>
      </c>
      <c r="Z374" s="77" t="inlineStr">
        <is>
          <t>Yes</t>
        </is>
      </c>
      <c r="AA374" s="77" t="inlineStr">
        <is>
          <t>Live issue for a local firm; clients assigned by department (src 1, 2).</t>
        </is>
      </c>
      <c r="AB374" s="77" t="inlineStr">
        <is>
          <t>Business/commercial</t>
        </is>
      </c>
      <c r="AC374" s="77" t="inlineStr">
        <is>
          <t>Firm supplies live issue</t>
        </is>
      </c>
      <c r="AD374" s="77" t="inlineStr"/>
      <c r="AE374" s="77" t="inlineStr">
        <is>
          <t>Company report</t>
        </is>
      </c>
      <c r="AF374" s="77">
        <f>IF(OR(V374="No",X374="No",Z374="No"),"Outside strict definition",IF(AND(V374="Yes",X374="Yes",Z374="Yes"),"Meets all three","Potentially relevant; evidence incomplete"))</f>
        <v/>
      </c>
      <c r="AG374" s="77" t="inlineStr">
        <is>
          <t>Current status unclear</t>
        </is>
      </c>
      <c r="AH374" s="77" t="inlineStr">
        <is>
          <t>undated (2027-entry pages exist)</t>
        </is>
      </c>
      <c r="AI374" s="77" t="inlineStr">
        <is>
          <t>Yes</t>
        </is>
      </c>
      <c r="AJ374" s="77">
        <f>IF(AND(AI374="Yes",AF374="Meets all three",AG374="Current delivery confirmed"),"Yes","No")</f>
        <v/>
      </c>
      <c r="AK374" s="77" t="inlineStr"/>
      <c r="AL374" s="77" t="inlineStr">
        <is>
          <t>UK03-S07-R1; UK03-S07-R2</t>
        </is>
      </c>
      <c r="AM374" s="77" t="inlineStr">
        <is>
          <t>Programme page undated; group formation details come from a blog; other Management MSc variants not separately assessed.</t>
        </is>
      </c>
      <c r="AN374" s="77" t="inlineStr"/>
      <c r="AO374" s="77" t="inlineStr">
        <is>
          <t>UK</t>
        </is>
      </c>
      <c r="AP374" s="77" t="inlineStr">
        <is>
          <t>UK – additional</t>
        </is>
      </c>
      <c r="AQ374" s="77" t="inlineStr">
        <is>
          <t>Unclear</t>
        </is>
      </c>
      <c r="AR374" s="77" t="inlineStr">
        <is>
          <t>All/standard</t>
        </is>
      </c>
      <c r="AS374" s="77" t="inlineStr"/>
    </row>
    <row r="375">
      <c r="A375" s="77" t="inlineStr">
        <is>
          <t>UK03</t>
        </is>
      </c>
      <c r="B375" s="77" t="inlineStr">
        <is>
          <t>Lancaster</t>
        </is>
      </c>
      <c r="C375" s="77" t="inlineStr">
        <is>
          <t>Programme/course</t>
        </is>
      </c>
      <c r="D375" s="77" t="inlineStr">
        <is>
          <t>UK03-S08</t>
        </is>
      </c>
      <c r="E375" s="77" t="inlineStr">
        <is>
          <t>UK03-S01</t>
        </is>
      </c>
      <c r="F375" s="77" t="inlineStr">
        <is>
          <t>No</t>
        </is>
      </c>
      <c r="G375" s="79" t="inlineStr">
        <is>
          <t>Action project / consultancy project (MSc Project Management)</t>
        </is>
      </c>
      <c r="H375" s="77" t="inlineStr"/>
      <c r="I375" s="77" t="inlineStr"/>
      <c r="J375" s="77" t="inlineStr">
        <is>
          <t>Dissertation alternative: an industry action project with a real outcome, usually in groups of two to three (pairs/triples), or consultancy project with SMEs; the individual dissertation is a reflection on the project.</t>
        </is>
      </c>
      <c r="K375" s="77" t="inlineStr">
        <is>
          <t>LUMS / National Centre for Project Management</t>
        </is>
      </c>
      <c r="L375" s="77" t="inlineStr">
        <is>
          <t>MSc Project Management</t>
        </is>
      </c>
      <c r="M375" s="77" t="inlineStr">
        <is>
          <t>Business/management</t>
        </is>
      </c>
      <c r="N375" s="77" t="inlineStr">
        <is>
          <t>Postgraduate taught</t>
        </is>
      </c>
      <c r="O375" s="77" t="inlineStr"/>
      <c r="P375" s="77" t="inlineStr"/>
      <c r="Q375" s="77" t="inlineStr">
        <is>
          <t>Optional/elective</t>
        </is>
      </c>
      <c r="R375" s="77" t="inlineStr">
        <is>
          <t>Curricular</t>
        </is>
      </c>
      <c r="S375" s="77" t="inlineStr"/>
      <c r="T375" s="77" t="inlineStr">
        <is>
          <t>Dissertation period (not retrieved)</t>
        </is>
      </c>
      <c r="U375" s="77" t="inlineStr"/>
      <c r="V375" s="77" t="inlineStr">
        <is>
          <t>Yes</t>
        </is>
      </c>
      <c r="W375" s="77" t="inlineStr">
        <is>
          <t>Industry project with a real outcome (src 1).</t>
        </is>
      </c>
      <c r="X375" s="77" t="inlineStr">
        <is>
          <t>Yes</t>
        </is>
      </c>
      <c r="Y375" s="77" t="inlineStr">
        <is>
          <t>'usually done in groups of two to three' (src 1; pairs count as group; 'usually' noted).</t>
        </is>
      </c>
      <c r="Z375" s="77" t="inlineStr">
        <is>
          <t>Yes</t>
        </is>
      </c>
      <c r="AA375" s="77" t="inlineStr">
        <is>
          <t>Consultancy project with SMEs / industry partner (src 1, 2).</t>
        </is>
      </c>
      <c r="AB375" s="77" t="inlineStr">
        <is>
          <t>Business/commercial</t>
        </is>
      </c>
      <c r="AC375" s="77" t="inlineStr">
        <is>
          <t>SMEs/industry partner host project</t>
        </is>
      </c>
      <c r="AD375" s="77" t="inlineStr"/>
      <c r="AE375" s="77" t="inlineStr">
        <is>
          <t>Project outcome plus individual reflective dissertation</t>
        </is>
      </c>
      <c r="AF375" s="77">
        <f>IF(OR(V375="No",X375="No",Z375="No"),"Outside strict definition",IF(AND(V375="Yes",X375="Yes",Z375="Yes"),"Meets all three","Potentially relevant; evidence incomplete"))</f>
        <v/>
      </c>
      <c r="AG375" s="77" t="inlineStr">
        <is>
          <t>Current delivery confirmed</t>
        </is>
      </c>
      <c r="AH375" s="77" t="inlineStr">
        <is>
          <t>2026/27 (2026-entry page)</t>
        </is>
      </c>
      <c r="AI375" s="77" t="inlineStr">
        <is>
          <t>Yes</t>
        </is>
      </c>
      <c r="AJ375" s="77">
        <f>IF(AND(AI375="Yes",AF375="Meets all three",AG375="Current delivery confirmed"),"Yes","No")</f>
        <v/>
      </c>
      <c r="AK375" s="77" t="inlineStr"/>
      <c r="AL375" s="77" t="inlineStr">
        <is>
          <t>UK03-S08-R1; UK03-S08-R2</t>
        </is>
      </c>
      <c r="AM375" s="77" t="inlineStr">
        <is>
          <t>Individual-only possibility ('usually') not fully excluded; sources are search summaries.</t>
        </is>
      </c>
      <c r="AN375" s="77" t="inlineStr"/>
      <c r="AO375" s="77" t="inlineStr">
        <is>
          <t>UK</t>
        </is>
      </c>
      <c r="AP375" s="77" t="inlineStr">
        <is>
          <t>UK – additional</t>
        </is>
      </c>
      <c r="AQ375" s="77" t="inlineStr">
        <is>
          <t>Unclear</t>
        </is>
      </c>
      <c r="AR375" s="77" t="inlineStr">
        <is>
          <t>All/standard</t>
        </is>
      </c>
      <c r="AS375" s="77" t="inlineStr"/>
    </row>
    <row r="376">
      <c r="A376" s="77" t="inlineStr">
        <is>
          <t>UK03</t>
        </is>
      </c>
      <c r="B376" s="77" t="inlineStr">
        <is>
          <t>Lancaster</t>
        </is>
      </c>
      <c r="C376" s="77" t="inlineStr">
        <is>
          <t>Programme/course</t>
        </is>
      </c>
      <c r="D376" s="77" t="inlineStr">
        <is>
          <t>UK03-S09</t>
        </is>
      </c>
      <c r="E376" s="77" t="inlineStr">
        <is>
          <t>UK03-S01</t>
        </is>
      </c>
      <c r="F376" s="77" t="inlineStr">
        <is>
          <t>No</t>
        </is>
      </c>
      <c r="G376" s="79" t="inlineStr">
        <is>
          <t>Company Commissioned Dissertation (MSc Digital and Social Media Marketing)</t>
        </is>
      </c>
      <c r="H376" s="77" t="inlineStr"/>
      <c r="I376" s="77" t="inlineStr"/>
      <c r="J376" s="77" t="inlineStr">
        <is>
          <t>Final assessment is a live client consultancy project: self-selected student team works with a company client and supervisor, addresses a real business challenge and may present findings to the client.</t>
        </is>
      </c>
      <c r="K376" s="77" t="inlineStr">
        <is>
          <t>LUMS Department of Marketing</t>
        </is>
      </c>
      <c r="L376" s="77" t="inlineStr">
        <is>
          <t>MSc Digital and Social Media Marketing (other Marketing MSc pages mention optional live dissertations)</t>
        </is>
      </c>
      <c r="M376" s="77" t="inlineStr">
        <is>
          <t>Business/management</t>
        </is>
      </c>
      <c r="N376" s="77" t="inlineStr">
        <is>
          <t>Postgraduate taught</t>
        </is>
      </c>
      <c r="O376" s="77" t="inlineStr"/>
      <c r="P376" s="77" t="inlineStr"/>
      <c r="Q376" s="77" t="inlineStr">
        <is>
          <t>Compulsory within specified programmes</t>
        </is>
      </c>
      <c r="R376" s="77" t="inlineStr">
        <is>
          <t>Curricular</t>
        </is>
      </c>
      <c r="S376" s="77" t="inlineStr"/>
      <c r="T376" s="77" t="inlineStr">
        <is>
          <t>Dissertation period (not retrieved)</t>
        </is>
      </c>
      <c r="U376" s="77" t="inlineStr"/>
      <c r="V376" s="77" t="inlineStr">
        <is>
          <t>Yes</t>
        </is>
      </c>
      <c r="W376" s="77" t="inlineStr">
        <is>
          <t>Real business challenge; findings presented to client (src 1).</t>
        </is>
      </c>
      <c r="X376" s="77" t="inlineStr">
        <is>
          <t>Yes</t>
        </is>
      </c>
      <c r="Y376" s="77" t="inlineStr">
        <is>
          <t>'self-selected team' (src 1).</t>
        </is>
      </c>
      <c r="Z376" s="77" t="inlineStr">
        <is>
          <t>Yes</t>
        </is>
      </c>
      <c r="AA376" s="77" t="inlineStr">
        <is>
          <t>Company client with supervisor input; may present to client (src 1).</t>
        </is>
      </c>
      <c r="AB376" s="77" t="inlineStr">
        <is>
          <t>Business/commercial</t>
        </is>
      </c>
      <c r="AC376" s="77" t="inlineStr">
        <is>
          <t>Company client</t>
        </is>
      </c>
      <c r="AD376" s="77" t="inlineStr"/>
      <c r="AE376" s="77" t="inlineStr">
        <is>
          <t>Company-commissioned dissertation report/presentation</t>
        </is>
      </c>
      <c r="AF376" s="77">
        <f>IF(OR(V376="No",X376="No",Z376="No"),"Outside strict definition",IF(AND(V376="Yes",X376="Yes",Z376="Yes"),"Meets all three","Potentially relevant; evidence incomplete"))</f>
        <v/>
      </c>
      <c r="AG376" s="77" t="inlineStr">
        <is>
          <t>Current delivery confirmed</t>
        </is>
      </c>
      <c r="AH376" s="77" t="inlineStr">
        <is>
          <t>2026/27 (2026-entry page)</t>
        </is>
      </c>
      <c r="AI376" s="77" t="inlineStr">
        <is>
          <t>Yes</t>
        </is>
      </c>
      <c r="AJ376" s="77">
        <f>IF(AND(AI376="Yes",AF376="Meets all three",AG376="Current delivery confirmed"),"Yes","No")</f>
        <v/>
      </c>
      <c r="AK376" s="77" t="inlineStr"/>
      <c r="AL376" s="77" t="inlineStr">
        <is>
          <t>UK03-S09-R1</t>
        </is>
      </c>
      <c r="AM376" s="77" t="inlineStr">
        <is>
          <t>Whether CCD is compulsory vs one of options not fully clear; exact weighting not retrieved. Search summary only.</t>
        </is>
      </c>
      <c r="AN376" s="77" t="inlineStr"/>
      <c r="AO376" s="77" t="inlineStr">
        <is>
          <t>UK</t>
        </is>
      </c>
      <c r="AP376" s="77" t="inlineStr">
        <is>
          <t>UK – additional</t>
        </is>
      </c>
      <c r="AQ376" s="77" t="inlineStr">
        <is>
          <t>Unclear</t>
        </is>
      </c>
      <c r="AR376" s="77" t="inlineStr">
        <is>
          <t>All/standard</t>
        </is>
      </c>
      <c r="AS376" s="77" t="inlineStr"/>
    </row>
    <row r="377">
      <c r="A377" s="77" t="inlineStr">
        <is>
          <t>UK03</t>
        </is>
      </c>
      <c r="B377" s="77" t="inlineStr">
        <is>
          <t>Lancaster</t>
        </is>
      </c>
      <c r="C377" s="77" t="inlineStr">
        <is>
          <t>Cross-faculty</t>
        </is>
      </c>
      <c r="D377" s="77" t="inlineStr">
        <is>
          <t>UK03-S10</t>
        </is>
      </c>
      <c r="E377" s="77" t="inlineStr"/>
      <c r="F377" s="77" t="inlineStr">
        <is>
          <t>No</t>
        </is>
      </c>
      <c r="G377" s="79" t="inlineStr">
        <is>
          <t>LUMS annual hackathon (MSc Digital Business, Innovation and Management) with Fujitsu/Heathrow</t>
        </is>
      </c>
      <c r="H377" s="77" t="inlineStr"/>
      <c r="I377" s="77" t="inlineStr"/>
      <c r="J377" s="77" t="inlineStr">
        <is>
          <t>Two-day annual hackathon: 32 students from MSc Project Management, DBIM and Cyber Security teams worked on an AI and cybersecurity challenge with Heathrow as client; Fujitsu and Heathrow executives gave talks; winning team sponsored by Fujitsu.</t>
        </is>
      </c>
      <c r="K377" s="77" t="inlineStr">
        <is>
          <t>LUMS (DBIM programme)</t>
        </is>
      </c>
      <c r="L377" s="77" t="inlineStr">
        <is>
          <t>Students on MSc PM, DBIM and Cyber Security</t>
        </is>
      </c>
      <c r="M377" s="77" t="inlineStr">
        <is>
          <t>Business/management; Engineering/computing</t>
        </is>
      </c>
      <c r="N377" s="77" t="inlineStr">
        <is>
          <t>Postgraduate taught</t>
        </is>
      </c>
      <c r="O377" s="77" t="inlineStr"/>
      <c r="P377" s="77" t="inlineStr"/>
      <c r="Q377" s="77" t="inlineStr">
        <is>
          <t>Unclear</t>
        </is>
      </c>
      <c r="R377" s="77" t="inlineStr">
        <is>
          <t>Mixed</t>
        </is>
      </c>
      <c r="S377" s="77" t="inlineStr"/>
      <c r="T377" s="77" t="inlineStr">
        <is>
          <t>2 days</t>
        </is>
      </c>
      <c r="U377" s="77" t="inlineStr"/>
      <c r="V377" s="77" t="inlineStr">
        <is>
          <t>Unclear</t>
        </is>
      </c>
      <c r="W377" s="77" t="inlineStr">
        <is>
          <t>Challenge with client; defined output for client not evidenced (src 1).</t>
        </is>
      </c>
      <c r="X377" s="77" t="inlineStr">
        <is>
          <t>Yes</t>
        </is>
      </c>
      <c r="Y377" s="77" t="inlineStr">
        <is>
          <t>Students worked in teams (src 1).</t>
        </is>
      </c>
      <c r="Z377" s="77" t="inlineStr">
        <is>
          <t>Yes</t>
        </is>
      </c>
      <c r="AA377" s="77" t="inlineStr">
        <is>
          <t>Heathrow as client; Fujitsu and Heathrow speakers; Fujitsu sponsors prize (src 1).</t>
        </is>
      </c>
      <c r="AB377" s="77" t="inlineStr">
        <is>
          <t>Business/commercial</t>
        </is>
      </c>
      <c r="AC377" s="77" t="inlineStr">
        <is>
          <t>Client sets challenge; sponsor</t>
        </is>
      </c>
      <c r="AD377" s="77" t="inlineStr">
        <is>
          <t>Heathrow, Fujitsu (April 2026)</t>
        </is>
      </c>
      <c r="AE377" s="77" t="inlineStr">
        <is>
          <t>Not specified</t>
        </is>
      </c>
      <c r="AF377" s="77">
        <f>IF(OR(V377="No",X377="No",Z377="No"),"Outside strict definition",IF(AND(V377="Yes",X377="Yes",Z377="Yes"),"Meets all three","Potentially relevant; evidence incomplete"))</f>
        <v/>
      </c>
      <c r="AG377" s="77" t="inlineStr">
        <is>
          <t>Current delivery confirmed</t>
        </is>
      </c>
      <c r="AH377" s="77" t="inlineStr">
        <is>
          <t>2026</t>
        </is>
      </c>
      <c r="AI377" s="77" t="inlineStr">
        <is>
          <t>Yes</t>
        </is>
      </c>
      <c r="AJ377" s="77">
        <f>IF(AND(AI377="Yes",AF377="Meets all three",AG377="Current delivery confirmed"),"Yes","No")</f>
        <v/>
      </c>
      <c r="AK377" s="77" t="inlineStr">
        <is>
          <t>32 students (2026 event)</t>
        </is>
      </c>
      <c r="AL377" s="77" t="inlineStr">
        <is>
          <t>UK03-S10-R1</t>
        </is>
      </c>
      <c r="AM377" s="77" t="inlineStr">
        <is>
          <t>Whether a defined output is produced for the client is not evidenced; earlier editions used fictional scenarios (Fujitsu/Kingfisher; Welsh Water).</t>
        </is>
      </c>
      <c r="AN377" s="77" t="inlineStr"/>
      <c r="AO377" s="77" t="inlineStr">
        <is>
          <t>UK</t>
        </is>
      </c>
      <c r="AP377" s="77" t="inlineStr">
        <is>
          <t>UK – additional</t>
        </is>
      </c>
      <c r="AQ377" s="77" t="inlineStr">
        <is>
          <t>&lt;1 week</t>
        </is>
      </c>
      <c r="AR377" s="77" t="inlineStr">
        <is>
          <t>Unclear</t>
        </is>
      </c>
      <c r="AS377" s="77" t="inlineStr"/>
    </row>
    <row r="378">
      <c r="A378" s="77" t="inlineStr">
        <is>
          <t>UK03</t>
        </is>
      </c>
      <c r="B378" s="77" t="inlineStr">
        <is>
          <t>Lancaster</t>
        </is>
      </c>
      <c r="C378" s="77" t="inlineStr">
        <is>
          <t>Programme/course</t>
        </is>
      </c>
      <c r="D378" s="77" t="inlineStr">
        <is>
          <t>UK03-S11</t>
        </is>
      </c>
      <c r="E378" s="77" t="inlineStr"/>
      <c r="F378" s="77" t="inlineStr">
        <is>
          <t>No</t>
        </is>
      </c>
      <c r="G378" s="79" t="inlineStr">
        <is>
          <t>Industrial Group Projects (Physics)</t>
        </is>
      </c>
      <c r="H378" s="77" t="inlineStr"/>
      <c r="I378" s="77" t="inlineStr"/>
      <c r="J378"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378" s="77" t="inlineStr">
        <is>
          <t>Department of Physics</t>
        </is>
      </c>
      <c r="L378" s="77" t="inlineStr">
        <is>
          <t>BSc and MPhys Physics degrees</t>
        </is>
      </c>
      <c r="M378" s="77" t="inlineStr">
        <is>
          <t>Science</t>
        </is>
      </c>
      <c r="N378" s="77" t="inlineStr">
        <is>
          <t>Undergraduate</t>
        </is>
      </c>
      <c r="O378" s="77" t="inlineStr">
        <is>
          <t>Year 3</t>
        </is>
      </c>
      <c r="P378" s="77" t="inlineStr"/>
      <c r="Q378" s="77" t="inlineStr">
        <is>
          <t>Compulsory within specified programmes</t>
        </is>
      </c>
      <c r="R378" s="77" t="inlineStr">
        <is>
          <t>Curricular</t>
        </is>
      </c>
      <c r="S378" s="77" t="inlineStr">
        <is>
          <t>25% of third-year marks; individual report + presentation</t>
        </is>
      </c>
      <c r="T378" s="77" t="inlineStr">
        <is>
          <t>Academic year (from October)</t>
        </is>
      </c>
      <c r="U378" s="77" t="inlineStr"/>
      <c r="V378" s="77" t="inlineStr">
        <is>
          <t>Yes</t>
        </is>
      </c>
      <c r="W378" s="77" t="inlineStr">
        <is>
          <t>Company-defined problem, research phase and reports (src 1).</t>
        </is>
      </c>
      <c r="X378" s="77" t="inlineStr">
        <is>
          <t>Yes</t>
        </is>
      </c>
      <c r="Y378" s="77" t="inlineStr">
        <is>
          <t>'small groups of 3-6 people' (src 1); individual reports also required.</t>
        </is>
      </c>
      <c r="Z378" s="77" t="inlineStr">
        <is>
          <t>Yes</t>
        </is>
      </c>
      <c r="AA378" s="77" t="inlineStr">
        <is>
          <t>Companies provide briefing, meet students on first day, host visit, answer queries, receive reports (src 1).</t>
        </is>
      </c>
      <c r="AB378" s="77" t="inlineStr">
        <is>
          <t>Business/commercial</t>
        </is>
      </c>
      <c r="AC378" s="77" t="inlineStr">
        <is>
          <t>Company sets problem, supervises informally, receives reports</t>
        </is>
      </c>
      <c r="AD378" s="77" t="inlineStr">
        <is>
          <t>Siemens Energy (per 2026 course page)</t>
        </is>
      </c>
      <c r="AE378" s="77" t="inlineStr">
        <is>
          <t>Group research with individual reports and conference presentation; reports to clients</t>
        </is>
      </c>
      <c r="AF378" s="77">
        <f>IF(OR(V378="No",X378="No",Z378="No"),"Outside strict definition",IF(AND(V378="Yes",X378="Yes",Z378="Yes"),"Meets all three","Potentially relevant; evidence incomplete"))</f>
        <v/>
      </c>
      <c r="AG378" s="77" t="inlineStr">
        <is>
          <t>Current status unclear</t>
        </is>
      </c>
      <c r="AH378" s="77" t="inlineStr">
        <is>
          <t>2026 (course page references recent project)</t>
        </is>
      </c>
      <c r="AI378" s="77" t="inlineStr">
        <is>
          <t>Yes</t>
        </is>
      </c>
      <c r="AJ378" s="77">
        <f>IF(AND(AI378="Yes",AF378="Meets all three",AG378="Current delivery confirmed"),"Yes","No")</f>
        <v/>
      </c>
      <c r="AK378" s="77" t="inlineStr"/>
      <c r="AL378" s="77" t="inlineStr">
        <is>
          <t>UK03-S11-R1; UK03-S11-R2</t>
        </is>
      </c>
      <c r="AM378" s="77" t="inlineStr">
        <is>
          <t>Scheme page undated; compulsory status inferred from 25% of marks wording; dated cohort evidence not confirmed.</t>
        </is>
      </c>
      <c r="AN378" s="77" t="inlineStr"/>
      <c r="AO378" s="77" t="inlineStr">
        <is>
          <t>UK</t>
        </is>
      </c>
      <c r="AP378" s="77" t="inlineStr">
        <is>
          <t>UK – additional</t>
        </is>
      </c>
      <c r="AQ378" s="77" t="inlineStr">
        <is>
          <t>&gt;1 term</t>
        </is>
      </c>
      <c r="AR378" s="77" t="inlineStr">
        <is>
          <t>All/standard</t>
        </is>
      </c>
      <c r="AS378" s="77" t="inlineStr"/>
    </row>
    <row r="379">
      <c r="A379" s="77" t="inlineStr">
        <is>
          <t>UK03</t>
        </is>
      </c>
      <c r="B379" s="77" t="inlineStr">
        <is>
          <t>Lancaster</t>
        </is>
      </c>
      <c r="C379" s="77" t="inlineStr">
        <is>
          <t>Programme/course</t>
        </is>
      </c>
      <c r="D379" s="77" t="inlineStr">
        <is>
          <t>UK03-S12</t>
        </is>
      </c>
      <c r="E379" s="77" t="inlineStr"/>
      <c r="F379" s="77" t="inlineStr">
        <is>
          <t>No</t>
        </is>
      </c>
      <c r="G379" s="79" t="inlineStr">
        <is>
          <t>Industry-based group projects (ENGR 445 and short team projects), School of Engineering</t>
        </is>
      </c>
      <c r="H379" s="77" t="inlineStr"/>
      <c r="I379" s="77" t="inlineStr">
        <is>
          <t>ENGR 445</t>
        </is>
      </c>
      <c r="J379"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379" s="77" t="inlineStr">
        <is>
          <t>School of Engineering (Engineering Engagement Team)</t>
        </is>
      </c>
      <c r="L379" s="77" t="inlineStr">
        <is>
          <t>Integrated MEng programmes (ENGR 445 core); two-week projects for Years 3-4</t>
        </is>
      </c>
      <c r="M379" s="77" t="inlineStr">
        <is>
          <t>Engineering/computing</t>
        </is>
      </c>
      <c r="N379" s="77" t="inlineStr">
        <is>
          <t>Undergraduate</t>
        </is>
      </c>
      <c r="O379" s="77" t="inlineStr">
        <is>
          <t>Year 4 (MEng); Years 3-4 for short projects</t>
        </is>
      </c>
      <c r="P379" s="77" t="inlineStr"/>
      <c r="Q379" s="77" t="inlineStr">
        <is>
          <t>Compulsory within specified programmes</t>
        </is>
      </c>
      <c r="R379" s="77" t="inlineStr">
        <is>
          <t>Curricular</t>
        </is>
      </c>
      <c r="S379" s="77" t="inlineStr">
        <is>
          <t>c.1500 indicative hours (fourth-year project)</t>
        </is>
      </c>
      <c r="T379" s="77" t="inlineStr">
        <is>
          <t>Nine months (fourth year) and two weeks (short projects)</t>
        </is>
      </c>
      <c r="U379" s="77" t="inlineStr"/>
      <c r="V379" s="77" t="inlineStr">
        <is>
          <t>Yes</t>
        </is>
      </c>
      <c r="W379" s="77" t="inlineStr">
        <is>
          <t>Real company problems, prototype/specification deliverables (src 1, 2).</t>
        </is>
      </c>
      <c r="X379" s="77" t="inlineStr">
        <is>
          <t>Yes</t>
        </is>
      </c>
      <c r="Y379" s="77" t="inlineStr">
        <is>
          <t>Teams of typically four to six (src 1).</t>
        </is>
      </c>
      <c r="Z379" s="77" t="inlineStr">
        <is>
          <t>Yes</t>
        </is>
      </c>
      <c r="AA379" s="77" t="inlineStr">
        <is>
          <t>Companies supply real problems and materials; engineering does not charge for credit-bearing projects (src 1, 2).</t>
        </is>
      </c>
      <c r="AB379" s="77" t="inlineStr">
        <is>
          <t>Mixed</t>
        </is>
      </c>
      <c r="AC379" s="77" t="inlineStr">
        <is>
          <t>Company sponsors problem; supplies materials</t>
        </is>
      </c>
      <c r="AD379" s="77" t="inlineStr">
        <is>
          <t>Wasp (Cumbria) Ltd, Pennine Pods; engagement partners incl. QinetiQ, NNL, Linde, Sellafield, BAE Systems, Yorkshire Water, United Utilities, DfT (not confirmed as ENGR 445 sponsors for 2025/26)</t>
        </is>
      </c>
      <c r="AE379" s="77" t="inlineStr">
        <is>
          <t>Prototype/report/specification for company</t>
        </is>
      </c>
      <c r="AF379" s="77">
        <f>IF(OR(V379="No",X379="No",Z379="No"),"Outside strict definition",IF(AND(V379="Yes",X379="Yes",Z379="Yes"),"Meets all three","Potentially relevant; evidence incomplete"))</f>
        <v/>
      </c>
      <c r="AG379" s="77" t="inlineStr">
        <is>
          <t>Current status unclear</t>
        </is>
      </c>
      <c r="AH379" s="77" t="inlineStr">
        <is>
          <t>2027-entry course pages</t>
        </is>
      </c>
      <c r="AI379" s="77" t="inlineStr">
        <is>
          <t>Yes</t>
        </is>
      </c>
      <c r="AJ379" s="77">
        <f>IF(AND(AI379="Yes",AF379="Meets all three",AG379="Current delivery confirmed"),"Yes","No")</f>
        <v/>
      </c>
      <c r="AK379" s="77" t="inlineStr"/>
      <c r="AL379" s="77" t="inlineStr">
        <is>
          <t>UK03-S12-R1; UK03-S12-R2; UK03-S12-R3</t>
        </is>
      </c>
      <c r="AM379" s="77" t="inlineStr">
        <is>
          <t>No 2025/26 sponsor list found; scheme pages undated; case studies undated.</t>
        </is>
      </c>
      <c r="AN379" s="77" t="inlineStr"/>
      <c r="AO379" s="77" t="inlineStr">
        <is>
          <t>UK</t>
        </is>
      </c>
      <c r="AP379" s="77" t="inlineStr">
        <is>
          <t>UK – additional</t>
        </is>
      </c>
      <c r="AQ379" s="77" t="inlineStr">
        <is>
          <t>&gt;1 term</t>
        </is>
      </c>
      <c r="AR379" s="77" t="inlineStr">
        <is>
          <t>All/standard</t>
        </is>
      </c>
      <c r="AS379" s="77" t="inlineStr"/>
    </row>
    <row r="380">
      <c r="A380" s="77" t="inlineStr">
        <is>
          <t>UK03</t>
        </is>
      </c>
      <c r="B380" s="77" t="inlineStr">
        <is>
          <t>Lancaster</t>
        </is>
      </c>
      <c r="C380" s="77" t="inlineStr">
        <is>
          <t>Programme/course</t>
        </is>
      </c>
      <c r="D380" s="77" t="inlineStr">
        <is>
          <t>UK03-S13</t>
        </is>
      </c>
      <c r="E380" s="77" t="inlineStr"/>
      <c r="F380" s="77" t="inlineStr">
        <is>
          <t>No</t>
        </is>
      </c>
      <c r="G380" s="79" t="inlineStr">
        <is>
          <t>Group project with industry-set briefs (MSc Data Science, Term 1)</t>
        </is>
      </c>
      <c r="H380" s="77" t="inlineStr"/>
      <c r="I380" s="77" t="inlineStr"/>
      <c r="J380"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380" s="77" t="inlineStr">
        <is>
          <t>Faculty of Science and Technology (SCC, Mathematics and Statistics, LEC)</t>
        </is>
      </c>
      <c r="L380" s="77" t="inlineStr">
        <is>
          <t>MSc Data Science</t>
        </is>
      </c>
      <c r="M380" s="77" t="inlineStr">
        <is>
          <t>Science; Engineering/computing</t>
        </is>
      </c>
      <c r="N380" s="77" t="inlineStr">
        <is>
          <t>Postgraduate taught</t>
        </is>
      </c>
      <c r="O380" s="77" t="inlineStr"/>
      <c r="P380" s="77" t="inlineStr"/>
      <c r="Q380" s="77" t="inlineStr">
        <is>
          <t>Compulsory within specified programmes</t>
        </is>
      </c>
      <c r="R380" s="77" t="inlineStr">
        <is>
          <t>Curricular</t>
        </is>
      </c>
      <c r="S380" s="77" t="inlineStr"/>
      <c r="T380" s="77" t="inlineStr">
        <is>
          <t>Term 1</t>
        </is>
      </c>
      <c r="U380" s="77" t="inlineStr"/>
      <c r="V380" s="77" t="inlineStr">
        <is>
          <t>Unclear</t>
        </is>
      </c>
      <c r="W380" s="77" t="inlineStr">
        <is>
          <t>Industrial data science problem (older page) vs hands-on projects (current page) (src 1, 2).</t>
        </is>
      </c>
      <c r="X380" s="77" t="inlineStr">
        <is>
          <t>Yes</t>
        </is>
      </c>
      <c r="Y380" s="77" t="inlineStr">
        <is>
          <t>Multi-skilled teams (src 1).</t>
        </is>
      </c>
      <c r="Z380" s="77" t="inlineStr">
        <is>
          <t>Unclear</t>
        </is>
      </c>
      <c r="AA380" s="77" t="inlineStr">
        <is>
          <t>Industrial speakers provide briefs per older page; not confirmed that external organisations set/assess briefs in current version (src 1, 2).</t>
        </is>
      </c>
      <c r="AB380" s="77" t="inlineStr">
        <is>
          <t>Unclear</t>
        </is>
      </c>
      <c r="AC380" s="77" t="inlineStr"/>
      <c r="AD380" s="77" t="inlineStr"/>
      <c r="AE380" s="77" t="inlineStr">
        <is>
          <t>Not specified</t>
        </is>
      </c>
      <c r="AF380" s="77">
        <f>IF(OR(V380="No",X380="No",Z380="No"),"Outside strict definition",IF(AND(V380="Yes",X380="Yes",Z380="Yes"),"Meets all three","Potentially relevant; evidence incomplete"))</f>
        <v/>
      </c>
      <c r="AG380" s="77" t="inlineStr">
        <is>
          <t>Current status unclear</t>
        </is>
      </c>
      <c r="AH380" s="77" t="inlineStr">
        <is>
          <t>undated / 2027 entry</t>
        </is>
      </c>
      <c r="AI380" s="77" t="inlineStr">
        <is>
          <t>Yes</t>
        </is>
      </c>
      <c r="AJ380" s="77">
        <f>IF(AND(AI380="Yes",AF380="Meets all three",AG380="Current delivery confirmed"),"Yes","No")</f>
        <v/>
      </c>
      <c r="AK380" s="77" t="inlineStr"/>
      <c r="AL380" s="77" t="inlineStr">
        <is>
          <t>UK03-S13-R1; UK03-S13-R2</t>
        </is>
      </c>
      <c r="AM380" s="77" t="inlineStr">
        <is>
          <t>Two pages describe module differently; need module handbook to confirm external briefs.</t>
        </is>
      </c>
      <c r="AN380" s="77" t="inlineStr"/>
      <c r="AO380" s="77" t="inlineStr">
        <is>
          <t>UK</t>
        </is>
      </c>
      <c r="AP380" s="77" t="inlineStr">
        <is>
          <t>UK – additional</t>
        </is>
      </c>
      <c r="AQ380" s="77" t="inlineStr">
        <is>
          <t>~1 term/semester</t>
        </is>
      </c>
      <c r="AR380" s="77" t="inlineStr">
        <is>
          <t>Unclear</t>
        </is>
      </c>
      <c r="AS380" s="77" t="inlineStr"/>
    </row>
    <row r="381">
      <c r="A381" s="77" t="inlineStr">
        <is>
          <t>UK03</t>
        </is>
      </c>
      <c r="B381" s="77" t="inlineStr">
        <is>
          <t>Lancaster</t>
        </is>
      </c>
      <c r="C381" s="77" t="inlineStr">
        <is>
          <t>Programme/course</t>
        </is>
      </c>
      <c r="D381" s="77" t="inlineStr">
        <is>
          <t>UK03-S14</t>
        </is>
      </c>
      <c r="E381" s="77" t="inlineStr"/>
      <c r="F381" s="77" t="inlineStr">
        <is>
          <t>No</t>
        </is>
      </c>
      <c r="G381" s="79" t="inlineStr">
        <is>
          <t>Applied Learning Studios 1 and 2 (MA Sustainability and Global Environmental Futures)</t>
        </is>
      </c>
      <c r="H381" s="77" t="inlineStr"/>
      <c r="I381" s="77" t="inlineStr"/>
      <c r="J381" s="77" t="inlineStr">
        <is>
          <t>Studio modules where students receive a live brief and work in group projects; projects may be tied to real-world issues and external clients, or be academic.</t>
        </is>
      </c>
      <c r="K381" s="77" t="inlineStr">
        <is>
          <t>School of Global Affairs (per course page)</t>
        </is>
      </c>
      <c r="L381" s="77" t="inlineStr">
        <is>
          <t>MA Sustainability and Global Environmental Futures</t>
        </is>
      </c>
      <c r="M381" s="77" t="inlineStr">
        <is>
          <t>Arts/humanities/social sciences</t>
        </is>
      </c>
      <c r="N381" s="77" t="inlineStr">
        <is>
          <t>Postgraduate taught</t>
        </is>
      </c>
      <c r="O381" s="77" t="inlineStr"/>
      <c r="P381" s="77" t="inlineStr"/>
      <c r="Q381" s="77" t="inlineStr">
        <is>
          <t>Compulsory within specified programmes</t>
        </is>
      </c>
      <c r="R381" s="77" t="inlineStr">
        <is>
          <t>Curricular</t>
        </is>
      </c>
      <c r="S381" s="77" t="inlineStr"/>
      <c r="T381" s="77" t="inlineStr">
        <is>
          <t>Module length not retrieved</t>
        </is>
      </c>
      <c r="U381" s="77" t="inlineStr"/>
      <c r="V381" s="77" t="inlineStr">
        <is>
          <t>Yes</t>
        </is>
      </c>
      <c r="W381" s="77" t="inlineStr">
        <is>
          <t>Live brief met through group project (src 1).</t>
        </is>
      </c>
      <c r="X381" s="77" t="inlineStr">
        <is>
          <t>Yes</t>
        </is>
      </c>
      <c r="Y381" s="77" t="inlineStr">
        <is>
          <t>'work with others in a group project' (src 1).</t>
        </is>
      </c>
      <c r="Z381" s="77" t="inlineStr">
        <is>
          <t>Unclear</t>
        </is>
      </c>
      <c r="AA381" s="77" t="inlineStr">
        <is>
          <t>Projects 'may be linked to real world issues and external clients' (src 1) - optional wording.</t>
        </is>
      </c>
      <c r="AB381" s="77" t="inlineStr">
        <is>
          <t>Unclear</t>
        </is>
      </c>
      <c r="AC381" s="77" t="inlineStr"/>
      <c r="AD381" s="77" t="inlineStr"/>
      <c r="AE381" s="77" t="inlineStr">
        <is>
          <t>Group project outputs</t>
        </is>
      </c>
      <c r="AF381" s="77">
        <f>IF(OR(V381="No",X381="No",Z381="No"),"Outside strict definition",IF(AND(V381="Yes",X381="Yes",Z381="Yes"),"Meets all three","Potentially relevant; evidence incomplete"))</f>
        <v/>
      </c>
      <c r="AG381" s="77" t="inlineStr">
        <is>
          <t>Current delivery confirmed</t>
        </is>
      </c>
      <c r="AH381" s="77" t="inlineStr">
        <is>
          <t>2026/27 (2026-entry page)</t>
        </is>
      </c>
      <c r="AI381" s="77" t="inlineStr">
        <is>
          <t>Yes</t>
        </is>
      </c>
      <c r="AJ381" s="77">
        <f>IF(AND(AI381="Yes",AF381="Meets all three",AG381="Current delivery confirmed"),"Yes","No")</f>
        <v/>
      </c>
      <c r="AK381" s="77" t="inlineStr"/>
      <c r="AL381" s="77" t="inlineStr">
        <is>
          <t>UK03-S14-R1</t>
        </is>
      </c>
      <c r="AM381" s="77" t="inlineStr">
        <is>
          <t>No named clients; need studio module guides.</t>
        </is>
      </c>
      <c r="AN381" s="77" t="inlineStr"/>
      <c r="AO381" s="77" t="inlineStr">
        <is>
          <t>UK</t>
        </is>
      </c>
      <c r="AP381" s="77" t="inlineStr">
        <is>
          <t>UK – additional</t>
        </is>
      </c>
      <c r="AQ381" s="77" t="inlineStr">
        <is>
          <t>Unclear</t>
        </is>
      </c>
      <c r="AR381" s="77" t="inlineStr">
        <is>
          <t>Some projects</t>
        </is>
      </c>
      <c r="AS381" s="77" t="inlineStr"/>
    </row>
    <row r="382">
      <c r="A382" s="77" t="inlineStr">
        <is>
          <t>UK03</t>
        </is>
      </c>
      <c r="B382" s="77" t="inlineStr">
        <is>
          <t>Lancaster</t>
        </is>
      </c>
      <c r="C382" s="77" t="inlineStr">
        <is>
          <t>Programme/course</t>
        </is>
      </c>
      <c r="D382" s="77" t="inlineStr">
        <is>
          <t>UK03-S15</t>
        </is>
      </c>
      <c r="E382" s="77" t="inlineStr"/>
      <c r="F382" s="77" t="inlineStr">
        <is>
          <t>No</t>
        </is>
      </c>
      <c r="G382" s="79" t="inlineStr">
        <is>
          <t>Second-year live client project (BA Architecture)</t>
        </is>
      </c>
      <c r="H382" s="77" t="inlineStr"/>
      <c r="I382" s="77" t="inlineStr"/>
      <c r="J382" s="77" t="inlineStr">
        <is>
          <t>Second-year design of a retrofit live project working directly with a client such as Lancaster Music Co-op or Queen's Market Morecambe.</t>
        </is>
      </c>
      <c r="K382" s="77" t="inlineStr">
        <is>
          <t>Lancaster Institute for Contemporary Arts / Architecture</t>
        </is>
      </c>
      <c r="L382" s="77" t="inlineStr">
        <is>
          <t>BA Architecture (K100)</t>
        </is>
      </c>
      <c r="M382" s="77" t="inlineStr">
        <is>
          <t>Other (law, health, design, architecture…)</t>
        </is>
      </c>
      <c r="N382" s="77" t="inlineStr">
        <is>
          <t>Undergraduate</t>
        </is>
      </c>
      <c r="O382" s="77" t="inlineStr">
        <is>
          <t>Year 2</t>
        </is>
      </c>
      <c r="P382" s="77" t="inlineStr"/>
      <c r="Q382" s="77" t="inlineStr">
        <is>
          <t>Compulsory within specified programmes</t>
        </is>
      </c>
      <c r="R382" s="77" t="inlineStr">
        <is>
          <t>Curricular</t>
        </is>
      </c>
      <c r="S382" s="77" t="inlineStr"/>
      <c r="T382" s="77" t="inlineStr">
        <is>
          <t>Not retrieved</t>
        </is>
      </c>
      <c r="U382" s="77" t="inlineStr"/>
      <c r="V382" s="77" t="inlineStr">
        <is>
          <t>Yes</t>
        </is>
      </c>
      <c r="W382" s="77" t="inlineStr">
        <is>
          <t>Retrofit design project for a client (src 1).</t>
        </is>
      </c>
      <c r="X382" s="77" t="inlineStr">
        <is>
          <t>Unclear</t>
        </is>
      </c>
      <c r="Y382" s="77" t="inlineStr">
        <is>
          <t>Team/individual structure not stated (src 1).</t>
        </is>
      </c>
      <c r="Z382" s="77" t="inlineStr">
        <is>
          <t>Yes</t>
        </is>
      </c>
      <c r="AA382" s="77" t="inlineStr">
        <is>
          <t>Work directly with a client such as Lancaster Music Co Op or Queen's Market Morecambe (src 1).</t>
        </is>
      </c>
      <c r="AB382" s="77" t="inlineStr">
        <is>
          <t>Unclear</t>
        </is>
      </c>
      <c r="AC382" s="77" t="inlineStr">
        <is>
          <t>Client for live project</t>
        </is>
      </c>
      <c r="AD382" s="77" t="inlineStr">
        <is>
          <t>Lancaster Music Co Op, Queen's Market Morecambe (course page, 2026 entry)</t>
        </is>
      </c>
      <c r="AE382" s="77" t="inlineStr">
        <is>
          <t>Retrofit design proposal</t>
        </is>
      </c>
      <c r="AF382" s="77">
        <f>IF(OR(V382="No",X382="No",Z382="No"),"Outside strict definition",IF(AND(V382="Yes",X382="Yes",Z382="Yes"),"Meets all three","Potentially relevant; evidence incomplete"))</f>
        <v/>
      </c>
      <c r="AG382" s="77" t="inlineStr">
        <is>
          <t>Current status unclear</t>
        </is>
      </c>
      <c r="AH382" s="77" t="inlineStr">
        <is>
          <t>2026 entry page</t>
        </is>
      </c>
      <c r="AI382" s="77" t="inlineStr">
        <is>
          <t>Yes</t>
        </is>
      </c>
      <c r="AJ382" s="77">
        <f>IF(AND(AI382="Yes",AF382="Meets all three",AG382="Current delivery confirmed"),"Yes","No")</f>
        <v/>
      </c>
      <c r="AK382" s="77" t="inlineStr"/>
      <c r="AL382" s="77" t="inlineStr">
        <is>
          <t>UK03-S15-R1</t>
        </is>
      </c>
      <c r="AM382" s="77" t="inlineStr">
        <is>
          <t>Group vs individual working not established; partner types inferred from names - treat as Unclear.</t>
        </is>
      </c>
      <c r="AN382" s="77" t="inlineStr"/>
      <c r="AO382" s="77" t="inlineStr">
        <is>
          <t>UK</t>
        </is>
      </c>
      <c r="AP382" s="77" t="inlineStr">
        <is>
          <t>UK – additional</t>
        </is>
      </c>
      <c r="AQ382" s="77" t="inlineStr">
        <is>
          <t>Unclear</t>
        </is>
      </c>
      <c r="AR382" s="77" t="inlineStr">
        <is>
          <t>Unclear</t>
        </is>
      </c>
      <c r="AS382" s="77" t="inlineStr"/>
    </row>
    <row r="383">
      <c r="A383" s="77" t="inlineStr">
        <is>
          <t>UK03</t>
        </is>
      </c>
      <c r="B383" s="77" t="inlineStr">
        <is>
          <t>Lancaster</t>
        </is>
      </c>
      <c r="C383" s="77" t="inlineStr">
        <is>
          <t>Programme/course</t>
        </is>
      </c>
      <c r="D383" s="77" t="inlineStr">
        <is>
          <t>UK03-S16</t>
        </is>
      </c>
      <c r="E383" s="77" t="inlineStr"/>
      <c r="F383" s="77" t="inlineStr">
        <is>
          <t>No</t>
        </is>
      </c>
      <c r="G383" s="79" t="inlineStr">
        <is>
          <t>Software Engineering Studio III / Software Design Studio Project III (Live Studio)</t>
        </is>
      </c>
      <c r="H383" s="77" t="inlineStr"/>
      <c r="I383" s="77" t="inlineStr">
        <is>
          <t>SCC.331 (older code unconfirmed)</t>
        </is>
      </c>
      <c r="J383" s="77" t="inlineStr">
        <is>
          <t>Year 3 studio module (30 credits): groups build a large system deployed with live users, agile approach, with industry involvement and work 'closely with clients'.</t>
        </is>
      </c>
      <c r="K383" s="77" t="inlineStr">
        <is>
          <t>School of Computing and Communications</t>
        </is>
      </c>
      <c r="L383" s="77" t="inlineStr">
        <is>
          <t>BSc Software Engineering (G602) and variants</t>
        </is>
      </c>
      <c r="M383" s="77" t="inlineStr">
        <is>
          <t>Engineering/computing</t>
        </is>
      </c>
      <c r="N383" s="77" t="inlineStr">
        <is>
          <t>Undergraduate</t>
        </is>
      </c>
      <c r="O383" s="77" t="inlineStr">
        <is>
          <t>Year 3</t>
        </is>
      </c>
      <c r="P383" s="77" t="inlineStr"/>
      <c r="Q383" s="77" t="inlineStr">
        <is>
          <t>Compulsory within specified programmes</t>
        </is>
      </c>
      <c r="R383" s="77" t="inlineStr">
        <is>
          <t>Curricular</t>
        </is>
      </c>
      <c r="S383" s="77" t="inlineStr">
        <is>
          <t>30 credits</t>
        </is>
      </c>
      <c r="T383" s="77" t="inlineStr">
        <is>
          <t>Academic year (inferred)</t>
        </is>
      </c>
      <c r="U383" s="77" t="inlineStr"/>
      <c r="V383" s="77" t="inlineStr">
        <is>
          <t>Yes</t>
        </is>
      </c>
      <c r="W383" s="77" t="inlineStr">
        <is>
          <t>System deployed with live users (src 1).</t>
        </is>
      </c>
      <c r="X383" s="77" t="inlineStr">
        <is>
          <t>Yes</t>
        </is>
      </c>
      <c r="Y383" s="77" t="inlineStr">
        <is>
          <t>Large team / groups (src 1).</t>
        </is>
      </c>
      <c r="Z383" s="77" t="inlineStr">
        <is>
          <t>Unclear</t>
        </is>
      </c>
      <c r="AA383" s="77" t="inlineStr">
        <is>
          <t>'Industry involvement' and 'clients' stated but not shown to be external organisations (src 1, 2).</t>
        </is>
      </c>
      <c r="AB383" s="77" t="inlineStr">
        <is>
          <t>Unclear</t>
        </is>
      </c>
      <c r="AC383" s="77" t="inlineStr"/>
      <c r="AD383" s="77" t="inlineStr"/>
      <c r="AE383" s="77" t="inlineStr">
        <is>
          <t>Deployed software system</t>
        </is>
      </c>
      <c r="AF383" s="77">
        <f>IF(OR(V383="No",X383="No",Z383="No"),"Outside strict definition",IF(AND(V383="Yes",X383="Yes",Z383="Yes"),"Meets all three","Potentially relevant; evidence incomplete"))</f>
        <v/>
      </c>
      <c r="AG383" s="77" t="inlineStr">
        <is>
          <t>Current status unclear</t>
        </is>
      </c>
      <c r="AH383" s="77" t="inlineStr">
        <is>
          <t>2027-entry page (module handbook 2016)</t>
        </is>
      </c>
      <c r="AI383" s="77" t="inlineStr">
        <is>
          <t>Yes</t>
        </is>
      </c>
      <c r="AJ383" s="77">
        <f>IF(AND(AI383="Yes",AF383="Meets all three",AG383="Current delivery confirmed"),"Yes","No")</f>
        <v/>
      </c>
      <c r="AK383" s="77" t="inlineStr"/>
      <c r="AL383" s="77" t="inlineStr">
        <is>
          <t>UK03-S16-R1; UK03-S16-R2</t>
        </is>
      </c>
      <c r="AM383" s="77" t="inlineStr">
        <is>
          <t>Module code from 2016 handbook uncertain; no client names; need current module guide.</t>
        </is>
      </c>
      <c r="AN383" s="77" t="inlineStr"/>
      <c r="AO383" s="77" t="inlineStr">
        <is>
          <t>UK</t>
        </is>
      </c>
      <c r="AP383" s="77" t="inlineStr">
        <is>
          <t>UK – additional</t>
        </is>
      </c>
      <c r="AQ383" s="77" t="inlineStr">
        <is>
          <t>Unclear</t>
        </is>
      </c>
      <c r="AR383" s="77" t="inlineStr">
        <is>
          <t>Unclear</t>
        </is>
      </c>
      <c r="AS383" s="77" t="inlineStr"/>
    </row>
    <row r="384">
      <c r="A384" s="77" t="inlineStr">
        <is>
          <t>UK04</t>
        </is>
      </c>
      <c r="B384" s="77" t="inlineStr">
        <is>
          <t>Loughborough</t>
        </is>
      </c>
      <c r="C384" s="77" t="inlineStr">
        <is>
          <t>Programme/course</t>
        </is>
      </c>
      <c r="D384" s="77" t="inlineStr">
        <is>
          <t>UK04-S01</t>
        </is>
      </c>
      <c r="E384" s="77" t="inlineStr"/>
      <c r="F384" s="77" t="inlineStr">
        <is>
          <t>No</t>
        </is>
      </c>
      <c r="G384" s="79" t="inlineStr">
        <is>
          <t>Collaborative Project (Loughborough University London)</t>
        </is>
      </c>
      <c r="H384" s="77" t="inlineStr">
        <is>
          <t>Collaborative Project</t>
        </is>
      </c>
      <c r="I384" s="77" t="inlineStr"/>
      <c r="J384"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384" s="77" t="inlineStr">
        <is>
          <t>Loughborough University London (Institute-level; London campus programmes)</t>
        </is>
      </c>
      <c r="L384"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384" s="77" t="inlineStr">
        <is>
          <t>Central provision; Business/management; Engineering/computing; Arts/humanities/social sciences</t>
        </is>
      </c>
      <c r="N384" s="77" t="inlineStr">
        <is>
          <t>Postgraduate taught</t>
        </is>
      </c>
      <c r="O384" s="77" t="inlineStr">
        <is>
          <t>Master's programmes (London campus)</t>
        </is>
      </c>
      <c r="P384" s="77" t="inlineStr">
        <is>
          <t>London campus students only; 2019 statement 'open to all full-time and part-time students at Loughborough University London' (undergraduate Collaborate Sprint is a separate short format).</t>
        </is>
      </c>
      <c r="Q384" s="77" t="inlineStr">
        <is>
          <t>Compulsory within specified programmes</t>
        </is>
      </c>
      <c r="R384" s="77" t="inlineStr">
        <is>
          <t>Curricular</t>
        </is>
      </c>
      <c r="S384" s="77" t="inlineStr">
        <is>
          <t>15 credits (programme pages; LLP008 in 2020/21 spec); assessment detail not found</t>
        </is>
      </c>
      <c r="T384" s="77" t="inlineStr">
        <is>
          <t>One module (term-length; exact timetable not found)</t>
        </is>
      </c>
      <c r="U384" s="77" t="inlineStr">
        <is>
          <t>In-person at London campus; teams of multidisciplinary students; partner briefs; final Project Show presentation</t>
        </is>
      </c>
      <c r="V384" s="77" t="inlineStr">
        <is>
          <t>Yes</t>
        </is>
      </c>
      <c r="W384" s="77" t="inlineStr">
        <is>
          <t>Students 'create solutions to real business challenges provided by organisations' and showcase them at the Collaborative Project Show [1]; Computer Science (London) page: multidisciplinary team tackling a real-world challenge set by an industry partner [3].</t>
        </is>
      </c>
      <c r="X384" s="77" t="inlineStr">
        <is>
          <t>Yes</t>
        </is>
      </c>
      <c r="Y384" s="77" t="inlineStr">
        <is>
          <t>'They work in teams'; interdisciplinary teams formed from different disciplines [1][2].</t>
        </is>
      </c>
      <c r="Z384" s="77" t="inlineStr">
        <is>
          <t>Yes</t>
        </is>
      </c>
      <c r="AA384"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384" s="77" t="inlineStr">
        <is>
          <t>Mixed</t>
        </is>
      </c>
      <c r="AC384" s="77" t="inlineStr">
        <is>
          <t>Sets live challenge/brief; engages with team; receives presentation at the Show</t>
        </is>
      </c>
      <c r="AD384" s="77" t="inlineStr">
        <is>
          <t>2026: Sports Interactive, Workplace Futures Group, West Ham United Foundation, Sysdoc, The Commonwealth Secretariat, Plexal; UNICEF and Sainsbury's named in VC blog (June 2026)</t>
        </is>
      </c>
      <c r="AE384" s="77" t="inlineStr">
        <is>
          <t>Solution/recommendations presented at Collaborative Project Show</t>
        </is>
      </c>
      <c r="AF384" s="77">
        <f>IF(OR(V384="No",X384="No",Z384="No"),"Outside strict definition",IF(AND(V384="Yes",X384="Yes",Z384="Yes"),"Meets all three","Potentially relevant; evidence incomplete"))</f>
        <v/>
      </c>
      <c r="AG384" s="77" t="inlineStr">
        <is>
          <t>Current delivery confirmed</t>
        </is>
      </c>
      <c r="AH384" s="77" t="inlineStr">
        <is>
          <t>2026 (Collaborative Project Show, June 2026)</t>
        </is>
      </c>
      <c r="AI384" s="77" t="inlineStr">
        <is>
          <t>Yes</t>
        </is>
      </c>
      <c r="AJ384" s="77">
        <f>IF(AND(AI384="Yes",AF384="Meets all three",AG384="Current delivery confirmed"),"Yes","No")</f>
        <v/>
      </c>
      <c r="AK384" s="77" t="inlineStr">
        <is>
          <t>2018: 660+ postgraduate students in 122 teams for 19 organisations (cumulative first-year figure); 2026: 9 organisations, 100+ students in Show per VC blog</t>
        </is>
      </c>
      <c r="AL384" s="77" t="inlineStr">
        <is>
          <t>UK04-S01-R1; UK04-S01-R2; UK04-S01-R3; UK04-S01-R4</t>
        </is>
      </c>
      <c r="AM384" s="77" t="inlineStr">
        <is>
          <t>Exact credit/compulsory status per current London programme; whether all London programmes include it; assessment weighting; term of delivery.</t>
        </is>
      </c>
      <c r="AN384" s="77" t="inlineStr"/>
      <c r="AO384" s="77" t="inlineStr">
        <is>
          <t>UK</t>
        </is>
      </c>
      <c r="AP384" s="77" t="inlineStr">
        <is>
          <t>UK – additional</t>
        </is>
      </c>
      <c r="AQ384" s="77" t="inlineStr">
        <is>
          <t>~1 term/semester</t>
        </is>
      </c>
      <c r="AR384" s="77" t="inlineStr">
        <is>
          <t>All/standard</t>
        </is>
      </c>
      <c r="AS384" s="77" t="inlineStr"/>
    </row>
    <row r="385">
      <c r="A385" s="77" t="inlineStr">
        <is>
          <t>UK04</t>
        </is>
      </c>
      <c r="B385" s="77" t="inlineStr">
        <is>
          <t>Loughborough</t>
        </is>
      </c>
      <c r="C385" s="77" t="inlineStr">
        <is>
          <t>Programme/course</t>
        </is>
      </c>
      <c r="D385" s="77" t="inlineStr">
        <is>
          <t>UK04-S02</t>
        </is>
      </c>
      <c r="E385" s="77" t="inlineStr"/>
      <c r="F385" s="77" t="inlineStr">
        <is>
          <t>No</t>
        </is>
      </c>
      <c r="G385" s="79" t="inlineStr">
        <is>
          <t>Industry Experience Project (Loughborough Business School MSc programmes)</t>
        </is>
      </c>
      <c r="H385" s="77" t="inlineStr">
        <is>
          <t>Industry Experience Project</t>
        </is>
      </c>
      <c r="I385" s="77" t="inlineStr"/>
      <c r="J385"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385" s="77" t="inlineStr">
        <is>
          <t>Loughborough Business School</t>
        </is>
      </c>
      <c r="L385" s="77" t="inlineStr">
        <is>
          <t>MSc Management; International Business; Finance; Finance and Management; Marketing and related MSc pages list an Industry Experience Project (45 credits); full-time MBA has a 30-credit Business Administration Industry Experience Project option.</t>
        </is>
      </c>
      <c r="M385" s="77" t="inlineStr">
        <is>
          <t>Business/management</t>
        </is>
      </c>
      <c r="N385" s="77" t="inlineStr">
        <is>
          <t>Postgraduate taught</t>
        </is>
      </c>
      <c r="O385" s="77" t="inlineStr">
        <is>
          <t>Summer semester of MSc</t>
        </is>
      </c>
      <c r="P385" s="77" t="inlineStr">
        <is>
          <t>Students on named MSc programmes.</t>
        </is>
      </c>
      <c r="Q385" s="77" t="inlineStr">
        <is>
          <t>Unclear</t>
        </is>
      </c>
      <c r="R385" s="77" t="inlineStr">
        <is>
          <t>Curricular</t>
        </is>
      </c>
      <c r="S385" s="77" t="inlineStr">
        <is>
          <t>45 credits (MBA version 30 credits)</t>
        </is>
      </c>
      <c r="T385" s="77" t="inlineStr">
        <is>
          <t>Summer semester</t>
        </is>
      </c>
      <c r="U385" s="77" t="inlineStr">
        <is>
          <t>Group consultancy project for a client company</t>
        </is>
      </c>
      <c r="V385" s="77" t="inlineStr">
        <is>
          <t>Yes</t>
        </is>
      </c>
      <c r="W385" s="77" t="inlineStr">
        <is>
          <t>Real organisational problem; 'range of agreed outputs to a deadline' [1][2].</t>
        </is>
      </c>
      <c r="X385" s="77" t="inlineStr">
        <is>
          <t>Yes</t>
        </is>
      </c>
      <c r="Y385" s="77" t="inlineStr">
        <is>
          <t>'working in a group'; aim to 'work effectively in a group' [1].</t>
        </is>
      </c>
      <c r="Z385" s="77" t="inlineStr">
        <is>
          <t>Yes</t>
        </is>
      </c>
      <c r="AA385" s="77" t="inlineStr">
        <is>
          <t>Problem 'prescribed by a client company'; named past clients GB Snowsport, Cross Country Trains, Vector Consumer, TISA [1][2]. Interaction detail (supervision/feedback/assessment) not evidenced.</t>
        </is>
      </c>
      <c r="AB385" s="77" t="inlineStr">
        <is>
          <t>Business/commercial</t>
        </is>
      </c>
      <c r="AC385" s="77" t="inlineStr">
        <is>
          <t>Prescribes the organisational problem as client; receives outputs (assumed from 'client'; not explicitly evidenced)</t>
        </is>
      </c>
      <c r="AD385" s="77" t="inlineStr">
        <is>
          <t>GB Snowsport, Cross Country Trains (undated page); Vector Consumer, The Investing and Saving Alliance (TISA) (undated page)</t>
        </is>
      </c>
      <c r="AE385" s="77" t="inlineStr">
        <is>
          <t>Consultancy outputs agreed with the client company</t>
        </is>
      </c>
      <c r="AF385" s="77">
        <f>IF(OR(V385="No",X385="No",Z385="No"),"Outside strict definition",IF(AND(V385="Yes",X385="Yes",Z385="Yes"),"Meets all three","Potentially relevant; evidence incomplete"))</f>
        <v/>
      </c>
      <c r="AG385" s="77" t="inlineStr">
        <is>
          <t>Current status unclear</t>
        </is>
      </c>
      <c r="AH385" s="77" t="inlineStr">
        <is>
          <t>undated course pages (2026 entry pages exist but module year not shown)</t>
        </is>
      </c>
      <c r="AI385" s="77" t="inlineStr">
        <is>
          <t>Yes</t>
        </is>
      </c>
      <c r="AJ385" s="77">
        <f>IF(AND(AI385="Yes",AF385="Meets all three",AG385="Current delivery confirmed"),"Yes","No")</f>
        <v/>
      </c>
      <c r="AK385" s="77" t="inlineStr"/>
      <c r="AL385" s="77" t="inlineStr">
        <is>
          <t>UK04-S02-R1; UK04-S02-R2; UK04-S02-R3</t>
        </is>
      </c>
      <c r="AM385" s="77" t="inlineStr">
        <is>
          <t>No dated 2025/26 or 2026/27 module spec or cohort found; compulsory vs optional status per programme not verified; exact team size and whether every programme uses external clients; MBA version is individual/optional (see S3).</t>
        </is>
      </c>
      <c r="AN385" s="77" t="inlineStr"/>
      <c r="AO385" s="77" t="inlineStr">
        <is>
          <t>UK</t>
        </is>
      </c>
      <c r="AP385" s="77" t="inlineStr">
        <is>
          <t>UK – additional</t>
        </is>
      </c>
      <c r="AQ385" s="77" t="inlineStr">
        <is>
          <t>~1 term/semester</t>
        </is>
      </c>
      <c r="AR385" s="77" t="inlineStr">
        <is>
          <t>All/standard</t>
        </is>
      </c>
      <c r="AS385" s="77" t="inlineStr"/>
    </row>
    <row r="386">
      <c r="A386" s="77" t="inlineStr">
        <is>
          <t>UK04</t>
        </is>
      </c>
      <c r="B386" s="77" t="inlineStr">
        <is>
          <t>Loughborough</t>
        </is>
      </c>
      <c r="C386" s="77" t="inlineStr">
        <is>
          <t>Programme/course</t>
        </is>
      </c>
      <c r="D386" s="77" t="inlineStr">
        <is>
          <t>UK04-S03</t>
        </is>
      </c>
      <c r="E386" s="77" t="inlineStr"/>
      <c r="F386" s="77" t="inlineStr">
        <is>
          <t>No</t>
        </is>
      </c>
      <c r="G386" s="79" t="inlineStr">
        <is>
          <t>MBA Consultancy Project / Managing Innovation live projects (Loughborough full-time MBA)</t>
        </is>
      </c>
      <c r="H386" s="77" t="inlineStr">
        <is>
          <t>MBA Consultancy Project</t>
        </is>
      </c>
      <c r="I386" s="77" t="inlineStr"/>
      <c r="J386"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386" s="77" t="inlineStr">
        <is>
          <t>Loughborough Business School</t>
        </is>
      </c>
      <c r="L386" s="77" t="inlineStr">
        <is>
          <t>Full-time MBA</t>
        </is>
      </c>
      <c r="M386" s="77" t="inlineStr">
        <is>
          <t>Business/management</t>
        </is>
      </c>
      <c r="N386" s="77" t="inlineStr">
        <is>
          <t>Postgraduate taught</t>
        </is>
      </c>
      <c r="O386" s="77" t="inlineStr">
        <is>
          <t>MBA</t>
        </is>
      </c>
      <c r="P386" s="77" t="inlineStr">
        <is>
          <t>MBA students; professionals with 3+ years experience</t>
        </is>
      </c>
      <c r="Q386" s="77" t="inlineStr">
        <is>
          <t>Optional/elective</t>
        </is>
      </c>
      <c r="R386" s="77" t="inlineStr">
        <is>
          <t>Curricular</t>
        </is>
      </c>
      <c r="S386" s="77" t="inlineStr">
        <is>
          <t>Consultancy project credit not found</t>
        </is>
      </c>
      <c r="T386" s="77" t="inlineStr">
        <is>
          <t>Not found</t>
        </is>
      </c>
      <c r="U386" s="77" t="inlineStr">
        <is>
          <t>Team consultancy for client organisation</t>
        </is>
      </c>
      <c r="V386" s="77" t="inlineStr">
        <is>
          <t>Yes</t>
        </is>
      </c>
      <c r="W386" s="77" t="inlineStr">
        <is>
          <t>Applies theory/research to a client organisation's real-world challenges [1].</t>
        </is>
      </c>
      <c r="X386" s="77" t="inlineStr">
        <is>
          <t>Yes</t>
        </is>
      </c>
      <c r="Y386" s="77" t="inlineStr">
        <is>
          <t>'work as part of a team' on the Consultancy Project [1]; Managing Innovation team composition not stated.</t>
        </is>
      </c>
      <c r="Z386" s="77" t="inlineStr">
        <is>
          <t>Yes</t>
        </is>
      </c>
      <c r="AA386" s="77" t="inlineStr">
        <is>
          <t>Client organisation's real-world challenges [1]; Managing Innovation: present strategies to company directors [2]. Specific partner roles not detailed.</t>
        </is>
      </c>
      <c r="AB386" s="77" t="inlineStr">
        <is>
          <t>Business/commercial</t>
        </is>
      </c>
      <c r="AC386" s="77" t="inlineStr">
        <is>
          <t>Client whose challenge is addressed; directors receive presentations (Managing Innovation)</t>
        </is>
      </c>
      <c r="AD386" s="77" t="inlineStr"/>
      <c r="AE386" s="77" t="inlineStr">
        <is>
          <t>Consultancy report/recommendations</t>
        </is>
      </c>
      <c r="AF386" s="77">
        <f>IF(OR(V386="No",X386="No",Z386="No"),"Outside strict definition",IF(AND(V386="Yes",X386="Yes",Z386="Yes"),"Meets all three","Potentially relevant; evidence incomplete"))</f>
        <v/>
      </c>
      <c r="AG386" s="77" t="inlineStr">
        <is>
          <t>Current status unclear</t>
        </is>
      </c>
      <c r="AH386" s="77" t="inlineStr">
        <is>
          <t>undated</t>
        </is>
      </c>
      <c r="AI386" s="77" t="inlineStr">
        <is>
          <t>Yes</t>
        </is>
      </c>
      <c r="AJ386" s="77">
        <f>IF(AND(AI386="Yes",AF386="Meets all three",AG386="Current delivery confirmed"),"Yes","No")</f>
        <v/>
      </c>
      <c r="AK386" s="77" t="inlineStr"/>
      <c r="AL386" s="77" t="inlineStr">
        <is>
          <t>UK04-S03-R1; UK04-S03-R2</t>
        </is>
      </c>
      <c r="AM386" s="77" t="inlineStr">
        <is>
          <t>Current-year delivery; credit value; whether Consultancy Project is chosen by many students; Managing Innovation live-project route not separately verified as group.</t>
        </is>
      </c>
      <c r="AN386" s="77" t="inlineStr"/>
      <c r="AO386" s="77" t="inlineStr">
        <is>
          <t>UK</t>
        </is>
      </c>
      <c r="AP386" s="77" t="inlineStr">
        <is>
          <t>UK – additional</t>
        </is>
      </c>
      <c r="AQ386" s="77" t="inlineStr">
        <is>
          <t>Unclear</t>
        </is>
      </c>
      <c r="AR386" s="77" t="inlineStr">
        <is>
          <t>All/standard</t>
        </is>
      </c>
      <c r="AS386" s="77" t="inlineStr"/>
    </row>
    <row r="387">
      <c r="A387" s="77" t="inlineStr">
        <is>
          <t>UK04</t>
        </is>
      </c>
      <c r="B387" s="77" t="inlineStr">
        <is>
          <t>Loughborough</t>
        </is>
      </c>
      <c r="C387" s="77" t="inlineStr">
        <is>
          <t>University-wide</t>
        </is>
      </c>
      <c r="D387" s="77" t="inlineStr">
        <is>
          <t>UK04-S04</t>
        </is>
      </c>
      <c r="E387" s="77" t="inlineStr"/>
      <c r="F387" s="77" t="inlineStr">
        <is>
          <t>No</t>
        </is>
      </c>
      <c r="G387" s="79" t="inlineStr">
        <is>
          <t>Talent Match Consultancy Programme</t>
        </is>
      </c>
      <c r="H387" s="77" t="inlineStr">
        <is>
          <t>Talent Match Consultancy Programme</t>
        </is>
      </c>
      <c r="I387" s="77" t="inlineStr"/>
      <c r="J387"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387" s="77" t="inlineStr">
        <is>
          <t>Careers Network (Target Connect applications)</t>
        </is>
      </c>
      <c r="L387" s="77" t="inlineStr">
        <is>
          <t>Current students and 2025-26 graduates; no faculty restriction stated</t>
        </is>
      </c>
      <c r="M387" s="77" t="inlineStr">
        <is>
          <t>Central provision</t>
        </is>
      </c>
      <c r="N387" s="77" t="inlineStr">
        <is>
          <t>Mixed</t>
        </is>
      </c>
      <c r="O387" s="77" t="inlineStr">
        <is>
          <t>Any (not stated)</t>
        </is>
      </c>
      <c r="P387" s="77" t="inlineStr">
        <is>
          <t>Current students and 2025-26 graduates; application via Target Connect (closed 9 August 2026).</t>
        </is>
      </c>
      <c r="Q387" s="77" t="inlineStr">
        <is>
          <t>Selective/competitive</t>
        </is>
      </c>
      <c r="R387" s="77" t="inlineStr">
        <is>
          <t>Extracurricular</t>
        </is>
      </c>
      <c r="S387" s="77" t="inlineStr">
        <is>
          <t>Paid; no credit evidenced</t>
        </is>
      </c>
      <c r="T387" s="77" t="inlineStr">
        <is>
          <t>3 weeks</t>
        </is>
      </c>
      <c r="U387" s="77" t="inlineStr">
        <is>
          <t>Virtual consultancy teams</t>
        </is>
      </c>
      <c r="V387" s="77" t="inlineStr">
        <is>
          <t>Yes</t>
        </is>
      </c>
      <c r="W387" s="77" t="inlineStr">
        <is>
          <t>Project brief; findings and recommendations in a professional report [1].</t>
        </is>
      </c>
      <c r="X387" s="77" t="inlineStr">
        <is>
          <t>Yes</t>
        </is>
      </c>
      <c r="Y387" s="77" t="inlineStr">
        <is>
          <t>'work as part of a consulting team'; 'collaborate' as team [1].</t>
        </is>
      </c>
      <c r="Z387" s="77" t="inlineStr">
        <is>
          <t>Yes</t>
        </is>
      </c>
      <c r="AA387" s="77" t="inlineStr">
        <is>
          <t>Project is for 'a real business based in the UK' (start-up, SME or non-profit); client context presented to [1].</t>
        </is>
      </c>
      <c r="AB387" s="77" t="inlineStr">
        <is>
          <t>Mixed</t>
        </is>
      </c>
      <c r="AC387" s="77" t="inlineStr">
        <is>
          <t>Client providing the project brief</t>
        </is>
      </c>
      <c r="AD387" s="77" t="inlineStr"/>
      <c r="AE387" s="77" t="inlineStr">
        <is>
          <t>Professional report with findings and recommendations</t>
        </is>
      </c>
      <c r="AF387" s="77">
        <f>IF(OR(V387="No",X387="No",Z387="No"),"Outside strict definition",IF(AND(V387="Yes",X387="Yes",Z387="Yes"),"Meets all three","Potentially relevant; evidence incomplete"))</f>
        <v/>
      </c>
      <c r="AG387" s="77" t="inlineStr">
        <is>
          <t>Current delivery confirmed</t>
        </is>
      </c>
      <c r="AH387" s="77" t="inlineStr">
        <is>
          <t>2026 (Aug 2026 call; programme began late Aug 2026)</t>
        </is>
      </c>
      <c r="AI387" s="77" t="inlineStr">
        <is>
          <t>Yes</t>
        </is>
      </c>
      <c r="AJ387" s="77">
        <f>IF(AND(AI387="Yes",AF387="Meets all three",AG387="Current delivery confirmed"),"Yes","No")</f>
        <v/>
      </c>
      <c r="AK387" s="77" t="inlineStr"/>
      <c r="AL387" s="77" t="inlineStr">
        <is>
          <t>UK04-S04-R1</t>
        </is>
      </c>
      <c r="AM387" s="77" t="inlineStr">
        <is>
          <t>Team sizes, number of participants and named clients not found; whether earlier years ran; the 2026 edition is described as new.</t>
        </is>
      </c>
      <c r="AN387" s="77" t="inlineStr"/>
      <c r="AO387" s="77" t="inlineStr">
        <is>
          <t>UK</t>
        </is>
      </c>
      <c r="AP387" s="77" t="inlineStr">
        <is>
          <t>UK – additional</t>
        </is>
      </c>
      <c r="AQ387" s="77" t="inlineStr">
        <is>
          <t>1–4 weeks</t>
        </is>
      </c>
      <c r="AR387" s="77" t="inlineStr">
        <is>
          <t>All/standard</t>
        </is>
      </c>
      <c r="AS387" s="77" t="inlineStr"/>
    </row>
    <row r="388">
      <c r="A388" s="77" t="inlineStr">
        <is>
          <t>UK04</t>
        </is>
      </c>
      <c r="B388" s="77" t="inlineStr">
        <is>
          <t>Loughborough</t>
        </is>
      </c>
      <c r="C388" s="77" t="inlineStr">
        <is>
          <t>Programme/course</t>
        </is>
      </c>
      <c r="D388" s="77" t="inlineStr">
        <is>
          <t>UK04-S05</t>
        </is>
      </c>
      <c r="E388" s="77" t="inlineStr"/>
      <c r="F388" s="77" t="inlineStr">
        <is>
          <t>No</t>
        </is>
      </c>
      <c r="G388" s="79" t="inlineStr">
        <is>
          <t>Physics industry group projects (Year 3 group project and final-year year-long group project)</t>
        </is>
      </c>
      <c r="H388" s="77" t="inlineStr">
        <is>
          <t>Physics industry group projects</t>
        </is>
      </c>
      <c r="I388" s="77" t="inlineStr"/>
      <c r="J388"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388" s="77" t="inlineStr">
        <is>
          <t>Department of Physics</t>
        </is>
      </c>
      <c r="L388" s="77" t="inlineStr">
        <is>
          <t>Physics, Engineering Physics, Physics with Computing, Mathematics and Physics BSc/MPhys (Group Project modules)</t>
        </is>
      </c>
      <c r="M388" s="77" t="inlineStr">
        <is>
          <t>Science</t>
        </is>
      </c>
      <c r="N388" s="77" t="inlineStr">
        <is>
          <t>Undergraduate</t>
        </is>
      </c>
      <c r="O388" s="77" t="inlineStr">
        <is>
          <t>Years 3 and final year</t>
        </is>
      </c>
      <c r="P388" s="77" t="inlineStr">
        <is>
          <t>Physics-related degree students</t>
        </is>
      </c>
      <c r="Q388" s="77" t="inlineStr">
        <is>
          <t>Unclear</t>
        </is>
      </c>
      <c r="R388" s="77" t="inlineStr">
        <is>
          <t>Curricular</t>
        </is>
      </c>
      <c r="S388" s="77" t="inlineStr">
        <is>
          <t>Physics BSc Group Project: ~1500 hours effort per project (search paraphrase); credits not found</t>
        </is>
      </c>
      <c r="T388" s="77" t="inlineStr">
        <is>
          <t>Year-long (final year)</t>
        </is>
      </c>
      <c r="U388" s="77" t="inlineStr">
        <is>
          <t>Group projects with external partner/stakeholder; light staff mentoring</t>
        </is>
      </c>
      <c r="V388" s="77" t="inlineStr">
        <is>
          <t>Yes</t>
        </is>
      </c>
      <c r="W388" s="77" t="inlineStr">
        <is>
          <t>Requirement specification and project deliverables with industrial partner; named example projects [1][2].</t>
        </is>
      </c>
      <c r="X388" s="77" t="inlineStr">
        <is>
          <t>Yes</t>
        </is>
      </c>
      <c r="Y388" s="77" t="inlineStr">
        <is>
          <t>'group projects are central'; staff mentors meet each group [1]; department page: industry-based group project [2].</t>
        </is>
      </c>
      <c r="Z388" s="77" t="inlineStr">
        <is>
          <t>Yes</t>
        </is>
      </c>
      <c r="AA388" s="77" t="inlineStr">
        <is>
          <t>Students collaborate with an industrial partner/external stakeholder; partners reprise roles across years [1]; named partners NLA Blue, IBM, BEIS [2].</t>
        </is>
      </c>
      <c r="AB388" s="77" t="inlineStr">
        <is>
          <t>Mixed</t>
        </is>
      </c>
      <c r="AC388" s="77" t="inlineStr">
        <is>
          <t>Partner agrees requirement specification / acts as external stakeholder for the project</t>
        </is>
      </c>
      <c r="AD388" s="77" t="inlineStr">
        <is>
          <t>NLA Blue, IBM, UK government BEIS Technical Energy Specialist team (department page, undated)</t>
        </is>
      </c>
      <c r="AE388" s="77" t="inlineStr">
        <is>
          <t>Project outputs against partner requirements (e.g. detection system, demonstrator)</t>
        </is>
      </c>
      <c r="AF388" s="77">
        <f>IF(OR(V388="No",X388="No",Z388="No"),"Outside strict definition",IF(AND(V388="Yes",X388="Yes",Z388="Yes"),"Meets all three","Potentially relevant; evidence incomplete"))</f>
        <v/>
      </c>
      <c r="AG388" s="77" t="inlineStr">
        <is>
          <t>Current status unclear</t>
        </is>
      </c>
      <c r="AH388" s="77" t="inlineStr">
        <is>
          <t>2024/25 cohort (arXiv Jan 2026)</t>
        </is>
      </c>
      <c r="AI388" s="77" t="inlineStr">
        <is>
          <t>Yes</t>
        </is>
      </c>
      <c r="AJ388" s="77">
        <f>IF(AND(AI388="Yes",AF388="Meets all three",AG388="Current delivery confirmed"),"Yes","No")</f>
        <v/>
      </c>
      <c r="AK388" s="77" t="inlineStr">
        <is>
          <t>2024/25: 'met professional expectations' in 89% of cases (not a participation count)</t>
        </is>
      </c>
      <c r="AL388" s="77" t="inlineStr">
        <is>
          <t>UK04-S05-R1; UK04-S05-R2</t>
        </is>
      </c>
      <c r="AM388" s="77" t="inlineStr">
        <is>
          <t>Compulsory vs optional (department page says 'opportunity'); team size; module codes; confirmation of 2025/26 delivery; independent verification of partner involvement beyond authors' own paper.</t>
        </is>
      </c>
      <c r="AN388" s="77" t="inlineStr"/>
      <c r="AO388" s="77" t="inlineStr">
        <is>
          <t>UK</t>
        </is>
      </c>
      <c r="AP388" s="77" t="inlineStr">
        <is>
          <t>UK – additional</t>
        </is>
      </c>
      <c r="AQ388" s="77" t="inlineStr">
        <is>
          <t>&gt;1 term</t>
        </is>
      </c>
      <c r="AR388" s="77" t="inlineStr">
        <is>
          <t>All/standard</t>
        </is>
      </c>
      <c r="AS388" s="77" t="inlineStr"/>
    </row>
    <row r="389">
      <c r="A389" s="77" t="inlineStr">
        <is>
          <t>UK04</t>
        </is>
      </c>
      <c r="B389" s="77" t="inlineStr">
        <is>
          <t>Loughborough</t>
        </is>
      </c>
      <c r="C389" s="77" t="inlineStr">
        <is>
          <t>Faculty/school</t>
        </is>
      </c>
      <c r="D389" s="77" t="inlineStr">
        <is>
          <t>UK04-S06</t>
        </is>
      </c>
      <c r="E389" s="77" t="inlineStr"/>
      <c r="F389" s="77" t="inlineStr">
        <is>
          <t>No</t>
        </is>
      </c>
      <c r="G389" s="79" t="inlineStr">
        <is>
          <t>Wolfson School Industry Collaboration Programme (Teaching Contract Scheme)</t>
        </is>
      </c>
      <c r="H389" s="77" t="inlineStr">
        <is>
          <t>Industry Collaboration Programme</t>
        </is>
      </c>
      <c r="I389" s="77" t="inlineStr"/>
      <c r="J389"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389" s="77" t="inlineStr">
        <is>
          <t>Wolfson School of Mechanical, Electrical and Manufacturing Engineering</t>
        </is>
      </c>
      <c r="L389" s="77" t="inlineStr">
        <is>
          <t>Wolfson School undergraduate (incl. MEng) students in 2nd or 4th year</t>
        </is>
      </c>
      <c r="M389" s="77" t="inlineStr">
        <is>
          <t>Engineering/computing</t>
        </is>
      </c>
      <c r="N389" s="77" t="inlineStr">
        <is>
          <t>Undergraduate</t>
        </is>
      </c>
      <c r="O389" s="77" t="inlineStr">
        <is>
          <t>Year 2 or Year 4 (final year)</t>
        </is>
      </c>
      <c r="P389" s="77" t="inlineStr">
        <is>
          <t>Wolfson School students</t>
        </is>
      </c>
      <c r="Q389" s="77" t="inlineStr">
        <is>
          <t>Unclear</t>
        </is>
      </c>
      <c r="R389" s="77" t="inlineStr">
        <is>
          <t>Curricular</t>
        </is>
      </c>
      <c r="S389" s="77" t="inlineStr">
        <is>
          <t>Within the academic curriculum; academic supervisor assesses, normally seeking industrialist advice (2015-16 page); module list includes 'Integrated Industrial Group Projects' (25WS007META)</t>
        </is>
      </c>
      <c r="T389" s="77" t="inlineStr">
        <is>
          <t>Not stated (academic year/semester)</t>
        </is>
      </c>
      <c r="U389" s="77" t="inlineStr">
        <is>
          <t>Company-set projects; 3 industry tutor visits; final presentation</t>
        </is>
      </c>
      <c r="V389" s="77" t="inlineStr">
        <is>
          <t>Yes</t>
        </is>
      </c>
      <c r="W389" s="77" t="inlineStr">
        <is>
          <t>Real-life projects; formal report and oral presentation [1][2].</t>
        </is>
      </c>
      <c r="X389" s="77" t="inlineStr">
        <is>
          <t>Yes</t>
        </is>
      </c>
      <c r="Y389" s="77" t="inlineStr">
        <is>
          <t>'real-life group projects'; 'small student teams' [1][2].</t>
        </is>
      </c>
      <c r="Z389" s="77" t="inlineStr">
        <is>
          <t>Yes</t>
        </is>
      </c>
      <c r="AA389" s="77" t="inlineStr">
        <is>
          <t>Company sets the project, provides industry tutor for three visits including final presentations; presentation to the company [1][2].</t>
        </is>
      </c>
      <c r="AB389" s="77" t="inlineStr">
        <is>
          <t>Business/commercial</t>
        </is>
      </c>
      <c r="AC389" s="77" t="inlineStr">
        <is>
          <t>Sets project; industry tutor visits; attends/gives feedback at final presentation</t>
        </is>
      </c>
      <c r="AD389" s="77" t="inlineStr">
        <is>
          <t>2015-16 list: GE Sensing, Renishaw, Bosch, JCB, Jaguar Land Rover, Kohler Mira, Bentley, Rolls-Royce, Perkins, Ford (outdated)</t>
        </is>
      </c>
      <c r="AE389" s="77" t="inlineStr">
        <is>
          <t>Formal written report and oral presentation to company</t>
        </is>
      </c>
      <c r="AF389" s="77">
        <f>IF(OR(V389="No",X389="No",Z389="No"),"Outside strict definition",IF(AND(V389="Yes",X389="Yes",Z389="Yes"),"Meets all three","Potentially relevant; evidence incomplete"))</f>
        <v/>
      </c>
      <c r="AG389" s="77" t="inlineStr">
        <is>
          <t>Current status unclear</t>
        </is>
      </c>
      <c r="AH389" s="77" t="inlineStr">
        <is>
          <t>undated (company list 2015-16)</t>
        </is>
      </c>
      <c r="AI389" s="77" t="inlineStr">
        <is>
          <t>Yes</t>
        </is>
      </c>
      <c r="AJ389" s="77">
        <f>IF(AND(AI389="Yes",AF389="Meets all three",AG389="Current delivery confirmed"),"Yes","No")</f>
        <v/>
      </c>
      <c r="AK389" s="77" t="inlineStr"/>
      <c r="AL389" s="77" t="inlineStr">
        <is>
          <t>UK04-S06-R1; UK04-S06-R2</t>
        </is>
      </c>
      <c r="AM389" s="77" t="inlineStr">
        <is>
          <t>No dated 2025/26 evidence; link between this programme and the 'Integrated Industrial Group Projects' module not confirmed; share of students on externally-sponsored projects; compulsory status.</t>
        </is>
      </c>
      <c r="AN389" s="77" t="inlineStr"/>
      <c r="AO389" s="77" t="inlineStr">
        <is>
          <t>UK</t>
        </is>
      </c>
      <c r="AP389" s="77" t="inlineStr">
        <is>
          <t>UK – additional</t>
        </is>
      </c>
      <c r="AQ389" s="77" t="inlineStr">
        <is>
          <t>Unclear</t>
        </is>
      </c>
      <c r="AR389" s="77" t="inlineStr">
        <is>
          <t>All/standard</t>
        </is>
      </c>
      <c r="AS389" s="77" t="inlineStr"/>
    </row>
    <row r="390">
      <c r="A390" s="77" t="inlineStr">
        <is>
          <t>UK04</t>
        </is>
      </c>
      <c r="B390" s="77" t="inlineStr">
        <is>
          <t>Loughborough</t>
        </is>
      </c>
      <c r="C390" s="77" t="inlineStr">
        <is>
          <t>Programme/course</t>
        </is>
      </c>
      <c r="D390" s="77" t="inlineStr">
        <is>
          <t>UK04-S07</t>
        </is>
      </c>
      <c r="E390" s="77" t="inlineStr"/>
      <c r="F390" s="77" t="inlineStr">
        <is>
          <t>No</t>
        </is>
      </c>
      <c r="G390" s="79" t="inlineStr">
        <is>
          <t>Industry Project (MSc User Experience Design / MA User Experience and Service Design)</t>
        </is>
      </c>
      <c r="H390" s="77" t="inlineStr">
        <is>
          <t>User Experience Industry Project</t>
        </is>
      </c>
      <c r="I390" s="77" t="inlineStr"/>
      <c r="J390"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390" s="77" t="inlineStr">
        <is>
          <t>School of Design and Creative Arts</t>
        </is>
      </c>
      <c r="L390" s="77" t="inlineStr">
        <is>
          <t>MSc User Experience Design; MA/MSc User Experience and Service Design (incl. London variant lists a related 15-credit Collaborative Project)</t>
        </is>
      </c>
      <c r="M390" s="77" t="inlineStr">
        <is>
          <t>Other (law, health, design, architecture…); Arts/humanities/social sciences</t>
        </is>
      </c>
      <c r="N390" s="77" t="inlineStr">
        <is>
          <t>Postgraduate taught</t>
        </is>
      </c>
      <c r="O390" s="77" t="inlineStr">
        <is>
          <t>Master's</t>
        </is>
      </c>
      <c r="P390" s="77" t="inlineStr">
        <is>
          <t>Students on named programmes</t>
        </is>
      </c>
      <c r="Q390" s="77" t="inlineStr">
        <is>
          <t>Compulsory within specified programmes</t>
        </is>
      </c>
      <c r="R390" s="77" t="inlineStr">
        <is>
          <t>Curricular</t>
        </is>
      </c>
      <c r="S390" s="77" t="inlineStr">
        <is>
          <t>15 credits</t>
        </is>
      </c>
      <c r="T390" s="77" t="inlineStr">
        <is>
          <t>Module (term not stated)</t>
        </is>
      </c>
      <c r="U390" s="77" t="inlineStr">
        <is>
          <t>Small teams; partner brief; presentation to company</t>
        </is>
      </c>
      <c r="V390" s="77" t="inlineStr">
        <is>
          <t>Yes</t>
        </is>
      </c>
      <c r="W390" s="77" t="inlineStr">
        <is>
          <t>Creative problem-oriented brief with evidence-based design outcome for sponsoring organisation [1][2].</t>
        </is>
      </c>
      <c r="X390" s="77" t="inlineStr">
        <is>
          <t>Yes</t>
        </is>
      </c>
      <c r="Y390" s="77" t="inlineStr">
        <is>
          <t>'small teams of students' [1].</t>
        </is>
      </c>
      <c r="Z390" s="77" t="inlineStr">
        <is>
          <t>Yes</t>
        </is>
      </c>
      <c r="AA390" s="77" t="inlineStr">
        <is>
          <t>Partners create briefs; teams 'ultimately present their responses directly to their briefing company' [1].</t>
        </is>
      </c>
      <c r="AB390" s="77" t="inlineStr">
        <is>
          <t>Business/commercial</t>
        </is>
      </c>
      <c r="AC390" s="77" t="inlineStr">
        <is>
          <t>Creates brief; receives presentation</t>
        </is>
      </c>
      <c r="AD390" s="77" t="inlineStr">
        <is>
          <t>Sainsbury's, SCS (2023 showcase); Capco (student account)</t>
        </is>
      </c>
      <c r="AE390" s="77" t="inlineStr">
        <is>
          <t>Design response presented to the briefing company</t>
        </is>
      </c>
      <c r="AF390" s="77">
        <f>IF(OR(V390="No",X390="No",Z390="No"),"Outside strict definition",IF(AND(V390="Yes",X390="Yes",Z390="Yes"),"Meets all three","Potentially relevant; evidence incomplete"))</f>
        <v/>
      </c>
      <c r="AG390" s="77" t="inlineStr">
        <is>
          <t>Current status unclear</t>
        </is>
      </c>
      <c r="AH390" s="77" t="inlineStr">
        <is>
          <t>2023 (showcase); programme page undated</t>
        </is>
      </c>
      <c r="AI390" s="77" t="inlineStr">
        <is>
          <t>Yes</t>
        </is>
      </c>
      <c r="AJ390" s="77">
        <f>IF(AND(AI390="Yes",AF390="Meets all three",AG390="Current delivery confirmed"),"Yes","No")</f>
        <v/>
      </c>
      <c r="AK390" s="77" t="inlineStr"/>
      <c r="AL390" s="77" t="inlineStr">
        <is>
          <t>UK04-S07-R1; UK04-S07-R2</t>
        </is>
      </c>
      <c r="AM390" s="77" t="inlineStr">
        <is>
          <t>No 2025/26 partner list found; the 2025 showcase page contains no industry-project partner detail.</t>
        </is>
      </c>
      <c r="AN390" s="77" t="inlineStr"/>
      <c r="AO390" s="77" t="inlineStr">
        <is>
          <t>UK</t>
        </is>
      </c>
      <c r="AP390" s="77" t="inlineStr">
        <is>
          <t>UK – additional</t>
        </is>
      </c>
      <c r="AQ390" s="77" t="inlineStr">
        <is>
          <t>~1 term/semester</t>
        </is>
      </c>
      <c r="AR390" s="77" t="inlineStr">
        <is>
          <t>All/standard</t>
        </is>
      </c>
      <c r="AS390" s="77" t="inlineStr"/>
    </row>
    <row r="391">
      <c r="A391" s="77" t="inlineStr">
        <is>
          <t>UK04</t>
        </is>
      </c>
      <c r="B391" s="77" t="inlineStr">
        <is>
          <t>Loughborough</t>
        </is>
      </c>
      <c r="C391" s="77" t="inlineStr">
        <is>
          <t>Faculty/school</t>
        </is>
      </c>
      <c r="D391" s="77" t="inlineStr">
        <is>
          <t>UK04-S08</t>
        </is>
      </c>
      <c r="E391" s="77" t="inlineStr"/>
      <c r="F391" s="77" t="inlineStr">
        <is>
          <t>No</t>
        </is>
      </c>
      <c r="G391" s="79" t="inlineStr">
        <is>
          <t>Cross-School Design Weeks (School of Architecture, Building and Civil Engineering)</t>
        </is>
      </c>
      <c r="H391" s="77" t="inlineStr">
        <is>
          <t>Cross-School Design Week</t>
        </is>
      </c>
      <c r="I391" s="77" t="inlineStr"/>
      <c r="J391"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391" s="77" t="inlineStr">
        <is>
          <t>School of Architecture, Building and Civil Engineering</t>
        </is>
      </c>
      <c r="L391" s="77" t="inlineStr">
        <is>
          <t>ABCE undergraduates (cross-course)</t>
        </is>
      </c>
      <c r="M391" s="77" t="inlineStr">
        <is>
          <t>Engineering/computing; Other (law, health, design, architecture…)</t>
        </is>
      </c>
      <c r="N391" s="77" t="inlineStr">
        <is>
          <t>Undergraduate</t>
        </is>
      </c>
      <c r="O391" s="77" t="inlineStr">
        <is>
          <t>Not stated</t>
        </is>
      </c>
      <c r="P391" s="77" t="inlineStr">
        <is>
          <t>ABCE students</t>
        </is>
      </c>
      <c r="Q391" s="77" t="inlineStr">
        <is>
          <t>Unclear</t>
        </is>
      </c>
      <c r="R391" s="77" t="inlineStr">
        <is>
          <t>Curricular</t>
        </is>
      </c>
      <c r="S391" s="77" t="inlineStr">
        <is>
          <t>Within curriculum; credit not found</t>
        </is>
      </c>
      <c r="T391" s="77" t="inlineStr">
        <is>
          <t>1 week</t>
        </is>
      </c>
      <c r="U391" s="77" t="inlineStr">
        <is>
          <t>Cross-discipline teams; showcase to industry panel</t>
        </is>
      </c>
      <c r="V391" s="77" t="inlineStr">
        <is>
          <t>Yes</t>
        </is>
      </c>
      <c r="W391" s="77" t="inlineStr">
        <is>
          <t>Team design proposals showcased [1].</t>
        </is>
      </c>
      <c r="X391" s="77" t="inlineStr">
        <is>
          <t>Yes</t>
        </is>
      </c>
      <c r="Y391" s="77" t="inlineStr">
        <is>
          <t>Teams of students from different disciplines [1].</t>
        </is>
      </c>
      <c r="Z391" s="77" t="inlineStr">
        <is>
          <t>Unclear</t>
        </is>
      </c>
      <c r="AA391" s="77" t="inlineStr">
        <is>
          <t>Ideas 'showcased to a panel of our well-established industry partners' [1], but who sets briefs is unclear (some are campus redesigns, i.e. internal).</t>
        </is>
      </c>
      <c r="AB391" s="77" t="inlineStr">
        <is>
          <t>Business/commercial</t>
        </is>
      </c>
      <c r="AC391" s="77" t="inlineStr">
        <is>
          <t>Panel receives/feeds back on presentations</t>
        </is>
      </c>
      <c r="AD391" s="77" t="inlineStr"/>
      <c r="AE391" s="77" t="inlineStr">
        <is>
          <t>Design proposal presented to industry panel</t>
        </is>
      </c>
      <c r="AF391" s="77">
        <f>IF(OR(V391="No",X391="No",Z391="No"),"Outside strict definition",IF(AND(V391="Yes",X391="Yes",Z391="Yes"),"Meets all three","Potentially relevant; evidence incomplete"))</f>
        <v/>
      </c>
      <c r="AG391" s="77" t="inlineStr">
        <is>
          <t>Current status unclear</t>
        </is>
      </c>
      <c r="AH391" s="77" t="inlineStr">
        <is>
          <t>undated</t>
        </is>
      </c>
      <c r="AI391" s="77" t="inlineStr">
        <is>
          <t>Yes</t>
        </is>
      </c>
      <c r="AJ391" s="77">
        <f>IF(AND(AI391="Yes",AF391="Meets all three",AG391="Current delivery confirmed"),"Yes","No")</f>
        <v/>
      </c>
      <c r="AK391" s="77" t="inlineStr"/>
      <c r="AL391" s="77" t="inlineStr">
        <is>
          <t>UK04-S08-R1</t>
        </is>
      </c>
      <c r="AM391" s="77" t="inlineStr">
        <is>
          <t>Who sets briefs; years; panel involvement beyond viewing; dates of recent weeks.</t>
        </is>
      </c>
      <c r="AN391" s="77" t="inlineStr"/>
      <c r="AO391" s="77" t="inlineStr">
        <is>
          <t>UK</t>
        </is>
      </c>
      <c r="AP391" s="77" t="inlineStr">
        <is>
          <t>UK – additional</t>
        </is>
      </c>
      <c r="AQ391" s="77" t="inlineStr">
        <is>
          <t>1 week</t>
        </is>
      </c>
      <c r="AR391" s="77" t="inlineStr">
        <is>
          <t>Some projects</t>
        </is>
      </c>
      <c r="AS391" s="77" t="inlineStr"/>
    </row>
    <row r="392">
      <c r="A392" s="77" t="inlineStr">
        <is>
          <t>UK04</t>
        </is>
      </c>
      <c r="B392" s="77" t="inlineStr">
        <is>
          <t>Loughborough</t>
        </is>
      </c>
      <c r="C392" s="77" t="inlineStr">
        <is>
          <t>Unclear</t>
        </is>
      </c>
      <c r="D392" s="77" t="inlineStr">
        <is>
          <t>UK04-S09</t>
        </is>
      </c>
      <c r="E392" s="77" t="inlineStr"/>
      <c r="F392" s="77" t="inlineStr">
        <is>
          <t>No</t>
        </is>
      </c>
      <c r="G392" s="79" t="inlineStr">
        <is>
          <t>Loughborough AI Challenge Camp</t>
        </is>
      </c>
      <c r="H392" s="77" t="inlineStr">
        <is>
          <t>AI Challenge Camp 2026</t>
        </is>
      </c>
      <c r="I392" s="77" t="inlineStr"/>
      <c r="J392"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392" s="77" t="inlineStr">
        <is>
          <t>Led by Prof Diwei Zhou (department not confirmed)</t>
        </is>
      </c>
      <c r="L392" s="77" t="inlineStr">
        <is>
          <t>Undergraduates from several disciplines</t>
        </is>
      </c>
      <c r="M392" s="77" t="inlineStr">
        <is>
          <t>Science; Engineering/computing</t>
        </is>
      </c>
      <c r="N392" s="77" t="inlineStr">
        <is>
          <t>Undergraduate</t>
        </is>
      </c>
      <c r="O392" s="77" t="inlineStr">
        <is>
          <t>Not stated</t>
        </is>
      </c>
      <c r="P392" s="77" t="inlineStr">
        <is>
          <t>Not stated</t>
        </is>
      </c>
      <c r="Q392" s="77" t="inlineStr">
        <is>
          <t>Selective/competitive</t>
        </is>
      </c>
      <c r="R392" s="77" t="inlineStr">
        <is>
          <t>Unclear</t>
        </is>
      </c>
      <c r="S392" s="77" t="inlineStr">
        <is>
          <t>Not stated</t>
        </is>
      </c>
      <c r="T392" s="77" t="inlineStr">
        <is>
          <t>5 days (26-30 Jan 2026)</t>
        </is>
      </c>
      <c r="U392" s="77" t="inlineStr">
        <is>
          <t>On campus; 4 teams with PhD mentors</t>
        </is>
      </c>
      <c r="V392" s="77" t="inlineStr">
        <is>
          <t>Yes</t>
        </is>
      </c>
      <c r="W392" s="77" t="inlineStr">
        <is>
          <t>Teams built solutions (e.g. decision-tree/scoring framework with AI explainer) and presented to expert panel [1].</t>
        </is>
      </c>
      <c r="X392" s="77" t="inlineStr">
        <is>
          <t>Yes</t>
        </is>
      </c>
      <c r="Y392" s="77" t="inlineStr">
        <is>
          <t>Four teams, each with a PhD mentor [1].</t>
        </is>
      </c>
      <c r="Z392" s="77" t="inlineStr">
        <is>
          <t>Unclear</t>
        </is>
      </c>
      <c r="AA392" s="77" t="inlineStr">
        <is>
          <t>Challenges set by 'industry and academic partners'; only one named industry setter (These Hands Academy Ltd, healthcare) [1]; academic share unknown.</t>
        </is>
      </c>
      <c r="AB392" s="77" t="inlineStr">
        <is>
          <t>Mixed</t>
        </is>
      </c>
      <c r="AC392" s="77" t="inlineStr">
        <is>
          <t>Sets challenge (industry and academic partners)</t>
        </is>
      </c>
      <c r="AD392" s="77" t="inlineStr">
        <is>
          <t>These Hands Academy Ltd (2026)</t>
        </is>
      </c>
      <c r="AE392" s="77" t="inlineStr">
        <is>
          <t>Data-science solution presented to expert panel</t>
        </is>
      </c>
      <c r="AF392" s="77">
        <f>IF(OR(V392="No",X392="No",Z392="No"),"Outside strict definition",IF(AND(V392="Yes",X392="Yes",Z392="Yes"),"Meets all three","Potentially relevant; evidence incomplete"))</f>
        <v/>
      </c>
      <c r="AG392" s="77" t="inlineStr">
        <is>
          <t>Current delivery confirmed</t>
        </is>
      </c>
      <c r="AH392" s="77" t="inlineStr">
        <is>
          <t>2026 (Jan)</t>
        </is>
      </c>
      <c r="AI392" s="77" t="inlineStr">
        <is>
          <t>Yes</t>
        </is>
      </c>
      <c r="AJ392" s="77">
        <f>IF(AND(AI392="Yes",AF392="Meets all three",AG392="Current delivery confirmed"),"Yes","No")</f>
        <v/>
      </c>
      <c r="AK392" s="77" t="inlineStr"/>
      <c r="AL392" s="77" t="inlineStr">
        <is>
          <t>UK04-S09-R1</t>
        </is>
      </c>
      <c r="AM392" s="77" t="inlineStr">
        <is>
          <t>Which challenges were set by external vs academic partners; eligibility/selection; whether recurring; credit.</t>
        </is>
      </c>
      <c r="AN392" s="77" t="inlineStr"/>
      <c r="AO392" s="77" t="inlineStr">
        <is>
          <t>UK</t>
        </is>
      </c>
      <c r="AP392" s="77" t="inlineStr">
        <is>
          <t>UK – additional</t>
        </is>
      </c>
      <c r="AQ392" s="77" t="inlineStr">
        <is>
          <t>&lt;1 week</t>
        </is>
      </c>
      <c r="AR392" s="77" t="inlineStr">
        <is>
          <t>Some projects</t>
        </is>
      </c>
      <c r="AS392" s="77" t="inlineStr"/>
    </row>
    <row r="393">
      <c r="A393" s="77" t="inlineStr">
        <is>
          <t>UK04</t>
        </is>
      </c>
      <c r="B393" s="77" t="inlineStr">
        <is>
          <t>Loughborough</t>
        </is>
      </c>
      <c r="C393" s="77" t="inlineStr">
        <is>
          <t>Programme/course</t>
        </is>
      </c>
      <c r="D393" s="77" t="inlineStr">
        <is>
          <t>UK04-S10</t>
        </is>
      </c>
      <c r="E393" s="77" t="inlineStr"/>
      <c r="F393" s="77" t="inlineStr">
        <is>
          <t>No</t>
        </is>
      </c>
      <c r="G393" s="79" t="inlineStr">
        <is>
          <t>School of Design and Creative Arts live industry briefs (Design Week; final-year 7-day project; Industrial Design design sprint)</t>
        </is>
      </c>
      <c r="H393" s="77" t="inlineStr">
        <is>
          <t>SDCA live industry briefs</t>
        </is>
      </c>
      <c r="I393" s="77" t="inlineStr"/>
      <c r="J393"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393" s="77" t="inlineStr">
        <is>
          <t>School of Design and Creative Arts</t>
        </is>
      </c>
      <c r="L393" s="77" t="inlineStr">
        <is>
          <t>Industrial Design BA; Product Design and Technology BSc</t>
        </is>
      </c>
      <c r="M393" s="77" t="inlineStr">
        <is>
          <t>Other (law, health, design, architecture…)</t>
        </is>
      </c>
      <c r="N393" s="77" t="inlineStr">
        <is>
          <t>Undergraduate</t>
        </is>
      </c>
      <c r="O393" s="77" t="inlineStr">
        <is>
          <t>Year 2 (Design Week); final year (7-day project)</t>
        </is>
      </c>
      <c r="P393" s="77" t="inlineStr">
        <is>
          <t>Named design programmes</t>
        </is>
      </c>
      <c r="Q393" s="77" t="inlineStr">
        <is>
          <t>Compulsory within specified programmes</t>
        </is>
      </c>
      <c r="R393" s="77" t="inlineStr">
        <is>
          <t>Curricular</t>
        </is>
      </c>
      <c r="S393" s="77" t="inlineStr">
        <is>
          <t>Not found</t>
        </is>
      </c>
      <c r="T393" s="77" t="inlineStr">
        <is>
          <t>1 week (Design Week); 7 days (final-year project)</t>
        </is>
      </c>
      <c r="U393" s="77" t="inlineStr">
        <is>
          <t>Live briefs; company judging</t>
        </is>
      </c>
      <c r="V393" s="77" t="inlineStr">
        <is>
          <t>Yes</t>
        </is>
      </c>
      <c r="W393" s="77" t="inlineStr">
        <is>
          <t>Design proposals responding to company briefs [1][2].</t>
        </is>
      </c>
      <c r="X393" s="77" t="inlineStr">
        <is>
          <t>Unclear</t>
        </is>
      </c>
      <c r="Y393" s="77" t="inlineStr">
        <is>
          <t>Team/individual split not stated for Design Week or 7-day project; Industrial Design sprint proposal appears individual [3].</t>
        </is>
      </c>
      <c r="Z393" s="77" t="inlineStr">
        <is>
          <t>Yes</t>
        </is>
      </c>
      <c r="AA393" s="77" t="inlineStr">
        <is>
          <t>Companies set and judge briefs (Panasonic, DCA, Seymour Powell 2020; Cambridge Consultants, Joseph Joseph, Kohler Mira 2025) [1][2][4].</t>
        </is>
      </c>
      <c r="AB393" s="77" t="inlineStr">
        <is>
          <t>Business/commercial</t>
        </is>
      </c>
      <c r="AC393" s="77" t="inlineStr">
        <is>
          <t>Sets brief; judges; gives feedback</t>
        </is>
      </c>
      <c r="AD393" s="77" t="inlineStr">
        <is>
          <t>Cambridge Consultants, Joseph Joseph, Kohler Mira (Design Week 2025); Panasonic, DCA, Seymour Powell (2020)</t>
        </is>
      </c>
      <c r="AE393" s="77" t="inlineStr">
        <is>
          <t>Design proposals/concepts</t>
        </is>
      </c>
      <c r="AF393" s="77">
        <f>IF(OR(V393="No",X393="No",Z393="No"),"Outside strict definition",IF(AND(V393="Yes",X393="Yes",Z393="Yes"),"Meets all three","Potentially relevant; evidence incomplete"))</f>
        <v/>
      </c>
      <c r="AG393" s="77" t="inlineStr">
        <is>
          <t>Current status unclear</t>
        </is>
      </c>
      <c r="AH393" s="77" t="inlineStr">
        <is>
          <t>2025 (Design Week 2025; exact date not shown)</t>
        </is>
      </c>
      <c r="AI393" s="77" t="inlineStr">
        <is>
          <t>Yes</t>
        </is>
      </c>
      <c r="AJ393" s="77">
        <f>IF(AND(AI393="Yes",AF393="Meets all three",AG393="Current delivery confirmed"),"Yes","No")</f>
        <v/>
      </c>
      <c r="AK393" s="77" t="inlineStr"/>
      <c r="AL393" s="77" t="inlineStr">
        <is>
          <t>UK04-S10-R1; UK04-S10-R2; UK04-S10-R3; UK04-S10-R4</t>
        </is>
      </c>
      <c r="AM393" s="77" t="inlineStr">
        <is>
          <t>Group vs individual working; whether the final-year 7-day project still runs; compulsory status; credits.</t>
        </is>
      </c>
      <c r="AN393" s="77" t="inlineStr"/>
      <c r="AO393" s="77" t="inlineStr">
        <is>
          <t>UK</t>
        </is>
      </c>
      <c r="AP393" s="77" t="inlineStr">
        <is>
          <t>UK – additional</t>
        </is>
      </c>
      <c r="AQ393" s="77" t="inlineStr">
        <is>
          <t>1 week</t>
        </is>
      </c>
      <c r="AR393" s="77" t="inlineStr">
        <is>
          <t>All/standard</t>
        </is>
      </c>
      <c r="AS393" s="77" t="inlineStr"/>
    </row>
    <row r="394">
      <c r="A394" s="77" t="inlineStr">
        <is>
          <t>UK04</t>
        </is>
      </c>
      <c r="B394" s="77" t="inlineStr">
        <is>
          <t>Loughborough</t>
        </is>
      </c>
      <c r="C394" s="77" t="inlineStr">
        <is>
          <t>Programme/course</t>
        </is>
      </c>
      <c r="D394" s="77" t="inlineStr">
        <is>
          <t>UK04-S11</t>
        </is>
      </c>
      <c r="E394" s="77" t="inlineStr"/>
      <c r="F394" s="77" t="inlineStr">
        <is>
          <t>No</t>
        </is>
      </c>
      <c r="G394" s="79" t="inlineStr">
        <is>
          <t>EnerHy Centre for Doctoral Training design-and-build project (Cadent)</t>
        </is>
      </c>
      <c r="H394" s="77" t="inlineStr">
        <is>
          <t>EnerHy CDT team project</t>
        </is>
      </c>
      <c r="I394" s="77" t="inlineStr"/>
      <c r="J394" s="77" t="inlineStr">
        <is>
          <t>Six-month design-and-build project posed by Cadent (UK gas distribution network) completed by a 13-person multidisciplinary team of EnerHy CDT students, producing a pipe inspection gauge prototype unveiled at an event.</t>
        </is>
      </c>
      <c r="K394" s="77" t="inlineStr">
        <is>
          <t>EnerHy Centre for Doctoral Training (Loughborough-led)</t>
        </is>
      </c>
      <c r="L394" s="77" t="inlineStr">
        <is>
          <t>EnerHy CDT doctoral students</t>
        </is>
      </c>
      <c r="M394" s="77" t="inlineStr">
        <is>
          <t>Engineering/computing; Science</t>
        </is>
      </c>
      <c r="N394" s="77" t="inlineStr">
        <is>
          <t>Postgraduate research</t>
        </is>
      </c>
      <c r="O394" s="77" t="inlineStr">
        <is>
          <t>CDT cohort</t>
        </is>
      </c>
      <c r="P394" s="77" t="inlineStr">
        <is>
          <t>CDT students only</t>
        </is>
      </c>
      <c r="Q394" s="77" t="inlineStr">
        <is>
          <t>Compulsory within specified programmes</t>
        </is>
      </c>
      <c r="R394" s="77" t="inlineStr">
        <is>
          <t>Curricular</t>
        </is>
      </c>
      <c r="S394" s="77" t="inlineStr">
        <is>
          <t>Not found</t>
        </is>
      </c>
      <c r="T394" s="77" t="inlineStr">
        <is>
          <t>6 months</t>
        </is>
      </c>
      <c r="U394" s="77" t="inlineStr">
        <is>
          <t>Multidisciplinary team design-and-build</t>
        </is>
      </c>
      <c r="V394" s="77" t="inlineStr">
        <is>
          <t>Yes</t>
        </is>
      </c>
      <c r="W394" s="77" t="inlineStr">
        <is>
          <t>Prototype pipe inspection gauge delivered [1].</t>
        </is>
      </c>
      <c r="X394" s="77" t="inlineStr">
        <is>
          <t>Yes</t>
        </is>
      </c>
      <c r="Y394" s="77" t="inlineStr">
        <is>
          <t>'13-person multidisciplinary team' [1].</t>
        </is>
      </c>
      <c r="Z394" s="77" t="inlineStr">
        <is>
          <t>Unclear</t>
        </is>
      </c>
      <c r="AA394" s="77" t="inlineStr">
        <is>
          <t>This year's project was posed by Cadent [1]; whether external clients are the documented norm for the CDT team project each year is not evidenced.</t>
        </is>
      </c>
      <c r="AB394" s="77" t="inlineStr">
        <is>
          <t>Business/commercial</t>
        </is>
      </c>
      <c r="AC394" s="77" t="inlineStr">
        <is>
          <t>Poses project</t>
        </is>
      </c>
      <c r="AD394" s="77" t="inlineStr">
        <is>
          <t>Cadent (2025)</t>
        </is>
      </c>
      <c r="AE394" s="77" t="inlineStr">
        <is>
          <t>Prototype pipe inspection gauge</t>
        </is>
      </c>
      <c r="AF394" s="77">
        <f>IF(OR(V394="No",X394="No",Z394="No"),"Outside strict definition",IF(AND(V394="Yes",X394="Yes",Z394="Yes"),"Meets all three","Potentially relevant; evidence incomplete"))</f>
        <v/>
      </c>
      <c r="AG394" s="77" t="inlineStr">
        <is>
          <t>Current delivery confirmed</t>
        </is>
      </c>
      <c r="AH394" s="77" t="inlineStr">
        <is>
          <t>2025 (news Sept 2025)</t>
        </is>
      </c>
      <c r="AI394" s="77" t="inlineStr">
        <is>
          <t>Yes</t>
        </is>
      </c>
      <c r="AJ394" s="77">
        <f>IF(AND(AI394="Yes",AF394="Meets all three",AG394="Current delivery confirmed"),"Yes","No")</f>
        <v/>
      </c>
      <c r="AK394" s="77" t="inlineStr"/>
      <c r="AL394" s="77" t="inlineStr">
        <is>
          <t>UK04-S11-R1</t>
        </is>
      </c>
      <c r="AM394" s="77" t="inlineStr">
        <is>
          <t>Whether compulsory for all CDT students and recurs annually with different partners; CDT is jointly hosted (other universities).</t>
        </is>
      </c>
      <c r="AN394" s="77" t="inlineStr"/>
      <c r="AO394" s="77" t="inlineStr">
        <is>
          <t>UK</t>
        </is>
      </c>
      <c r="AP394" s="77" t="inlineStr">
        <is>
          <t>UK – additional</t>
        </is>
      </c>
      <c r="AQ394" s="77" t="inlineStr">
        <is>
          <t>&gt;1 term</t>
        </is>
      </c>
      <c r="AR394" s="77" t="inlineStr">
        <is>
          <t>Unclear</t>
        </is>
      </c>
      <c r="AS394" s="77" t="inlineStr"/>
    </row>
    <row r="395">
      <c r="A395" s="77" t="inlineStr">
        <is>
          <t>UK04</t>
        </is>
      </c>
      <c r="B395" s="77" t="inlineStr">
        <is>
          <t>Loughborough</t>
        </is>
      </c>
      <c r="C395" s="77" t="inlineStr">
        <is>
          <t>Unclear</t>
        </is>
      </c>
      <c r="D395" s="77" t="inlineStr">
        <is>
          <t>UK04-S12</t>
        </is>
      </c>
      <c r="E395" s="77" t="inlineStr"/>
      <c r="F395" s="77" t="inlineStr">
        <is>
          <t>No</t>
        </is>
      </c>
      <c r="G395" s="79" t="inlineStr">
        <is>
          <t>Collaborate Sprint (Loughborough University London)</t>
        </is>
      </c>
      <c r="H395" s="77" t="inlineStr">
        <is>
          <t>Collaborate Sprint</t>
        </is>
      </c>
      <c r="I395" s="77" t="inlineStr"/>
      <c r="J395" s="77" t="inlineStr">
        <is>
          <t>2-day condensed version of the Collaborative Project for Loughborough undergraduates at the London campus; first edition (June 2022) with Holland &amp; Barrett on improving global health via supply chains; teams built, researched and pitched solutions.</t>
        </is>
      </c>
      <c r="K395" s="77" t="inlineStr">
        <is>
          <t>Loughborough University London</t>
        </is>
      </c>
      <c r="L395" s="77" t="inlineStr">
        <is>
          <t>Loughborough undergraduates (2022)</t>
        </is>
      </c>
      <c r="M395" s="77" t="inlineStr">
        <is>
          <t>Central provision</t>
        </is>
      </c>
      <c r="N395" s="77" t="inlineStr">
        <is>
          <t>Undergraduate</t>
        </is>
      </c>
      <c r="O395" s="77" t="inlineStr">
        <is>
          <t>Not stated</t>
        </is>
      </c>
      <c r="P395" s="77" t="inlineStr">
        <is>
          <t>Open to Loughborough undergraduates in 2022</t>
        </is>
      </c>
      <c r="Q395" s="77" t="inlineStr">
        <is>
          <t>Optional/elective</t>
        </is>
      </c>
      <c r="R395" s="77" t="inlineStr">
        <is>
          <t>Extracurricular</t>
        </is>
      </c>
      <c r="S395" s="77" t="inlineStr">
        <is>
          <t>None evidenced</t>
        </is>
      </c>
      <c r="T395" s="77" t="inlineStr">
        <is>
          <t>2 days</t>
        </is>
      </c>
      <c r="U395" s="77" t="inlineStr">
        <is>
          <t>On campus, London</t>
        </is>
      </c>
      <c r="V395" s="77" t="inlineStr">
        <is>
          <t>Yes</t>
        </is>
      </c>
      <c r="W395" s="77" t="inlineStr">
        <is>
          <t>Pitched sustainable solutions to partner challenge [1].</t>
        </is>
      </c>
      <c r="X395" s="77" t="inlineStr">
        <is>
          <t>Yes</t>
        </is>
      </c>
      <c r="Y395" s="77" t="inlineStr">
        <is>
          <t>Participants built teams [1].</t>
        </is>
      </c>
      <c r="Z395" s="77" t="inlineStr">
        <is>
          <t>Yes</t>
        </is>
      </c>
      <c r="AA395" s="77" t="inlineStr">
        <is>
          <t>Partner organisation Holland &amp; Barrett set challenge (2022) [1].</t>
        </is>
      </c>
      <c r="AB395" s="77" t="inlineStr">
        <is>
          <t>Business/commercial</t>
        </is>
      </c>
      <c r="AC395" s="77" t="inlineStr">
        <is>
          <t>Sets challenge</t>
        </is>
      </c>
      <c r="AD395" s="77" t="inlineStr">
        <is>
          <t>Holland &amp; Barrett (2022)</t>
        </is>
      </c>
      <c r="AE395" s="77" t="inlineStr">
        <is>
          <t>Pitched solution</t>
        </is>
      </c>
      <c r="AF395" s="77">
        <f>IF(OR(V395="No",X395="No",Z395="No"),"Outside strict definition",IF(AND(V395="Yes",X395="Yes",Z395="Yes"),"Meets all three","Potentially relevant; evidence incomplete"))</f>
        <v/>
      </c>
      <c r="AG395" s="77" t="inlineStr">
        <is>
          <t>Historical delivery only</t>
        </is>
      </c>
      <c r="AH395" s="77" t="inlineStr">
        <is>
          <t>2022</t>
        </is>
      </c>
      <c r="AI395" s="77" t="inlineStr">
        <is>
          <t>Yes</t>
        </is>
      </c>
      <c r="AJ395" s="77">
        <f>IF(AND(AI395="Yes",AF395="Meets all three",AG395="Current delivery confirmed"),"Yes","No")</f>
        <v/>
      </c>
      <c r="AK395" s="77" t="inlineStr"/>
      <c r="AL395" s="77" t="inlineStr">
        <is>
          <t>UK04-S12-R1</t>
        </is>
      </c>
      <c r="AM395" s="77" t="inlineStr">
        <is>
          <t>Whether Sprint ran after 2022/23; a later sustainability sprint was seen only as a headline.</t>
        </is>
      </c>
      <c r="AN395" s="77" t="inlineStr"/>
      <c r="AO395" s="77" t="inlineStr">
        <is>
          <t>UK</t>
        </is>
      </c>
      <c r="AP395" s="77" t="inlineStr">
        <is>
          <t>UK – additional</t>
        </is>
      </c>
      <c r="AQ395" s="77" t="inlineStr">
        <is>
          <t>&lt;1 week</t>
        </is>
      </c>
      <c r="AR395" s="77" t="inlineStr">
        <is>
          <t>All/standard</t>
        </is>
      </c>
      <c r="AS395" s="77" t="inlineStr"/>
    </row>
    <row r="396">
      <c r="A396" s="77" t="inlineStr">
        <is>
          <t>UK05</t>
        </is>
      </c>
      <c r="B396" s="77" t="inlineStr">
        <is>
          <t>Aberdeen</t>
        </is>
      </c>
      <c r="C396" s="77" t="inlineStr">
        <is>
          <t>University-wide</t>
        </is>
      </c>
      <c r="D396" s="77" t="inlineStr">
        <is>
          <t>UK05-S01</t>
        </is>
      </c>
      <c r="E396" s="77" t="inlineStr"/>
      <c r="F396" s="77" t="inlineStr">
        <is>
          <t>No</t>
        </is>
      </c>
      <c r="G396" s="79" t="inlineStr">
        <is>
          <t>Work-Based Learning: Team Projects with Employer Partners</t>
        </is>
      </c>
      <c r="H396" s="77" t="inlineStr">
        <is>
          <t>Work-Based Learning: Team Projects with Employer Partners</t>
        </is>
      </c>
      <c r="I396" s="77" t="inlineStr">
        <is>
          <t>PD2503</t>
        </is>
      </c>
      <c r="J396"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396" s="77" t="inlineStr">
        <is>
          <t>Professional Development (catalogue subject); Careers and Employability lists it among curricular work-experience courses</t>
        </is>
      </c>
      <c r="L396" s="77" t="inlineStr">
        <is>
          <t>Any undergraduate programme (Level 2)</t>
        </is>
      </c>
      <c r="M396" s="77" t="inlineStr">
        <is>
          <t>Central provision</t>
        </is>
      </c>
      <c r="N396" s="77" t="inlineStr">
        <is>
          <t>Undergraduate</t>
        </is>
      </c>
      <c r="O396" s="77" t="inlineStr">
        <is>
          <t>Level 2 (second-year)</t>
        </is>
      </c>
      <c r="P396" s="77" t="inlineStr">
        <is>
          <t>Prerequisites listed as Programme Level 2 and Any Undergraduate Programme; entry via project application and interview</t>
        </is>
      </c>
      <c r="Q396" s="77" t="inlineStr">
        <is>
          <t>Selective/competitive</t>
        </is>
      </c>
      <c r="R396" s="77" t="inlineStr">
        <is>
          <t>Curricular</t>
        </is>
      </c>
      <c r="S396" s="77" t="inlineStr">
        <is>
          <t>15 SCQF credits (7.5 ECTS); Achieved/Not Achieved. Components: project application, interview, project plan, reflective reports, group report (largest weight, reported as 40%), pitch/presentation (reported as 15%). Search summary noted the catalogue weightings appear to sum to more than 100%.</t>
        </is>
      </c>
      <c r="T396" s="77" t="inlineStr">
        <is>
          <t>One term (second term)</t>
        </is>
      </c>
      <c r="U396" s="77" t="inlineStr">
        <is>
          <t>Aberdeen campus; team project with sponsor contact</t>
        </is>
      </c>
      <c r="V396" s="77" t="inlineStr">
        <is>
          <t>Yes</t>
        </is>
      </c>
      <c r="W396" s="77" t="inlineStr">
        <is>
          <t>A defined sponsored project run from application through project plan and milestones to a group report and pitch [1][2].</t>
        </is>
      </c>
      <c r="X396" s="77" t="inlineStr">
        <is>
          <t>Yes</t>
        </is>
      </c>
      <c r="Y396" s="77" t="inlineStr">
        <is>
          <t>Course title and catalogue describe working in a team on a real project, with a team project plan and final team submission/group report [1][2].</t>
        </is>
      </c>
      <c r="Z396" s="77" t="inlineStr">
        <is>
          <t>Yes</t>
        </is>
      </c>
      <c r="AA396" s="77" t="inlineStr">
        <is>
          <t>Each project has a sponsoring organisation: students work directly with the project sponsor and get feedback; the draft plan goes to the sponsor for sign-off; the final pitch is shown to the project sponsors; projects must add value for the sponsor [1][2].</t>
        </is>
      </c>
      <c r="AB396" s="77" t="inlineStr">
        <is>
          <t>Unclear</t>
        </is>
      </c>
      <c r="AC396" s="77" t="inlineStr">
        <is>
          <t>Project sponsor: sets the project, signs off the plan, gives feedback, receives the pitch</t>
        </is>
      </c>
      <c r="AD396" s="77" t="inlineStr"/>
      <c r="AE396" s="77" t="inlineStr">
        <is>
          <t>Team project plan, group report, pre-recorded pitch to sponsors</t>
        </is>
      </c>
      <c r="AF396" s="77">
        <f>IF(OR(V396="No",X396="No",Z396="No"),"Outside strict definition",IF(AND(V396="Yes",X396="Yes",Z396="Yes"),"Meets all three","Potentially relevant; evidence incomplete"))</f>
        <v/>
      </c>
      <c r="AG396" s="77" t="inlineStr">
        <is>
          <t>Current status unclear</t>
        </is>
      </c>
      <c r="AH396" s="77" t="inlineStr">
        <is>
          <t>2024/25</t>
        </is>
      </c>
      <c r="AI396" s="77" t="inlineStr">
        <is>
          <t>Yes</t>
        </is>
      </c>
      <c r="AJ396" s="77">
        <f>IF(AND(AI396="Yes",AF396="Meets all three",AG396="Current delivery confirmed"),"Yes","No")</f>
        <v/>
      </c>
      <c r="AK396" s="77" t="inlineStr">
        <is>
          <t>23 undergraduates from a range of disciplines enrolled when the course launched in January 2025 (staff blog) [3]</t>
        </is>
      </c>
      <c r="AL396" s="77" t="inlineStr">
        <is>
          <t>UK05-S01-R1; UK05-S01-R2; UK05-S01-R3</t>
        </is>
      </c>
      <c r="AM396" s="77" t="inlineStr">
        <is>
          <t>The catalogue URL path is /2025/, but the search summary described the entry as titled 2024-2025. No 2025/26 or 2026/27 delivery was confirmed. Partner sectors and named sponsors were not retrieved. Search budget ran out before verification.</t>
        </is>
      </c>
      <c r="AN396" s="77" t="inlineStr"/>
      <c r="AO396" s="77" t="inlineStr">
        <is>
          <t>UK</t>
        </is>
      </c>
      <c r="AP396" s="77" t="inlineStr">
        <is>
          <t>UK – additional</t>
        </is>
      </c>
      <c r="AQ396" s="77" t="inlineStr">
        <is>
          <t>~1 term/semester</t>
        </is>
      </c>
      <c r="AR396" s="77" t="inlineStr">
        <is>
          <t>All/standard</t>
        </is>
      </c>
      <c r="AS396" s="77" t="inlineStr"/>
    </row>
    <row r="397">
      <c r="A397" s="77" t="inlineStr">
        <is>
          <t>UK05</t>
        </is>
      </c>
      <c r="B397" s="77" t="inlineStr">
        <is>
          <t>Aberdeen</t>
        </is>
      </c>
      <c r="C397" s="77" t="inlineStr">
        <is>
          <t>Unclear</t>
        </is>
      </c>
      <c r="D397" s="77" t="inlineStr">
        <is>
          <t>UK05-S02</t>
        </is>
      </c>
      <c r="E397" s="77" t="inlineStr"/>
      <c r="F397" s="77" t="inlineStr">
        <is>
          <t>No</t>
        </is>
      </c>
      <c r="G397" s="79" t="inlineStr">
        <is>
          <t>Employer-led Interdisciplinary Project</t>
        </is>
      </c>
      <c r="H397" s="77" t="inlineStr">
        <is>
          <t>Employer-led Interdisciplinary Project</t>
        </is>
      </c>
      <c r="I397" s="77" t="inlineStr">
        <is>
          <t>ED3537</t>
        </is>
      </c>
      <c r="J397" s="77" t="inlineStr">
        <is>
          <t>Level 3 course in which students work together in a small group on a consultancy-style project hosted by a micro-business, organisation or charity.</t>
        </is>
      </c>
      <c r="K397" s="77" t="inlineStr">
        <is>
          <t>Catalogue subject: Education</t>
        </is>
      </c>
      <c r="L397" s="77" t="inlineStr">
        <is>
          <t>Not retrieved (interdisciplinary title suggests open across subjects, unverified)</t>
        </is>
      </c>
      <c r="M397" s="77" t="inlineStr">
        <is>
          <t>Central provision</t>
        </is>
      </c>
      <c r="N397" s="77" t="inlineStr">
        <is>
          <t>Undergraduate</t>
        </is>
      </c>
      <c r="O397" s="77" t="inlineStr">
        <is>
          <t>Level 3</t>
        </is>
      </c>
      <c r="P397" s="77" t="inlineStr">
        <is>
          <t>Not retrieved</t>
        </is>
      </c>
      <c r="Q397" s="77" t="inlineStr">
        <is>
          <t>Optional/elective</t>
        </is>
      </c>
      <c r="R397" s="77" t="inlineStr">
        <is>
          <t>Curricular</t>
        </is>
      </c>
      <c r="S397" s="77" t="inlineStr">
        <is>
          <t>Not retrieved</t>
        </is>
      </c>
      <c r="T397" s="77" t="inlineStr">
        <is>
          <t>Not retrieved</t>
        </is>
      </c>
      <c r="U397" s="77" t="inlineStr">
        <is>
          <t>Not retrieved</t>
        </is>
      </c>
      <c r="V397" s="77" t="inlineStr">
        <is>
          <t>Yes</t>
        </is>
      </c>
      <c r="W397" s="77" t="inlineStr">
        <is>
          <t>Consultancy-style project [1].</t>
        </is>
      </c>
      <c r="X397" s="77" t="inlineStr">
        <is>
          <t>Yes</t>
        </is>
      </c>
      <c r="Y397" s="77" t="inlineStr">
        <is>
          <t>Students work together in a small group [1].</t>
        </is>
      </c>
      <c r="Z397" s="77" t="inlineStr">
        <is>
          <t>Yes</t>
        </is>
      </c>
      <c r="AA397" s="77" t="inlineStr">
        <is>
          <t>Each project is hosted by a micro-business, organisation or charity [1]. The exact role of the host (brief, feedback, assessment) was not retrieved.</t>
        </is>
      </c>
      <c r="AB397" s="77" t="inlineStr">
        <is>
          <t>Mixed</t>
        </is>
      </c>
      <c r="AC397" s="77" t="inlineStr">
        <is>
          <t>Host organisation for the consultancy project (micro-businesses, other organisations, charities)</t>
        </is>
      </c>
      <c r="AD397" s="77" t="inlineStr"/>
      <c r="AE397" s="77" t="inlineStr">
        <is>
          <t>Consultancy-style project output (form not retrieved)</t>
        </is>
      </c>
      <c r="AF397" s="77">
        <f>IF(OR(V397="No",X397="No",Z397="No"),"Outside strict definition",IF(AND(V397="Yes",X397="Yes",Z397="Yes"),"Meets all three","Potentially relevant; evidence incomplete"))</f>
        <v/>
      </c>
      <c r="AG397" s="77" t="inlineStr">
        <is>
          <t>Current status unclear</t>
        </is>
      </c>
      <c r="AH397" s="77" t="inlineStr">
        <is>
          <t>2023/24 or 2024/25 (catalogue URL /2024/; summary said 2023-2024)</t>
        </is>
      </c>
      <c r="AI397" s="77" t="inlineStr">
        <is>
          <t>Yes</t>
        </is>
      </c>
      <c r="AJ397" s="77">
        <f>IF(AND(AI397="Yes",AF397="Meets all three",AG397="Current delivery confirmed"),"Yes","No")</f>
        <v/>
      </c>
      <c r="AK397" s="77" t="inlineStr"/>
      <c r="AL397" s="77" t="inlineStr">
        <is>
          <t>UK05-S02-R1</t>
        </is>
      </c>
      <c r="AM397" s="77" t="inlineStr">
        <is>
          <t>Eligibility, credits, assessment and current delivery were not retrieved (search budget ran out). The course may have been replaced by or merged with PD2503; unverified.</t>
        </is>
      </c>
      <c r="AN397" s="77" t="inlineStr"/>
      <c r="AO397" s="77" t="inlineStr">
        <is>
          <t>UK</t>
        </is>
      </c>
      <c r="AP397" s="77" t="inlineStr">
        <is>
          <t>UK – additional</t>
        </is>
      </c>
      <c r="AQ397" s="77" t="inlineStr">
        <is>
          <t>Unclear</t>
        </is>
      </c>
      <c r="AR397" s="77" t="inlineStr">
        <is>
          <t>All/standard</t>
        </is>
      </c>
      <c r="AS397" s="77" t="inlineStr"/>
    </row>
    <row r="398">
      <c r="A398" s="77" t="inlineStr">
        <is>
          <t>UK05</t>
        </is>
      </c>
      <c r="B398" s="77" t="inlineStr">
        <is>
          <t>Aberdeen</t>
        </is>
      </c>
      <c r="C398" s="77" t="inlineStr">
        <is>
          <t>Faculty/school</t>
        </is>
      </c>
      <c r="D398" s="77" t="inlineStr">
        <is>
          <t>UK05-S03</t>
        </is>
      </c>
      <c r="E398" s="77" t="inlineStr"/>
      <c r="F398" s="77" t="inlineStr">
        <is>
          <t>No</t>
        </is>
      </c>
      <c r="G398" s="79" t="inlineStr">
        <is>
          <t>Engineering Work Experience</t>
        </is>
      </c>
      <c r="H398" s="77" t="inlineStr">
        <is>
          <t>Engineering Work Experience</t>
        </is>
      </c>
      <c r="I398" s="77" t="inlineStr">
        <is>
          <t>ED251A</t>
        </is>
      </c>
      <c r="J398" s="77" t="inlineStr">
        <is>
          <t>Second-year engineering course in which students do a group consultancy project for a local engineering organisation, working on a real-life project brief. Projects run January to March, about 10 weeks.</t>
        </is>
      </c>
      <c r="K398" s="77" t="inlineStr">
        <is>
          <t>School of Engineering (catalogue subject code ED)</t>
        </is>
      </c>
      <c r="L398" s="77" t="inlineStr">
        <is>
          <t>Engineering (EG) students</t>
        </is>
      </c>
      <c r="M398" s="77" t="inlineStr">
        <is>
          <t>Engineering/computing</t>
        </is>
      </c>
      <c r="N398" s="77" t="inlineStr">
        <is>
          <t>Undergraduate</t>
        </is>
      </c>
      <c r="O398" s="77" t="inlineStr">
        <is>
          <t>Year 2 (per case study)</t>
        </is>
      </c>
      <c r="P398" s="77" t="inlineStr">
        <is>
          <t>Entry requirement: Engineering (EG) studied</t>
        </is>
      </c>
      <c r="Q398" s="77" t="inlineStr">
        <is>
          <t>Unclear</t>
        </is>
      </c>
      <c r="R398" s="77" t="inlineStr">
        <is>
          <t>Curricular</t>
        </is>
      </c>
      <c r="S398" s="77" t="inlineStr">
        <is>
          <t>15 credits; assessment detail not retrieved</t>
        </is>
      </c>
      <c r="T398" s="77" t="inlineStr">
        <is>
          <t>About 10 weeks, January to March (2018 case study)</t>
        </is>
      </c>
      <c r="U398" s="77" t="inlineStr">
        <is>
          <t>Group consultancy project with a local organisation</t>
        </is>
      </c>
      <c r="V398" s="77" t="inlineStr">
        <is>
          <t>Yes</t>
        </is>
      </c>
      <c r="W398" s="77" t="inlineStr">
        <is>
          <t>Group consultancy project on a real-life project brief [1][2].</t>
        </is>
      </c>
      <c r="X398" s="77" t="inlineStr">
        <is>
          <t>Yes</t>
        </is>
      </c>
      <c r="Y398" s="77" t="inlineStr">
        <is>
          <t>Group consultancy project [1]; consultancy-style group projects [2].</t>
        </is>
      </c>
      <c r="Z398" s="77" t="inlineStr">
        <is>
          <t>Yes</t>
        </is>
      </c>
      <c r="AA398" s="77" t="inlineStr">
        <is>
          <t>The project is for a local engineering organisation, which supplies the real-life project brief [1][2].</t>
        </is>
      </c>
      <c r="AB398" s="77" t="inlineStr">
        <is>
          <t>Unclear</t>
        </is>
      </c>
      <c r="AC398" s="77" t="inlineStr">
        <is>
          <t>Local engineering organisation supplies the brief and acts as consultancy client</t>
        </is>
      </c>
      <c r="AD398" s="77" t="inlineStr"/>
      <c r="AE398" s="77" t="inlineStr">
        <is>
          <t>Consultancy project output for the organisation (form not retrieved)</t>
        </is>
      </c>
      <c r="AF398" s="77">
        <f>IF(OR(V398="No",X398="No",Z398="No"),"Outside strict definition",IF(AND(V398="Yes",X398="Yes",Z398="Yes"),"Meets all three","Potentially relevant; evidence incomplete"))</f>
        <v/>
      </c>
      <c r="AG398" s="77" t="inlineStr">
        <is>
          <t>Current delivery confirmed</t>
        </is>
      </c>
      <c r="AH398" s="77" t="inlineStr">
        <is>
          <t>2025/26</t>
        </is>
      </c>
      <c r="AI398" s="77" t="inlineStr">
        <is>
          <t>Yes</t>
        </is>
      </c>
      <c r="AJ398" s="77">
        <f>IF(AND(AI398="Yes",AF398="Meets all three",AG398="Current delivery confirmed"),"Yes","No")</f>
        <v/>
      </c>
      <c r="AK398" s="77" t="inlineStr"/>
      <c r="AL398" s="77" t="inlineStr">
        <is>
          <t>UK05-S03-R1; UK05-S03-R2</t>
        </is>
      </c>
      <c r="AM398" s="77" t="inlineStr">
        <is>
          <t>Still open: whether the course is compulsory in Year 2, its assessment, partner sectors and 2026/27 delivery. The duration (about 10 weeks, January to March) comes from a 2018 case study and was not reconfirmed for 2025/26.</t>
        </is>
      </c>
      <c r="AN398" s="77" t="inlineStr"/>
      <c r="AO398" s="77" t="inlineStr">
        <is>
          <t>UK</t>
        </is>
      </c>
      <c r="AP398" s="77" t="inlineStr">
        <is>
          <t>UK – additional</t>
        </is>
      </c>
      <c r="AQ398" s="77" t="inlineStr">
        <is>
          <t>~1 term/semester</t>
        </is>
      </c>
      <c r="AR398" s="77" t="inlineStr">
        <is>
          <t>All/standard</t>
        </is>
      </c>
      <c r="AS398" s="77" t="inlineStr"/>
    </row>
    <row r="399">
      <c r="A399" s="77" t="inlineStr">
        <is>
          <t>UK05</t>
        </is>
      </c>
      <c r="B399" s="77" t="inlineStr">
        <is>
          <t>Aberdeen</t>
        </is>
      </c>
      <c r="C399" s="77" t="inlineStr">
        <is>
          <t>Programme/course</t>
        </is>
      </c>
      <c r="D399" s="77" t="inlineStr">
        <is>
          <t>UK05-S04</t>
        </is>
      </c>
      <c r="E399" s="77" t="inlineStr"/>
      <c r="F399" s="77" t="inlineStr">
        <is>
          <t>No</t>
        </is>
      </c>
      <c r="G399" s="79" t="inlineStr">
        <is>
          <t>Computing Science work-based learning course (Collaborate with Future Talent)</t>
        </is>
      </c>
      <c r="H399" s="77" t="inlineStr">
        <is>
          <t>Computing Science work-based learning course</t>
        </is>
      </c>
      <c r="I399" s="77" t="inlineStr"/>
      <c r="J399"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399" s="77" t="inlineStr">
        <is>
          <t>Department of Computing Science (School of Natural and Computing Sciences)</t>
        </is>
      </c>
      <c r="L399" s="77" t="inlineStr">
        <is>
          <t>Computing Science, Year 4</t>
        </is>
      </c>
      <c r="M399" s="77" t="inlineStr">
        <is>
          <t>Engineering/computing</t>
        </is>
      </c>
      <c r="N399" s="77" t="inlineStr">
        <is>
          <t>Undergraduate</t>
        </is>
      </c>
      <c r="O399" s="77" t="inlineStr">
        <is>
          <t>Year 4</t>
        </is>
      </c>
      <c r="P399" s="77" t="inlineStr">
        <is>
          <t>Restricted to students whose prior academic performance shows the required competence</t>
        </is>
      </c>
      <c r="Q399" s="77" t="inlineStr">
        <is>
          <t>Selective/competitive</t>
        </is>
      </c>
      <c r="R399" s="77" t="inlineStr">
        <is>
          <t>Curricular</t>
        </is>
      </c>
      <c r="S399" s="77" t="inlineStr">
        <is>
          <t>Not retrieved</t>
        </is>
      </c>
      <c r="T399" s="77" t="inlineStr">
        <is>
          <t>10 weeks, September to December, about 10 hours/week</t>
        </is>
      </c>
      <c r="U399" s="77" t="inlineStr">
        <is>
          <t>Employer-hosted project with weekly employer meetings</t>
        </is>
      </c>
      <c r="V399" s="77" t="inlineStr">
        <is>
          <t>Yes</t>
        </is>
      </c>
      <c r="W399" s="77" t="inlineStr">
        <is>
          <t>Employer-proposed project completed over 10 weeks with an end-of-project appraisal [1].</t>
        </is>
      </c>
      <c r="X399" s="77" t="inlineStr">
        <is>
          <t>Unclear</t>
        </is>
      </c>
      <c r="Y399" s="77" t="inlineStr">
        <is>
          <t>The employer-facing page describes matching employers with students; team or individual working was not established [1].</t>
        </is>
      </c>
      <c r="Z399" s="77" t="inlineStr">
        <is>
          <t>Yes</t>
        </is>
      </c>
      <c r="AA399" s="77" t="inlineStr">
        <is>
          <t>Employers propose the project, meet students weekly for guidance and complete an end-of-project appraisal [1].</t>
        </is>
      </c>
      <c r="AB399" s="77" t="inlineStr">
        <is>
          <t>Unclear</t>
        </is>
      </c>
      <c r="AC399" s="77" t="inlineStr">
        <is>
          <t>Proposes the project, gives weekly guidance, appraises at the end</t>
        </is>
      </c>
      <c r="AD399" s="77" t="inlineStr"/>
      <c r="AE399" s="77" t="inlineStr">
        <is>
          <t>Not retrieved</t>
        </is>
      </c>
      <c r="AF399" s="77">
        <f>IF(OR(V399="No",X399="No",Z399="No"),"Outside strict definition",IF(AND(V399="Yes",X399="Yes",Z399="Yes"),"Meets all three","Potentially relevant; evidence incomplete"))</f>
        <v/>
      </c>
      <c r="AG399" s="77" t="inlineStr">
        <is>
          <t>Current status unclear</t>
        </is>
      </c>
      <c r="AH399" s="77" t="inlineStr"/>
      <c r="AI399" s="77" t="inlineStr">
        <is>
          <t>Yes</t>
        </is>
      </c>
      <c r="AJ399" s="77">
        <f>IF(AND(AI399="Yes",AF399="Meets all three",AG399="Current delivery confirmed"),"Yes","No")</f>
        <v/>
      </c>
      <c r="AK399" s="77" t="inlineStr"/>
      <c r="AL399" s="77" t="inlineStr">
        <is>
          <t>UK05-S04-R1</t>
        </is>
      </c>
      <c r="AM399" s="77" t="inlineStr">
        <is>
          <t>Course code, credits, team vs individual working, and dated delivery evidence were not retrieved (search budget ran out). Note: the search summary's wording on who proposes the project was ambiguous.</t>
        </is>
      </c>
      <c r="AN399" s="77" t="inlineStr"/>
      <c r="AO399" s="77" t="inlineStr">
        <is>
          <t>UK</t>
        </is>
      </c>
      <c r="AP399" s="77" t="inlineStr">
        <is>
          <t>UK – additional</t>
        </is>
      </c>
      <c r="AQ399" s="77" t="inlineStr">
        <is>
          <t>~1 term/semester</t>
        </is>
      </c>
      <c r="AR399" s="77" t="inlineStr">
        <is>
          <t>All/standard</t>
        </is>
      </c>
      <c r="AS399" s="77" t="inlineStr"/>
    </row>
    <row r="400">
      <c r="A400" s="77" t="inlineStr">
        <is>
          <t>UK05</t>
        </is>
      </c>
      <c r="B400" s="77" t="inlineStr">
        <is>
          <t>Aberdeen</t>
        </is>
      </c>
      <c r="C400" s="77" t="inlineStr">
        <is>
          <t>Unclear</t>
        </is>
      </c>
      <c r="D400" s="77" t="inlineStr">
        <is>
          <t>UK05-S05</t>
        </is>
      </c>
      <c r="E400" s="77" t="inlineStr"/>
      <c r="F400" s="77" t="inlineStr">
        <is>
          <t>No</t>
        </is>
      </c>
      <c r="G400" s="79" t="inlineStr">
        <is>
          <t>ABDN Grad Challenge</t>
        </is>
      </c>
      <c r="H400" s="77" t="inlineStr">
        <is>
          <t>ABDN Grad Challenge</t>
        </is>
      </c>
      <c r="I400" s="77" t="inlineStr"/>
      <c r="J400" s="77" t="inlineStr">
        <is>
          <t>Careers-run programme in which graduating students take part in project-based virtual work experience in cross-discipline teams, tackling real-life challenges set by employer partners.</t>
        </is>
      </c>
      <c r="K400" s="77" t="inlineStr">
        <is>
          <t>Careers and Employability Service</t>
        </is>
      </c>
      <c r="L400" s="77" t="inlineStr">
        <is>
          <t>Graduating students (cross-discipline)</t>
        </is>
      </c>
      <c r="M400" s="77" t="inlineStr">
        <is>
          <t>Central provision</t>
        </is>
      </c>
      <c r="N400" s="77" t="inlineStr">
        <is>
          <t>Unclear</t>
        </is>
      </c>
      <c r="O400" s="77" t="inlineStr">
        <is>
          <t>Final year / graduating</t>
        </is>
      </c>
      <c r="P400" s="77" t="inlineStr">
        <is>
          <t>Graduating students; detailed eligibility not retrieved</t>
        </is>
      </c>
      <c r="Q400" s="77" t="inlineStr">
        <is>
          <t>Optional/elective</t>
        </is>
      </c>
      <c r="R400" s="77" t="inlineStr">
        <is>
          <t>Extracurricular</t>
        </is>
      </c>
      <c r="S400" s="77" t="inlineStr">
        <is>
          <t>Not retrieved</t>
        </is>
      </c>
      <c r="T400" s="77" t="inlineStr">
        <is>
          <t>Not retrieved</t>
        </is>
      </c>
      <c r="U400" s="77" t="inlineStr">
        <is>
          <t>Virtual</t>
        </is>
      </c>
      <c r="V400" s="77" t="inlineStr">
        <is>
          <t>Unclear</t>
        </is>
      </c>
      <c r="W400" s="77" t="inlineStr">
        <is>
          <t>Described as project-based, but the defined output was not retrieved [1].</t>
        </is>
      </c>
      <c r="X400" s="77" t="inlineStr">
        <is>
          <t>Yes</t>
        </is>
      </c>
      <c r="Y400" s="77" t="inlineStr">
        <is>
          <t>Students work as part of a cross-discipline team [1].</t>
        </is>
      </c>
      <c r="Z400" s="77" t="inlineStr">
        <is>
          <t>Unclear</t>
        </is>
      </c>
      <c r="AA400" s="77" t="inlineStr">
        <is>
          <t>Challenges are 'set by our employer partners' [1]. Because the programme is framed as virtual work experience and there is no evidence that employers engage with students or receive outputs, C is held as Unclear under the simulation ruling.</t>
        </is>
      </c>
      <c r="AB400" s="77" t="inlineStr">
        <is>
          <t>Unclear</t>
        </is>
      </c>
      <c r="AC400" s="77" t="inlineStr">
        <is>
          <t>Sets challenges</t>
        </is>
      </c>
      <c r="AD400" s="77" t="inlineStr"/>
      <c r="AE400" s="77" t="inlineStr">
        <is>
          <t>Not retrieved</t>
        </is>
      </c>
      <c r="AF400" s="77">
        <f>IF(OR(V400="No",X400="No",Z400="No"),"Outside strict definition",IF(AND(V400="Yes",X400="Yes",Z400="Yes"),"Meets all three","Potentially relevant; evidence incomplete"))</f>
        <v/>
      </c>
      <c r="AG400" s="77" t="inlineStr">
        <is>
          <t>Current status unclear</t>
        </is>
      </c>
      <c r="AH400" s="77" t="inlineStr"/>
      <c r="AI400" s="77" t="inlineStr">
        <is>
          <t>Yes</t>
        </is>
      </c>
      <c r="AJ400" s="77">
        <f>IF(AND(AI400="Yes",AF400="Meets all three",AG400="Current delivery confirmed"),"Yes","No")</f>
        <v/>
      </c>
      <c r="AK400" s="77" t="inlineStr"/>
      <c r="AL400" s="77" t="inlineStr">
        <is>
          <t>UK05-S05-R1</t>
        </is>
      </c>
      <c r="AM400" s="77" t="inlineStr">
        <is>
          <t>Format, duration, outputs, employer engagement and dated delivery were not retrieved (search budget ran out).</t>
        </is>
      </c>
      <c r="AN400" s="77" t="inlineStr"/>
      <c r="AO400" s="77" t="inlineStr">
        <is>
          <t>UK</t>
        </is>
      </c>
      <c r="AP400" s="77" t="inlineStr">
        <is>
          <t>UK – additional</t>
        </is>
      </c>
      <c r="AQ400" s="77" t="inlineStr">
        <is>
          <t>Unclear</t>
        </is>
      </c>
      <c r="AR400" s="77" t="inlineStr">
        <is>
          <t>Unclear</t>
        </is>
      </c>
      <c r="AS400" s="77" t="inlineStr"/>
    </row>
    <row r="401">
      <c r="A401" s="77" t="inlineStr">
        <is>
          <t>UK06</t>
        </is>
      </c>
      <c r="B401" s="77" t="inlineStr">
        <is>
          <t>Reading</t>
        </is>
      </c>
      <c r="C401" s="77" t="inlineStr">
        <is>
          <t>Programme/course</t>
        </is>
      </c>
      <c r="D401" s="77" t="inlineStr">
        <is>
          <t>UK06-S01</t>
        </is>
      </c>
      <c r="E401" s="77" t="inlineStr"/>
      <c r="F401" s="77" t="inlineStr">
        <is>
          <t>No</t>
        </is>
      </c>
      <c r="G401" s="79" t="inlineStr">
        <is>
          <t>Entrepreneurship and Innovation Consultancy Project</t>
        </is>
      </c>
      <c r="H401" s="77" t="inlineStr">
        <is>
          <t>Entrepreneurship and Innovation Consultancy Project (MSc, Henley Business School)</t>
        </is>
      </c>
      <c r="I401" s="77" t="inlineStr">
        <is>
          <t>MMM161</t>
        </is>
      </c>
      <c r="J401"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01" s="77" t="inlineStr">
        <is>
          <t>Henley Business School (Digitalisation, Marketing and Entrepreneurship)</t>
        </is>
      </c>
      <c r="L401" s="77" t="inlineStr">
        <is>
          <t>MSc Entrepreneurship and Innovation (programme specification treats MMM161 as the dissertation equivalent); other programmes using the module not verified</t>
        </is>
      </c>
      <c r="M401" s="77" t="inlineStr">
        <is>
          <t>Business/management</t>
        </is>
      </c>
      <c r="N401" s="77" t="inlineStr">
        <is>
          <t>Postgraduate taught</t>
        </is>
      </c>
      <c r="O401" s="77" t="inlineStr">
        <is>
          <t>Master's, summer capstone</t>
        </is>
      </c>
      <c r="P401" s="77" t="inlineStr">
        <is>
          <t>Master's-level (Level 7) module; programme eligibility beyond MSc Entrepreneurship and Innovation not verified.</t>
        </is>
      </c>
      <c r="Q401" s="77" t="inlineStr">
        <is>
          <t>Compulsory within specified programmes</t>
        </is>
      </c>
      <c r="R401" s="77" t="inlineStr">
        <is>
          <t>Curricular</t>
        </is>
      </c>
      <c r="S401" s="77" t="inlineStr">
        <is>
          <t>40 credits, Level 7. 2025/6: Task 1 individual self-assessment 20%; Task 2 team oral presentation 30%; Task 3 individual 5,000-word proposal for the host entrepreneur 50%.</t>
        </is>
      </c>
      <c r="T401" s="77" t="inlineStr">
        <is>
          <t>Teams work with host mid-June to late July; module runs Semester 2/Summer (Task 3 due Week 12)</t>
        </is>
      </c>
      <c r="U401" s="77" t="inlineStr">
        <is>
          <t>In-person and online team meetings and host visits; convenor monitors attendance</t>
        </is>
      </c>
      <c r="V401" s="77" t="inlineStr">
        <is>
          <t>Yes</t>
        </is>
      </c>
      <c r="W401" s="77" t="inlineStr">
        <is>
          <t>Source 2: live consultancy for a real entrepreneur, 'not a case study'; outputs are team presentation and written project proposal for the host (source 1).</t>
        </is>
      </c>
      <c r="X401" s="77" t="inlineStr">
        <is>
          <t>Yes</t>
        </is>
      </c>
      <c r="Y401" s="77" t="inlineStr">
        <is>
          <t>Sources 1-2: consultancy team works with its project host; assessed 25-minute team presentation (30%). Individual proposals are also assessed, but teamwork on the live project is documented.</t>
        </is>
      </c>
      <c r="Z401" s="77" t="inlineStr">
        <is>
          <t>Yes</t>
        </is>
      </c>
      <c r="AA401"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01" s="77" t="inlineStr">
        <is>
          <t>Business/commercial</t>
        </is>
      </c>
      <c r="AC401" s="77" t="inlineStr">
        <is>
          <t>Host entrepreneurs supply the venture/problem, meet the team and receive written proposals.</t>
        </is>
      </c>
      <c r="AD401" s="77" t="inlineStr"/>
      <c r="AE401" s="77" t="inlineStr">
        <is>
          <t>Team presentation; individual project proposal for the host entrepreneur</t>
        </is>
      </c>
      <c r="AF401" s="77">
        <f>IF(OR(V401="No",X401="No",Z401="No"),"Outside strict definition",IF(AND(V401="Yes",X401="Yes",Z401="Yes"),"Meets all three","Potentially relevant; evidence incomplete"))</f>
        <v/>
      </c>
      <c r="AG401" s="77" t="inlineStr">
        <is>
          <t>Current delivery confirmed</t>
        </is>
      </c>
      <c r="AH401" s="77" t="inlineStr">
        <is>
          <t>2025/26</t>
        </is>
      </c>
      <c r="AI401" s="77" t="inlineStr">
        <is>
          <t>Yes</t>
        </is>
      </c>
      <c r="AJ401" s="77">
        <f>IF(AND(AI401="Yes",AF401="Meets all three",AG401="Current delivery confirmed"),"Yes","No")</f>
        <v/>
      </c>
      <c r="AK401" s="77" t="inlineStr">
        <is>
          <t>Not published in sources found.</t>
        </is>
      </c>
      <c r="AL401" s="77" t="inlineStr">
        <is>
          <t>UK06-S01-R1; UK06-S01-R2; UK06-S01-R3</t>
        </is>
      </c>
      <c r="AM401" s="77" t="inlineStr">
        <is>
          <t>Programmes taking the module beyond MSc Entrepreneurship and Innovation, and whether it is compulsory vs optional elsewhere, not verified. Host entrepreneurs' sectors and names not published. Assessment structure changed between 2024/5 and 2025/6.</t>
        </is>
      </c>
      <c r="AN401" s="77" t="inlineStr"/>
      <c r="AO401" s="77" t="inlineStr">
        <is>
          <t>UK</t>
        </is>
      </c>
      <c r="AP401" s="77" t="inlineStr">
        <is>
          <t>UK – additional</t>
        </is>
      </c>
      <c r="AQ401" s="77" t="inlineStr">
        <is>
          <t>~1 term/semester</t>
        </is>
      </c>
      <c r="AR401" s="77" t="inlineStr">
        <is>
          <t>All/standard</t>
        </is>
      </c>
      <c r="AS401" s="77" t="inlineStr"/>
    </row>
    <row r="402">
      <c r="A402" s="77" t="inlineStr">
        <is>
          <t>UK06</t>
        </is>
      </c>
      <c r="B402" s="77" t="inlineStr">
        <is>
          <t>Reading</t>
        </is>
      </c>
      <c r="C402" s="77" t="inlineStr">
        <is>
          <t>Programme/course</t>
        </is>
      </c>
      <c r="D402" s="77" t="inlineStr">
        <is>
          <t>UK06-S02</t>
        </is>
      </c>
      <c r="E402" s="77" t="inlineStr"/>
      <c r="F402" s="77" t="inlineStr">
        <is>
          <t>No</t>
        </is>
      </c>
      <c r="G402" s="79" t="inlineStr">
        <is>
          <t>Capstone Project (ECM200)</t>
        </is>
      </c>
      <c r="H402" s="77" t="inlineStr">
        <is>
          <t>Capstone Project - team consultancy for an external organisation (Economics, Politics &amp; International Relations)</t>
        </is>
      </c>
      <c r="I402" s="77" t="inlineStr">
        <is>
          <t>ECM200</t>
        </is>
      </c>
      <c r="J402"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02" s="77" t="inlineStr">
        <is>
          <t>Department of Economics / School of Politics, Economics and International Relations (PPE)</t>
        </is>
      </c>
      <c r="L402" s="77" t="inlineStr">
        <is>
          <t>MSc Applied Economics, MSc Business Economics, MSc Economics and MSc Public Policy (Capstone is an alternative to the individual Applied Research Project and Placement PIM92 on Public Policy); teams may include students from different disciplines</t>
        </is>
      </c>
      <c r="M402" s="77" t="inlineStr">
        <is>
          <t>Arts/humanities/social sciences; Business/management</t>
        </is>
      </c>
      <c r="N402" s="77" t="inlineStr">
        <is>
          <t>Postgraduate taught</t>
        </is>
      </c>
      <c r="O402" s="77" t="inlineStr">
        <is>
          <t>Master's, full year</t>
        </is>
      </c>
      <c r="P402" s="77" t="inlineStr">
        <is>
          <t>MSc programmes listing the module; availability by programme not fully verified.</t>
        </is>
      </c>
      <c r="Q402" s="77" t="inlineStr">
        <is>
          <t>Optional/elective</t>
        </is>
      </c>
      <c r="R402" s="77" t="inlineStr">
        <is>
          <t>Curricular</t>
        </is>
      </c>
      <c r="S402" s="77" t="inlineStr">
        <is>
          <t>20 credits; assessed by individual written report 3,000-4,000 words (100%) based on the team's report for the external organisation, plus literature review</t>
        </is>
      </c>
      <c r="T402" s="77" t="inlineStr">
        <is>
          <t>Runs across the full year</t>
        </is>
      </c>
      <c r="U402" s="77" t="inlineStr">
        <is>
          <t>Small groups with academic supervisor; client presentation depending on project</t>
        </is>
      </c>
      <c r="V402" s="77" t="inlineStr">
        <is>
          <t>Yes</t>
        </is>
      </c>
      <c r="W402" s="77" t="inlineStr">
        <is>
          <t>Sources 1-3: comprehensive analysis of an issue facing an external organisation, producing a report and/or presentation.</t>
        </is>
      </c>
      <c r="X402" s="77" t="inlineStr">
        <is>
          <t>Yes</t>
        </is>
      </c>
      <c r="Y402" s="77" t="inlineStr">
        <is>
          <t>Sources 1-3: 'Working in small groups' with an academic supervisor to complete the project; assessed output is individual.</t>
        </is>
      </c>
      <c r="Z402" s="77" t="inlineStr">
        <is>
          <t>Yes</t>
        </is>
      </c>
      <c r="AA402"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02" s="77" t="inlineStr">
        <is>
          <t>Mixed</t>
        </is>
      </c>
      <c r="AC402" s="77" t="inlineStr">
        <is>
          <t>External clients set the problem/brief and may receive the team's report and presentation.</t>
        </is>
      </c>
      <c r="AD402" s="77" t="inlineStr"/>
      <c r="AE402" s="77" t="inlineStr">
        <is>
          <t>Team report and/or client presentation; individual 3,000-4,000-word report</t>
        </is>
      </c>
      <c r="AF402" s="77">
        <f>IF(OR(V402="No",X402="No",Z402="No"),"Outside strict definition",IF(AND(V402="Yes",X402="Yes",Z402="Yes"),"Meets all three","Potentially relevant; evidence incomplete"))</f>
        <v/>
      </c>
      <c r="AG402" s="77" t="inlineStr">
        <is>
          <t>Current delivery confirmed</t>
        </is>
      </c>
      <c r="AH402" s="77" t="inlineStr">
        <is>
          <t>2025/26</t>
        </is>
      </c>
      <c r="AI402" s="77" t="inlineStr">
        <is>
          <t>Yes</t>
        </is>
      </c>
      <c r="AJ402" s="77">
        <f>IF(AND(AI402="Yes",AF402="Meets all three",AG402="Current delivery confirmed"),"Yes","No")</f>
        <v/>
      </c>
      <c r="AK402" s="77" t="inlineStr">
        <is>
          <t>Not published in sources found.</t>
        </is>
      </c>
      <c r="AL402" s="77" t="inlineStr">
        <is>
          <t>UK06-S02-R1; UK06-S02-R2; UK06-S02-R3; UK06-S02-R4</t>
        </is>
      </c>
      <c r="AM402" s="77" t="inlineStr">
        <is>
          <t>Named 2025/26 clients not published; 'depending on the project' whether the team presents to the client; programme-by-programme compulsory/optional status not verified (appears optional or one of two options).</t>
        </is>
      </c>
      <c r="AN402" s="77" t="inlineStr"/>
      <c r="AO402" s="77" t="inlineStr">
        <is>
          <t>UK</t>
        </is>
      </c>
      <c r="AP402" s="77" t="inlineStr">
        <is>
          <t>UK – additional</t>
        </is>
      </c>
      <c r="AQ402" s="77" t="inlineStr">
        <is>
          <t>&gt;1 term</t>
        </is>
      </c>
      <c r="AR402" s="77" t="inlineStr">
        <is>
          <t>All/standard</t>
        </is>
      </c>
      <c r="AS402" s="77" t="inlineStr"/>
    </row>
    <row r="403">
      <c r="A403" s="77" t="inlineStr">
        <is>
          <t>UK06</t>
        </is>
      </c>
      <c r="B403" s="77" t="inlineStr">
        <is>
          <t>Reading</t>
        </is>
      </c>
      <c r="C403" s="77" t="inlineStr">
        <is>
          <t>Programme/course</t>
        </is>
      </c>
      <c r="D403" s="77" t="inlineStr">
        <is>
          <t>UK06-S03</t>
        </is>
      </c>
      <c r="E403" s="77" t="inlineStr"/>
      <c r="F403" s="77" t="inlineStr">
        <is>
          <t>No</t>
        </is>
      </c>
      <c r="G403" s="79" t="inlineStr">
        <is>
          <t>Real Estate Opportunities (Industry Challenge)</t>
        </is>
      </c>
      <c r="H403" s="77" t="inlineStr">
        <is>
          <t>Real Estate Opportunities - Industry Challenge element (MSc Real Estate capstone)</t>
        </is>
      </c>
      <c r="I403" s="77" t="inlineStr">
        <is>
          <t>REMF56</t>
        </is>
      </c>
      <c r="J403"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03" s="77" t="inlineStr">
        <is>
          <t>Henley Business School (Real Estate and Planning)</t>
        </is>
      </c>
      <c r="L403" s="77" t="inlineStr">
        <is>
          <t>MSc Real Estate (capstone); other REP master's programmes not verified</t>
        </is>
      </c>
      <c r="M403" s="77" t="inlineStr">
        <is>
          <t>Business/management</t>
        </is>
      </c>
      <c r="N403" s="77" t="inlineStr">
        <is>
          <t>Postgraduate taught</t>
        </is>
      </c>
      <c r="O403" s="77" t="inlineStr">
        <is>
          <t>Master's, Semester 2</t>
        </is>
      </c>
      <c r="P403" s="77" t="inlineStr">
        <is>
          <t>Master's students on programmes including the module.</t>
        </is>
      </c>
      <c r="Q403" s="77" t="inlineStr">
        <is>
          <t>Compulsory within specified programmes</t>
        </is>
      </c>
      <c r="R403" s="77" t="inlineStr">
        <is>
          <t>Curricular</t>
        </is>
      </c>
      <c r="S403" s="77" t="inlineStr">
        <is>
          <t>20 credits, Level 7. Industry Challenge = 40% of module (group report 3,000 words plus 20-min group client presentation, Week 12 Semester 2).</t>
        </is>
      </c>
      <c r="T403" s="77" t="inlineStr">
        <is>
          <t>Course page describes a one-week industry challenge within a Semester 2 module</t>
        </is>
      </c>
      <c r="U403" s="77" t="inlineStr">
        <is>
          <t>Group work; in-person client presentation</t>
        </is>
      </c>
      <c r="V403" s="77" t="inlineStr">
        <is>
          <t>Yes</t>
        </is>
      </c>
      <c r="W403" s="77" t="inlineStr">
        <is>
          <t>Source 1: group report based on brief from industry partner plus client presentation.</t>
        </is>
      </c>
      <c r="X403" s="77" t="inlineStr">
        <is>
          <t>Yes</t>
        </is>
      </c>
      <c r="Y403" s="77" t="inlineStr">
        <is>
          <t>Source 1: 'teams of students'; group report and group presentation (stated as three group assignments).</t>
        </is>
      </c>
      <c r="Z403" s="77" t="inlineStr">
        <is>
          <t>Yes</t>
        </is>
      </c>
      <c r="AA403" s="77" t="inlineStr">
        <is>
          <t>Source 1: task/brief set by an industry partner; group presentation delivered to the industry partner.</t>
        </is>
      </c>
      <c r="AB403" s="77" t="inlineStr">
        <is>
          <t>Business/commercial</t>
        </is>
      </c>
      <c r="AC403" s="77" t="inlineStr">
        <is>
          <t>Industry partner sets the brief and receives the client presentation.</t>
        </is>
      </c>
      <c r="AD403" s="77" t="inlineStr"/>
      <c r="AE403" s="77" t="inlineStr">
        <is>
          <t>Group report (3,000 words) and 20-minute client presentation</t>
        </is>
      </c>
      <c r="AF403" s="77">
        <f>IF(OR(V403="No",X403="No",Z403="No"),"Outside strict definition",IF(AND(V403="Yes",X403="Yes",Z403="Yes"),"Meets all three","Potentially relevant; evidence incomplete"))</f>
        <v/>
      </c>
      <c r="AG403" s="77" t="inlineStr">
        <is>
          <t>Current delivery confirmed</t>
        </is>
      </c>
      <c r="AH403" s="77" t="inlineStr">
        <is>
          <t>2025/26</t>
        </is>
      </c>
      <c r="AI403" s="77" t="inlineStr">
        <is>
          <t>Yes</t>
        </is>
      </c>
      <c r="AJ403" s="77">
        <f>IF(AND(AI403="Yes",AF403="Meets all three",AG403="Current delivery confirmed"),"Yes","No")</f>
        <v/>
      </c>
      <c r="AK403" s="77" t="inlineStr">
        <is>
          <t>Not published in sources found.</t>
        </is>
      </c>
      <c r="AL403" s="77" t="inlineStr">
        <is>
          <t>UK06-S03-R1; UK06-S03-R2; UK06-S03-R3</t>
        </is>
      </c>
      <c r="AM403" s="77" t="inlineStr">
        <is>
          <t>Partner names not published; compulsory status 'capstone' for MSc Real Estate inferred from module description and course page; other programmes taking REMF56 not verified; marking involvement of partner not evidenced.</t>
        </is>
      </c>
      <c r="AN403" s="77" t="inlineStr"/>
      <c r="AO403" s="77" t="inlineStr">
        <is>
          <t>UK</t>
        </is>
      </c>
      <c r="AP403" s="77" t="inlineStr">
        <is>
          <t>UK – additional</t>
        </is>
      </c>
      <c r="AQ403" s="77" t="inlineStr">
        <is>
          <t>1–4 weeks</t>
        </is>
      </c>
      <c r="AR403" s="77" t="inlineStr">
        <is>
          <t>All/standard</t>
        </is>
      </c>
      <c r="AS403" s="77" t="inlineStr"/>
    </row>
    <row r="404">
      <c r="A404" s="77" t="inlineStr">
        <is>
          <t>UK06</t>
        </is>
      </c>
      <c r="B404" s="77" t="inlineStr">
        <is>
          <t>Reading</t>
        </is>
      </c>
      <c r="C404" s="77" t="inlineStr">
        <is>
          <t>Programme/course</t>
        </is>
      </c>
      <c r="D404" s="77" t="inlineStr">
        <is>
          <t>UK06-S04</t>
        </is>
      </c>
      <c r="E404" s="77" t="inlineStr"/>
      <c r="F404" s="77" t="inlineStr">
        <is>
          <t>No</t>
        </is>
      </c>
      <c r="G404" s="79" t="inlineStr">
        <is>
          <t>Management Consultancy Project</t>
        </is>
      </c>
      <c r="H404" s="77" t="inlineStr">
        <is>
          <t>Management Consultancy Project (MSc Management capstone)</t>
        </is>
      </c>
      <c r="I404" s="77" t="inlineStr">
        <is>
          <t>MMM190</t>
        </is>
      </c>
      <c r="J404"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04" s="77" t="inlineStr">
        <is>
          <t>Henley Business School</t>
        </is>
      </c>
      <c r="L404" s="77" t="inlineStr">
        <is>
          <t>MSc Management</t>
        </is>
      </c>
      <c r="M404" s="77" t="inlineStr">
        <is>
          <t>Business/management</t>
        </is>
      </c>
      <c r="N404" s="77" t="inlineStr">
        <is>
          <t>Postgraduate taught</t>
        </is>
      </c>
      <c r="O404" s="77" t="inlineStr"/>
      <c r="P404" s="77" t="inlineStr"/>
      <c r="Q404" s="77" t="inlineStr">
        <is>
          <t>Optional/elective</t>
        </is>
      </c>
      <c r="R404" s="77" t="inlineStr">
        <is>
          <t>Curricular</t>
        </is>
      </c>
      <c r="S404" s="77" t="inlineStr">
        <is>
          <t>20 credits (10 ECTS)</t>
        </is>
      </c>
      <c r="T404" s="77" t="inlineStr">
        <is>
          <t>Summer period</t>
        </is>
      </c>
      <c r="U404" s="77" t="inlineStr"/>
      <c r="V404" s="77" t="inlineStr">
        <is>
          <t>Yes</t>
        </is>
      </c>
      <c r="W404" s="77" t="inlineStr">
        <is>
          <t>Source 1: consulting project with an organisation addressing a contemporary management problem.</t>
        </is>
      </c>
      <c r="X404" s="77" t="inlineStr">
        <is>
          <t>Unclear</t>
        </is>
      </c>
      <c r="Y404" s="77" t="inlineStr">
        <is>
          <t>Source 1 does not say whether the consulting project is done in teams or individually; other core modules include group projects.</t>
        </is>
      </c>
      <c r="Z404" s="77" t="inlineStr">
        <is>
          <t>Unclear</t>
        </is>
      </c>
      <c r="AA404" s="77" t="inlineStr">
        <is>
          <t>Source 1: projects 'developed in collaboration with specific organisations' - but roles (brief, supervision, assessment) and whether this applies to all projects are not stated, and the summer capstone has alternative options.</t>
        </is>
      </c>
      <c r="AB404" s="77" t="inlineStr">
        <is>
          <t>Unclear</t>
        </is>
      </c>
      <c r="AC404" s="77" t="inlineStr">
        <is>
          <t>Collaborating organisations (role not specified).</t>
        </is>
      </c>
      <c r="AD404" s="77" t="inlineStr"/>
      <c r="AE404" s="77" t="inlineStr">
        <is>
          <t>Consulting project output (unspecified)</t>
        </is>
      </c>
      <c r="AF404" s="77">
        <f>IF(OR(V404="No",X404="No",Z404="No"),"Outside strict definition",IF(AND(V404="Yes",X404="Yes",Z404="Yes"),"Meets all three","Potentially relevant; evidence incomplete"))</f>
        <v/>
      </c>
      <c r="AG404" s="77" t="inlineStr">
        <is>
          <t>Current status unclear</t>
        </is>
      </c>
      <c r="AH404" s="77" t="inlineStr">
        <is>
          <t>undated (page shows September 2027 start)</t>
        </is>
      </c>
      <c r="AI404" s="77" t="inlineStr">
        <is>
          <t>Yes</t>
        </is>
      </c>
      <c r="AJ404" s="77">
        <f>IF(AND(AI404="Yes",AF404="Meets all three",AG404="Current delivery confirmed"),"Yes","No")</f>
        <v/>
      </c>
      <c r="AK404" s="77" t="inlineStr">
        <is>
          <t>Not published in sources found.</t>
        </is>
      </c>
      <c r="AL404" s="77" t="inlineStr">
        <is>
          <t>UK06-S04-R1</t>
        </is>
      </c>
      <c r="AM404" s="77" t="inlineStr">
        <is>
          <t>Team vs individual; client role; delivery year; no module record found in catalogue search.</t>
        </is>
      </c>
      <c r="AN404" s="77" t="inlineStr"/>
      <c r="AO404" s="77" t="inlineStr">
        <is>
          <t>UK</t>
        </is>
      </c>
      <c r="AP404" s="77" t="inlineStr">
        <is>
          <t>UK – additional</t>
        </is>
      </c>
      <c r="AQ404" s="77" t="inlineStr">
        <is>
          <t>Unclear</t>
        </is>
      </c>
      <c r="AR404" s="77" t="inlineStr">
        <is>
          <t>Unclear</t>
        </is>
      </c>
      <c r="AS404" s="77" t="inlineStr"/>
    </row>
    <row r="405">
      <c r="A405" s="77" t="inlineStr">
        <is>
          <t>UK06</t>
        </is>
      </c>
      <c r="B405" s="77" t="inlineStr">
        <is>
          <t>Reading</t>
        </is>
      </c>
      <c r="C405" s="77" t="inlineStr">
        <is>
          <t>Programme/course</t>
        </is>
      </c>
      <c r="D405" s="77" t="inlineStr">
        <is>
          <t>UK06-S05</t>
        </is>
      </c>
      <c r="E405" s="77" t="inlineStr"/>
      <c r="F405" s="77" t="inlineStr">
        <is>
          <t>No</t>
        </is>
      </c>
      <c r="G405" s="79" t="inlineStr">
        <is>
          <t>Assembling Strategy</t>
        </is>
      </c>
      <c r="H405" s="77" t="inlineStr">
        <is>
          <t>Assembling Strategy - live consulting engagement (MSc International Business)</t>
        </is>
      </c>
      <c r="I405" s="77" t="inlineStr">
        <is>
          <t>MMM194</t>
        </is>
      </c>
      <c r="J405" s="77" t="inlineStr">
        <is>
          <t>20-credit second-phase module applying first-semester frameworks to a real-life consulting project with an external company, emphasising client communication and teamwork.</t>
        </is>
      </c>
      <c r="K405" s="77" t="inlineStr">
        <is>
          <t>Henley Business School</t>
        </is>
      </c>
      <c r="L405" s="77" t="inlineStr">
        <is>
          <t>MSc International Business</t>
        </is>
      </c>
      <c r="M405" s="77" t="inlineStr">
        <is>
          <t>Business/management</t>
        </is>
      </c>
      <c r="N405" s="77" t="inlineStr">
        <is>
          <t>Postgraduate taught</t>
        </is>
      </c>
      <c r="O405" s="77" t="inlineStr"/>
      <c r="P405" s="77" t="inlineStr"/>
      <c r="Q405" s="77" t="inlineStr">
        <is>
          <t>Unclear</t>
        </is>
      </c>
      <c r="R405" s="77" t="inlineStr">
        <is>
          <t>Curricular</t>
        </is>
      </c>
      <c r="S405" s="77" t="inlineStr">
        <is>
          <t>20 credits (10 ECTS)</t>
        </is>
      </c>
      <c r="T405" s="77" t="inlineStr"/>
      <c r="U405" s="77" t="inlineStr"/>
      <c r="V405" s="77" t="inlineStr">
        <is>
          <t>Yes</t>
        </is>
      </c>
      <c r="W405" s="77" t="inlineStr">
        <is>
          <t>Source 1: real-life consulting project with an external company.</t>
        </is>
      </c>
      <c r="X405" s="77" t="inlineStr">
        <is>
          <t>Unclear</t>
        </is>
      </c>
      <c r="Y405" s="77" t="inlineStr">
        <is>
          <t>Source 1 lists 'teamwork' as a focus but does not state team-based delivery or assessment.</t>
        </is>
      </c>
      <c r="Z405" s="77" t="inlineStr">
        <is>
          <t>Yes</t>
        </is>
      </c>
      <c r="AA405" s="77" t="inlineStr">
        <is>
          <t>Source 1: consulting project with an external company (client communication).</t>
        </is>
      </c>
      <c r="AB405" s="77" t="inlineStr">
        <is>
          <t>Business/commercial</t>
        </is>
      </c>
      <c r="AC405" s="77" t="inlineStr">
        <is>
          <t>External company is the consulting client (details not published).</t>
        </is>
      </c>
      <c r="AD405" s="77" t="inlineStr"/>
      <c r="AE405" s="77" t="inlineStr">
        <is>
          <t>Consulting output (unspecified)</t>
        </is>
      </c>
      <c r="AF405" s="77">
        <f>IF(OR(V405="No",X405="No",Z405="No"),"Outside strict definition",IF(AND(V405="Yes",X405="Yes",Z405="Yes"),"Meets all three","Potentially relevant; evidence incomplete"))</f>
        <v/>
      </c>
      <c r="AG405" s="77" t="inlineStr">
        <is>
          <t>Current status unclear</t>
        </is>
      </c>
      <c r="AH405" s="77" t="inlineStr">
        <is>
          <t>undated</t>
        </is>
      </c>
      <c r="AI405" s="77" t="inlineStr">
        <is>
          <t>Yes</t>
        </is>
      </c>
      <c r="AJ405" s="77">
        <f>IF(AND(AI405="Yes",AF405="Meets all three",AG405="Current delivery confirmed"),"Yes","No")</f>
        <v/>
      </c>
      <c r="AK405" s="77" t="inlineStr">
        <is>
          <t>Not published in sources found.</t>
        </is>
      </c>
      <c r="AL405" s="77" t="inlineStr">
        <is>
          <t>UK06-S05-R1</t>
        </is>
      </c>
      <c r="AM405" s="77" t="inlineStr">
        <is>
          <t>Group structure, assessment, how many projects/companies, delivery year; no catalogue module record found.</t>
        </is>
      </c>
      <c r="AN405" s="77" t="inlineStr"/>
      <c r="AO405" s="77" t="inlineStr">
        <is>
          <t>UK</t>
        </is>
      </c>
      <c r="AP405" s="77" t="inlineStr">
        <is>
          <t>UK – additional</t>
        </is>
      </c>
      <c r="AQ405" s="77" t="inlineStr">
        <is>
          <t>Unclear</t>
        </is>
      </c>
      <c r="AR405" s="77" t="inlineStr">
        <is>
          <t>Unclear</t>
        </is>
      </c>
      <c r="AS405" s="77" t="inlineStr"/>
    </row>
    <row r="406">
      <c r="A406" s="77" t="inlineStr">
        <is>
          <t>UK06</t>
        </is>
      </c>
      <c r="B406" s="77" t="inlineStr">
        <is>
          <t>Reading</t>
        </is>
      </c>
      <c r="C406" s="77" t="inlineStr">
        <is>
          <t>Programme/course</t>
        </is>
      </c>
      <c r="D406" s="77" t="inlineStr">
        <is>
          <t>UK06-S06</t>
        </is>
      </c>
      <c r="E406" s="77" t="inlineStr"/>
      <c r="F406" s="77" t="inlineStr">
        <is>
          <t>No</t>
        </is>
      </c>
      <c r="G406" s="79" t="inlineStr">
        <is>
          <t>Executive MBA (Global) team consultancy projects</t>
        </is>
      </c>
      <c r="H406" s="77" t="inlineStr">
        <is>
          <t>Henley Executive MBA team projects for a start-up and an NGO</t>
        </is>
      </c>
      <c r="I406" s="77" t="inlineStr"/>
      <c r="J406" s="77" t="inlineStr">
        <is>
          <t>Executive MBA students complete a team-based consultancy-style project with an emerging international business or start-up, and a team project for an NGO in South Africa (as summarised from the programme page).</t>
        </is>
      </c>
      <c r="K406" s="77" t="inlineStr">
        <is>
          <t>Henley Business School</t>
        </is>
      </c>
      <c r="L406" s="77" t="inlineStr">
        <is>
          <t>Executive MBA (Global)</t>
        </is>
      </c>
      <c r="M406" s="77" t="inlineStr">
        <is>
          <t>Business/management</t>
        </is>
      </c>
      <c r="N406" s="77" t="inlineStr">
        <is>
          <t>Postgraduate taught</t>
        </is>
      </c>
      <c r="O406" s="77" t="inlineStr"/>
      <c r="P406" s="77" t="inlineStr"/>
      <c r="Q406" s="77" t="inlineStr">
        <is>
          <t>Compulsory within specified programmes</t>
        </is>
      </c>
      <c r="R406" s="77" t="inlineStr">
        <is>
          <t>Curricular</t>
        </is>
      </c>
      <c r="S406" s="77" t="inlineStr"/>
      <c r="T406" s="77" t="inlineStr"/>
      <c r="U406" s="77" t="inlineStr"/>
      <c r="V406" s="77" t="inlineStr">
        <is>
          <t>Yes</t>
        </is>
      </c>
      <c r="W406" s="77" t="inlineStr">
        <is>
          <t>Source 1 (summary paraphrase): consultancy-style project with start-up; NGO team project.</t>
        </is>
      </c>
      <c r="X406" s="77" t="inlineStr">
        <is>
          <t>Yes</t>
        </is>
      </c>
      <c r="Y406" s="77" t="inlineStr">
        <is>
          <t>Source 1: described as team-based.</t>
        </is>
      </c>
      <c r="Z406" s="77" t="inlineStr">
        <is>
          <t>Yes</t>
        </is>
      </c>
      <c r="AA406" s="77" t="inlineStr">
        <is>
          <t>Source 1: projects for an emerging international business/start-up and an NGO.</t>
        </is>
      </c>
      <c r="AB406" s="77" t="inlineStr">
        <is>
          <t>Mixed</t>
        </is>
      </c>
      <c r="AC406" s="77" t="inlineStr">
        <is>
          <t>Start-up and NGO host organisations</t>
        </is>
      </c>
      <c r="AD406" s="77" t="inlineStr"/>
      <c r="AE406" s="77" t="inlineStr">
        <is>
          <t>Unspecified</t>
        </is>
      </c>
      <c r="AF406" s="77">
        <f>IF(OR(V406="No",X406="No",Z406="No"),"Outside strict definition",IF(AND(V406="Yes",X406="Yes",Z406="Yes"),"Meets all three","Potentially relevant; evidence incomplete"))</f>
        <v/>
      </c>
      <c r="AG406" s="77" t="inlineStr">
        <is>
          <t>Current status unclear</t>
        </is>
      </c>
      <c r="AH406" s="77" t="inlineStr">
        <is>
          <t>undated</t>
        </is>
      </c>
      <c r="AI406" s="77" t="inlineStr">
        <is>
          <t>Yes</t>
        </is>
      </c>
      <c r="AJ406" s="77">
        <f>IF(AND(AI406="Yes",AF406="Meets all three",AG406="Current delivery confirmed"),"Yes","No")</f>
        <v/>
      </c>
      <c r="AK406" s="77" t="inlineStr">
        <is>
          <t>Not published in sources found.</t>
        </is>
      </c>
      <c r="AL406" s="77" t="inlineStr">
        <is>
          <t>UK06-S06-R1</t>
        </is>
      </c>
      <c r="AM406" s="77" t="inlineStr">
        <is>
          <t>Evidence is a search-summary paraphrase only; no module codes, assessment, or dates; executive (part-time, working-professional) cohort; compulsory status inferred.</t>
        </is>
      </c>
      <c r="AN406" s="77" t="inlineStr"/>
      <c r="AO406" s="77" t="inlineStr">
        <is>
          <t>UK</t>
        </is>
      </c>
      <c r="AP406" s="77" t="inlineStr">
        <is>
          <t>UK – additional</t>
        </is>
      </c>
      <c r="AQ406" s="77" t="inlineStr">
        <is>
          <t>Unclear</t>
        </is>
      </c>
      <c r="AR406" s="77" t="inlineStr">
        <is>
          <t>Unclear</t>
        </is>
      </c>
      <c r="AS406" s="77" t="inlineStr"/>
    </row>
    <row r="407">
      <c r="A407" s="77" t="inlineStr">
        <is>
          <t>UK06</t>
        </is>
      </c>
      <c r="B407" s="77" t="inlineStr">
        <is>
          <t>Reading</t>
        </is>
      </c>
      <c r="C407" s="77" t="inlineStr">
        <is>
          <t>Programme/course</t>
        </is>
      </c>
      <c r="D407" s="77" t="inlineStr">
        <is>
          <t>UK06-S07</t>
        </is>
      </c>
      <c r="E407" s="77" t="inlineStr"/>
      <c r="F407" s="77" t="inlineStr">
        <is>
          <t>No</t>
        </is>
      </c>
      <c r="G407" s="79" t="inlineStr">
        <is>
          <t>New Product Development (FB3NPD)</t>
        </is>
      </c>
      <c r="H407" s="77" t="inlineStr">
        <is>
          <t>New Product Development - final-year food product team project</t>
        </is>
      </c>
      <c r="I407" s="77" t="inlineStr">
        <is>
          <t>FB3NPD (earlier FB3FPD Food Product Development)</t>
        </is>
      </c>
      <c r="J407"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07" s="77" t="inlineStr">
        <is>
          <t>Department of Food and Nutritional Sciences</t>
        </is>
      </c>
      <c r="L407" s="77" t="inlineStr">
        <is>
          <t>BSc Food Technology with Bioprocessing and related BSc Food/Nutrition programmes</t>
        </is>
      </c>
      <c r="M407" s="77" t="inlineStr">
        <is>
          <t>Science</t>
        </is>
      </c>
      <c r="N407" s="77" t="inlineStr">
        <is>
          <t>Undergraduate</t>
        </is>
      </c>
      <c r="O407" s="77" t="inlineStr">
        <is>
          <t>Final year (Part 3)</t>
        </is>
      </c>
      <c r="P407" s="77" t="inlineStr"/>
      <c r="Q407" s="77" t="inlineStr">
        <is>
          <t>Compulsory within specified programmes</t>
        </is>
      </c>
      <c r="R407" s="77" t="inlineStr">
        <is>
          <t>Curricular</t>
        </is>
      </c>
      <c r="S407" s="77" t="inlineStr">
        <is>
          <t>20 credits, Level 6</t>
        </is>
      </c>
      <c r="T407" s="77" t="inlineStr">
        <is>
          <t>One semester</t>
        </is>
      </c>
      <c r="U407" s="77" t="inlineStr"/>
      <c r="V407" s="77" t="inlineStr">
        <is>
          <t>Yes</t>
        </is>
      </c>
      <c r="W407" s="77" t="inlineStr">
        <is>
          <t>Sources 1-2: design, develop and evaluate a food product against a brief; trade show.</t>
        </is>
      </c>
      <c r="X407" s="77" t="inlineStr">
        <is>
          <t>Yes</t>
        </is>
      </c>
      <c r="Y407" s="77" t="inlineStr">
        <is>
          <t>Sources 1-2: 'work as a team'; group presentation and executive summary with peer assessment.</t>
        </is>
      </c>
      <c r="Z407" s="77" t="inlineStr">
        <is>
          <t>Unclear</t>
        </is>
      </c>
      <c r="AA407" s="77" t="inlineStr">
        <is>
          <t>Source 1: brief from 'industry experts' and presentation to 'industry professionals' - but no named external organisation is identified, so it is unclear that an external organisation sets the brief or whether the experts are internal staff.</t>
        </is>
      </c>
      <c r="AB407" s="77" t="inlineStr">
        <is>
          <t>Unclear</t>
        </is>
      </c>
      <c r="AC407" s="77" t="inlineStr">
        <is>
          <t>'Industry experts' set brief; 'industry professionals' view outputs (organisation not identified).</t>
        </is>
      </c>
      <c r="AD407" s="77" t="inlineStr"/>
      <c r="AE407" s="77" t="inlineStr">
        <is>
          <t>Original food product prototype, presentation, executive summary</t>
        </is>
      </c>
      <c r="AF407" s="77">
        <f>IF(OR(V407="No",X407="No",Z407="No"),"Outside strict definition",IF(AND(V407="Yes",X407="Yes",Z407="Yes"),"Meets all three","Potentially relevant; evidence incomplete"))</f>
        <v/>
      </c>
      <c r="AG407" s="77" t="inlineStr">
        <is>
          <t>Current status unclear</t>
        </is>
      </c>
      <c r="AH407" s="77" t="inlineStr">
        <is>
          <t>2025 programme specification / 2026/27 course page (module record 2023/4)</t>
        </is>
      </c>
      <c r="AI407" s="77" t="inlineStr">
        <is>
          <t>Yes</t>
        </is>
      </c>
      <c r="AJ407" s="77">
        <f>IF(AND(AI407="Yes",AF407="Meets all three",AG407="Current delivery confirmed"),"Yes","No")</f>
        <v/>
      </c>
      <c r="AK407" s="77" t="inlineStr">
        <is>
          <t>Not published in sources found.</t>
        </is>
      </c>
      <c r="AL407" s="77" t="inlineStr">
        <is>
          <t>UK06-S07-R1; UK06-S07-R2; UK06-S07-R3</t>
        </is>
      </c>
      <c r="AM407" s="77" t="inlineStr">
        <is>
          <t>Which organisations/individuals set the brief; whether external; module record for 2025/26; compulsory status per programme.</t>
        </is>
      </c>
      <c r="AN407" s="77" t="inlineStr"/>
      <c r="AO407" s="77" t="inlineStr">
        <is>
          <t>UK</t>
        </is>
      </c>
      <c r="AP407" s="77" t="inlineStr">
        <is>
          <t>UK – additional</t>
        </is>
      </c>
      <c r="AQ407" s="77" t="inlineStr">
        <is>
          <t>~1 term/semester</t>
        </is>
      </c>
      <c r="AR407" s="77" t="inlineStr">
        <is>
          <t>Unclear</t>
        </is>
      </c>
      <c r="AS407" s="77" t="inlineStr"/>
    </row>
    <row r="408">
      <c r="A408" s="77" t="inlineStr">
        <is>
          <t>UK06</t>
        </is>
      </c>
      <c r="B408" s="77" t="inlineStr">
        <is>
          <t>Reading</t>
        </is>
      </c>
      <c r="C408" s="77" t="inlineStr">
        <is>
          <t>Programme/course</t>
        </is>
      </c>
      <c r="D408" s="77" t="inlineStr">
        <is>
          <t>UK06-S08</t>
        </is>
      </c>
      <c r="E408" s="77" t="inlineStr"/>
      <c r="F408" s="77" t="inlineStr">
        <is>
          <t>No</t>
        </is>
      </c>
      <c r="G408" s="79" t="inlineStr">
        <is>
          <t>Going Public: Presenting the Past, Planning the Future</t>
        </is>
      </c>
      <c r="H408" s="77" t="inlineStr">
        <is>
          <t>Going Public - group project for an external partner (History / Archaeology and History)</t>
        </is>
      </c>
      <c r="I408" s="77" t="inlineStr">
        <is>
          <t>HS2GPP</t>
        </is>
      </c>
      <c r="J408" s="77" t="inlineStr">
        <is>
          <t>Second-year group project in which students choose from listed projects and work to a brief from an organisation outside the history department, producing a portfolio and presentation; peer assessment adjusts individual marks.</t>
        </is>
      </c>
      <c r="K408" s="77" t="inlineStr">
        <is>
          <t>Department of History / Archaeology</t>
        </is>
      </c>
      <c r="L408" s="77" t="inlineStr">
        <is>
          <t>BA Archaeology and History (optional); possibly other History programmes</t>
        </is>
      </c>
      <c r="M408" s="77" t="inlineStr">
        <is>
          <t>Arts/humanities/social sciences</t>
        </is>
      </c>
      <c r="N408" s="77" t="inlineStr">
        <is>
          <t>Undergraduate</t>
        </is>
      </c>
      <c r="O408" s="77" t="inlineStr">
        <is>
          <t>Year 2</t>
        </is>
      </c>
      <c r="P408" s="77" t="inlineStr"/>
      <c r="Q408" s="77" t="inlineStr">
        <is>
          <t>Optional/elective</t>
        </is>
      </c>
      <c r="R408" s="77" t="inlineStr">
        <is>
          <t>Curricular</t>
        </is>
      </c>
      <c r="S408" s="77" t="inlineStr">
        <is>
          <t>Group portfolio 40% and presentation 40% (peer-moderated); remainder not stated</t>
        </is>
      </c>
      <c r="T408" s="77" t="inlineStr"/>
      <c r="U408" s="77" t="inlineStr"/>
      <c r="V408" s="77" t="inlineStr">
        <is>
          <t>Yes</t>
        </is>
      </c>
      <c r="W408" s="77" t="inlineStr">
        <is>
          <t>Source 1: group project with portfolio and presentation to a partner brief.</t>
        </is>
      </c>
      <c r="X408" s="77" t="inlineStr">
        <is>
          <t>Yes</t>
        </is>
      </c>
      <c r="Y408" s="77" t="inlineStr">
        <is>
          <t>Sources 1-2: group project; peer assessment of individual contribution.</t>
        </is>
      </c>
      <c r="Z408" s="77" t="inlineStr">
        <is>
          <t>Unclear</t>
        </is>
      </c>
      <c r="AA408" s="77" t="inlineStr">
        <is>
          <t>Sources 1-2: 'external partners' / brief from an organisation 'outside the history department' - sector and independence from the University (e.g. university museums) not established.</t>
        </is>
      </c>
      <c r="AB408" s="77" t="inlineStr">
        <is>
          <t>Unclear</t>
        </is>
      </c>
      <c r="AC408" s="77" t="inlineStr">
        <is>
          <t>Partner organisation supplies brief (role in feedback/assessment not stated).</t>
        </is>
      </c>
      <c r="AD408" s="77" t="inlineStr"/>
      <c r="AE408" s="77" t="inlineStr">
        <is>
          <t>Portfolio and presentation</t>
        </is>
      </c>
      <c r="AF408" s="77">
        <f>IF(OR(V408="No",X408="No",Z408="No"),"Outside strict definition",IF(AND(V408="Yes",X408="Yes",Z408="Yes"),"Meets all three","Potentially relevant; evidence incomplete"))</f>
        <v/>
      </c>
      <c r="AG408" s="77" t="inlineStr">
        <is>
          <t>Current status unclear</t>
        </is>
      </c>
      <c r="AH408" s="77" t="inlineStr">
        <is>
          <t>2023/4 module record; 2026/27 course page</t>
        </is>
      </c>
      <c r="AI408" s="77" t="inlineStr">
        <is>
          <t>Yes</t>
        </is>
      </c>
      <c r="AJ408" s="77">
        <f>IF(AND(AI408="Yes",AF408="Meets all three",AG408="Current delivery confirmed"),"Yes","No")</f>
        <v/>
      </c>
      <c r="AK408" s="77" t="inlineStr">
        <is>
          <t>Not published in sources found.</t>
        </is>
      </c>
      <c r="AL408" s="77" t="inlineStr">
        <is>
          <t>UK06-S08-R1; UK06-S08-R2</t>
        </is>
      </c>
      <c r="AM408" s="77" t="inlineStr">
        <is>
          <t>Partner identity/type; whether partners are external to the University; current delivery year.</t>
        </is>
      </c>
      <c r="AN408" s="77" t="inlineStr"/>
      <c r="AO408" s="77" t="inlineStr">
        <is>
          <t>UK</t>
        </is>
      </c>
      <c r="AP408" s="77" t="inlineStr">
        <is>
          <t>UK – additional</t>
        </is>
      </c>
      <c r="AQ408" s="77" t="inlineStr">
        <is>
          <t>~1 term/semester</t>
        </is>
      </c>
      <c r="AR408" s="77" t="inlineStr">
        <is>
          <t>Unclear</t>
        </is>
      </c>
      <c r="AS408" s="77" t="inlineStr"/>
    </row>
    <row r="409">
      <c r="A409" s="77" t="inlineStr">
        <is>
          <t>UK06</t>
        </is>
      </c>
      <c r="B409" s="77" t="inlineStr">
        <is>
          <t>Reading</t>
        </is>
      </c>
      <c r="C409" s="77" t="inlineStr">
        <is>
          <t>Programme/course</t>
        </is>
      </c>
      <c r="D409" s="77" t="inlineStr">
        <is>
          <t>UK06-S09</t>
        </is>
      </c>
      <c r="E409" s="77" t="inlineStr"/>
      <c r="F409" s="77" t="inlineStr">
        <is>
          <t>No</t>
        </is>
      </c>
      <c r="G409" s="79" t="inlineStr">
        <is>
          <t>Real Jobs (Typography &amp; Graphic Communication)</t>
        </is>
      </c>
      <c r="H409" s="77" t="inlineStr">
        <is>
          <t>Real Jobs live-client briefs</t>
        </is>
      </c>
      <c r="I409" s="77" t="inlineStr">
        <is>
          <t>TY3PRP (Professional Practice, 2020/1 record)</t>
        </is>
      </c>
      <c r="J409" s="77" t="inlineStr">
        <is>
          <t>Students undertake at least two live-brief projects with real clients (e.g. charity rebrand, packaging, wayfinding), supported by tutors and assessed as completed; the department also runs an IBM-linked UX project and employer feedback on briefs.</t>
        </is>
      </c>
      <c r="K409" s="77" t="inlineStr">
        <is>
          <t>Department of Typography &amp; Graphic Communication</t>
        </is>
      </c>
      <c r="L409" s="77" t="inlineStr">
        <is>
          <t>BA Graphic Communication</t>
        </is>
      </c>
      <c r="M409" s="77" t="inlineStr">
        <is>
          <t>Arts/humanities/social sciences; Other (law, health, design, architecture…)</t>
        </is>
      </c>
      <c r="N409" s="77" t="inlineStr">
        <is>
          <t>Undergraduate</t>
        </is>
      </c>
      <c r="O409" s="77" t="inlineStr">
        <is>
          <t>Year 2 onward</t>
        </is>
      </c>
      <c r="P409" s="77" t="inlineStr"/>
      <c r="Q409" s="77" t="inlineStr">
        <is>
          <t>Compulsory within specified programmes</t>
        </is>
      </c>
      <c r="R409" s="77" t="inlineStr">
        <is>
          <t>Curricular</t>
        </is>
      </c>
      <c r="S409" s="77" t="inlineStr">
        <is>
          <t>Assessed per project by agreed rubric (2020/1 record)</t>
        </is>
      </c>
      <c r="T409" s="77" t="inlineStr"/>
      <c r="U409" s="77" t="inlineStr"/>
      <c r="V409" s="77" t="inlineStr">
        <is>
          <t>Yes</t>
        </is>
      </c>
      <c r="W409" s="77" t="inlineStr">
        <is>
          <t>Sources 1-2: live briefs with design outputs.</t>
        </is>
      </c>
      <c r="X409" s="77" t="inlineStr">
        <is>
          <t>Unclear</t>
        </is>
      </c>
      <c r="Y409" s="77" t="inlineStr">
        <is>
          <t>Source 1: students 'work one-on-one with real clients'; 2020/1 record says supervisors 'may require students to work in small teams'. Cannot separate individual and group routes.</t>
        </is>
      </c>
      <c r="Z409" s="77" t="inlineStr">
        <is>
          <t>Yes</t>
        </is>
      </c>
      <c r="AA409" s="77" t="inlineStr">
        <is>
          <t>Sources 1-2: real clients (e.g. BASIC, Longhaul, Reading City of Sanctuary), real budgets; IBM Design and OUP give feedback.</t>
        </is>
      </c>
      <c r="AB409" s="77" t="inlineStr">
        <is>
          <t>Mixed</t>
        </is>
      </c>
      <c r="AC409" s="77" t="inlineStr">
        <is>
          <t>Clients brief students, work with them to delivery and give feedback.</t>
        </is>
      </c>
      <c r="AD409" s="77" t="inlineStr"/>
      <c r="AE409" s="77" t="inlineStr">
        <is>
          <t>Design deliverables (rebrand, packaging, wayfinding, publicity)</t>
        </is>
      </c>
      <c r="AF409" s="77">
        <f>IF(OR(V409="No",X409="No",Z409="No"),"Outside strict definition",IF(AND(V409="Yes",X409="Yes",Z409="Yes"),"Meets all three","Potentially relevant; evidence incomplete"))</f>
        <v/>
      </c>
      <c r="AG409" s="77" t="inlineStr">
        <is>
          <t>Current status unclear</t>
        </is>
      </c>
      <c r="AH409" s="77" t="inlineStr">
        <is>
          <t>undated pages; module record 2020/1</t>
        </is>
      </c>
      <c r="AI409" s="77" t="inlineStr">
        <is>
          <t>Yes</t>
        </is>
      </c>
      <c r="AJ409" s="77">
        <f>IF(AND(AI409="Yes",AF409="Meets all three",AG409="Current delivery confirmed"),"Yes","No")</f>
        <v/>
      </c>
      <c r="AK409" s="77" t="inlineStr">
        <is>
          <t>Not published in sources found.</t>
        </is>
      </c>
      <c r="AL409" s="77" t="inlineStr">
        <is>
          <t>UK06-S09-R1; UK06-S09-R2</t>
        </is>
      </c>
      <c r="AM409" s="77" t="inlineStr">
        <is>
          <t>Individual vs team routes; current module codes; dates of named projects.</t>
        </is>
      </c>
      <c r="AN409" s="77" t="inlineStr"/>
      <c r="AO409" s="77" t="inlineStr">
        <is>
          <t>UK</t>
        </is>
      </c>
      <c r="AP409" s="77" t="inlineStr">
        <is>
          <t>UK – additional</t>
        </is>
      </c>
      <c r="AQ409" s="77" t="inlineStr">
        <is>
          <t>Unclear</t>
        </is>
      </c>
      <c r="AR409" s="77" t="inlineStr">
        <is>
          <t>All/standard</t>
        </is>
      </c>
      <c r="AS409" s="77" t="inlineStr"/>
    </row>
    <row r="410">
      <c r="A410" s="77" t="inlineStr">
        <is>
          <t>UK06</t>
        </is>
      </c>
      <c r="B410" s="77" t="inlineStr">
        <is>
          <t>Reading</t>
        </is>
      </c>
      <c r="C410" s="77" t="inlineStr">
        <is>
          <t>Programme/course</t>
        </is>
      </c>
      <c r="D410" s="77" t="inlineStr">
        <is>
          <t>UK06-S10</t>
        </is>
      </c>
      <c r="E410" s="77" t="inlineStr"/>
      <c r="F410" s="77" t="inlineStr">
        <is>
          <t>No</t>
        </is>
      </c>
      <c r="G410" s="79" t="inlineStr">
        <is>
          <t>Construction Live Project</t>
        </is>
      </c>
      <c r="H410" s="77" t="inlineStr">
        <is>
          <t>Construction Live Project</t>
        </is>
      </c>
      <c r="I410" s="77" t="inlineStr">
        <is>
          <t>CE3CLP1</t>
        </is>
      </c>
      <c r="J410" s="77" t="inlineStr">
        <is>
          <t>Two-week intensive: student teams plan on campus for five days then build a scaled replica of an iconic structure on site for five days, supported by academics and, in earlier versions, young professionals from a partner contractor and its supply chain.</t>
        </is>
      </c>
      <c r="K410" s="77" t="inlineStr">
        <is>
          <t>School of the Built Environment (Construction Management and Engineering)</t>
        </is>
      </c>
      <c r="L410" s="77" t="inlineStr">
        <is>
          <t>Built Environment undergraduate programmes (Level 6)</t>
        </is>
      </c>
      <c r="M410" s="77" t="inlineStr">
        <is>
          <t>Engineering/computing</t>
        </is>
      </c>
      <c r="N410" s="77" t="inlineStr">
        <is>
          <t>Undergraduate</t>
        </is>
      </c>
      <c r="O410" s="77" t="inlineStr">
        <is>
          <t>Final year</t>
        </is>
      </c>
      <c r="P410" s="77" t="inlineStr"/>
      <c r="Q410" s="77" t="inlineStr">
        <is>
          <t>Unclear</t>
        </is>
      </c>
      <c r="R410" s="77" t="inlineStr">
        <is>
          <t>Curricular</t>
        </is>
      </c>
      <c r="S410" s="77" t="inlineStr">
        <is>
          <t>20 credits (2024/5)</t>
        </is>
      </c>
      <c r="T410" s="77" t="inlineStr">
        <is>
          <t>Two weeks, residential</t>
        </is>
      </c>
      <c r="U410" s="77" t="inlineStr"/>
      <c r="V410" s="77" t="inlineStr">
        <is>
          <t>Yes</t>
        </is>
      </c>
      <c r="W410" s="77" t="inlineStr">
        <is>
          <t>Source 1: plan, schedule, cost, manage H&amp;S and build replica.</t>
        </is>
      </c>
      <c r="X410" s="77" t="inlineStr">
        <is>
          <t>Yes</t>
        </is>
      </c>
      <c r="Y410" s="77" t="inlineStr">
        <is>
          <t>Source 1: student teams.</t>
        </is>
      </c>
      <c r="Z410" s="77" t="inlineStr">
        <is>
          <t>Unclear</t>
        </is>
      </c>
      <c r="AA410" s="77" t="inlineStr">
        <is>
          <t>Sources 1-2: partner contractor staff/young professionals supported earlier versions; the partner is not a client setting a brief, and 2025/6 involvement not confirmed.</t>
        </is>
      </c>
      <c r="AB410" s="77" t="inlineStr">
        <is>
          <t>Business/commercial</t>
        </is>
      </c>
      <c r="AC410" s="77" t="inlineStr">
        <is>
          <t>Partner contractor staff support delivery (earlier version).</t>
        </is>
      </c>
      <c r="AD410" s="77" t="inlineStr"/>
      <c r="AE410" s="77" t="inlineStr">
        <is>
          <t>Scaled structure built on site</t>
        </is>
      </c>
      <c r="AF410" s="77">
        <f>IF(OR(V410="No",X410="No",Z410="No"),"Outside strict definition",IF(AND(V410="Yes",X410="Yes",Z410="Yes"),"Meets all three","Potentially relevant; evidence incomplete"))</f>
        <v/>
      </c>
      <c r="AG410" s="77" t="inlineStr">
        <is>
          <t>Current delivery confirmed</t>
        </is>
      </c>
      <c r="AH410" s="77" t="inlineStr">
        <is>
          <t>2025/26 (module listed); content 2024/5</t>
        </is>
      </c>
      <c r="AI410" s="77" t="inlineStr">
        <is>
          <t>Yes</t>
        </is>
      </c>
      <c r="AJ410" s="77">
        <f>IF(AND(AI410="Yes",AF410="Meets all three",AG410="Current delivery confirmed"),"Yes","No")</f>
        <v/>
      </c>
      <c r="AK410" s="77" t="inlineStr">
        <is>
          <t>Not published in sources found.</t>
        </is>
      </c>
      <c r="AL410" s="77" t="inlineStr">
        <is>
          <t>UK06-S10-R1; UK06-S10-R2; UK06-S10-R3</t>
        </is>
      </c>
      <c r="AM410" s="77" t="inlineStr">
        <is>
          <t>Whether partner contractor involvement continues and whether it amounts to external organisation setting brief/supervising/assessing; compulsory status.</t>
        </is>
      </c>
      <c r="AN410" s="77" t="inlineStr"/>
      <c r="AO410" s="77" t="inlineStr">
        <is>
          <t>UK</t>
        </is>
      </c>
      <c r="AP410" s="77" t="inlineStr">
        <is>
          <t>UK – additional</t>
        </is>
      </c>
      <c r="AQ410" s="77" t="inlineStr">
        <is>
          <t>1–4 weeks</t>
        </is>
      </c>
      <c r="AR410" s="77" t="inlineStr">
        <is>
          <t>Unclear</t>
        </is>
      </c>
      <c r="AS410" s="77" t="inlineStr"/>
    </row>
    <row r="411">
      <c r="A411" s="77" t="inlineStr">
        <is>
          <t>UK06</t>
        </is>
      </c>
      <c r="B411" s="77" t="inlineStr">
        <is>
          <t>Reading</t>
        </is>
      </c>
      <c r="C411" s="77" t="inlineStr">
        <is>
          <t>Programme/course</t>
        </is>
      </c>
      <c r="D411" s="77" t="inlineStr">
        <is>
          <t>UK06-S11</t>
        </is>
      </c>
      <c r="E411" s="77" t="inlineStr"/>
      <c r="F411" s="77" t="inlineStr">
        <is>
          <t>No</t>
        </is>
      </c>
      <c r="G411" s="79" t="inlineStr">
        <is>
          <t>Business Management (Case Studies)</t>
        </is>
      </c>
      <c r="H411" s="77" t="inlineStr">
        <is>
          <t>Farm/rural business case study teams (AP3A54)</t>
        </is>
      </c>
      <c r="I411" s="77" t="inlineStr">
        <is>
          <t>AP3A54</t>
        </is>
      </c>
      <c r="J411" s="77" t="inlineStr">
        <is>
          <t>Small teams (usually 4-5) work on case-study exercises for farms and rural enterprises, preparing a business proposal presented orally and in writing, usually in the presence of the business manager.</t>
        </is>
      </c>
      <c r="K411" s="77" t="inlineStr">
        <is>
          <t>School of Agriculture, Policy and Development</t>
        </is>
      </c>
      <c r="L411" s="77" t="inlineStr">
        <is>
          <t>BSc Agricultural Business Management</t>
        </is>
      </c>
      <c r="M411" s="77" t="inlineStr">
        <is>
          <t>Science</t>
        </is>
      </c>
      <c r="N411" s="77" t="inlineStr">
        <is>
          <t>Undergraduate</t>
        </is>
      </c>
      <c r="O411" s="77" t="inlineStr">
        <is>
          <t>Final year</t>
        </is>
      </c>
      <c r="P411" s="77" t="inlineStr"/>
      <c r="Q411" s="77" t="inlineStr">
        <is>
          <t>Unclear</t>
        </is>
      </c>
      <c r="R411" s="77" t="inlineStr">
        <is>
          <t>Curricular</t>
        </is>
      </c>
      <c r="S411" s="77" t="inlineStr"/>
      <c r="T411" s="77" t="inlineStr"/>
      <c r="U411" s="77" t="inlineStr"/>
      <c r="V411" s="77" t="inlineStr">
        <is>
          <t>Yes</t>
        </is>
      </c>
      <c r="W411" s="77" t="inlineStr">
        <is>
          <t>Source 1: business proposal for introduction of new enterprise or change to a rural business.</t>
        </is>
      </c>
      <c r="X411" s="77" t="inlineStr">
        <is>
          <t>Yes</t>
        </is>
      </c>
      <c r="Y411" s="77" t="inlineStr">
        <is>
          <t>Source 1: small teams (usually 4/5).</t>
        </is>
      </c>
      <c r="Z411" s="77" t="inlineStr">
        <is>
          <t>Unclear</t>
        </is>
      </c>
      <c r="AA411" s="77" t="inlineStr">
        <is>
          <t>Source 1: presented 'usually' in the presence of the manager of the business studied - not established as standard; real vs teaching case unclear.</t>
        </is>
      </c>
      <c r="AB411" s="77" t="inlineStr">
        <is>
          <t>Business/commercial</t>
        </is>
      </c>
      <c r="AC411" s="77" t="inlineStr">
        <is>
          <t>Business manager attends presentation (usually).</t>
        </is>
      </c>
      <c r="AD411" s="77" t="inlineStr"/>
      <c r="AE411" s="77" t="inlineStr">
        <is>
          <t>Business proposal report and presentation</t>
        </is>
      </c>
      <c r="AF411" s="77">
        <f>IF(OR(V411="No",X411="No",Z411="No"),"Outside strict definition",IF(AND(V411="Yes",X411="Yes",Z411="Yes"),"Meets all three","Potentially relevant; evidence incomplete"))</f>
        <v/>
      </c>
      <c r="AG411" s="77" t="inlineStr">
        <is>
          <t>Current status unclear</t>
        </is>
      </c>
      <c r="AH411" s="77" t="inlineStr">
        <is>
          <t>2023/4</t>
        </is>
      </c>
      <c r="AI411" s="77" t="inlineStr">
        <is>
          <t>Yes</t>
        </is>
      </c>
      <c r="AJ411" s="77">
        <f>IF(AND(AI411="Yes",AF411="Meets all three",AG411="Current delivery confirmed"),"Yes","No")</f>
        <v/>
      </c>
      <c r="AK411" s="77" t="inlineStr">
        <is>
          <t>Not published in sources found.</t>
        </is>
      </c>
      <c r="AL411" s="77" t="inlineStr">
        <is>
          <t>UK06-S11-R1</t>
        </is>
      </c>
      <c r="AM411" s="77" t="inlineStr">
        <is>
          <t>Module code may be retired; no 2025/26 equivalent found; case studies may be teaching cases.</t>
        </is>
      </c>
      <c r="AN411" s="77" t="inlineStr"/>
      <c r="AO411" s="77" t="inlineStr">
        <is>
          <t>UK</t>
        </is>
      </c>
      <c r="AP411" s="77" t="inlineStr">
        <is>
          <t>UK – additional</t>
        </is>
      </c>
      <c r="AQ411" s="77" t="inlineStr">
        <is>
          <t>Unclear</t>
        </is>
      </c>
      <c r="AR411" s="77" t="inlineStr">
        <is>
          <t>Some projects</t>
        </is>
      </c>
      <c r="AS411" s="77" t="inlineStr"/>
    </row>
    <row r="412">
      <c r="A412" s="77" t="inlineStr">
        <is>
          <t>UK07</t>
        </is>
      </c>
      <c r="B412" s="77" t="inlineStr">
        <is>
          <t>Surrey</t>
        </is>
      </c>
      <c r="C412" s="77" t="inlineStr">
        <is>
          <t>Programme/course</t>
        </is>
      </c>
      <c r="D412" s="77" t="inlineStr">
        <is>
          <t>UK07-S01</t>
        </is>
      </c>
      <c r="E412" s="77" t="inlineStr"/>
      <c r="F412" s="77" t="inlineStr">
        <is>
          <t>No</t>
        </is>
      </c>
      <c r="G412" s="79" t="inlineStr">
        <is>
          <t>Consulting Project (MANM448)</t>
        </is>
      </c>
      <c r="H412" s="77" t="inlineStr">
        <is>
          <t>Consulting Project</t>
        </is>
      </c>
      <c r="I412" s="77" t="inlineStr">
        <is>
          <t>MANM448</t>
        </is>
      </c>
      <c r="J412"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12" s="77" t="inlineStr">
        <is>
          <t>Surrey Business School</t>
        </is>
      </c>
      <c r="L412" s="77" t="inlineStr">
        <is>
          <t>MSc Management (Surrey Business School)</t>
        </is>
      </c>
      <c r="M412" s="77" t="inlineStr">
        <is>
          <t>Business/management</t>
        </is>
      </c>
      <c r="N412" s="77" t="inlineStr">
        <is>
          <t>Postgraduate taught</t>
        </is>
      </c>
      <c r="O412" s="77" t="inlineStr"/>
      <c r="P412" s="77" t="inlineStr"/>
      <c r="Q412" s="77" t="inlineStr">
        <is>
          <t>Compulsory within specified programmes</t>
        </is>
      </c>
      <c r="R412" s="77" t="inlineStr">
        <is>
          <t>Curricular</t>
        </is>
      </c>
      <c r="S412" s="77" t="inlineStr">
        <is>
          <t>15 credits, FHEQ L7, Semester 2; group presentation 50% + group report 50% (2024/5, 2025/6)</t>
        </is>
      </c>
      <c r="T412" s="77" t="inlineStr">
        <is>
          <t>Semester 2 (Feb-Jul)</t>
        </is>
      </c>
      <c r="U412" s="77" t="inlineStr">
        <is>
          <t>Self-managed team consultancy with weekly group meetings</t>
        </is>
      </c>
      <c r="V412" s="77" t="inlineStr">
        <is>
          <t>Yes</t>
        </is>
      </c>
      <c r="W412" s="77" t="inlineStr">
        <is>
          <t>Live consulting project applying learning to a real business problem; consultancy report and presentation [1][2].</t>
        </is>
      </c>
      <c r="X412" s="77" t="inlineStr">
        <is>
          <t>Yes</t>
        </is>
      </c>
      <c r="Y412" s="77" t="inlineStr">
        <is>
          <t>Teams plan and deliver the engagement; two equally weighted group assessments [1][2].</t>
        </is>
      </c>
      <c r="Z412" s="77" t="inlineStr">
        <is>
          <t>Yes</t>
        </is>
      </c>
      <c r="AA412" s="77" t="inlineStr">
        <is>
          <t>Brief set by a client organisation; students present formatively to the client and client oral/written feedback is included in the final report; 2020/1 entry: report presented to the client organisation [1][2].</t>
        </is>
      </c>
      <c r="AB412" s="77" t="inlineStr">
        <is>
          <t>Unclear</t>
        </is>
      </c>
      <c r="AC412" s="77" t="inlineStr">
        <is>
          <t>Sets the brief, acts as client sponsor, gives feedback on formative presentation</t>
        </is>
      </c>
      <c r="AD412" s="77" t="inlineStr"/>
      <c r="AE412" s="77" t="inlineStr">
        <is>
          <t>Group consulting report and presentation to client</t>
        </is>
      </c>
      <c r="AF412" s="77">
        <f>IF(OR(V412="No",X412="No",Z412="No"),"Outside strict definition",IF(AND(V412="Yes",X412="Yes",Z412="Yes"),"Meets all three","Potentially relevant; evidence incomplete"))</f>
        <v/>
      </c>
      <c r="AG412" s="77" t="inlineStr">
        <is>
          <t>Current delivery confirmed</t>
        </is>
      </c>
      <c r="AH412" s="77" t="inlineStr">
        <is>
          <t>2025/26</t>
        </is>
      </c>
      <c r="AI412" s="77" t="inlineStr">
        <is>
          <t>Yes</t>
        </is>
      </c>
      <c r="AJ412" s="77">
        <f>IF(AND(AI412="Yes",AF412="Meets all three",AG412="Current delivery confirmed"),"Yes","No")</f>
        <v/>
      </c>
      <c r="AK412" s="77" t="inlineStr"/>
      <c r="AL412" s="77" t="inlineStr">
        <is>
          <t>UK07-S01-R1; UK07-S01-R2</t>
        </is>
      </c>
      <c r="AM412" s="77" t="inlineStr">
        <is>
          <t>Compulsory status is from the 2020/1 catalogue (Management MSc, Semester 2, Compulsory); 2025/6 programme listing not seen. Client sector and named clients not published.</t>
        </is>
      </c>
      <c r="AN412" s="77" t="inlineStr"/>
      <c r="AO412" s="77" t="inlineStr">
        <is>
          <t>UK</t>
        </is>
      </c>
      <c r="AP412" s="77" t="inlineStr">
        <is>
          <t>UK – additional</t>
        </is>
      </c>
      <c r="AQ412" s="77" t="inlineStr">
        <is>
          <t>~1 term/semester</t>
        </is>
      </c>
      <c r="AR412" s="77" t="inlineStr">
        <is>
          <t>All/standard</t>
        </is>
      </c>
      <c r="AS412" s="77" t="inlineStr"/>
    </row>
    <row r="413">
      <c r="A413" s="77" t="inlineStr">
        <is>
          <t>UK07</t>
        </is>
      </c>
      <c r="B413" s="77" t="inlineStr">
        <is>
          <t>Surrey</t>
        </is>
      </c>
      <c r="C413" s="77" t="inlineStr">
        <is>
          <t>Programme/course</t>
        </is>
      </c>
      <c r="D413" s="77" t="inlineStr">
        <is>
          <t>UK07-S02</t>
        </is>
      </c>
      <c r="E413" s="77" t="inlineStr"/>
      <c r="F413" s="77" t="inlineStr">
        <is>
          <t>No</t>
        </is>
      </c>
      <c r="G413" s="79" t="inlineStr">
        <is>
          <t>Dynamics of Business Consultancy (MSc Entrepreneurship &amp; Innovation Management)</t>
        </is>
      </c>
      <c r="H413" s="77" t="inlineStr">
        <is>
          <t>Dynamics of Business Consultancy</t>
        </is>
      </c>
      <c r="I413" s="77" t="inlineStr"/>
      <c r="J413" s="77" t="inlineStr">
        <is>
          <t>Compulsory Year 1 Semester 2 module in which small student teams act as consultants for an external organisation: they receive a live client brief, analyse a genuine workplace problem and develop practical, evidence-based recommendations.</t>
        </is>
      </c>
      <c r="K413" s="77" t="inlineStr">
        <is>
          <t>Surrey Business School</t>
        </is>
      </c>
      <c r="L413" s="77" t="inlineStr">
        <is>
          <t>MSc Entrepreneurship &amp; Innovation Management</t>
        </is>
      </c>
      <c r="M413" s="77" t="inlineStr">
        <is>
          <t>Business/management</t>
        </is>
      </c>
      <c r="N413" s="77" t="inlineStr">
        <is>
          <t>Postgraduate taught</t>
        </is>
      </c>
      <c r="O413" s="77" t="inlineStr"/>
      <c r="P413" s="77" t="inlineStr"/>
      <c r="Q413" s="77" t="inlineStr">
        <is>
          <t>Compulsory within specified programmes</t>
        </is>
      </c>
      <c r="R413" s="77" t="inlineStr">
        <is>
          <t>Curricular</t>
        </is>
      </c>
      <c r="S413" s="77" t="inlineStr">
        <is>
          <t>Credit/assessment not retrieved; programme is 180 credits FHEQ L7</t>
        </is>
      </c>
      <c r="T413" s="77" t="inlineStr">
        <is>
          <t>Semester 2</t>
        </is>
      </c>
      <c r="U413" s="77" t="inlineStr">
        <is>
          <t>Team consultancy for external organisation</t>
        </is>
      </c>
      <c r="V413" s="77" t="inlineStr">
        <is>
          <t>Yes</t>
        </is>
      </c>
      <c r="W413" s="77" t="inlineStr">
        <is>
          <t>Live client brief producing practical evidence-based recommendations [1].</t>
        </is>
      </c>
      <c r="X413" s="77" t="inlineStr">
        <is>
          <t>Yes</t>
        </is>
      </c>
      <c r="Y413" s="77" t="inlineStr">
        <is>
          <t>'small student teams act as consultants' [1].</t>
        </is>
      </c>
      <c r="Z413" s="77" t="inlineStr">
        <is>
          <t>Yes</t>
        </is>
      </c>
      <c r="AA413" s="77" t="inlineStr">
        <is>
          <t>Teams work for an external organisation on a live client brief [1].</t>
        </is>
      </c>
      <c r="AB413" s="77" t="inlineStr">
        <is>
          <t>Unclear</t>
        </is>
      </c>
      <c r="AC413" s="77" t="inlineStr">
        <is>
          <t>Provides live client brief (further role not published)</t>
        </is>
      </c>
      <c r="AD413" s="77" t="inlineStr"/>
      <c r="AE413" s="77" t="inlineStr">
        <is>
          <t>Recommendations to the client organisation (format not retrieved)</t>
        </is>
      </c>
      <c r="AF413" s="77">
        <f>IF(OR(V413="No",X413="No",Z413="No"),"Outside strict definition",IF(AND(V413="Yes",X413="Yes",Z413="Yes"),"Meets all three","Potentially relevant; evidence incomplete"))</f>
        <v/>
      </c>
      <c r="AG413" s="77" t="inlineStr">
        <is>
          <t>Current delivery confirmed</t>
        </is>
      </c>
      <c r="AH413" s="77" t="inlineStr">
        <is>
          <t>2026/27</t>
        </is>
      </c>
      <c r="AI413" s="77" t="inlineStr">
        <is>
          <t>Yes</t>
        </is>
      </c>
      <c r="AJ413" s="77">
        <f>IF(AND(AI413="Yes",AF413="Meets all three",AG413="Current delivery confirmed"),"Yes","No")</f>
        <v/>
      </c>
      <c r="AK413" s="77" t="inlineStr"/>
      <c r="AL413" s="77" t="inlineStr">
        <is>
          <t>UK07-S02-R1; UK07-S02-R2</t>
        </is>
      </c>
      <c r="AM413" s="77" t="inlineStr">
        <is>
          <t>Module code, credit and assessment not retrieved; programme page undated, corroborated by 2026/7 and 2025/6 programme catalogue entries. Possible overlap with S3 (MANM468) not resolved.</t>
        </is>
      </c>
      <c r="AN413" s="77" t="inlineStr"/>
      <c r="AO413" s="77" t="inlineStr">
        <is>
          <t>UK</t>
        </is>
      </c>
      <c r="AP413" s="77" t="inlineStr">
        <is>
          <t>UK – additional</t>
        </is>
      </c>
      <c r="AQ413" s="77" t="inlineStr">
        <is>
          <t>~1 term/semester</t>
        </is>
      </c>
      <c r="AR413" s="77" t="inlineStr">
        <is>
          <t>All/standard</t>
        </is>
      </c>
      <c r="AS413" s="77" t="inlineStr"/>
    </row>
    <row r="414">
      <c r="A414" s="77" t="inlineStr">
        <is>
          <t>UK07</t>
        </is>
      </c>
      <c r="B414" s="77" t="inlineStr">
        <is>
          <t>Surrey</t>
        </is>
      </c>
      <c r="C414" s="77" t="inlineStr">
        <is>
          <t>Programme/course</t>
        </is>
      </c>
      <c r="D414" s="77" t="inlineStr">
        <is>
          <t>UK07-S03</t>
        </is>
      </c>
      <c r="E414" s="77" t="inlineStr"/>
      <c r="F414" s="77" t="inlineStr">
        <is>
          <t>No</t>
        </is>
      </c>
      <c r="G414" s="79" t="inlineStr">
        <is>
          <t>Digital Business Challenge / Digital Project Development (MANM468)</t>
        </is>
      </c>
      <c r="H414" s="77" t="inlineStr">
        <is>
          <t>Digital Project Development</t>
        </is>
      </c>
      <c r="I414" s="77" t="inlineStr">
        <is>
          <t>MANM468</t>
        </is>
      </c>
      <c r="J414"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14" s="77" t="inlineStr">
        <is>
          <t>Surrey Business School</t>
        </is>
      </c>
      <c r="L414" s="77" t="inlineStr">
        <is>
          <t>Compulsory on MSc Entrepreneurship &amp; Innovation Management (2025/6 catalogue)</t>
        </is>
      </c>
      <c r="M414" s="77" t="inlineStr">
        <is>
          <t>Business/management</t>
        </is>
      </c>
      <c r="N414" s="77" t="inlineStr">
        <is>
          <t>Postgraduate taught</t>
        </is>
      </c>
      <c r="O414" s="77" t="inlineStr"/>
      <c r="P414" s="77" t="inlineStr"/>
      <c r="Q414" s="77" t="inlineStr">
        <is>
          <t>Compulsory within specified programmes</t>
        </is>
      </c>
      <c r="R414" s="77" t="inlineStr">
        <is>
          <t>Curricular</t>
        </is>
      </c>
      <c r="S414" s="77" t="inlineStr">
        <is>
          <t>15 credits, FHEQ L7, Semester 2, cap 60</t>
        </is>
      </c>
      <c r="T414" s="77" t="inlineStr">
        <is>
          <t>Feb-May (one semester)</t>
        </is>
      </c>
      <c r="U414" s="77" t="inlineStr">
        <is>
          <t>Team project with weekly company meetings</t>
        </is>
      </c>
      <c r="V414" s="77" t="inlineStr">
        <is>
          <t>Yes</t>
        </is>
      </c>
      <c r="W414" s="77" t="inlineStr">
        <is>
          <t>Defined digital marketing problem per company; stakeholder presentation then agreed tasks [1].</t>
        </is>
      </c>
      <c r="X414" s="77" t="inlineStr">
        <is>
          <t>Yes</t>
        </is>
      </c>
      <c r="Y414" s="77" t="inlineStr">
        <is>
          <t>'Student teams' work on digital marketing for partner companies [1]; module teaching uses teams on business challenge [2].</t>
        </is>
      </c>
      <c r="Z414" s="77" t="inlineStr">
        <is>
          <t>Yes</t>
        </is>
      </c>
      <c r="AA414" s="77" t="inlineStr">
        <is>
          <t>Companies are recruited on a project proposal highlighting a digital marketing challenge, meet teams weekly (min 2 h/week) and attend the stakeholder presentation [1].</t>
        </is>
      </c>
      <c r="AB414" s="77" t="inlineStr">
        <is>
          <t>Business/commercial</t>
        </is>
      </c>
      <c r="AC414" s="77" t="inlineStr">
        <is>
          <t>Sets the challenge, meets teams weekly, receives presentation</t>
        </is>
      </c>
      <c r="AD414" s="77" t="inlineStr">
        <is>
          <t>Vision Engineering Ltd (credited students' SEO/social work; year not stated)</t>
        </is>
      </c>
      <c r="AE414" s="77" t="inlineStr">
        <is>
          <t>Stakeholder presentation and executed digital marketing work</t>
        </is>
      </c>
      <c r="AF414" s="77">
        <f>IF(OR(V414="No",X414="No",Z414="No"),"Outside strict definition",IF(AND(V414="Yes",X414="Yes",Z414="Yes"),"Meets all three","Potentially relevant; evidence incomplete"))</f>
        <v/>
      </c>
      <c r="AG414" s="77" t="inlineStr">
        <is>
          <t>Current delivery confirmed</t>
        </is>
      </c>
      <c r="AH414" s="77" t="inlineStr">
        <is>
          <t>2025/26</t>
        </is>
      </c>
      <c r="AI414" s="77" t="inlineStr">
        <is>
          <t>Yes</t>
        </is>
      </c>
      <c r="AJ414" s="77">
        <f>IF(AND(AI414="Yes",AF414="Meets all three",AG414="Current delivery confirmed"),"Yes","No")</f>
        <v/>
      </c>
      <c r="AK414" s="77" t="inlineStr"/>
      <c r="AL414" s="77" t="inlineStr">
        <is>
          <t>UK07-S03-R1; UK07-S03-R2</t>
        </is>
      </c>
      <c r="AM414" s="77" t="inlineStr">
        <is>
          <t>Link between the (undated) Digital Business Challenge page and the MANM468 catalogue entry rests on the search summary; 2025/6 catalogue snippet did not show team structure. Whether other programmes take it unknown.</t>
        </is>
      </c>
      <c r="AN414" s="77" t="inlineStr"/>
      <c r="AO414" s="77" t="inlineStr">
        <is>
          <t>UK</t>
        </is>
      </c>
      <c r="AP414" s="77" t="inlineStr">
        <is>
          <t>UK – additional</t>
        </is>
      </c>
      <c r="AQ414" s="77" t="inlineStr">
        <is>
          <t>~1 term/semester</t>
        </is>
      </c>
      <c r="AR414" s="77" t="inlineStr">
        <is>
          <t>All/standard</t>
        </is>
      </c>
      <c r="AS414" s="77" t="inlineStr"/>
    </row>
    <row r="415">
      <c r="A415" s="77" t="inlineStr">
        <is>
          <t>UK07</t>
        </is>
      </c>
      <c r="B415" s="77" t="inlineStr">
        <is>
          <t>Surrey</t>
        </is>
      </c>
      <c r="C415" s="77" t="inlineStr">
        <is>
          <t>Programme/course</t>
        </is>
      </c>
      <c r="D415" s="77" t="inlineStr">
        <is>
          <t>UK07-S04</t>
        </is>
      </c>
      <c r="E415" s="77" t="inlineStr"/>
      <c r="F415" s="77" t="inlineStr">
        <is>
          <t>No</t>
        </is>
      </c>
      <c r="G415" s="79" t="inlineStr">
        <is>
          <t>Employee Resourcing (MANM466) - client resourcing challenge</t>
        </is>
      </c>
      <c r="H415" s="77" t="inlineStr">
        <is>
          <t>Employee Resourcing</t>
        </is>
      </c>
      <c r="I415" s="77" t="inlineStr">
        <is>
          <t>MANM466</t>
        </is>
      </c>
      <c r="J415"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15" s="77" t="inlineStr">
        <is>
          <t>Surrey Business School</t>
        </is>
      </c>
      <c r="L415" s="77" t="inlineStr">
        <is>
          <t>MSc Human Resources Management</t>
        </is>
      </c>
      <c r="M415" s="77" t="inlineStr">
        <is>
          <t>Business/management</t>
        </is>
      </c>
      <c r="N415" s="77" t="inlineStr">
        <is>
          <t>Postgraduate taught</t>
        </is>
      </c>
      <c r="O415" s="77" t="inlineStr"/>
      <c r="P415" s="77" t="inlineStr"/>
      <c r="Q415" s="77" t="inlineStr">
        <is>
          <t>Compulsory within specified programmes</t>
        </is>
      </c>
      <c r="R415" s="77" t="inlineStr">
        <is>
          <t>Curricular</t>
        </is>
      </c>
      <c r="S415" s="77" t="inlineStr">
        <is>
          <t>Group presentation 40% + individual written assignment 60% (2024/5)</t>
        </is>
      </c>
      <c r="T415" s="77" t="inlineStr">
        <is>
          <t>Semester 2</t>
        </is>
      </c>
      <c r="U415" s="77" t="inlineStr">
        <is>
          <t>Client-mentored team challenge</t>
        </is>
      </c>
      <c r="V415" s="77" t="inlineStr">
        <is>
          <t>Yes</t>
        </is>
      </c>
      <c r="W415" s="77" t="inlineStr">
        <is>
          <t>Real resourcing challenge with group presentation [1].</t>
        </is>
      </c>
      <c r="X415" s="77" t="inlineStr">
        <is>
          <t>Yes</t>
        </is>
      </c>
      <c r="Y415" s="77" t="inlineStr">
        <is>
          <t>'each group' mentored; group presentation 40% [1].</t>
        </is>
      </c>
      <c r="Z415" s="77" t="inlineStr">
        <is>
          <t>Yes</t>
        </is>
      </c>
      <c r="AA415" s="77" t="inlineStr">
        <is>
          <t>Client presents the challenge, senior manager mentors each group, client HR professionals are in the presentation audience [1].</t>
        </is>
      </c>
      <c r="AB415" s="77" t="inlineStr">
        <is>
          <t>Business/commercial</t>
        </is>
      </c>
      <c r="AC415" s="77" t="inlineStr">
        <is>
          <t>Presents challenge, mentors groups, attends presentation</t>
        </is>
      </c>
      <c r="AD415" s="77" t="inlineStr"/>
      <c r="AE415" s="77" t="inlineStr">
        <is>
          <t>Group presentation (plus individual assignment)</t>
        </is>
      </c>
      <c r="AF415" s="77">
        <f>IF(OR(V415="No",X415="No",Z415="No"),"Outside strict definition",IF(AND(V415="Yes",X415="Yes",Z415="Yes"),"Meets all three","Potentially relevant; evidence incomplete"))</f>
        <v/>
      </c>
      <c r="AG415" s="77" t="inlineStr">
        <is>
          <t>Current status unclear</t>
        </is>
      </c>
      <c r="AH415" s="77" t="inlineStr">
        <is>
          <t>2024/25</t>
        </is>
      </c>
      <c r="AI415" s="77" t="inlineStr">
        <is>
          <t>Yes</t>
        </is>
      </c>
      <c r="AJ415" s="77">
        <f>IF(AND(AI415="Yes",AF415="Meets all three",AG415="Current delivery confirmed"),"Yes","No")</f>
        <v/>
      </c>
      <c r="AK415" s="77" t="inlineStr"/>
      <c r="AL415" s="77" t="inlineStr">
        <is>
          <t>UK07-S04-R1</t>
        </is>
      </c>
      <c r="AM415"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15" s="77" t="inlineStr"/>
      <c r="AO415" s="77" t="inlineStr">
        <is>
          <t>UK</t>
        </is>
      </c>
      <c r="AP415" s="77" t="inlineStr">
        <is>
          <t>UK – additional</t>
        </is>
      </c>
      <c r="AQ415" s="77" t="inlineStr">
        <is>
          <t>~1 term/semester</t>
        </is>
      </c>
      <c r="AR415" s="77" t="inlineStr">
        <is>
          <t>All/standard</t>
        </is>
      </c>
      <c r="AS415" s="77" t="inlineStr"/>
    </row>
    <row r="416">
      <c r="A416" s="77" t="inlineStr">
        <is>
          <t>UK07</t>
        </is>
      </c>
      <c r="B416" s="77" t="inlineStr">
        <is>
          <t>Surrey</t>
        </is>
      </c>
      <c r="C416" s="77" t="inlineStr">
        <is>
          <t>Programme/course</t>
        </is>
      </c>
      <c r="D416" s="77" t="inlineStr">
        <is>
          <t>UK07-S05</t>
        </is>
      </c>
      <c r="E416" s="77" t="inlineStr"/>
      <c r="F416" s="77" t="inlineStr">
        <is>
          <t>No</t>
        </is>
      </c>
      <c r="G416" s="79" t="inlineStr">
        <is>
          <t>Hospitality, Tourism and Events Consultancy / Consultancy for the Visitor Economy (MAN3164 / MAN3251)</t>
        </is>
      </c>
      <c r="H416" s="77" t="inlineStr">
        <is>
          <t>Hospitality, Tourism and Events Consultancy</t>
        </is>
      </c>
      <c r="I416" s="77" t="inlineStr">
        <is>
          <t>MAN3164 (2025/6); MAN3251 (listed 2025/6 and 2026/7)</t>
        </is>
      </c>
      <c r="J416"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16" s="77" t="inlineStr">
        <is>
          <t>Surrey Business School (Hospitality, Tourism &amp; Events)</t>
        </is>
      </c>
      <c r="L416" s="77" t="inlineStr">
        <is>
          <t>Final-year BSc Hospitality/Tourism/Events programmes (MAN3251 optional 30 credits, Semester 2, in International Tourism Management)</t>
        </is>
      </c>
      <c r="M416" s="77" t="inlineStr">
        <is>
          <t>Business/management</t>
        </is>
      </c>
      <c r="N416" s="77" t="inlineStr">
        <is>
          <t>Undergraduate</t>
        </is>
      </c>
      <c r="O416" s="77" t="inlineStr">
        <is>
          <t>Final year</t>
        </is>
      </c>
      <c r="P416" s="77" t="inlineStr"/>
      <c r="Q416" s="77" t="inlineStr">
        <is>
          <t>Optional/elective</t>
        </is>
      </c>
      <c r="R416" s="77" t="inlineStr">
        <is>
          <t>Curricular</t>
        </is>
      </c>
      <c r="S416" s="77" t="inlineStr">
        <is>
          <t>30 credits (MAN3251), Semester 2; assessment detail not retrieved</t>
        </is>
      </c>
      <c r="T416" s="77" t="inlineStr">
        <is>
          <t>Feb-May</t>
        </is>
      </c>
      <c r="U416" s="77" t="inlineStr">
        <is>
          <t>Supported group work with dedicated tutor and self-organised client meetings</t>
        </is>
      </c>
      <c r="V416" s="77" t="inlineStr">
        <is>
          <t>Yes</t>
        </is>
      </c>
      <c r="W416" s="77" t="inlineStr">
        <is>
          <t>Small consultancy project from inception to client recommendations [1][2].</t>
        </is>
      </c>
      <c r="X416" s="77" t="inlineStr">
        <is>
          <t>Yes</t>
        </is>
      </c>
      <c r="Y416" s="77" t="inlineStr">
        <is>
          <t>'collaboratively undertake a real consultancy project'; supported group work [1].</t>
        </is>
      </c>
      <c r="Z416" s="77" t="inlineStr">
        <is>
          <t>Yes</t>
        </is>
      </c>
      <c r="AA416" s="77" t="inlineStr">
        <is>
          <t>External industry client sets brief, meets team (&gt;=4 one-hour meetings) and receives recommendations/report; Gatwick example [1][2][3].</t>
        </is>
      </c>
      <c r="AB416" s="77" t="inlineStr">
        <is>
          <t>Business/commercial</t>
        </is>
      </c>
      <c r="AC416" s="77" t="inlineStr">
        <is>
          <t>Sets brief, regular meetings, receives report/presentation</t>
        </is>
      </c>
      <c r="AD416" s="77" t="inlineStr">
        <is>
          <t>London Gatwick Airport (year not stated in extract; search summary indicated 2026)</t>
        </is>
      </c>
      <c r="AE416" s="77" t="inlineStr">
        <is>
          <t>Report and presentation of recommendations to the organisation</t>
        </is>
      </c>
      <c r="AF416" s="77">
        <f>IF(OR(V416="No",X416="No",Z416="No"),"Outside strict definition",IF(AND(V416="Yes",X416="Yes",Z416="Yes"),"Meets all three","Potentially relevant; evidence incomplete"))</f>
        <v/>
      </c>
      <c r="AG416" s="77" t="inlineStr">
        <is>
          <t>Current delivery confirmed</t>
        </is>
      </c>
      <c r="AH416" s="77" t="inlineStr">
        <is>
          <t>2025/26</t>
        </is>
      </c>
      <c r="AI416" s="77" t="inlineStr">
        <is>
          <t>Yes</t>
        </is>
      </c>
      <c r="AJ416" s="77">
        <f>IF(AND(AI416="Yes",AF416="Meets all three",AG416="Current delivery confirmed"),"Yes","No")</f>
        <v/>
      </c>
      <c r="AK416" s="77" t="inlineStr"/>
      <c r="AL416" s="77" t="inlineStr">
        <is>
          <t>UK07-S05-R1; UK07-S05-R2; UK07-S05-R3</t>
        </is>
      </c>
      <c r="AM416" s="77" t="inlineStr">
        <is>
          <t>MAN3164 vs MAN3251 naming (likely renamed) not confirmed; MAN3251 descriptor not retrieved; Gatwick news year not confirmed.</t>
        </is>
      </c>
      <c r="AN416" s="77" t="inlineStr"/>
      <c r="AO416" s="77" t="inlineStr">
        <is>
          <t>UK</t>
        </is>
      </c>
      <c r="AP416" s="77" t="inlineStr">
        <is>
          <t>UK – additional</t>
        </is>
      </c>
      <c r="AQ416" s="77" t="inlineStr">
        <is>
          <t>~1 term/semester</t>
        </is>
      </c>
      <c r="AR416" s="77" t="inlineStr">
        <is>
          <t>All/standard</t>
        </is>
      </c>
      <c r="AS416" s="77" t="inlineStr"/>
    </row>
    <row r="417">
      <c r="A417" s="77" t="inlineStr">
        <is>
          <t>UK07</t>
        </is>
      </c>
      <c r="B417" s="77" t="inlineStr">
        <is>
          <t>Surrey</t>
        </is>
      </c>
      <c r="C417" s="77" t="inlineStr">
        <is>
          <t>Programme/course</t>
        </is>
      </c>
      <c r="D417" s="77" t="inlineStr">
        <is>
          <t>UK07-S06</t>
        </is>
      </c>
      <c r="E417" s="77" t="inlineStr"/>
      <c r="F417" s="77" t="inlineStr">
        <is>
          <t>No</t>
        </is>
      </c>
      <c r="G417" s="79" t="inlineStr">
        <is>
          <t>Applied Business Project (MAN3213) - Semester 1 group partner project</t>
        </is>
      </c>
      <c r="H417" s="77" t="inlineStr">
        <is>
          <t>Applied Business Project</t>
        </is>
      </c>
      <c r="I417" s="77" t="inlineStr">
        <is>
          <t>MAN3213</t>
        </is>
      </c>
      <c r="J417"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17" s="77" t="inlineStr">
        <is>
          <t>Surrey Business School</t>
        </is>
      </c>
      <c r="L417" s="77" t="inlineStr">
        <is>
          <t>Surrey Business School undergraduate programmes (not retrieved)</t>
        </is>
      </c>
      <c r="M417" s="77" t="inlineStr">
        <is>
          <t>Business/management</t>
        </is>
      </c>
      <c r="N417" s="77" t="inlineStr">
        <is>
          <t>Undergraduate</t>
        </is>
      </c>
      <c r="O417" s="77" t="inlineStr">
        <is>
          <t>Final year (assumed; not retrieved)</t>
        </is>
      </c>
      <c r="P417" s="77" t="inlineStr"/>
      <c r="Q417" s="77" t="inlineStr">
        <is>
          <t>Unclear</t>
        </is>
      </c>
      <c r="R417" s="77" t="inlineStr">
        <is>
          <t>Curricular</t>
        </is>
      </c>
      <c r="S417" s="77" t="inlineStr">
        <is>
          <t>30 credits</t>
        </is>
      </c>
      <c r="T417" s="77" t="inlineStr">
        <is>
          <t>Semester 1 (group element)</t>
        </is>
      </c>
      <c r="U417" s="77" t="inlineStr">
        <is>
          <t>Group project with external business partner; client interaction</t>
        </is>
      </c>
      <c r="V417" s="77" t="inlineStr">
        <is>
          <t>Yes</t>
        </is>
      </c>
      <c r="W417" s="77" t="inlineStr">
        <is>
          <t>Analysis and growth proposals for a partner business [1].</t>
        </is>
      </c>
      <c r="X417" s="77" t="inlineStr">
        <is>
          <t>Yes</t>
        </is>
      </c>
      <c r="Y417" s="77" t="inlineStr">
        <is>
          <t>'students work in groups with an external business partner' [1].</t>
        </is>
      </c>
      <c r="Z417" s="77" t="inlineStr">
        <is>
          <t>Yes</t>
        </is>
      </c>
      <c r="AA417" s="77" t="inlineStr">
        <is>
          <t>Project is client-facing and requires interaction with the external business partner [1].</t>
        </is>
      </c>
      <c r="AB417" s="77" t="inlineStr">
        <is>
          <t>Business/commercial</t>
        </is>
      </c>
      <c r="AC417" s="77" t="inlineStr">
        <is>
          <t>Partner business (typically start-up) engaged with groups</t>
        </is>
      </c>
      <c r="AD417" s="77" t="inlineStr"/>
      <c r="AE417" s="77" t="inlineStr">
        <is>
          <t>Growth proposals for partner business</t>
        </is>
      </c>
      <c r="AF417" s="77">
        <f>IF(OR(V417="No",X417="No",Z417="No"),"Outside strict definition",IF(AND(V417="Yes",X417="Yes",Z417="Yes"),"Meets all three","Potentially relevant; evidence incomplete"))</f>
        <v/>
      </c>
      <c r="AG417" s="77" t="inlineStr">
        <is>
          <t>Current delivery confirmed</t>
        </is>
      </c>
      <c r="AH417" s="77" t="inlineStr">
        <is>
          <t>2026/27</t>
        </is>
      </c>
      <c r="AI417" s="77" t="inlineStr">
        <is>
          <t>Yes</t>
        </is>
      </c>
      <c r="AJ417" s="77">
        <f>IF(AND(AI417="Yes",AF417="Meets all three",AG417="Current delivery confirmed"),"Yes","No")</f>
        <v/>
      </c>
      <c r="AK417" s="77" t="inlineStr"/>
      <c r="AL417" s="77" t="inlineStr">
        <is>
          <t>UK07-S06-R1; UK07-S06-R2</t>
        </is>
      </c>
      <c r="AM417" s="77" t="inlineStr">
        <is>
          <t>The 2025/6 catalogue entry describes an individual business-idea project; the group-partner format appears from 2026/7. Programme eligibility, compulsory/optional status and partner names not retrieved.</t>
        </is>
      </c>
      <c r="AN417" s="77" t="inlineStr"/>
      <c r="AO417" s="77" t="inlineStr">
        <is>
          <t>UK</t>
        </is>
      </c>
      <c r="AP417" s="77" t="inlineStr">
        <is>
          <t>UK – additional</t>
        </is>
      </c>
      <c r="AQ417" s="77" t="inlineStr">
        <is>
          <t>~1 term/semester</t>
        </is>
      </c>
      <c r="AR417" s="77" t="inlineStr">
        <is>
          <t>All/standard</t>
        </is>
      </c>
      <c r="AS417" s="77" t="inlineStr"/>
    </row>
    <row r="418">
      <c r="A418" s="77" t="inlineStr">
        <is>
          <t>UK07</t>
        </is>
      </c>
      <c r="B418" s="77" t="inlineStr">
        <is>
          <t>Surrey</t>
        </is>
      </c>
      <c r="C418" s="77" t="inlineStr">
        <is>
          <t>Programme/course</t>
        </is>
      </c>
      <c r="D418" s="77" t="inlineStr">
        <is>
          <t>UK07-S07</t>
        </is>
      </c>
      <c r="E418" s="77" t="inlineStr"/>
      <c r="F418" s="77" t="inlineStr">
        <is>
          <t>No</t>
        </is>
      </c>
      <c r="G418" s="79" t="inlineStr">
        <is>
          <t>Business Consultancy Project (B-Clinic)</t>
        </is>
      </c>
      <c r="H418" s="77" t="inlineStr">
        <is>
          <t>B-Clinic Consultancy Project</t>
        </is>
      </c>
      <c r="I418" s="77" t="inlineStr"/>
      <c r="J418"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18" s="77" t="inlineStr">
        <is>
          <t>Surrey Business School</t>
        </is>
      </c>
      <c r="L418" s="77" t="inlineStr">
        <is>
          <t>MSc Entrepreneurship &amp; Innovation Management option; wider eligibility unclear</t>
        </is>
      </c>
      <c r="M418" s="77" t="inlineStr">
        <is>
          <t>Business/management</t>
        </is>
      </c>
      <c r="N418" s="77" t="inlineStr">
        <is>
          <t>Mixed</t>
        </is>
      </c>
      <c r="O418" s="77" t="inlineStr"/>
      <c r="P418" s="77" t="inlineStr"/>
      <c r="Q418" s="77" t="inlineStr">
        <is>
          <t>Optional/elective</t>
        </is>
      </c>
      <c r="R418" s="77" t="inlineStr">
        <is>
          <t>Curricular</t>
        </is>
      </c>
      <c r="S418" s="77" t="inlineStr">
        <is>
          <t>12,000-word report</t>
        </is>
      </c>
      <c r="T418" s="77" t="inlineStr">
        <is>
          <t>Short-term to a full semester</t>
        </is>
      </c>
      <c r="U418" s="77" t="inlineStr">
        <is>
          <t>Supervised client consultancy</t>
        </is>
      </c>
      <c r="V418" s="77" t="inlineStr">
        <is>
          <t>Yes</t>
        </is>
      </c>
      <c r="W418" s="77" t="inlineStr">
        <is>
          <t>Formal brief, objectives, deliverables, 12,000-word report [1].</t>
        </is>
      </c>
      <c r="X418" s="77" t="inlineStr">
        <is>
          <t>Unclear</t>
        </is>
      </c>
      <c r="Y418" s="77" t="inlineStr">
        <is>
          <t>Pages say projects may be individual or group, but 'each student submits a 12,000-word report'; routes not separable [1][2].</t>
        </is>
      </c>
      <c r="Z418" s="77" t="inlineStr">
        <is>
          <t>Yes</t>
        </is>
      </c>
      <c r="AA418" s="77" t="inlineStr">
        <is>
          <t>Business partner defines the brief, attends kick-off, meets student/supervisor and may agree a practical output [1].</t>
        </is>
      </c>
      <c r="AB418" s="77" t="inlineStr">
        <is>
          <t>Business/commercial</t>
        </is>
      </c>
      <c r="AC418" s="77" t="inlineStr">
        <is>
          <t>Defines brief, regular meetings</t>
        </is>
      </c>
      <c r="AD418" s="77" t="inlineStr"/>
      <c r="AE418" s="77" t="inlineStr">
        <is>
          <t>12,000-word report plus agreed practical output</t>
        </is>
      </c>
      <c r="AF418" s="77">
        <f>IF(OR(V418="No",X418="No",Z418="No"),"Outside strict definition",IF(AND(V418="Yes",X418="Yes",Z418="Yes"),"Meets all three","Potentially relevant; evidence incomplete"))</f>
        <v/>
      </c>
      <c r="AG418" s="77" t="inlineStr">
        <is>
          <t>Current status unclear</t>
        </is>
      </c>
      <c r="AH418" s="77" t="inlineStr">
        <is>
          <t>undated</t>
        </is>
      </c>
      <c r="AI418" s="77" t="inlineStr">
        <is>
          <t>Yes</t>
        </is>
      </c>
      <c r="AJ418" s="77">
        <f>IF(AND(AI418="Yes",AF418="Meets all three",AG418="Current delivery confirmed"),"Yes","No")</f>
        <v/>
      </c>
      <c r="AK418" s="77" t="inlineStr">
        <is>
          <t>B-Clinic reported as having supported more than 200 students and about 14 businesses a year (Innovate UK funding news; year not stated)</t>
        </is>
      </c>
      <c r="AL418" s="77" t="inlineStr">
        <is>
          <t>UK07-S07-R1; UK07-S07-R2</t>
        </is>
      </c>
      <c r="AM418" s="77" t="inlineStr">
        <is>
          <t>Group vs individual routes cannot be separated; page undated.</t>
        </is>
      </c>
      <c r="AN418" s="77" t="inlineStr"/>
      <c r="AO418" s="77" t="inlineStr">
        <is>
          <t>UK</t>
        </is>
      </c>
      <c r="AP418" s="77" t="inlineStr">
        <is>
          <t>UK – additional</t>
        </is>
      </c>
      <c r="AQ418" s="77" t="inlineStr">
        <is>
          <t>Unclear</t>
        </is>
      </c>
      <c r="AR418" s="77" t="inlineStr">
        <is>
          <t>All/standard</t>
        </is>
      </c>
      <c r="AS418" s="77" t="inlineStr"/>
    </row>
    <row r="419">
      <c r="A419" s="77" t="inlineStr">
        <is>
          <t>UK07</t>
        </is>
      </c>
      <c r="B419" s="77" t="inlineStr">
        <is>
          <t>Surrey</t>
        </is>
      </c>
      <c r="C419" s="77" t="inlineStr">
        <is>
          <t>Programme/course</t>
        </is>
      </c>
      <c r="D419" s="77" t="inlineStr">
        <is>
          <t>UK07-S08</t>
        </is>
      </c>
      <c r="E419" s="77" t="inlineStr"/>
      <c r="F419" s="77" t="inlineStr">
        <is>
          <t>No</t>
        </is>
      </c>
      <c r="G419" s="79" t="inlineStr">
        <is>
          <t>Integrative Applied Project (MANM363) - consultancy option</t>
        </is>
      </c>
      <c r="H419" s="77" t="inlineStr">
        <is>
          <t>MBA Integrative Applied Project</t>
        </is>
      </c>
      <c r="I419" s="77" t="inlineStr">
        <is>
          <t>MANM363</t>
        </is>
      </c>
      <c r="J419" s="77" t="inlineStr">
        <is>
          <t>Core 30-credit MBA Semester 2 independent project; students may choose a consultancy option on a live business problem with a real company (corporate, public or third sector) producing client-actionable outcomes, or a management research project.</t>
        </is>
      </c>
      <c r="K419" s="77" t="inlineStr">
        <is>
          <t>Surrey Business School</t>
        </is>
      </c>
      <c r="L419" s="77" t="inlineStr">
        <is>
          <t>MBA (consultancy option within core module)</t>
        </is>
      </c>
      <c r="M419" s="77" t="inlineStr">
        <is>
          <t>Business/management</t>
        </is>
      </c>
      <c r="N419" s="77" t="inlineStr">
        <is>
          <t>Postgraduate taught</t>
        </is>
      </c>
      <c r="O419" s="77" t="inlineStr"/>
      <c r="P419" s="77" t="inlineStr"/>
      <c r="Q419" s="77" t="inlineStr">
        <is>
          <t>Optional/elective</t>
        </is>
      </c>
      <c r="R419" s="77" t="inlineStr">
        <is>
          <t>Curricular</t>
        </is>
      </c>
      <c r="S419" s="77" t="inlineStr">
        <is>
          <t>30 credits</t>
        </is>
      </c>
      <c r="T419" s="77" t="inlineStr">
        <is>
          <t>Semester 2</t>
        </is>
      </c>
      <c r="U419" s="77" t="inlineStr">
        <is>
          <t>Independent project</t>
        </is>
      </c>
      <c r="V419" s="77" t="inlineStr">
        <is>
          <t>Yes</t>
        </is>
      </c>
      <c r="W419" s="77" t="inlineStr">
        <is>
          <t>Consultancy outcomes must be actionable by the client [1].</t>
        </is>
      </c>
      <c r="X419" s="77" t="inlineStr">
        <is>
          <t>Unclear</t>
        </is>
      </c>
      <c r="Y419" s="77" t="inlineStr">
        <is>
          <t>Described as an independent project; team format not stated [1].</t>
        </is>
      </c>
      <c r="Z419" s="77" t="inlineStr">
        <is>
          <t>Yes</t>
        </is>
      </c>
      <c r="AA419" s="77" t="inlineStr">
        <is>
          <t>Live business problem with a real company; judged on added value to the customer [1].</t>
        </is>
      </c>
      <c r="AB419" s="77" t="inlineStr">
        <is>
          <t>Mixed</t>
        </is>
      </c>
      <c r="AC419" s="77" t="inlineStr">
        <is>
          <t>Hosts live problem; benefits from outcomes</t>
        </is>
      </c>
      <c r="AD419" s="77" t="inlineStr"/>
      <c r="AE419" s="77" t="inlineStr">
        <is>
          <t>Consultancy outcome for client</t>
        </is>
      </c>
      <c r="AF419" s="77">
        <f>IF(OR(V419="No",X419="No",Z419="No"),"Outside strict definition",IF(AND(V419="Yes",X419="Yes",Z419="Yes"),"Meets all three","Potentially relevant; evidence incomplete"))</f>
        <v/>
      </c>
      <c r="AG419" s="77" t="inlineStr">
        <is>
          <t>Current delivery confirmed</t>
        </is>
      </c>
      <c r="AH419" s="77" t="inlineStr">
        <is>
          <t>2025/26</t>
        </is>
      </c>
      <c r="AI419" s="77" t="inlineStr">
        <is>
          <t>Yes</t>
        </is>
      </c>
      <c r="AJ419" s="77">
        <f>IF(AND(AI419="Yes",AF419="Meets all three",AG419="Current delivery confirmed"),"Yes","No")</f>
        <v/>
      </c>
      <c r="AK419" s="77" t="inlineStr"/>
      <c r="AL419" s="77" t="inlineStr">
        <is>
          <t>UK07-S08-R1</t>
        </is>
      </c>
      <c r="AM419" s="77" t="inlineStr">
        <is>
          <t>Group working unclear; consultancy is one option of two.</t>
        </is>
      </c>
      <c r="AN419" s="77" t="inlineStr"/>
      <c r="AO419" s="77" t="inlineStr">
        <is>
          <t>UK</t>
        </is>
      </c>
      <c r="AP419" s="77" t="inlineStr">
        <is>
          <t>UK – additional</t>
        </is>
      </c>
      <c r="AQ419" s="77" t="inlineStr">
        <is>
          <t>~1 term/semester</t>
        </is>
      </c>
      <c r="AR419" s="77" t="inlineStr">
        <is>
          <t>Some projects</t>
        </is>
      </c>
      <c r="AS419" s="77" t="inlineStr"/>
    </row>
    <row r="420">
      <c r="A420" s="77" t="inlineStr">
        <is>
          <t>UK07</t>
        </is>
      </c>
      <c r="B420" s="77" t="inlineStr">
        <is>
          <t>Surrey</t>
        </is>
      </c>
      <c r="C420" s="77" t="inlineStr">
        <is>
          <t>Faculty/school</t>
        </is>
      </c>
      <c r="D420" s="77" t="inlineStr">
        <is>
          <t>UK07-S09</t>
        </is>
      </c>
      <c r="E420" s="77" t="inlineStr"/>
      <c r="F420" s="77" t="inlineStr">
        <is>
          <t>No</t>
        </is>
      </c>
      <c r="G420" s="79" t="inlineStr">
        <is>
          <t>Multi-Disciplinary Design Project (ENGM001)</t>
        </is>
      </c>
      <c r="H420" s="77" t="inlineStr">
        <is>
          <t>Multi-Disciplinary Design Project</t>
        </is>
      </c>
      <c r="I420" s="77" t="inlineStr">
        <is>
          <t>ENGM001</t>
        </is>
      </c>
      <c r="J420"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20" s="77" t="inlineStr">
        <is>
          <t>School of Engineering (Chemistry and Chemical Engineering provider)</t>
        </is>
      </c>
      <c r="L420" s="77" t="inlineStr">
        <is>
          <t>MEng programmes incl. Aerospace, Civil, Electronic, Biomedical (core/compulsory)</t>
        </is>
      </c>
      <c r="M420" s="77" t="inlineStr">
        <is>
          <t>Engineering/computing</t>
        </is>
      </c>
      <c r="N420" s="77" t="inlineStr">
        <is>
          <t>Undergraduate</t>
        </is>
      </c>
      <c r="O420" s="77" t="inlineStr">
        <is>
          <t>MEng (FHEQ L7 module)</t>
        </is>
      </c>
      <c r="P420" s="77" t="inlineStr"/>
      <c r="Q420" s="77" t="inlineStr">
        <is>
          <t>Compulsory within specified programmes</t>
        </is>
      </c>
      <c r="R420" s="77" t="inlineStr">
        <is>
          <t>Curricular</t>
        </is>
      </c>
      <c r="S420" s="77" t="inlineStr">
        <is>
          <t>30 credits; 2025/6 marks for communication and teamwork across group meetings, presentations and oral exam; weighting not retrieved</t>
        </is>
      </c>
      <c r="T420" s="77" t="inlineStr">
        <is>
          <t>Semester 1</t>
        </is>
      </c>
      <c r="U420" s="77" t="inlineStr">
        <is>
          <t>Multi-disciplinary groups with industry Visiting Professor</t>
        </is>
      </c>
      <c r="V420" s="77" t="inlineStr">
        <is>
          <t>Yes</t>
        </is>
      </c>
      <c r="W420" s="77" t="inlineStr">
        <is>
          <t>Industry design briefs; reports, presentation, poster and viva in earlier years [1].</t>
        </is>
      </c>
      <c r="X420" s="77" t="inlineStr">
        <is>
          <t>Yes</t>
        </is>
      </c>
      <c r="Y420" s="77" t="inlineStr">
        <is>
          <t>Groups of at least three disciplines, often four; teamwork assessed [1].</t>
        </is>
      </c>
      <c r="Z420" s="77" t="inlineStr">
        <is>
          <t>Yes</t>
        </is>
      </c>
      <c r="AA420" s="77" t="inlineStr">
        <is>
          <t>Briefs come from RAE Visiting Professors from Industry supported by their sponsoring organisation; visiting professor meets weekly and records marks with tutors [1].</t>
        </is>
      </c>
      <c r="AB420" s="77" t="inlineStr">
        <is>
          <t>Business/commercial</t>
        </is>
      </c>
      <c r="AC420" s="77" t="inlineStr">
        <is>
          <t>Industry visiting professor supplies brief, mentors weekly, contributes to assessment</t>
        </is>
      </c>
      <c r="AD420" s="77" t="inlineStr"/>
      <c r="AE420" s="77" t="inlineStr">
        <is>
          <t>Design report/presentation/poster/viva</t>
        </is>
      </c>
      <c r="AF420" s="77">
        <f>IF(OR(V420="No",X420="No",Z420="No"),"Outside strict definition",IF(AND(V420="Yes",X420="Yes",Z420="Yes"),"Meets all three","Potentially relevant; evidence incomplete"))</f>
        <v/>
      </c>
      <c r="AG420" s="77" t="inlineStr">
        <is>
          <t>Current delivery confirmed</t>
        </is>
      </c>
      <c r="AH420" s="77" t="inlineStr">
        <is>
          <t>2025/26</t>
        </is>
      </c>
      <c r="AI420" s="77" t="inlineStr">
        <is>
          <t>Yes</t>
        </is>
      </c>
      <c r="AJ420" s="77">
        <f>IF(AND(AI420="Yes",AF420="Meets all three",AG420="Current delivery confirmed"),"Yes","No")</f>
        <v/>
      </c>
      <c r="AK420" s="77" t="inlineStr"/>
      <c r="AL420" s="77" t="inlineStr">
        <is>
          <t>UK07-S09-R1</t>
        </is>
      </c>
      <c r="AM420" s="77" t="inlineStr">
        <is>
          <t>Sponsoring organisations unnamed; visiting professors act through their companies, but the sponsor's direct engagement with students is via the professor.</t>
        </is>
      </c>
      <c r="AN420" s="77" t="inlineStr"/>
      <c r="AO420" s="77" t="inlineStr">
        <is>
          <t>UK</t>
        </is>
      </c>
      <c r="AP420" s="77" t="inlineStr">
        <is>
          <t>UK – additional</t>
        </is>
      </c>
      <c r="AQ420" s="77" t="inlineStr">
        <is>
          <t>~1 term/semester</t>
        </is>
      </c>
      <c r="AR420" s="77" t="inlineStr">
        <is>
          <t>All/standard</t>
        </is>
      </c>
      <c r="AS420" s="77" t="inlineStr"/>
    </row>
    <row r="421">
      <c r="A421" s="77" t="inlineStr">
        <is>
          <t>UK07</t>
        </is>
      </c>
      <c r="B421" s="77" t="inlineStr">
        <is>
          <t>Surrey</t>
        </is>
      </c>
      <c r="C421" s="77" t="inlineStr">
        <is>
          <t>Faculty/school</t>
        </is>
      </c>
      <c r="D421" s="77" t="inlineStr">
        <is>
          <t>UK07-S10</t>
        </is>
      </c>
      <c r="E421" s="77" t="inlineStr"/>
      <c r="F421" s="77" t="inlineStr">
        <is>
          <t>No</t>
        </is>
      </c>
      <c r="G421" s="79" t="inlineStr">
        <is>
          <t>Group Design Project (ENGM307 / ENG3162)</t>
        </is>
      </c>
      <c r="H421" s="77" t="inlineStr">
        <is>
          <t>Group Design Project</t>
        </is>
      </c>
      <c r="I421" s="77" t="inlineStr">
        <is>
          <t>ENGM307</t>
        </is>
      </c>
      <c r="J421" s="77" t="inlineStr">
        <is>
          <t>Small groups tackle a design challenge; 'where feasible' projects are proposed by industrial partners.</t>
        </is>
      </c>
      <c r="K421" s="77" t="inlineStr">
        <is>
          <t>School of Engineering</t>
        </is>
      </c>
      <c r="L421" s="77" t="inlineStr"/>
      <c r="M421" s="77" t="inlineStr">
        <is>
          <t>Engineering/computing</t>
        </is>
      </c>
      <c r="N421" s="77" t="inlineStr">
        <is>
          <t>Unclear</t>
        </is>
      </c>
      <c r="O421" s="77" t="inlineStr"/>
      <c r="P421" s="77" t="inlineStr"/>
      <c r="Q421" s="77" t="inlineStr">
        <is>
          <t>Unclear</t>
        </is>
      </c>
      <c r="R421" s="77" t="inlineStr">
        <is>
          <t>Curricular</t>
        </is>
      </c>
      <c r="S421" s="77" t="inlineStr"/>
      <c r="T421" s="77" t="inlineStr"/>
      <c r="U421" s="77" t="inlineStr"/>
      <c r="V421" s="77" t="inlineStr">
        <is>
          <t>Yes</t>
        </is>
      </c>
      <c r="W421" s="77" t="inlineStr">
        <is>
          <t>Group design challenge [1].</t>
        </is>
      </c>
      <c r="X421" s="77" t="inlineStr">
        <is>
          <t>Yes</t>
        </is>
      </c>
      <c r="Y421" s="77" t="inlineStr">
        <is>
          <t>Small groups [1].</t>
        </is>
      </c>
      <c r="Z421" s="77" t="inlineStr">
        <is>
          <t>Unclear</t>
        </is>
      </c>
      <c r="AA421" s="77" t="inlineStr">
        <is>
          <t>Only 'where feasible' industrial partners propose projects; 2027/8 version has staff as customers 'often through consultation with industry' [1].</t>
        </is>
      </c>
      <c r="AB421" s="77" t="inlineStr">
        <is>
          <t>Business/commercial</t>
        </is>
      </c>
      <c r="AC421" s="77" t="inlineStr">
        <is>
          <t>May propose projects</t>
        </is>
      </c>
      <c r="AD421" s="77" t="inlineStr"/>
      <c r="AE421" s="77" t="inlineStr"/>
      <c r="AF421" s="77">
        <f>IF(OR(V421="No",X421="No",Z421="No"),"Outside strict definition",IF(AND(V421="Yes",X421="Yes",Z421="Yes"),"Meets all three","Potentially relevant; evidence incomplete"))</f>
        <v/>
      </c>
      <c r="AG421" s="77" t="inlineStr">
        <is>
          <t>Current delivery confirmed</t>
        </is>
      </c>
      <c r="AH421" s="77" t="inlineStr">
        <is>
          <t>2025/26</t>
        </is>
      </c>
      <c r="AI421" s="77" t="inlineStr">
        <is>
          <t>Yes</t>
        </is>
      </c>
      <c r="AJ421" s="77">
        <f>IF(AND(AI421="Yes",AF421="Meets all three",AG421="Current delivery confirmed"),"Yes","No")</f>
        <v/>
      </c>
      <c r="AK421" s="77" t="inlineStr"/>
      <c r="AL421" s="77" t="inlineStr">
        <is>
          <t>UK07-S10-R1</t>
        </is>
      </c>
      <c r="AM421" s="77" t="inlineStr">
        <is>
          <t>Programmes, credits, partner share unknown.</t>
        </is>
      </c>
      <c r="AN421" s="77" t="inlineStr"/>
      <c r="AO421" s="77" t="inlineStr">
        <is>
          <t>UK</t>
        </is>
      </c>
      <c r="AP421" s="77" t="inlineStr">
        <is>
          <t>UK – additional</t>
        </is>
      </c>
      <c r="AQ421" s="77" t="inlineStr">
        <is>
          <t>Unclear</t>
        </is>
      </c>
      <c r="AR421" s="77" t="inlineStr">
        <is>
          <t>Some projects</t>
        </is>
      </c>
      <c r="AS421" s="77" t="inlineStr"/>
    </row>
    <row r="422">
      <c r="A422" s="77" t="inlineStr">
        <is>
          <t>UK07</t>
        </is>
      </c>
      <c r="B422" s="77" t="inlineStr">
        <is>
          <t>Surrey</t>
        </is>
      </c>
      <c r="C422" s="77" t="inlineStr">
        <is>
          <t>Programme/course</t>
        </is>
      </c>
      <c r="D422" s="77" t="inlineStr">
        <is>
          <t>UK07-S11</t>
        </is>
      </c>
      <c r="E422" s="77" t="inlineStr"/>
      <c r="F422" s="77" t="inlineStr">
        <is>
          <t>No</t>
        </is>
      </c>
      <c r="G422" s="79" t="inlineStr">
        <is>
          <t>Software Engineering Project (COM2027)</t>
        </is>
      </c>
      <c r="H422" s="77" t="inlineStr">
        <is>
          <t>Software Engineering Project</t>
        </is>
      </c>
      <c r="I422" s="77" t="inlineStr">
        <is>
          <t>COM2027</t>
        </is>
      </c>
      <c r="J422" s="77" t="inlineStr">
        <is>
          <t>Second-year team software project built from a high-level specification, supervised by a staff 'project sponsor'; teams deliver a system; presentations 'potentially' to external stakeholders.</t>
        </is>
      </c>
      <c r="K422" s="77" t="inlineStr">
        <is>
          <t>Department of Computer Science</t>
        </is>
      </c>
      <c r="L422" s="77" t="inlineStr">
        <is>
          <t>Computer Science BSc/MEng</t>
        </is>
      </c>
      <c r="M422" s="77" t="inlineStr">
        <is>
          <t>Engineering/computing</t>
        </is>
      </c>
      <c r="N422" s="77" t="inlineStr">
        <is>
          <t>Undergraduate</t>
        </is>
      </c>
      <c r="O422" s="77" t="inlineStr">
        <is>
          <t>Year 2</t>
        </is>
      </c>
      <c r="P422" s="77" t="inlineStr"/>
      <c r="Q422" s="77" t="inlineStr">
        <is>
          <t>Compulsory within specified programmes</t>
        </is>
      </c>
      <c r="R422" s="77" t="inlineStr">
        <is>
          <t>Curricular</t>
        </is>
      </c>
      <c r="S422" s="77" t="inlineStr"/>
      <c r="T422" s="77" t="inlineStr"/>
      <c r="U422" s="77" t="inlineStr"/>
      <c r="V422" s="77" t="inlineStr">
        <is>
          <t>Yes</t>
        </is>
      </c>
      <c r="W422" s="77" t="inlineStr">
        <is>
          <t>Large-scale team software project [1].</t>
        </is>
      </c>
      <c r="X422" s="77" t="inlineStr">
        <is>
          <t>Yes</t>
        </is>
      </c>
      <c r="Y422" s="77" t="inlineStr">
        <is>
          <t>Team project [1].</t>
        </is>
      </c>
      <c r="Z422" s="77" t="inlineStr">
        <is>
          <t>Unclear</t>
        </is>
      </c>
      <c r="AA422" s="77" t="inlineStr">
        <is>
          <t>Sponsor is a member of the teaching team; external stakeholders only potential audience; a course page says teams deliver to clients [1].</t>
        </is>
      </c>
      <c r="AB422" s="77" t="inlineStr">
        <is>
          <t>Unclear</t>
        </is>
      </c>
      <c r="AC422" s="77" t="inlineStr">
        <is>
          <t>Not evidenced</t>
        </is>
      </c>
      <c r="AD422" s="77" t="inlineStr"/>
      <c r="AE422" s="77" t="inlineStr"/>
      <c r="AF422" s="77">
        <f>IF(OR(V422="No",X422="No",Z422="No"),"Outside strict definition",IF(AND(V422="Yes",X422="Yes",Z422="Yes"),"Meets all three","Potentially relevant; evidence incomplete"))</f>
        <v/>
      </c>
      <c r="AG422" s="77" t="inlineStr">
        <is>
          <t>Current delivery confirmed</t>
        </is>
      </c>
      <c r="AH422" s="77" t="inlineStr">
        <is>
          <t>2026/27</t>
        </is>
      </c>
      <c r="AI422" s="77" t="inlineStr">
        <is>
          <t>Yes</t>
        </is>
      </c>
      <c r="AJ422" s="77">
        <f>IF(AND(AI422="Yes",AF422="Meets all three",AG422="Current delivery confirmed"),"Yes","No")</f>
        <v/>
      </c>
      <c r="AK422" s="77" t="inlineStr"/>
      <c r="AL422" s="77" t="inlineStr">
        <is>
          <t>UK07-S11-R1</t>
        </is>
      </c>
      <c r="AM422" s="77" t="inlineStr">
        <is>
          <t>No external organisation evidenced as client.</t>
        </is>
      </c>
      <c r="AN422" s="77" t="inlineStr"/>
      <c r="AO422" s="77" t="inlineStr">
        <is>
          <t>UK</t>
        </is>
      </c>
      <c r="AP422" s="77" t="inlineStr">
        <is>
          <t>UK – additional</t>
        </is>
      </c>
      <c r="AQ422" s="77" t="inlineStr">
        <is>
          <t>Unclear</t>
        </is>
      </c>
      <c r="AR422" s="77" t="inlineStr">
        <is>
          <t>Unclear</t>
        </is>
      </c>
      <c r="AS422" s="77" t="inlineStr"/>
    </row>
    <row r="423">
      <c r="A423" s="77" t="inlineStr">
        <is>
          <t>UK07</t>
        </is>
      </c>
      <c r="B423" s="77" t="inlineStr">
        <is>
          <t>Surrey</t>
        </is>
      </c>
      <c r="C423" s="77" t="inlineStr">
        <is>
          <t>Unclear</t>
        </is>
      </c>
      <c r="D423" s="77" t="inlineStr">
        <is>
          <t>UK07-S12</t>
        </is>
      </c>
      <c r="E423" s="77" t="inlineStr"/>
      <c r="F423" s="77" t="inlineStr">
        <is>
          <t>No</t>
        </is>
      </c>
      <c r="G423" s="79" t="inlineStr">
        <is>
          <t>IKEEP (Intrapreneurial Knowledge Exchange Enterprise Pathway)</t>
        </is>
      </c>
      <c r="H423" s="77" t="inlineStr">
        <is>
          <t>IKEEP</t>
        </is>
      </c>
      <c r="I423" s="77" t="inlineStr"/>
      <c r="J423"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23" s="77" t="inlineStr">
        <is>
          <t>Student Enterprise</t>
        </is>
      </c>
      <c r="L423" s="77" t="inlineStr">
        <is>
          <t>Students across disciplines (restrictions not retrieved)</t>
        </is>
      </c>
      <c r="M423" s="77" t="inlineStr">
        <is>
          <t>Central provision</t>
        </is>
      </c>
      <c r="N423" s="77" t="inlineStr">
        <is>
          <t>Mixed</t>
        </is>
      </c>
      <c r="O423" s="77" t="inlineStr"/>
      <c r="P423" s="77" t="inlineStr"/>
      <c r="Q423" s="77" t="inlineStr">
        <is>
          <t>Selective/competitive</t>
        </is>
      </c>
      <c r="R423" s="77" t="inlineStr">
        <is>
          <t>Extracurricular</t>
        </is>
      </c>
      <c r="S423" s="77" t="inlineStr">
        <is>
          <t>Stipend on completion (2021: GBP450); not credit-bearing</t>
        </is>
      </c>
      <c r="T423" s="77" t="inlineStr">
        <is>
          <t>2-4 weeks (210 h in 2021)</t>
        </is>
      </c>
      <c r="U423" s="77" t="inlineStr">
        <is>
          <t>Short team placement with project brief</t>
        </is>
      </c>
      <c r="V423" s="77" t="inlineStr">
        <is>
          <t>Yes</t>
        </is>
      </c>
      <c r="W423" s="77" t="inlineStr">
        <is>
          <t>Organisation supplies a project brief developed with Student Enterprise [1].</t>
        </is>
      </c>
      <c r="X423" s="77" t="inlineStr">
        <is>
          <t>Yes</t>
        </is>
      </c>
      <c r="Y423" s="77" t="inlineStr">
        <is>
          <t>Team of three students [1].</t>
        </is>
      </c>
      <c r="Z423" s="77" t="inlineStr">
        <is>
          <t>Yes</t>
        </is>
      </c>
      <c r="AA423" s="77" t="inlineStr">
        <is>
          <t>Local business/charity submits brief and hosts the team [1][2].</t>
        </is>
      </c>
      <c r="AB423" s="77" t="inlineStr">
        <is>
          <t>Mixed</t>
        </is>
      </c>
      <c r="AC423" s="77" t="inlineStr">
        <is>
          <t>Supplies brief, hosts team</t>
        </is>
      </c>
      <c r="AD423" s="77" t="inlineStr"/>
      <c r="AE423" s="77" t="inlineStr">
        <is>
          <t>Project outcome for host organisation</t>
        </is>
      </c>
      <c r="AF423" s="77">
        <f>IF(OR(V423="No",X423="No",Z423="No"),"Outside strict definition",IF(AND(V423="Yes",X423="Yes",Z423="Yes"),"Meets all three","Potentially relevant; evidence incomplete"))</f>
        <v/>
      </c>
      <c r="AG423" s="77" t="inlineStr">
        <is>
          <t>Current status unclear</t>
        </is>
      </c>
      <c r="AH423" s="77" t="inlineStr">
        <is>
          <t>2021</t>
        </is>
      </c>
      <c r="AI423" s="77" t="inlineStr">
        <is>
          <t>Yes</t>
        </is>
      </c>
      <c r="AJ423" s="77">
        <f>IF(AND(AI423="Yes",AF423="Meets all three",AG423="Current delivery confirmed"),"Yes","No")</f>
        <v/>
      </c>
      <c r="AK423" s="77" t="inlineStr"/>
      <c r="AL423" s="77" t="inlineStr">
        <is>
          <t>UK07-S12-R1; UK07-S12-R2</t>
        </is>
      </c>
      <c r="AM423" s="77" t="inlineStr">
        <is>
          <t>Most dated pages are 2020-21; current 'Work with our students' page undated. Delivery in 2025/26 not verified.</t>
        </is>
      </c>
      <c r="AN423" s="77" t="inlineStr"/>
      <c r="AO423" s="77" t="inlineStr">
        <is>
          <t>UK</t>
        </is>
      </c>
      <c r="AP423" s="77" t="inlineStr">
        <is>
          <t>UK – additional</t>
        </is>
      </c>
      <c r="AQ423" s="77" t="inlineStr">
        <is>
          <t>1-4 weeks</t>
        </is>
      </c>
      <c r="AR423" s="77" t="inlineStr">
        <is>
          <t>All/standard</t>
        </is>
      </c>
      <c r="AS423" s="77" t="inlineStr"/>
    </row>
    <row r="424">
      <c r="A424" s="77" t="inlineStr">
        <is>
          <t>UK07</t>
        </is>
      </c>
      <c r="B424" s="77" t="inlineStr">
        <is>
          <t>Surrey</t>
        </is>
      </c>
      <c r="C424" s="77" t="inlineStr">
        <is>
          <t>Programme/course</t>
        </is>
      </c>
      <c r="D424" s="77" t="inlineStr">
        <is>
          <t>UK07-S13</t>
        </is>
      </c>
      <c r="E424" s="77" t="inlineStr"/>
      <c r="F424" s="77" t="inlineStr">
        <is>
          <t>No</t>
        </is>
      </c>
      <c r="G424" s="79" t="inlineStr">
        <is>
          <t>iTEK (Ready4Innovation challenges, ERA Foundation funded)</t>
        </is>
      </c>
      <c r="H424" s="77" t="inlineStr">
        <is>
          <t>iTEK</t>
        </is>
      </c>
      <c r="I424" s="77" t="inlineStr"/>
      <c r="J424"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24" s="77" t="inlineStr">
        <is>
          <t>Student Enterprise</t>
        </is>
      </c>
      <c r="L424" s="77" t="inlineStr">
        <is>
          <t>MSc Artificial Intelligence (initially)</t>
        </is>
      </c>
      <c r="M424" s="77" t="inlineStr">
        <is>
          <t>Central provision; Engineering/computing</t>
        </is>
      </c>
      <c r="N424" s="77" t="inlineStr">
        <is>
          <t>Postgraduate taught</t>
        </is>
      </c>
      <c r="O424" s="77" t="inlineStr"/>
      <c r="P424" s="77" t="inlineStr"/>
      <c r="Q424" s="77" t="inlineStr">
        <is>
          <t>Unclear</t>
        </is>
      </c>
      <c r="R424" s="77" t="inlineStr">
        <is>
          <t>Mixed</t>
        </is>
      </c>
      <c r="S424" s="77" t="inlineStr"/>
      <c r="T424" s="77" t="inlineStr">
        <is>
          <t>Short-term project (a Ready4Innovation summary indicated four weeks part-time; not confirmed)</t>
        </is>
      </c>
      <c r="U424" s="77" t="inlineStr">
        <is>
          <t>Team challenge with industry coaching</t>
        </is>
      </c>
      <c r="V424" s="77" t="inlineStr">
        <is>
          <t>Yes</t>
        </is>
      </c>
      <c r="W424" s="77" t="inlineStr">
        <is>
          <t>SME innovation challenge with testable, business-ready outcomes [1].</t>
        </is>
      </c>
      <c r="X424" s="77" t="inlineStr">
        <is>
          <t>Yes</t>
        </is>
      </c>
      <c r="Y424" s="77" t="inlineStr">
        <is>
          <t>'small student teams' [1].</t>
        </is>
      </c>
      <c r="Z424" s="77" t="inlineStr">
        <is>
          <t>Yes</t>
        </is>
      </c>
      <c r="AA424" s="77" t="inlineStr">
        <is>
          <t>SMEs set challenges and receive the team's project outcome [1].</t>
        </is>
      </c>
      <c r="AB424" s="77" t="inlineStr">
        <is>
          <t>Business/commercial</t>
        </is>
      </c>
      <c r="AC424" s="77" t="inlineStr">
        <is>
          <t>Sets challenge, receives output</t>
        </is>
      </c>
      <c r="AD424" s="77" t="inlineStr"/>
      <c r="AE424" s="77" t="inlineStr"/>
      <c r="AF424" s="77">
        <f>IF(OR(V424="No",X424="No",Z424="No"),"Outside strict definition",IF(AND(V424="Yes",X424="Yes",Z424="Yes"),"Meets all three","Potentially relevant; evidence incomplete"))</f>
        <v/>
      </c>
      <c r="AG424" s="77" t="inlineStr">
        <is>
          <t>Current status unclear</t>
        </is>
      </c>
      <c r="AH424" s="77" t="inlineStr">
        <is>
          <t>2022</t>
        </is>
      </c>
      <c r="AI424" s="77" t="inlineStr">
        <is>
          <t>Yes</t>
        </is>
      </c>
      <c r="AJ424" s="77">
        <f>IF(AND(AI424="Yes",AF424="Meets all three",AG424="Current delivery confirmed"),"Yes","No")</f>
        <v/>
      </c>
      <c r="AK424" s="77" t="inlineStr"/>
      <c r="AL424" s="77" t="inlineStr">
        <is>
          <t>UK07-S13-R1</t>
        </is>
      </c>
      <c r="AM424" s="77" t="inlineStr">
        <is>
          <t>ERA donation made 2022, extended 'for another year'; no 2025/26 cohort evidence. Duration, stipend and credit status unconfirmed.</t>
        </is>
      </c>
      <c r="AN424" s="77" t="inlineStr"/>
      <c r="AO424" s="77" t="inlineStr">
        <is>
          <t>UK</t>
        </is>
      </c>
      <c r="AP424" s="77" t="inlineStr">
        <is>
          <t>UK – additional</t>
        </is>
      </c>
      <c r="AQ424" s="77" t="inlineStr">
        <is>
          <t>1-4 weeks</t>
        </is>
      </c>
      <c r="AR424" s="77" t="inlineStr">
        <is>
          <t>All/standard</t>
        </is>
      </c>
      <c r="AS424" s="77" t="inlineStr"/>
    </row>
    <row r="425">
      <c r="A425" s="77" t="inlineStr">
        <is>
          <t>UK07</t>
        </is>
      </c>
      <c r="B425" s="77" t="inlineStr">
        <is>
          <t>Surrey</t>
        </is>
      </c>
      <c r="C425" s="77" t="inlineStr">
        <is>
          <t>Unclear</t>
        </is>
      </c>
      <c r="D425" s="77" t="inlineStr">
        <is>
          <t>UK07-S14</t>
        </is>
      </c>
      <c r="E425" s="77" t="inlineStr"/>
      <c r="F425" s="77" t="inlineStr">
        <is>
          <t>No</t>
        </is>
      </c>
      <c r="G425" s="79" t="inlineStr">
        <is>
          <t>Hackathon17</t>
        </is>
      </c>
      <c r="H425" s="77" t="inlineStr">
        <is>
          <t>Hackathon17 (SDG hackathon)</t>
        </is>
      </c>
      <c r="I425" s="77" t="inlineStr"/>
      <c r="J425" s="77" t="inlineStr">
        <is>
          <t>Three-day Student Enterprise hackathon: interdisciplinary teams address SDG-related problem statements, as a consultancy-style challenge or start-up.</t>
        </is>
      </c>
      <c r="K425" s="77" t="inlineStr">
        <is>
          <t>Student Enterprise</t>
        </is>
      </c>
      <c r="L425" s="77" t="inlineStr"/>
      <c r="M425" s="77" t="inlineStr">
        <is>
          <t>Central provision</t>
        </is>
      </c>
      <c r="N425" s="77" t="inlineStr">
        <is>
          <t>Mixed</t>
        </is>
      </c>
      <c r="O425" s="77" t="inlineStr"/>
      <c r="P425" s="77" t="inlineStr"/>
      <c r="Q425" s="77" t="inlineStr">
        <is>
          <t>Optional/elective</t>
        </is>
      </c>
      <c r="R425" s="77" t="inlineStr">
        <is>
          <t>Extracurricular</t>
        </is>
      </c>
      <c r="S425" s="77" t="inlineStr"/>
      <c r="T425" s="77" t="inlineStr">
        <is>
          <t>3 days</t>
        </is>
      </c>
      <c r="U425" s="77" t="inlineStr"/>
      <c r="V425" s="77" t="inlineStr">
        <is>
          <t>Unclear</t>
        </is>
      </c>
      <c r="W425" s="77" t="inlineStr">
        <is>
          <t>Teams create products/services for problem statements [1]; defined output for a named organisation not shown.</t>
        </is>
      </c>
      <c r="X425" s="77" t="inlineStr">
        <is>
          <t>Yes</t>
        </is>
      </c>
      <c r="Y425" s="77" t="inlineStr">
        <is>
          <t>Interdisciplinary teams [1].</t>
        </is>
      </c>
      <c r="Z425" s="77" t="inlineStr">
        <is>
          <t>Unclear</t>
        </is>
      </c>
      <c r="AA425" s="77" t="inlineStr">
        <is>
          <t>Industry partners (WWF, GRACE, Yakult Ltd, Environment Agency) involved per a staff profile; 2022 event sponsored by Yakult; whether partners set briefs/judge not shown [1].</t>
        </is>
      </c>
      <c r="AB425" s="77" t="inlineStr">
        <is>
          <t>Mixed</t>
        </is>
      </c>
      <c r="AC425" s="77" t="inlineStr">
        <is>
          <t>Involved; role unclear</t>
        </is>
      </c>
      <c r="AD425" s="77" t="inlineStr"/>
      <c r="AE425" s="77" t="inlineStr"/>
      <c r="AF425" s="77">
        <f>IF(OR(V425="No",X425="No",Z425="No"),"Outside strict definition",IF(AND(V425="Yes",X425="Yes",Z425="Yes"),"Meets all three","Potentially relevant; evidence incomplete"))</f>
        <v/>
      </c>
      <c r="AG425" s="77" t="inlineStr">
        <is>
          <t>Historical delivery only</t>
        </is>
      </c>
      <c r="AH425" s="77" t="inlineStr">
        <is>
          <t>2024</t>
        </is>
      </c>
      <c r="AI425" s="77" t="inlineStr">
        <is>
          <t>Yes</t>
        </is>
      </c>
      <c r="AJ425" s="77">
        <f>IF(AND(AI425="Yes",AF425="Meets all three",AG425="Current delivery confirmed"),"Yes","No")</f>
        <v/>
      </c>
      <c r="AK425" s="77" t="inlineStr"/>
      <c r="AL425" s="77" t="inlineStr">
        <is>
          <t>UK07-S14-R1</t>
        </is>
      </c>
      <c r="AM425" s="77" t="inlineStr">
        <is>
          <t>No 2025/26 edition found.</t>
        </is>
      </c>
      <c r="AN425" s="77" t="inlineStr"/>
      <c r="AO425" s="77" t="inlineStr">
        <is>
          <t>UK</t>
        </is>
      </c>
      <c r="AP425" s="77" t="inlineStr">
        <is>
          <t>UK – additional</t>
        </is>
      </c>
      <c r="AQ425" s="77" t="inlineStr">
        <is>
          <t>&lt;1 week</t>
        </is>
      </c>
      <c r="AR425" s="77" t="inlineStr">
        <is>
          <t>Unclear</t>
        </is>
      </c>
      <c r="AS425" s="77" t="inlineStr"/>
    </row>
    <row r="426">
      <c r="A426" s="77" t="inlineStr">
        <is>
          <t>UK07</t>
        </is>
      </c>
      <c r="B426" s="77" t="inlineStr">
        <is>
          <t>Surrey</t>
        </is>
      </c>
      <c r="C426" s="77" t="inlineStr">
        <is>
          <t>Programme/course</t>
        </is>
      </c>
      <c r="D426" s="77" t="inlineStr">
        <is>
          <t>UK07-S15</t>
        </is>
      </c>
      <c r="E426" s="77" t="inlineStr"/>
      <c r="F426" s="77" t="inlineStr">
        <is>
          <t>No</t>
        </is>
      </c>
      <c r="G426" s="79" t="inlineStr">
        <is>
          <t>Retail Consultancy Project (MAN3136)</t>
        </is>
      </c>
      <c r="H426" s="77" t="inlineStr">
        <is>
          <t>Retail Consultancy Project</t>
        </is>
      </c>
      <c r="I426" s="77" t="inlineStr">
        <is>
          <t>MAN3136</t>
        </is>
      </c>
      <c r="J426" s="77" t="inlineStr">
        <is>
          <t>Final-year retail module: written group project and group presentation to the client for a small consultancy project; 2020 news describes live Carabao/Simply Fresh campaigns with the companies on the assessment panel.</t>
        </is>
      </c>
      <c r="K426" s="77" t="inlineStr">
        <is>
          <t>Surrey Business School</t>
        </is>
      </c>
      <c r="L426" s="77" t="inlineStr"/>
      <c r="M426" s="77" t="inlineStr">
        <is>
          <t>Business/management</t>
        </is>
      </c>
      <c r="N426" s="77" t="inlineStr">
        <is>
          <t>Undergraduate</t>
        </is>
      </c>
      <c r="O426" s="77" t="inlineStr"/>
      <c r="P426" s="77" t="inlineStr"/>
      <c r="Q426" s="77" t="inlineStr">
        <is>
          <t>Unclear</t>
        </is>
      </c>
      <c r="R426" s="77" t="inlineStr">
        <is>
          <t>Curricular</t>
        </is>
      </c>
      <c r="S426" s="77" t="inlineStr"/>
      <c r="T426" s="77" t="inlineStr"/>
      <c r="U426" s="77" t="inlineStr"/>
      <c r="V426" s="77" t="inlineStr">
        <is>
          <t>Yes</t>
        </is>
      </c>
      <c r="W426" s="77" t="inlineStr">
        <is>
          <t>Plan, design and deliver a small retail consultancy project [1].</t>
        </is>
      </c>
      <c r="X426" s="77" t="inlineStr">
        <is>
          <t>Yes</t>
        </is>
      </c>
      <c r="Y426" s="77" t="inlineStr">
        <is>
          <t>Group project and presentation [1].</t>
        </is>
      </c>
      <c r="Z426" s="77" t="inlineStr">
        <is>
          <t>Unclear</t>
        </is>
      </c>
      <c r="AA426" s="77" t="inlineStr">
        <is>
          <t>Catalogue says 'hypothetical or real client'; routes not separated; 2020 news shows real client panel [1][2].</t>
        </is>
      </c>
      <c r="AB426" s="77" t="inlineStr">
        <is>
          <t>Business/commercial</t>
        </is>
      </c>
      <c r="AC426" s="77" t="inlineStr"/>
      <c r="AD426" s="77" t="inlineStr">
        <is>
          <t>Carabao; Simply Fresh (2020 news)</t>
        </is>
      </c>
      <c r="AE426" s="77" t="inlineStr"/>
      <c r="AF426" s="77">
        <f>IF(OR(V426="No",X426="No",Z426="No"),"Outside strict definition",IF(AND(V426="Yes",X426="Yes",Z426="Yes"),"Meets all three","Potentially relevant; evidence incomplete"))</f>
        <v/>
      </c>
      <c r="AG426" s="77" t="inlineStr">
        <is>
          <t>Historical delivery only</t>
        </is>
      </c>
      <c r="AH426" s="77" t="inlineStr">
        <is>
          <t>2022/23</t>
        </is>
      </c>
      <c r="AI426" s="77" t="inlineStr">
        <is>
          <t>Yes</t>
        </is>
      </c>
      <c r="AJ426" s="77">
        <f>IF(AND(AI426="Yes",AF426="Meets all three",AG426="Current delivery confirmed"),"Yes","No")</f>
        <v/>
      </c>
      <c r="AK426" s="77" t="inlineStr"/>
      <c r="AL426" s="77" t="inlineStr">
        <is>
          <t>UK07-S15-R1; UK07-S15-R2</t>
        </is>
      </c>
      <c r="AM426" s="77" t="inlineStr">
        <is>
          <t>No 2025/26 catalogue entry seen.</t>
        </is>
      </c>
      <c r="AN426" s="77" t="inlineStr"/>
      <c r="AO426" s="77" t="inlineStr">
        <is>
          <t>UK</t>
        </is>
      </c>
      <c r="AP426" s="77" t="inlineStr">
        <is>
          <t>UK – additional</t>
        </is>
      </c>
      <c r="AQ426" s="77" t="inlineStr">
        <is>
          <t>~1 term/semester</t>
        </is>
      </c>
      <c r="AR426" s="77" t="inlineStr">
        <is>
          <t>Some projects</t>
        </is>
      </c>
      <c r="AS426" s="77" t="inlineStr"/>
    </row>
    <row r="427">
      <c r="A427" s="77" t="inlineStr">
        <is>
          <t>UK08</t>
        </is>
      </c>
      <c r="B427" s="77" t="inlineStr">
        <is>
          <t>Sussex</t>
        </is>
      </c>
      <c r="C427" s="77" t="inlineStr">
        <is>
          <t>University-wide</t>
        </is>
      </c>
      <c r="D427" s="77" t="inlineStr">
        <is>
          <t>UK08-S01</t>
        </is>
      </c>
      <c r="E427" s="77" t="inlineStr"/>
      <c r="F427" s="77" t="inlineStr">
        <is>
          <t>No</t>
        </is>
      </c>
      <c r="G427" s="79" t="inlineStr">
        <is>
          <t>Career Lab Student Consultancy Programme</t>
        </is>
      </c>
      <c r="H427" s="77" t="inlineStr">
        <is>
          <t>Career Lab Student Consultancy Programme</t>
        </is>
      </c>
      <c r="I427" s="77" t="inlineStr"/>
      <c r="J427"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27" s="77" t="inlineStr">
        <is>
          <t>Careers and Employability Centre - Career Lab</t>
        </is>
      </c>
      <c r="L427" s="77" t="inlineStr">
        <is>
          <t>Final-year undergraduates and taught postgraduates (no school restriction stated)</t>
        </is>
      </c>
      <c r="M427" s="77" t="inlineStr">
        <is>
          <t>Central provision</t>
        </is>
      </c>
      <c r="N427" s="77" t="inlineStr">
        <is>
          <t>Mixed</t>
        </is>
      </c>
      <c r="O427" s="77" t="inlineStr">
        <is>
          <t>Final-year UG; PGT</t>
        </is>
      </c>
      <c r="P427" s="77" t="inlineStr">
        <is>
          <t>Final-year UG and taught PG only; one participation per academic year; application required. PGT on courses with a guaranteed work project receive separate communication.</t>
        </is>
      </c>
      <c r="Q427" s="77" t="inlineStr">
        <is>
          <t>Selective/competitive</t>
        </is>
      </c>
      <c r="R427" s="77" t="inlineStr">
        <is>
          <t>Extracurricular</t>
        </is>
      </c>
      <c r="S427" s="77" t="inlineStr">
        <is>
          <t>Non-credit; paid bursary (GBP 269 for Winter 2025 / Spring 2026 runs)</t>
        </is>
      </c>
      <c r="T427" s="77" t="inlineStr">
        <is>
          <t>3-4 weeks (c.20 hours) after training; three runs a year (winter, spring, summer)</t>
        </is>
      </c>
      <c r="U427" s="77" t="inlineStr">
        <is>
          <t>Mostly remote research; team presentation to client</t>
        </is>
      </c>
      <c r="V427" s="77" t="inlineStr">
        <is>
          <t>Yes</t>
        </is>
      </c>
      <c r="W427" s="77" t="inlineStr">
        <is>
          <t>Teams address a real organisational challenge/brief and present recommendations to the client [1][2][3].</t>
        </is>
      </c>
      <c r="X427" s="77" t="inlineStr">
        <is>
          <t>Yes</t>
        </is>
      </c>
      <c r="Y427" s="77" t="inlineStr">
        <is>
          <t>Students placed in small multidisciplinary teams; a five-student team worked on the Hastings Direct brief [1][3].</t>
        </is>
      </c>
      <c r="Z427" s="77" t="inlineStr">
        <is>
          <t>Yes</t>
        </is>
      </c>
      <c r="AA427" s="77" t="inlineStr">
        <is>
          <t>External organisations set the project briefs and receive the team's presentation; e.g. Hastings Direct set a brief on its SDG contributions and later made changes partly aligned to the recommendations [1][3][4].</t>
        </is>
      </c>
      <c r="AB427" s="77" t="inlineStr">
        <is>
          <t>Mixed</t>
        </is>
      </c>
      <c r="AC427" s="77" t="inlineStr">
        <is>
          <t>Sets brief (client) and receives final presentation; organisations pay nothing (university funds student bursary).</t>
        </is>
      </c>
      <c r="AD427" s="77" t="inlineStr">
        <is>
          <t>Hastings Direct (2024 case study); AECOM, Komedia, Mindlab (past clients, undated page)</t>
        </is>
      </c>
      <c r="AE427" s="77" t="inlineStr">
        <is>
          <t>Team presentation of recommendations to client</t>
        </is>
      </c>
      <c r="AF427" s="77">
        <f>IF(OR(V427="No",X427="No",Z427="No"),"Outside strict definition",IF(AND(V427="Yes",X427="Yes",Z427="Yes"),"Meets all three","Potentially relevant; evidence incomplete"))</f>
        <v/>
      </c>
      <c r="AG427" s="77" t="inlineStr">
        <is>
          <t>Current delivery confirmed</t>
        </is>
      </c>
      <c r="AH427" s="77" t="inlineStr">
        <is>
          <t>2026/27</t>
        </is>
      </c>
      <c r="AI427" s="77" t="inlineStr">
        <is>
          <t>Yes</t>
        </is>
      </c>
      <c r="AJ427" s="77">
        <f>IF(AND(AI427="Yes",AF427="Meets all three",AG427="Current delivery confirmed"),"Yes","No")</f>
        <v/>
      </c>
      <c r="AK427" s="77" t="inlineStr"/>
      <c r="AL427" s="77" t="inlineStr">
        <is>
          <t>UK08-S01-R1; UK08-S01-R2; UK08-S01-R3; UK08-S01-R4</t>
        </is>
      </c>
      <c r="AM427" s="77" t="inlineStr">
        <is>
          <t>Exact eligibility wording (whether all schools/IDS/BSMS included) not quoted; 2023 organisations guide describes an older 100-hour Riipen-based format. Relationship to the 'Changing the Face of Consultancy' variant (broadcast 66181) not tested.</t>
        </is>
      </c>
      <c r="AN427" s="77" t="inlineStr"/>
      <c r="AO427" s="77" t="inlineStr">
        <is>
          <t>UK</t>
        </is>
      </c>
      <c r="AP427" s="77" t="inlineStr">
        <is>
          <t>UK – additional</t>
        </is>
      </c>
      <c r="AQ427" s="77" t="inlineStr">
        <is>
          <t>1–4 weeks</t>
        </is>
      </c>
      <c r="AR427" s="77" t="inlineStr">
        <is>
          <t>All/standard</t>
        </is>
      </c>
      <c r="AS427" s="77" t="inlineStr"/>
    </row>
    <row r="428">
      <c r="A428" s="77" t="inlineStr">
        <is>
          <t>UK08</t>
        </is>
      </c>
      <c r="B428" s="77" t="inlineStr">
        <is>
          <t>Sussex</t>
        </is>
      </c>
      <c r="C428" s="77" t="inlineStr">
        <is>
          <t>Programme/course</t>
        </is>
      </c>
      <c r="D428" s="77" t="inlineStr">
        <is>
          <t>UK08-S02</t>
        </is>
      </c>
      <c r="E428" s="77" t="inlineStr"/>
      <c r="F428" s="77" t="inlineStr">
        <is>
          <t>No</t>
        </is>
      </c>
      <c r="G428" s="79" t="inlineStr">
        <is>
          <t>Marketing Consultancy Project (Capstone)</t>
        </is>
      </c>
      <c r="H428" s="77" t="inlineStr">
        <is>
          <t>Marketing Consultancy Project (Capstone)</t>
        </is>
      </c>
      <c r="I428" s="77" t="inlineStr">
        <is>
          <t>105316 (module page ID)</t>
        </is>
      </c>
      <c r="J428"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28" s="77" t="inlineStr">
        <is>
          <t>University of Sussex Business School</t>
        </is>
      </c>
      <c r="L428" s="77" t="inlineStr">
        <is>
          <t>Marketing and Management BSc and related marketing degrees (exact list not verified)</t>
        </is>
      </c>
      <c r="M428" s="77" t="inlineStr">
        <is>
          <t>Business/management</t>
        </is>
      </c>
      <c r="N428" s="77" t="inlineStr">
        <is>
          <t>Undergraduate</t>
        </is>
      </c>
      <c r="O428" s="77" t="inlineStr">
        <is>
          <t>Final year (Level 6)</t>
        </is>
      </c>
      <c r="P428" s="77" t="inlineStr">
        <is>
          <t>Students on programmes offering the module</t>
        </is>
      </c>
      <c r="Q428" s="77" t="inlineStr">
        <is>
          <t>Unclear</t>
        </is>
      </c>
      <c r="R428" s="77" t="inlineStr">
        <is>
          <t>Curricular</t>
        </is>
      </c>
      <c r="S428" s="77" t="inlineStr">
        <is>
          <t>15 credits; 60% group presentation, 40% written report</t>
        </is>
      </c>
      <c r="T428" s="77" t="inlineStr">
        <is>
          <t>Spring teaching period</t>
        </is>
      </c>
      <c r="U428" s="77" t="inlineStr">
        <is>
          <t>In person (assumed; not verified)</t>
        </is>
      </c>
      <c r="V428" s="77" t="inlineStr">
        <is>
          <t>Yes</t>
        </is>
      </c>
      <c r="W428" s="77" t="inlineStr">
        <is>
          <t>Brief to produce a recommendation on a strategic marketing problem; outputs presentation and report [1].</t>
        </is>
      </c>
      <c r="X428" s="77" t="inlineStr">
        <is>
          <t>Yes</t>
        </is>
      </c>
      <c r="Y428" s="77" t="inlineStr">
        <is>
          <t>Teams prepare and present together; 60% group presentation [1].</t>
        </is>
      </c>
      <c r="Z428" s="77" t="inlineStr">
        <is>
          <t>Unclear</t>
        </is>
      </c>
      <c r="AA428" s="77" t="inlineStr">
        <is>
          <t>Only 'inspiration and tips provided from a top consulting firm' [1]; no evidence an external client supplies the brief, receives or assesses outputs.</t>
        </is>
      </c>
      <c r="AB428" s="77" t="inlineStr">
        <is>
          <t>Unclear</t>
        </is>
      </c>
      <c r="AC428" s="77" t="inlineStr">
        <is>
          <t>Consulting firm provides tips/inspiration (not shown as client)</t>
        </is>
      </c>
      <c r="AD428" s="77" t="inlineStr"/>
      <c r="AE428" s="77" t="inlineStr">
        <is>
          <t>Group presentation and written report</t>
        </is>
      </c>
      <c r="AF428" s="77">
        <f>IF(OR(V428="No",X428="No",Z428="No"),"Outside strict definition",IF(AND(V428="Yes",X428="Yes",Z428="Yes"),"Meets all three","Potentially relevant; evidence incomplete"))</f>
        <v/>
      </c>
      <c r="AG428" s="77" t="inlineStr">
        <is>
          <t>Current delivery confirmed</t>
        </is>
      </c>
      <c r="AH428" s="77" t="inlineStr">
        <is>
          <t>2026/27</t>
        </is>
      </c>
      <c r="AI428" s="77" t="inlineStr">
        <is>
          <t>Yes</t>
        </is>
      </c>
      <c r="AJ428" s="77">
        <f>IF(AND(AI428="Yes",AF428="Meets all three",AG428="Current delivery confirmed"),"Yes","No")</f>
        <v/>
      </c>
      <c r="AK428" s="77" t="inlineStr"/>
      <c r="AL428" s="77" t="inlineStr">
        <is>
          <t>UK08-S02-R1; UK08-S02-R2</t>
        </is>
      </c>
      <c r="AM428" s="77" t="inlineStr">
        <is>
          <t>Whether briefs come from real client organisations; whether core in any programme. Status based on module catalogue pages for 2025 and 2026 entry.</t>
        </is>
      </c>
      <c r="AN428" s="77" t="inlineStr"/>
      <c r="AO428" s="77" t="inlineStr">
        <is>
          <t>UK</t>
        </is>
      </c>
      <c r="AP428" s="77" t="inlineStr">
        <is>
          <t>UK – additional</t>
        </is>
      </c>
      <c r="AQ428" s="77" t="inlineStr">
        <is>
          <t>~1 term/semester</t>
        </is>
      </c>
      <c r="AR428" s="77" t="inlineStr">
        <is>
          <t>Unclear</t>
        </is>
      </c>
      <c r="AS428" s="77" t="inlineStr"/>
    </row>
    <row r="429">
      <c r="A429" s="77" t="inlineStr">
        <is>
          <t>UK08</t>
        </is>
      </c>
      <c r="B429" s="77" t="inlineStr">
        <is>
          <t>Sussex</t>
        </is>
      </c>
      <c r="C429" s="77" t="inlineStr">
        <is>
          <t>Programme/course</t>
        </is>
      </c>
      <c r="D429" s="77" t="inlineStr">
        <is>
          <t>UK08-S03</t>
        </is>
      </c>
      <c r="E429" s="77" t="inlineStr"/>
      <c r="F429" s="77" t="inlineStr">
        <is>
          <t>No</t>
        </is>
      </c>
      <c r="G429" s="79" t="inlineStr">
        <is>
          <t>Consultancy Project</t>
        </is>
      </c>
      <c r="H429" s="77" t="inlineStr">
        <is>
          <t>Consultancy Project</t>
        </is>
      </c>
      <c r="I429" s="77" t="inlineStr">
        <is>
          <t>111N1</t>
        </is>
      </c>
      <c r="J429"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29" s="77" t="inlineStr">
        <is>
          <t>University of Sussex Business School</t>
        </is>
      </c>
      <c r="L429" s="77" t="inlineStr">
        <is>
          <t>Management MSc (dissertation option); possibly other Business School MSc programmes</t>
        </is>
      </c>
      <c r="M429" s="77" t="inlineStr">
        <is>
          <t>Business/management</t>
        </is>
      </c>
      <c r="N429" s="77" t="inlineStr">
        <is>
          <t>Postgraduate taught</t>
        </is>
      </c>
      <c r="O429" s="77" t="inlineStr">
        <is>
          <t>MSc summer period</t>
        </is>
      </c>
      <c r="P429" s="77" t="inlineStr">
        <is>
          <t>Business School MSc students choosing the consultancy option</t>
        </is>
      </c>
      <c r="Q429" s="77" t="inlineStr">
        <is>
          <t>Optional/elective</t>
        </is>
      </c>
      <c r="R429" s="77" t="inlineStr">
        <is>
          <t>Curricular</t>
        </is>
      </c>
      <c r="S429" s="77" t="inlineStr">
        <is>
          <t>30 credits Level 7; 100% coursework (group presentation, group written submission, project)</t>
        </is>
      </c>
      <c r="T429" s="77" t="inlineStr">
        <is>
          <t>Summer period, c.300 study hours</t>
        </is>
      </c>
      <c r="U429" s="77" t="inlineStr">
        <is>
          <t>Group consultancy with academic supervisor</t>
        </is>
      </c>
      <c r="V429" s="77" t="inlineStr">
        <is>
          <t>Yes</t>
        </is>
      </c>
      <c r="W429" s="77" t="inlineStr">
        <is>
          <t>Live consultancy project with group written submission and presentation [1].</t>
        </is>
      </c>
      <c r="X429" s="77" t="inlineStr">
        <is>
          <t>Yes</t>
        </is>
      </c>
      <c r="Y429" s="77" t="inlineStr">
        <is>
          <t>Students work in a group; consultancy teams supervised by an academic; group presentation and group written submission [1][2].</t>
        </is>
      </c>
      <c r="Z429" s="77" t="inlineStr">
        <is>
          <t>Yes</t>
        </is>
      </c>
      <c r="AA429" s="77" t="inlineStr">
        <is>
          <t>Described as a 'live consultancy project' and as solving real challenges with local organisations / preparing a consultancy project for a business [1][2].</t>
        </is>
      </c>
      <c r="AB429" s="77" t="inlineStr">
        <is>
          <t>Unclear</t>
        </is>
      </c>
      <c r="AC429" s="77" t="inlineStr">
        <is>
          <t>Organisation acts as consultancy client (exact role in assessment not stated)</t>
        </is>
      </c>
      <c r="AD429" s="77" t="inlineStr"/>
      <c r="AE429" s="77" t="inlineStr">
        <is>
          <t>Group consultancy report and presentation</t>
        </is>
      </c>
      <c r="AF429" s="77">
        <f>IF(OR(V429="No",X429="No",Z429="No"),"Outside strict definition",IF(AND(V429="Yes",X429="Yes",Z429="Yes"),"Meets all three","Potentially relevant; evidence incomplete"))</f>
        <v/>
      </c>
      <c r="AG429" s="77" t="inlineStr">
        <is>
          <t>Current status unclear</t>
        </is>
      </c>
      <c r="AH429" s="77" t="inlineStr">
        <is>
          <t>2024/25</t>
        </is>
      </c>
      <c r="AI429" s="77" t="inlineStr">
        <is>
          <t>Yes</t>
        </is>
      </c>
      <c r="AJ429" s="77">
        <f>IF(AND(AI429="Yes",AF429="Meets all three",AG429="Current delivery confirmed"),"Yes","No")</f>
        <v/>
      </c>
      <c r="AK429" s="77" t="inlineStr"/>
      <c r="AL429" s="77" t="inlineStr">
        <is>
          <t>UK08-S03-R1; UK08-S03-R2</t>
        </is>
      </c>
      <c r="AM429"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29" s="77" t="inlineStr"/>
      <c r="AO429" s="77" t="inlineStr">
        <is>
          <t>UK</t>
        </is>
      </c>
      <c r="AP429" s="77" t="inlineStr">
        <is>
          <t>UK – additional</t>
        </is>
      </c>
      <c r="AQ429" s="77" t="inlineStr">
        <is>
          <t>~1 term/semester</t>
        </is>
      </c>
      <c r="AR429" s="77" t="inlineStr">
        <is>
          <t>All/standard</t>
        </is>
      </c>
      <c r="AS429" s="77" t="inlineStr"/>
    </row>
    <row r="430">
      <c r="A430" s="77" t="inlineStr">
        <is>
          <t>UK09</t>
        </is>
      </c>
      <c r="B430" s="77" t="inlineStr">
        <is>
          <t>Leicester</t>
        </is>
      </c>
      <c r="C430" s="77" t="inlineStr">
        <is>
          <t>Programme/course</t>
        </is>
      </c>
      <c r="D430" s="77" t="inlineStr">
        <is>
          <t>UK09-S01</t>
        </is>
      </c>
      <c r="E430" s="77" t="inlineStr"/>
      <c r="F430" s="77" t="inlineStr">
        <is>
          <t>No</t>
        </is>
      </c>
      <c r="G430" s="79" t="inlineStr">
        <is>
          <t>Software Engineering Project (second-year team project, Computer Science / Software Engineering BSc)</t>
        </is>
      </c>
      <c r="H430" s="77" t="inlineStr">
        <is>
          <t>Software Engineering Project</t>
        </is>
      </c>
      <c r="I430" s="77" t="inlineStr">
        <is>
          <t>CO2201 (per 2020/21-2023/24 programme specifications)</t>
        </is>
      </c>
      <c r="J430"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30" s="77" t="inlineStr">
        <is>
          <t>School of Computing and Mathematical Sciences</t>
        </is>
      </c>
      <c r="L430" s="77" t="inlineStr">
        <is>
          <t>Computer Science BSc (and variants), Software Engineering BSc</t>
        </is>
      </c>
      <c r="M430" s="77" t="inlineStr">
        <is>
          <t>Engineering/computing</t>
        </is>
      </c>
      <c r="N430" s="77" t="inlineStr">
        <is>
          <t>Undergraduate</t>
        </is>
      </c>
      <c r="O430" s="77" t="inlineStr">
        <is>
          <t>Year 2</t>
        </is>
      </c>
      <c r="P430" s="77" t="inlineStr"/>
      <c r="Q430" s="77" t="inlineStr">
        <is>
          <t>Compulsory within specified programmes</t>
        </is>
      </c>
      <c r="R430" s="77" t="inlineStr">
        <is>
          <t>Curricular</t>
        </is>
      </c>
      <c r="S430" s="77" t="inlineStr">
        <is>
          <t>30 credits year-long in 2020/21-2023/24 specs; split into semester versions from 2024/25 (2023/24 spec note). Assessment weighting not found.</t>
        </is>
      </c>
      <c r="T430" s="77" t="inlineStr">
        <is>
          <t>February-May (student projects page); module year-long/semester split</t>
        </is>
      </c>
      <c r="U430" s="77" t="inlineStr">
        <is>
          <t>Team project, staff-supervised</t>
        </is>
      </c>
      <c r="V430" s="77" t="inlineStr">
        <is>
          <t>Yes</t>
        </is>
      </c>
      <c r="W430" s="77" t="inlineStr">
        <is>
          <t>Team develops software for a client brief with defined requirements [1][2].</t>
        </is>
      </c>
      <c r="X430" s="77" t="inlineStr">
        <is>
          <t>Yes</t>
        </is>
      </c>
      <c r="Y430" s="77" t="inlineStr">
        <is>
          <t>'Typical software engineering projects developed by teams of 2nd year students', focus on group work and project management [1][2].</t>
        </is>
      </c>
      <c r="Z430" s="77" t="inlineStr">
        <is>
          <t>Yes</t>
        </is>
      </c>
      <c r="AA430" s="77" t="inlineStr">
        <is>
          <t>Software 'typically commissioned by a real client'; client provides requirements, advice, technical support and feedback [1][2]; programme spec: external client 'wherever possible' [3] (so some internal/non-client projects possible).</t>
        </is>
      </c>
      <c r="AB430" s="77" t="inlineStr">
        <is>
          <t>Unclear</t>
        </is>
      </c>
      <c r="AC430" s="77" t="inlineStr">
        <is>
          <t>Client sets requirements and gives feedback during supervised project; client sector/type not stated; spec wording 'wherever possible' implies some projects lack an external client.</t>
        </is>
      </c>
      <c r="AD430" s="77" t="inlineStr"/>
      <c r="AE430" s="77" t="inlineStr">
        <is>
          <t>Working software delivered to client</t>
        </is>
      </c>
      <c r="AF430" s="77">
        <f>IF(OR(V430="No",X430="No",Z430="No"),"Outside strict definition",IF(AND(V430="Yes",X430="Yes",Z430="Yes"),"Meets all three","Potentially relevant; evidence incomplete"))</f>
        <v/>
      </c>
      <c r="AG430" s="77" t="inlineStr">
        <is>
          <t>Current status unclear</t>
        </is>
      </c>
      <c r="AH430" s="77" t="inlineStr">
        <is>
          <t>2024/25</t>
        </is>
      </c>
      <c r="AI430" s="77" t="inlineStr">
        <is>
          <t>Yes</t>
        </is>
      </c>
      <c r="AJ430" s="77">
        <f>IF(AND(AI430="Yes",AF430="Meets all three",AG430="Current delivery confirmed"),"Yes","No")</f>
        <v/>
      </c>
      <c r="AK430" s="77" t="inlineStr"/>
      <c r="AL430" s="77" t="inlineStr">
        <is>
          <t>UK09-S01-R1; UK09-S01-R2; UK09-S01-R3</t>
        </is>
      </c>
      <c r="AM430" s="77" t="inlineStr">
        <is>
          <t>Dated module evidence only to 2024/25 (2023/24 spec note on 2024/25 split); no dated 2025/26 or 2026/27 corroboration of CO2201 text obtained. Share of internal vs external clients and client types not published; named clients not found.</t>
        </is>
      </c>
      <c r="AN430" s="77" t="inlineStr"/>
      <c r="AO430" s="77" t="inlineStr">
        <is>
          <t>UK</t>
        </is>
      </c>
      <c r="AP430" s="77" t="inlineStr">
        <is>
          <t>UK – additional</t>
        </is>
      </c>
      <c r="AQ430" s="77" t="inlineStr">
        <is>
          <t>~1 term/semester</t>
        </is>
      </c>
      <c r="AR430" s="77" t="inlineStr">
        <is>
          <t>All/standard (course page: 'typically'; spec: 'wherever possible')</t>
        </is>
      </c>
      <c r="AS430" s="77" t="inlineStr"/>
    </row>
    <row r="431">
      <c r="A431" s="77" t="inlineStr">
        <is>
          <t>UK09</t>
        </is>
      </c>
      <c r="B431" s="77" t="inlineStr">
        <is>
          <t>Leicester</t>
        </is>
      </c>
      <c r="C431" s="77" t="inlineStr">
        <is>
          <t>Programme/course</t>
        </is>
      </c>
      <c r="D431" s="77" t="inlineStr">
        <is>
          <t>UK09-S02</t>
        </is>
      </c>
      <c r="E431" s="77" t="inlineStr"/>
      <c r="F431" s="77" t="inlineStr">
        <is>
          <t>No</t>
        </is>
      </c>
      <c r="G431" s="79" t="inlineStr">
        <is>
          <t>Industrial Mathematics Project</t>
        </is>
      </c>
      <c r="H431" s="77" t="inlineStr">
        <is>
          <t>Industrial Mathematics Project</t>
        </is>
      </c>
      <c r="I431" s="77" t="inlineStr">
        <is>
          <t>MA3513</t>
        </is>
      </c>
      <c r="J431"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31" s="77" t="inlineStr">
        <is>
          <t>School of Computing and Mathematical Sciences (Mathematics)</t>
        </is>
      </c>
      <c r="L431" s="77" t="inlineStr">
        <is>
          <t>Mathematics BSc/MMath and related degrees (taken instead of MA3516 Mathematics Research Project)</t>
        </is>
      </c>
      <c r="M431" s="77" t="inlineStr">
        <is>
          <t>Science</t>
        </is>
      </c>
      <c r="N431" s="77" t="inlineStr">
        <is>
          <t>Undergraduate</t>
        </is>
      </c>
      <c r="O431" s="77" t="inlineStr">
        <is>
          <t>Year 3</t>
        </is>
      </c>
      <c r="P431" s="77" t="inlineStr">
        <is>
          <t>Alternative to MA3516; only one may be taken. 2026 course page notes some Y3 options run in alternate years from 2026/7.</t>
        </is>
      </c>
      <c r="Q431" s="77" t="inlineStr">
        <is>
          <t>Optional/elective</t>
        </is>
      </c>
      <c r="R431" s="77" t="inlineStr">
        <is>
          <t>Curricular</t>
        </is>
      </c>
      <c r="S431" s="77" t="inlineStr">
        <is>
          <t>30 credits, year-long; assessment breakdown not found</t>
        </is>
      </c>
      <c r="T431" s="77" t="inlineStr">
        <is>
          <t>Mid-October to end of May</t>
        </is>
      </c>
      <c r="U431" s="77" t="inlineStr">
        <is>
          <t>Group project with industrial partner</t>
        </is>
      </c>
      <c r="V431" s="77" t="inlineStr">
        <is>
          <t>Yes</t>
        </is>
      </c>
      <c r="W431" s="77" t="inlineStr">
        <is>
          <t>Real business problems with partner-supplied briefs [1][2].</t>
        </is>
      </c>
      <c r="X431" s="77" t="inlineStr">
        <is>
          <t>Yes</t>
        </is>
      </c>
      <c r="Y431" s="77" t="inlineStr">
        <is>
          <t>'Students work in groups' with industrial partners [1].</t>
        </is>
      </c>
      <c r="Z431" s="77" t="inlineStr">
        <is>
          <t>Yes</t>
        </is>
      </c>
      <c r="AA431" s="77" t="inlineStr">
        <is>
          <t>Industrial partners provide the business problems; client provides requirements, advice, technical support and feedback [1].</t>
        </is>
      </c>
      <c r="AB431" s="77" t="inlineStr">
        <is>
          <t>Business/commercial</t>
        </is>
      </c>
      <c r="AC431" s="77" t="inlineStr">
        <is>
          <t>Supplies business problems; provides requirements and feedback during supervised project.</t>
        </is>
      </c>
      <c r="AD431" s="77" t="inlineStr"/>
      <c r="AE431" s="77" t="inlineStr">
        <is>
          <t>Group solution/report for the industrial problem (form not stated)</t>
        </is>
      </c>
      <c r="AF431" s="77">
        <f>IF(OR(V431="No",X431="No",Z431="No"),"Outside strict definition",IF(AND(V431="Yes",X431="Yes",Z431="Yes"),"Meets all three","Potentially relevant; evidence incomplete"))</f>
        <v/>
      </c>
      <c r="AG431" s="77" t="inlineStr">
        <is>
          <t>Current status unclear</t>
        </is>
      </c>
      <c r="AH431" s="77" t="inlineStr">
        <is>
          <t>undated</t>
        </is>
      </c>
      <c r="AI431" s="77" t="inlineStr">
        <is>
          <t>Yes</t>
        </is>
      </c>
      <c r="AJ431" s="77">
        <f>IF(AND(AI431="Yes",AF431="Meets all three",AG431="Current delivery confirmed"),"Yes","No")</f>
        <v/>
      </c>
      <c r="AK431" s="77" t="inlineStr"/>
      <c r="AL431" s="77" t="inlineStr">
        <is>
          <t>UK09-S02-R1; UK09-S02-R2</t>
        </is>
      </c>
      <c r="AM431" s="77" t="inlineStr">
        <is>
          <t>Student-projects page is undated; MA3513 listed in programme specifications (year-long, 30 credits) but no verified 2025/26 or 2026/27 entry or cohort; possible alternate-year running from 2026/7. Partner names not published for this module.</t>
        </is>
      </c>
      <c r="AN431" s="77" t="inlineStr"/>
      <c r="AO431" s="77" t="inlineStr">
        <is>
          <t>UK</t>
        </is>
      </c>
      <c r="AP431" s="77" t="inlineStr">
        <is>
          <t>UK – additional</t>
        </is>
      </c>
      <c r="AQ431" s="77" t="inlineStr">
        <is>
          <t>&gt;1 term</t>
        </is>
      </c>
      <c r="AR431" s="77" t="inlineStr">
        <is>
          <t>All/standard</t>
        </is>
      </c>
      <c r="AS431" s="77" t="inlineStr"/>
    </row>
    <row r="432">
      <c r="A432" s="77" t="inlineStr">
        <is>
          <t>UK09</t>
        </is>
      </c>
      <c r="B432" s="77" t="inlineStr">
        <is>
          <t>Leicester</t>
        </is>
      </c>
      <c r="C432" s="77" t="inlineStr">
        <is>
          <t>Cross-faculty</t>
        </is>
      </c>
      <c r="D432" s="77" t="inlineStr">
        <is>
          <t>UK09-S03</t>
        </is>
      </c>
      <c r="E432" s="77" t="inlineStr"/>
      <c r="F432" s="77" t="inlineStr">
        <is>
          <t>No</t>
        </is>
      </c>
      <c r="G432" s="79" t="inlineStr">
        <is>
          <t>Sustainability Enterprise Partnership Project (SEPP)</t>
        </is>
      </c>
      <c r="H432" s="77" t="inlineStr">
        <is>
          <t>Sustainability Enterprise Partnership Project</t>
        </is>
      </c>
      <c r="I432" s="77" t="inlineStr">
        <is>
          <t>NT3100</t>
        </is>
      </c>
      <c r="J432"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32" s="77" t="inlineStr">
        <is>
          <t>Natural Sciences (module lead Dr Sarah Gretton)</t>
        </is>
      </c>
      <c r="L432" s="77" t="inlineStr">
        <is>
          <t>Final-year option on several degrees incl. Geology BSc, Physical Geography and Geology BSc, Creative Computing BSc, Medical Biochemistry BSc (2025/26 spec); selected via Online Module Selection</t>
        </is>
      </c>
      <c r="M432" s="77" t="inlineStr">
        <is>
          <t>Science; Engineering/computing</t>
        </is>
      </c>
      <c r="N432" s="77" t="inlineStr">
        <is>
          <t>Undergraduate</t>
        </is>
      </c>
      <c r="O432" s="77" t="inlineStr">
        <is>
          <t>Final year (Year 3)</t>
        </is>
      </c>
      <c r="P432" s="77" t="inlineStr">
        <is>
          <t>Must be available as an option on the student's programme; selected only during Online Module Selection window.</t>
        </is>
      </c>
      <c r="Q432" s="77" t="inlineStr">
        <is>
          <t>Optional/elective</t>
        </is>
      </c>
      <c r="R432" s="77" t="inlineStr">
        <is>
          <t>Curricular</t>
        </is>
      </c>
      <c r="S432" s="77" t="inlineStr">
        <is>
          <t>15 credits, Semester 1 (NT3100); group Written Industry Report plus individual Detailed Implementation Plan</t>
        </is>
      </c>
      <c r="T432" s="77" t="inlineStr">
        <is>
          <t>Semester 1</t>
        </is>
      </c>
      <c r="U432" s="77" t="inlineStr">
        <is>
          <t>Group audit with partner organisation; Carbon Literacy training</t>
        </is>
      </c>
      <c r="V432" s="77" t="inlineStr">
        <is>
          <t>Yes</t>
        </is>
      </c>
      <c r="W432" s="77" t="inlineStr">
        <is>
          <t>Sustainability audit of a partner business with recommendations; written report and implementation plan delivered to the business [1][2].</t>
        </is>
      </c>
      <c r="X432" s="77" t="inlineStr">
        <is>
          <t>Yes</t>
        </is>
      </c>
      <c r="Y432" s="77" t="inlineStr">
        <is>
          <t>'Students work in groups first, then individually'; Written Industry Report is a group project [1][2].</t>
        </is>
      </c>
      <c r="Z432" s="77" t="inlineStr">
        <is>
          <t>Yes</t>
        </is>
      </c>
      <c r="AA432" s="77" t="inlineStr">
        <is>
          <t>Partner businesses (mainly local SMEs) are audited by students and receive the group report and individual plan [1][2]. Partner selection process not described.</t>
        </is>
      </c>
      <c r="AB432" s="77" t="inlineStr">
        <is>
          <t>Business/commercial</t>
        </is>
      </c>
      <c r="AC432" s="77" t="inlineStr">
        <is>
          <t>Host organisation for the audit; receives the report and implementation plan.</t>
        </is>
      </c>
      <c r="AD432" s="77" t="inlineStr">
        <is>
          <t>Not found</t>
        </is>
      </c>
      <c r="AE432" s="77" t="inlineStr">
        <is>
          <t>Group Written Industry Report + individual Detailed Implementation Plan</t>
        </is>
      </c>
      <c r="AF432" s="77">
        <f>IF(OR(V432="No",X432="No",Z432="No"),"Outside strict definition",IF(AND(V432="Yes",X432="Yes",Z432="Yes"),"Meets all three","Potentially relevant; evidence incomplete"))</f>
        <v/>
      </c>
      <c r="AG432" s="77" t="inlineStr">
        <is>
          <t>Current delivery confirmed</t>
        </is>
      </c>
      <c r="AH432" s="77" t="inlineStr">
        <is>
          <t>2025/26</t>
        </is>
      </c>
      <c r="AI432" s="77" t="inlineStr">
        <is>
          <t>Yes</t>
        </is>
      </c>
      <c r="AJ432" s="77">
        <f>IF(AND(AI432="Yes",AF432="Meets all three",AG432="Current delivery confirmed"),"Yes","No")</f>
        <v/>
      </c>
      <c r="AK432" s="77" t="inlineStr"/>
      <c r="AL432" s="77" t="inlineStr">
        <is>
          <t>UK09-S03-R1; UK09-S03-R2; UK09-S03-R3; UK09-S03-R4; UK09-S03-R5</t>
        </is>
      </c>
      <c r="AM432"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32" s="77" t="inlineStr"/>
      <c r="AO432" s="77" t="inlineStr">
        <is>
          <t>UK</t>
        </is>
      </c>
      <c r="AP432" s="77" t="inlineStr">
        <is>
          <t>UK – additional</t>
        </is>
      </c>
      <c r="AQ432" s="77" t="inlineStr">
        <is>
          <t>~1 term/semester</t>
        </is>
      </c>
      <c r="AR432" s="77" t="inlineStr">
        <is>
          <t>All/standard</t>
        </is>
      </c>
      <c r="AS432" s="77" t="inlineStr"/>
    </row>
    <row r="433">
      <c r="A433" s="77" t="inlineStr">
        <is>
          <t>UK09</t>
        </is>
      </c>
      <c r="B433" s="77" t="inlineStr">
        <is>
          <t>Leicester</t>
        </is>
      </c>
      <c r="C433" s="77" t="inlineStr">
        <is>
          <t>Programme/course</t>
        </is>
      </c>
      <c r="D433" s="77" t="inlineStr">
        <is>
          <t>UK09-S04</t>
        </is>
      </c>
      <c r="E433" s="77" t="inlineStr"/>
      <c r="F433" s="77" t="inlineStr">
        <is>
          <t>No</t>
        </is>
      </c>
      <c r="G433" s="79" t="inlineStr">
        <is>
          <t>Client Led Media Production</t>
        </is>
      </c>
      <c r="H433" s="77" t="inlineStr">
        <is>
          <t>Client Led Media Production</t>
        </is>
      </c>
      <c r="I433" s="77" t="inlineStr">
        <is>
          <t>MS3035</t>
        </is>
      </c>
      <c r="J433"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33" s="77" t="inlineStr">
        <is>
          <t>School of Arts / Media, Communication and Sociology</t>
        </is>
      </c>
      <c r="L433" s="77" t="inlineStr">
        <is>
          <t>Media and Communication BA (final-year option); other media/journalism programmes not confirmed</t>
        </is>
      </c>
      <c r="M433" s="77" t="inlineStr">
        <is>
          <t>Arts/humanities/social sciences</t>
        </is>
      </c>
      <c r="N433" s="77" t="inlineStr">
        <is>
          <t>Undergraduate</t>
        </is>
      </c>
      <c r="O433" s="77" t="inlineStr">
        <is>
          <t>Year 3</t>
        </is>
      </c>
      <c r="P433" s="77" t="inlineStr"/>
      <c r="Q433" s="77" t="inlineStr">
        <is>
          <t>Optional/elective</t>
        </is>
      </c>
      <c r="R433" s="77" t="inlineStr">
        <is>
          <t>Curricular</t>
        </is>
      </c>
      <c r="S433" s="77" t="inlineStr">
        <is>
          <t>15 credits, Semester 2, Level 6 (2020/21 and 2023/24 specs)</t>
        </is>
      </c>
      <c r="T433" s="77" t="inlineStr">
        <is>
          <t>Semester 2</t>
        </is>
      </c>
      <c r="U433" s="77" t="inlineStr">
        <is>
          <t>Client-led production project</t>
        </is>
      </c>
      <c r="V433" s="77" t="inlineStr">
        <is>
          <t>Yes</t>
        </is>
      </c>
      <c r="W433" s="77" t="inlineStr">
        <is>
          <t>Production to a client brief with identifiable output (short film) [1][2].</t>
        </is>
      </c>
      <c r="X433" s="77" t="inlineStr">
        <is>
          <t>Unclear</t>
        </is>
      </c>
      <c r="Y433" s="77" t="inlineStr">
        <is>
          <t>Sources say 'final year students ... produced a short film' but do not state team structure or assessment of individual vs group work [1].</t>
        </is>
      </c>
      <c r="Z433" s="77" t="inlineStr">
        <is>
          <t>Yes</t>
        </is>
      </c>
      <c r="AA433" s="77" t="inlineStr">
        <is>
          <t>LPT CAMHS commissioned the film, young people from the service shared experiences, and the Trust said the film will be used to introduce its team [1][2].</t>
        </is>
      </c>
      <c r="AB433" s="77" t="inlineStr">
        <is>
          <t>Public sector</t>
        </is>
      </c>
      <c r="AC433" s="77" t="inlineStr">
        <is>
          <t>NHS trust client sets the brief and uses the output; coordinated via AMC-LPT collaboration.</t>
        </is>
      </c>
      <c r="AD433" s="77" t="inlineStr">
        <is>
          <t>Leicestershire Partnership NHS Trust (CAMHS), 2023 film; collaboration since 2023</t>
        </is>
      </c>
      <c r="AE433" s="77" t="inlineStr">
        <is>
          <t>Short film / media content for NHS client</t>
        </is>
      </c>
      <c r="AF433" s="77">
        <f>IF(OR(V433="No",X433="No",Z433="No"),"Outside strict definition",IF(AND(V433="Yes",X433="Yes",Z433="Yes"),"Meets all three","Potentially relevant; evidence incomplete"))</f>
        <v/>
      </c>
      <c r="AG433" s="77" t="inlineStr">
        <is>
          <t>Current status unclear</t>
        </is>
      </c>
      <c r="AH433" s="77" t="inlineStr">
        <is>
          <t>2025</t>
        </is>
      </c>
      <c r="AI433" s="77" t="inlineStr">
        <is>
          <t>Yes</t>
        </is>
      </c>
      <c r="AJ433" s="77">
        <f>IF(AND(AI433="Yes",AF433="Meets all three",AG433="Current delivery confirmed"),"Yes","No")</f>
        <v/>
      </c>
      <c r="AK433" s="77" t="inlineStr"/>
      <c r="AL433" s="77" t="inlineStr">
        <is>
          <t>UK09-S04-R1; UK09-S04-R2; UK09-S04-R3</t>
        </is>
      </c>
      <c r="AM433" s="77" t="inlineStr">
        <is>
          <t>Team vs individual work not stated; other clients unknown; 2025/26 programme spec lists the module only in an 'indicative' option list; no cohort-level 2025/26 delivery evidence seen.</t>
        </is>
      </c>
      <c r="AN433" s="77" t="inlineStr"/>
      <c r="AO433" s="77" t="inlineStr">
        <is>
          <t>UK</t>
        </is>
      </c>
      <c r="AP433" s="77" t="inlineStr">
        <is>
          <t>UK – additional</t>
        </is>
      </c>
      <c r="AQ433" s="77" t="inlineStr">
        <is>
          <t>~1 term/semester</t>
        </is>
      </c>
      <c r="AR433" s="77" t="inlineStr">
        <is>
          <t>Unclear (only LPT evidenced)</t>
        </is>
      </c>
      <c r="AS433" s="77" t="inlineStr"/>
    </row>
    <row r="434">
      <c r="A434" s="77" t="inlineStr">
        <is>
          <t>UK09</t>
        </is>
      </c>
      <c r="B434" s="77" t="inlineStr">
        <is>
          <t>Leicester</t>
        </is>
      </c>
      <c r="C434" s="77" t="inlineStr">
        <is>
          <t>Programme/course</t>
        </is>
      </c>
      <c r="D434" s="77" t="inlineStr">
        <is>
          <t>UK09-S05</t>
        </is>
      </c>
      <c r="E434" s="77" t="inlineStr"/>
      <c r="F434" s="77" t="inlineStr">
        <is>
          <t>No</t>
        </is>
      </c>
      <c r="G434" s="79" t="inlineStr">
        <is>
          <t>Space Science and Engineering MSc Major Project (Phase A mission study)</t>
        </is>
      </c>
      <c r="H434" s="77" t="inlineStr">
        <is>
          <t>Space Science and Engineering MSc Major Project</t>
        </is>
      </c>
      <c r="I434" s="77" t="inlineStr"/>
      <c r="J434"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34" s="77" t="inlineStr">
        <is>
          <t>School of Engineering / Space Park Leicester</t>
        </is>
      </c>
      <c r="L434" s="77" t="inlineStr">
        <is>
          <t>MSc Space Science and Engineering (formerly Space Exploration Systems)</t>
        </is>
      </c>
      <c r="M434" s="77" t="inlineStr">
        <is>
          <t>Engineering/computing; Science</t>
        </is>
      </c>
      <c r="N434" s="77" t="inlineStr">
        <is>
          <t>Postgraduate taught</t>
        </is>
      </c>
      <c r="O434" s="77" t="inlineStr"/>
      <c r="P434" s="77" t="inlineStr"/>
      <c r="Q434" s="77" t="inlineStr">
        <is>
          <t>Unclear</t>
        </is>
      </c>
      <c r="R434" s="77" t="inlineStr">
        <is>
          <t>Curricular</t>
        </is>
      </c>
      <c r="S434" s="77" t="inlineStr">
        <is>
          <t>Credit weight not found; three panel reviews plus group executive summary and individual reports</t>
        </is>
      </c>
      <c r="T434" s="77" t="inlineStr">
        <is>
          <t>Second half of the MSc year</t>
        </is>
      </c>
      <c r="U434" s="77" t="inlineStr">
        <is>
          <t>Team mission-study project; optional international pathway</t>
        </is>
      </c>
      <c r="V434" s="77" t="inlineStr">
        <is>
          <t>Yes</t>
        </is>
      </c>
      <c r="W434" s="77" t="inlineStr">
        <is>
          <t>Phase A mission concept study with Yellow Book study report [1].</t>
        </is>
      </c>
      <c r="X434" s="77" t="inlineStr">
        <is>
          <t>Yes</t>
        </is>
      </c>
      <c r="Y434" s="77" t="inlineStr">
        <is>
          <t>Students work in teams; group executive summary plus individual reports [1].</t>
        </is>
      </c>
      <c r="Z434" s="77" t="inlineStr">
        <is>
          <t>Yes</t>
        </is>
      </c>
      <c r="AA434" s="77" t="inlineStr">
        <is>
          <t>Mission concept supplied by industry partner(s); panel of academic and industry experts reviews; UK/international themes chosen by a project committee including industry [1].</t>
        </is>
      </c>
      <c r="AB434" s="77" t="inlineStr">
        <is>
          <t>Mixed</t>
        </is>
      </c>
      <c r="AC434" s="77" t="inlineStr">
        <is>
          <t>Industry sets mission concept and reviews; space agencies (ASI, CNES) and Thales Alenia Space in SEEDS pathway.</t>
        </is>
      </c>
      <c r="AD434" s="77" t="inlineStr">
        <is>
          <t>Thales Alenia Space Italy, ASI, CNES (SEEDS pathway; year not stated)</t>
        </is>
      </c>
      <c r="AE434" s="77" t="inlineStr">
        <is>
          <t>Phase A study report (Yellow Book) with group executive summary</t>
        </is>
      </c>
      <c r="AF434" s="77">
        <f>IF(OR(V434="No",X434="No",Z434="No"),"Outside strict definition",IF(AND(V434="Yes",X434="Yes",Z434="Yes"),"Meets all three","Potentially relevant; evidence incomplete"))</f>
        <v/>
      </c>
      <c r="AG434" s="77" t="inlineStr">
        <is>
          <t>Current status unclear</t>
        </is>
      </c>
      <c r="AH434" s="77" t="inlineStr">
        <is>
          <t>2025/26 (programme spec exists; content not verified)</t>
        </is>
      </c>
      <c r="AI434" s="77" t="inlineStr">
        <is>
          <t>Yes</t>
        </is>
      </c>
      <c r="AJ434" s="77">
        <f>IF(AND(AI434="Yes",AF434="Meets all three",AG434="Current delivery confirmed"),"Yes","No")</f>
        <v/>
      </c>
      <c r="AK434" s="77" t="inlineStr"/>
      <c r="AL434" s="77" t="inlineStr">
        <is>
          <t>UK09-S05-R1; UK09-S05-R2</t>
        </is>
      </c>
      <c r="AM434" s="77" t="inlineStr">
        <is>
          <t>Programme was renamed (Space Exploration Systems MSc page noted as under review); 2025/26 specification content for the project not verified; credit weight and whether compulsory not confirmed; individual partner names for UK projects not found.</t>
        </is>
      </c>
      <c r="AN434" s="77" t="inlineStr"/>
      <c r="AO434" s="77" t="inlineStr">
        <is>
          <t>UK</t>
        </is>
      </c>
      <c r="AP434" s="77" t="inlineStr">
        <is>
          <t>UK – additional</t>
        </is>
      </c>
      <c r="AQ434" s="77" t="inlineStr">
        <is>
          <t>~1 term/semester</t>
        </is>
      </c>
      <c r="AR434" s="77" t="inlineStr">
        <is>
          <t>All/standard</t>
        </is>
      </c>
      <c r="AS434" s="77" t="inlineStr"/>
    </row>
    <row r="435">
      <c r="A435" s="77" t="inlineStr">
        <is>
          <t>UK09</t>
        </is>
      </c>
      <c r="B435" s="77" t="inlineStr">
        <is>
          <t>Leicester</t>
        </is>
      </c>
      <c r="C435" s="77" t="inlineStr">
        <is>
          <t>Programme/course</t>
        </is>
      </c>
      <c r="D435" s="77" t="inlineStr">
        <is>
          <t>UK09-S06</t>
        </is>
      </c>
      <c r="E435" s="77" t="inlineStr"/>
      <c r="F435" s="77" t="inlineStr">
        <is>
          <t>No</t>
        </is>
      </c>
      <c r="G435" s="79" t="inlineStr">
        <is>
          <t>Physics MPhys industrial group research project</t>
        </is>
      </c>
      <c r="H435" s="77" t="inlineStr">
        <is>
          <t>Group research project with an industrial partner (Physics MPhys)</t>
        </is>
      </c>
      <c r="I435" s="77" t="inlineStr"/>
      <c r="J435"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35" s="77" t="inlineStr">
        <is>
          <t>School of Physics and Astronomy</t>
        </is>
      </c>
      <c r="L435" s="77" t="inlineStr">
        <is>
          <t>Physics MPhys variants and Physics BSc (course pages)</t>
        </is>
      </c>
      <c r="M435" s="77" t="inlineStr">
        <is>
          <t>Science</t>
        </is>
      </c>
      <c r="N435" s="77" t="inlineStr">
        <is>
          <t>Undergraduate</t>
        </is>
      </c>
      <c r="O435" s="77" t="inlineStr">
        <is>
          <t>Year 3</t>
        </is>
      </c>
      <c r="P435" s="77" t="inlineStr"/>
      <c r="Q435" s="77" t="inlineStr">
        <is>
          <t>Optional/elective</t>
        </is>
      </c>
      <c r="R435" s="77" t="inlineStr">
        <is>
          <t>Curricular</t>
        </is>
      </c>
      <c r="S435" s="77" t="inlineStr">
        <is>
          <t>Not found</t>
        </is>
      </c>
      <c r="T435" s="77" t="inlineStr">
        <is>
          <t>10 weeks</t>
        </is>
      </c>
      <c r="U435" s="77" t="inlineStr">
        <is>
          <t>Group research project with industrial partner</t>
        </is>
      </c>
      <c r="V435" s="77" t="inlineStr">
        <is>
          <t>Yes</t>
        </is>
      </c>
      <c r="W435" s="77" t="inlineStr">
        <is>
          <t>'Real project' group research project [1].</t>
        </is>
      </c>
      <c r="X435" s="77" t="inlineStr">
        <is>
          <t>Yes</t>
        </is>
      </c>
      <c r="Y435" s="77" t="inlineStr">
        <is>
          <t>Described as a ten-week group research project [1].</t>
        </is>
      </c>
      <c r="Z435" s="77" t="inlineStr">
        <is>
          <t>Unclear</t>
        </is>
      </c>
      <c r="AA435" s="77" t="inlineStr">
        <is>
          <t>Project is 'with an industrial partner' and partners are named, but how the partner participates (sets the problem, supervises, receives output) is not stated [1].</t>
        </is>
      </c>
      <c r="AB435" s="77" t="inlineStr">
        <is>
          <t>Business/commercial</t>
        </is>
      </c>
      <c r="AC435" s="77" t="inlineStr">
        <is>
          <t>Not specified beyond partnering on the project.</t>
        </is>
      </c>
      <c r="AD435" s="77" t="inlineStr">
        <is>
          <t>Airbus Defence and Space, Jorin Ltd., Domino Printing, Weatherford International (course page examples; year not stated)</t>
        </is>
      </c>
      <c r="AE435" s="77" t="inlineStr">
        <is>
          <t>Group research project output (not specified)</t>
        </is>
      </c>
      <c r="AF435" s="77">
        <f>IF(OR(V435="No",X435="No",Z435="No"),"Outside strict definition",IF(AND(V435="Yes",X435="Yes",Z435="Yes"),"Meets all three","Potentially relevant; evidence incomplete"))</f>
        <v/>
      </c>
      <c r="AG435" s="77" t="inlineStr">
        <is>
          <t>Current status unclear</t>
        </is>
      </c>
      <c r="AH435" s="77" t="inlineStr">
        <is>
          <t>undated</t>
        </is>
      </c>
      <c r="AI435" s="77" t="inlineStr">
        <is>
          <t>Yes</t>
        </is>
      </c>
      <c r="AJ435" s="77">
        <f>IF(AND(AI435="Yes",AF435="Meets all three",AG435="Current delivery confirmed"),"Yes","No")</f>
        <v/>
      </c>
      <c r="AK435" s="77" t="inlineStr"/>
      <c r="AL435" s="77" t="inlineStr">
        <is>
          <t>UK09-S06-R1</t>
        </is>
      </c>
      <c r="AM435" s="77" t="inlineStr">
        <is>
          <t>Pages are 250-850 days old; module code, credits, assessment and partner role not found; relationship to PA3241 Industry Project unclear. Duration is ten weeks (band shown conservatively as per brief categories; closer to ~1 term).</t>
        </is>
      </c>
      <c r="AN435" s="77" t="inlineStr"/>
      <c r="AO435" s="77" t="inlineStr">
        <is>
          <t>UK</t>
        </is>
      </c>
      <c r="AP435" s="77" t="inlineStr">
        <is>
          <t>UK – additional</t>
        </is>
      </c>
      <c r="AQ435" s="77" t="inlineStr">
        <is>
          <t>~1 term/semester</t>
        </is>
      </c>
      <c r="AR435" s="77" t="inlineStr">
        <is>
          <t>Unclear</t>
        </is>
      </c>
      <c r="AS435" s="77" t="inlineStr"/>
    </row>
    <row r="436">
      <c r="A436" s="77" t="inlineStr">
        <is>
          <t>UK09</t>
        </is>
      </c>
      <c r="B436" s="77" t="inlineStr">
        <is>
          <t>Leicester</t>
        </is>
      </c>
      <c r="C436" s="77" t="inlineStr">
        <is>
          <t>Faculty/school</t>
        </is>
      </c>
      <c r="D436" s="77" t="inlineStr">
        <is>
          <t>UK09-S07</t>
        </is>
      </c>
      <c r="E436" s="77" t="inlineStr"/>
      <c r="F436" s="77" t="inlineStr">
        <is>
          <t>No</t>
        </is>
      </c>
      <c r="G436" s="79" t="inlineStr">
        <is>
          <t>AI Agentic Solutions in Business Project (EMPAIP)</t>
        </is>
      </c>
      <c r="H436" s="77" t="inlineStr">
        <is>
          <t>AI Agentic Solutions in Business Project</t>
        </is>
      </c>
      <c r="I436" s="77" t="inlineStr"/>
      <c r="J436"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36" s="77" t="inlineStr">
        <is>
          <t>School of Business</t>
        </is>
      </c>
      <c r="L436" s="77" t="inlineStr">
        <is>
          <t>Postgraduate taught School of Business programmes with AI pathway (International Business MSc, Strategic Marketing MSc)</t>
        </is>
      </c>
      <c r="M436" s="77" t="inlineStr">
        <is>
          <t>Business/management</t>
        </is>
      </c>
      <c r="N436" s="77" t="inlineStr">
        <is>
          <t>Postgraduate taught</t>
        </is>
      </c>
      <c r="O436" s="77" t="inlineStr"/>
      <c r="P436" s="77" t="inlineStr"/>
      <c r="Q436" s="77" t="inlineStr">
        <is>
          <t>Optional/elective</t>
        </is>
      </c>
      <c r="R436" s="77" t="inlineStr">
        <is>
          <t>Curricular</t>
        </is>
      </c>
      <c r="S436" s="77" t="inlineStr">
        <is>
          <t>60 credits, in place of dissertation</t>
        </is>
      </c>
      <c r="T436" s="77" t="inlineStr">
        <is>
          <t>Dissertation period (not stated)</t>
        </is>
      </c>
      <c r="U436" s="77" t="inlineStr">
        <is>
          <t>Employer-brief project</t>
        </is>
      </c>
      <c r="V436" s="77" t="inlineStr">
        <is>
          <t>Yes</t>
        </is>
      </c>
      <c r="W436" s="77" t="inlineStr">
        <is>
          <t>Authentic business challenges addressed by designing/deploying AI agent solutions [1].</t>
        </is>
      </c>
      <c r="X436" s="77" t="inlineStr">
        <is>
          <t>Unclear</t>
        </is>
      </c>
      <c r="Y436" s="77" t="inlineStr">
        <is>
          <t>No source states team or individual working [1][2].</t>
        </is>
      </c>
      <c r="Z436" s="77" t="inlineStr">
        <is>
          <t>Yes</t>
        </is>
      </c>
      <c r="AA436" s="77" t="inlineStr">
        <is>
          <t>'Based on real employer briefs' [1]; how employers supervise/receive outputs not detailed.</t>
        </is>
      </c>
      <c r="AB436" s="77" t="inlineStr">
        <is>
          <t>Business/commercial</t>
        </is>
      </c>
      <c r="AC436" s="77" t="inlineStr">
        <is>
          <t>Supply real briefs; local employers (regional ecosystem).</t>
        </is>
      </c>
      <c r="AD436" s="77" t="inlineStr"/>
      <c r="AE436" s="77" t="inlineStr">
        <is>
          <t>AI agent solution for employer need (assumed; not detailed)</t>
        </is>
      </c>
      <c r="AF436" s="77">
        <f>IF(OR(V436="No",X436="No",Z436="No"),"Outside strict definition",IF(AND(V436="Yes",X436="Yes",Z436="Yes"),"Meets all three","Potentially relevant; evidence incomplete"))</f>
        <v/>
      </c>
      <c r="AG436" s="77" t="inlineStr">
        <is>
          <t>Announced/forthcoming</t>
        </is>
      </c>
      <c r="AH436" s="77" t="inlineStr">
        <is>
          <t>2026</t>
        </is>
      </c>
      <c r="AI436" s="77" t="inlineStr">
        <is>
          <t>Yes</t>
        </is>
      </c>
      <c r="AJ436" s="77">
        <f>IF(AND(AI436="Yes",AF436="Meets all three",AG436="Current delivery confirmed"),"Yes","No")</f>
        <v/>
      </c>
      <c r="AK436" s="77" t="inlineStr">
        <is>
          <t>~180 students per year expected (announcement, 2026)</t>
        </is>
      </c>
      <c r="AL436" s="77" t="inlineStr">
        <is>
          <t>UK09-S07-R1; UK09-S07-R2</t>
        </is>
      </c>
      <c r="AM436" s="77" t="inlineStr">
        <is>
          <t>Group vs individual unknown; first cohort start date and partner names not found.</t>
        </is>
      </c>
      <c r="AN436" s="77" t="inlineStr"/>
      <c r="AO436" s="77" t="inlineStr">
        <is>
          <t>UK</t>
        </is>
      </c>
      <c r="AP436" s="77" t="inlineStr">
        <is>
          <t>UK – additional</t>
        </is>
      </c>
      <c r="AQ436" s="77" t="inlineStr">
        <is>
          <t>Unclear</t>
        </is>
      </c>
      <c r="AR436" s="77" t="inlineStr">
        <is>
          <t>All/standard (design principle, per announcement)</t>
        </is>
      </c>
      <c r="AS436" s="77" t="inlineStr"/>
    </row>
    <row r="437">
      <c r="A437" s="77" t="inlineStr">
        <is>
          <t>UK09</t>
        </is>
      </c>
      <c r="B437" s="77" t="inlineStr">
        <is>
          <t>Leicester</t>
        </is>
      </c>
      <c r="C437" s="77" t="inlineStr">
        <is>
          <t>Programme/course</t>
        </is>
      </c>
      <c r="D437" s="77" t="inlineStr">
        <is>
          <t>UK09-S08</t>
        </is>
      </c>
      <c r="E437" s="77" t="inlineStr"/>
      <c r="F437" s="77" t="inlineStr">
        <is>
          <t>No</t>
        </is>
      </c>
      <c r="G437" s="79" t="inlineStr">
        <is>
          <t>EG4007 Group Project (Mechanical/General/Aerospace Engineering MEng)</t>
        </is>
      </c>
      <c r="H437" s="77" t="inlineStr">
        <is>
          <t>Engineering MEng Group Project</t>
        </is>
      </c>
      <c r="I437" s="77" t="inlineStr">
        <is>
          <t>EG4007</t>
        </is>
      </c>
      <c r="J437"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37" s="77" t="inlineStr">
        <is>
          <t>School of Engineering</t>
        </is>
      </c>
      <c r="L437" s="77" t="inlineStr">
        <is>
          <t>MEng engineering degrees (Mechanical; likely General/Aerospace)</t>
        </is>
      </c>
      <c r="M437" s="77" t="inlineStr">
        <is>
          <t>Engineering/computing</t>
        </is>
      </c>
      <c r="N437" s="77" t="inlineStr">
        <is>
          <t>Undergraduate</t>
        </is>
      </c>
      <c r="O437" s="77" t="inlineStr">
        <is>
          <t>Year 4 (MEng)</t>
        </is>
      </c>
      <c r="P437" s="77" t="inlineStr"/>
      <c r="Q437" s="77" t="inlineStr">
        <is>
          <t>Compulsory within specified programmes</t>
        </is>
      </c>
      <c r="R437" s="77" t="inlineStr">
        <is>
          <t>Curricular</t>
        </is>
      </c>
      <c r="S437" s="77" t="inlineStr">
        <is>
          <t>30 credits year-long; must be passed for MEng (professional body accreditation)</t>
        </is>
      </c>
      <c r="T437" s="77" t="inlineStr">
        <is>
          <t>Year-long</t>
        </is>
      </c>
      <c r="U437" s="77" t="inlineStr">
        <is>
          <t>Team project</t>
        </is>
      </c>
      <c r="V437" s="77" t="inlineStr">
        <is>
          <t>Yes</t>
        </is>
      </c>
      <c r="W437" s="77" t="inlineStr">
        <is>
          <t>Group engineering challenge project [1].</t>
        </is>
      </c>
      <c r="X437" s="77" t="inlineStr">
        <is>
          <t>Yes</t>
        </is>
      </c>
      <c r="Y437" s="77" t="inlineStr">
        <is>
          <t>Group project, students from several disciplines [1].</t>
        </is>
      </c>
      <c r="Z437" s="77" t="inlineStr">
        <is>
          <t>Unclear</t>
        </is>
      </c>
      <c r="AA437" s="77" t="inlineStr">
        <is>
          <t>'May also include output from an industrial partner'; visits from partners possible [1]. Optional/occasional wording, no documented standard external client.</t>
        </is>
      </c>
      <c r="AB437" s="77" t="inlineStr">
        <is>
          <t>Unclear</t>
        </is>
      </c>
      <c r="AC437" s="77" t="inlineStr">
        <is>
          <t>Occasional industrial input; role unspecified.</t>
        </is>
      </c>
      <c r="AD437" s="77" t="inlineStr"/>
      <c r="AE437" s="77" t="inlineStr">
        <is>
          <t>Group engineering project output</t>
        </is>
      </c>
      <c r="AF437" s="77">
        <f>IF(OR(V437="No",X437="No",Z437="No"),"Outside strict definition",IF(AND(V437="Yes",X437="Yes",Z437="Yes"),"Meets all three","Potentially relevant; evidence incomplete"))</f>
        <v/>
      </c>
      <c r="AG437" s="77" t="inlineStr">
        <is>
          <t>Current status unclear</t>
        </is>
      </c>
      <c r="AH437" s="77" t="inlineStr">
        <is>
          <t>2025/26 (spec listed; content not verified)</t>
        </is>
      </c>
      <c r="AI437" s="77" t="inlineStr">
        <is>
          <t>Yes</t>
        </is>
      </c>
      <c r="AJ437" s="77">
        <f>IF(AND(AI437="Yes",AF437="Meets all three",AG437="Current delivery confirmed"),"Yes","No")</f>
        <v/>
      </c>
      <c r="AK437" s="77" t="inlineStr"/>
      <c r="AL437" s="77" t="inlineStr">
        <is>
          <t>UK09-S08-R1</t>
        </is>
      </c>
      <c r="AM437" s="77" t="inlineStr">
        <is>
          <t>Whether any group projects are industrially sponsored and how; 2025/26 and 2026/27 mechanical engineering specifications exist but extracts not obtained.</t>
        </is>
      </c>
      <c r="AN437" s="77" t="inlineStr"/>
      <c r="AO437" s="77" t="inlineStr">
        <is>
          <t>UK</t>
        </is>
      </c>
      <c r="AP437" s="77" t="inlineStr">
        <is>
          <t>UK – additional</t>
        </is>
      </c>
      <c r="AQ437" s="77" t="inlineStr">
        <is>
          <t>&gt;1 term</t>
        </is>
      </c>
      <c r="AR437" s="77" t="inlineStr">
        <is>
          <t>Some projects</t>
        </is>
      </c>
      <c r="AS437" s="77" t="inlineStr"/>
    </row>
    <row r="438">
      <c r="A438" s="77" t="inlineStr">
        <is>
          <t>UK09</t>
        </is>
      </c>
      <c r="B438" s="77" t="inlineStr">
        <is>
          <t>Leicester</t>
        </is>
      </c>
      <c r="C438" s="77" t="inlineStr">
        <is>
          <t>Programme/course</t>
        </is>
      </c>
      <c r="D438" s="77" t="inlineStr">
        <is>
          <t>UK09-S09</t>
        </is>
      </c>
      <c r="E438" s="77" t="inlineStr"/>
      <c r="F438" s="77" t="inlineStr">
        <is>
          <t>No</t>
        </is>
      </c>
      <c r="G438" s="79" t="inlineStr">
        <is>
          <t>Consultancy Challenge</t>
        </is>
      </c>
      <c r="H438" s="77" t="inlineStr">
        <is>
          <t>Consultancy Challenge</t>
        </is>
      </c>
      <c r="I438" s="77" t="inlineStr">
        <is>
          <t>MK2105</t>
        </is>
      </c>
      <c r="J438" s="77" t="inlineStr">
        <is>
          <t>15-credit Semester 2 Year 2 option on Business and Management BSc/BA (and Business and Law BA). Module pages list it but do not describe the activity, team structure or whether clients are real.</t>
        </is>
      </c>
      <c r="K438" s="77" t="inlineStr">
        <is>
          <t>School of Business</t>
        </is>
      </c>
      <c r="L438" s="77" t="inlineStr">
        <is>
          <t>Business and Management BSc/BA; Business and Law BA</t>
        </is>
      </c>
      <c r="M438" s="77" t="inlineStr">
        <is>
          <t>Business/management</t>
        </is>
      </c>
      <c r="N438" s="77" t="inlineStr">
        <is>
          <t>Undergraduate</t>
        </is>
      </c>
      <c r="O438" s="77" t="inlineStr">
        <is>
          <t>Year 2</t>
        </is>
      </c>
      <c r="P438" s="77" t="inlineStr"/>
      <c r="Q438" s="77" t="inlineStr">
        <is>
          <t>Optional/elective</t>
        </is>
      </c>
      <c r="R438" s="77" t="inlineStr">
        <is>
          <t>Curricular</t>
        </is>
      </c>
      <c r="S438" s="77" t="inlineStr">
        <is>
          <t>15 credits, Semester 2</t>
        </is>
      </c>
      <c r="T438" s="77" t="inlineStr">
        <is>
          <t>Semester 2</t>
        </is>
      </c>
      <c r="U438" s="77" t="inlineStr">
        <is>
          <t>Unknown</t>
        </is>
      </c>
      <c r="V438" s="77" t="inlineStr">
        <is>
          <t>Unclear</t>
        </is>
      </c>
      <c r="W438" s="77" t="inlineStr">
        <is>
          <t>Title only [1].</t>
        </is>
      </c>
      <c r="X438" s="77" t="inlineStr">
        <is>
          <t>Unclear</t>
        </is>
      </c>
      <c r="Y438" s="77" t="inlineStr">
        <is>
          <t>Not described.</t>
        </is>
      </c>
      <c r="Z438" s="77" t="inlineStr">
        <is>
          <t>Unclear</t>
        </is>
      </c>
      <c r="AA438" s="77" t="inlineStr">
        <is>
          <t>Not described; the University Employer toolkit separately lists 'summer consultancy challenges' where employers supply a brief, but not tied to this module [2].</t>
        </is>
      </c>
      <c r="AB438" s="77" t="inlineStr">
        <is>
          <t>Unclear</t>
        </is>
      </c>
      <c r="AC438" s="77" t="inlineStr">
        <is>
          <t>Unknown</t>
        </is>
      </c>
      <c r="AD438" s="77" t="inlineStr"/>
      <c r="AE438" s="77" t="inlineStr">
        <is>
          <t>Unknown</t>
        </is>
      </c>
      <c r="AF438" s="77">
        <f>IF(OR(V438="No",X438="No",Z438="No"),"Outside strict definition",IF(AND(V438="Yes",X438="Yes",Z438="Yes"),"Meets all three","Potentially relevant; evidence incomplete"))</f>
        <v/>
      </c>
      <c r="AG438" s="77" t="inlineStr">
        <is>
          <t>Current status unclear</t>
        </is>
      </c>
      <c r="AH438" s="77" t="inlineStr">
        <is>
          <t>2024/25 (programme spec listing)</t>
        </is>
      </c>
      <c r="AI438" s="77" t="inlineStr">
        <is>
          <t>Yes</t>
        </is>
      </c>
      <c r="AJ438" s="77">
        <f>IF(AND(AI438="Yes",AF438="Meets all three",AG438="Current delivery confirmed"),"Yes","No")</f>
        <v/>
      </c>
      <c r="AK438" s="77" t="inlineStr"/>
      <c r="AL438" s="77" t="inlineStr">
        <is>
          <t>UK09-S09-R1; UK09-S09-R2</t>
        </is>
      </c>
      <c r="AM438" s="77" t="inlineStr">
        <is>
          <t>Module content must be checked in module handbook; may be live-client consultancy (title) but unverified.</t>
        </is>
      </c>
      <c r="AN438" s="77" t="inlineStr"/>
      <c r="AO438" s="77" t="inlineStr">
        <is>
          <t>UK</t>
        </is>
      </c>
      <c r="AP438" s="77" t="inlineStr">
        <is>
          <t>UK – additional</t>
        </is>
      </c>
      <c r="AQ438" s="77" t="inlineStr">
        <is>
          <t>~1 term/semester</t>
        </is>
      </c>
      <c r="AR438" s="77" t="inlineStr">
        <is>
          <t>Unclear</t>
        </is>
      </c>
      <c r="AS438" s="77" t="inlineStr"/>
    </row>
    <row r="439">
      <c r="A439" s="77" t="inlineStr">
        <is>
          <t>UK10</t>
        </is>
      </c>
      <c r="B439" s="77" t="inlineStr">
        <is>
          <t>Strathclyde</t>
        </is>
      </c>
      <c r="C439" s="77" t="inlineStr">
        <is>
          <t>Cross-faculty</t>
        </is>
      </c>
      <c r="D439" s="77" t="inlineStr">
        <is>
          <t>UK10-S01</t>
        </is>
      </c>
      <c r="E439" s="77" t="inlineStr"/>
      <c r="F439" s="77" t="inlineStr">
        <is>
          <t>No</t>
        </is>
      </c>
      <c r="G439" s="79" t="inlineStr">
        <is>
          <t>Vertically Integrated Projects for Sustainable Development (VIP4SD)</t>
        </is>
      </c>
      <c r="H439" s="77" t="inlineStr">
        <is>
          <t>Vertically Integrated Projects for Sustainable Development</t>
        </is>
      </c>
      <c r="I439" s="77" t="inlineStr"/>
      <c r="J439"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39" s="77" t="inlineStr">
        <is>
          <t>Centre for Sustainable Development / VIP4SD programme</t>
        </is>
      </c>
      <c r="L439" s="77" t="inlineStr">
        <is>
          <t>Projects across all four faculties (being introduced across all four faculties per Nov 2025 strategy); eligibility and credit values said to be listed on the programme site but not retrieved.</t>
        </is>
      </c>
      <c r="M439" s="77" t="inlineStr">
        <is>
          <t>Central provision; Engineering/computing; Science; Arts/humanities/social sciences; Business/management</t>
        </is>
      </c>
      <c r="N439" s="77" t="inlineStr">
        <is>
          <t>Mixed</t>
        </is>
      </c>
      <c r="O439" s="77" t="inlineStr">
        <is>
          <t>From second year to Honours and beyond (multi-year)</t>
        </is>
      </c>
      <c r="P439" s="77" t="inlineStr">
        <is>
          <t>Students in participating degrees and project teams; credit depends on degree.</t>
        </is>
      </c>
      <c r="Q439" s="77" t="inlineStr">
        <is>
          <t>Optional/elective</t>
        </is>
      </c>
      <c r="R439" s="77" t="inlineStr">
        <is>
          <t>Curricular</t>
        </is>
      </c>
      <c r="S439" s="77" t="inlineStr">
        <is>
          <t>Academic credit towards degree (value not retrieved).</t>
        </is>
      </c>
      <c r="T439" s="77" t="inlineStr">
        <is>
          <t>Multi-year participation; annual project cycles</t>
        </is>
      </c>
      <c r="U439" s="77" t="inlineStr">
        <is>
          <t>In-person project teams, vertically integrated</t>
        </is>
      </c>
      <c r="V439" s="77" t="inlineStr">
        <is>
          <t>Yes</t>
        </is>
      </c>
      <c r="W439" s="77" t="inlineStr">
        <is>
          <t>Research/challenge projects with defined SDG-related aims and outputs (e.g. solar PV installations, school STEM teaching) [1][2].</t>
        </is>
      </c>
      <c r="X439" s="77" t="inlineStr">
        <is>
          <t>Yes</t>
        </is>
      </c>
      <c r="Y439" s="77" t="inlineStr">
        <is>
          <t>Teams of students from different year groups and disciplines work collaboratively with staff and postgraduate researchers [1][2].</t>
        </is>
      </c>
      <c r="Z439" s="77" t="inlineStr">
        <is>
          <t>Unclear</t>
        </is>
      </c>
      <c r="AA439"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39" s="77" t="inlineStr">
        <is>
          <t>Mixed</t>
        </is>
      </c>
      <c r="AC439" s="77" t="inlineStr">
        <is>
          <t>Collaborators/beneficiaries on individual projects (schools, NHS, overseas institutions); programme-level partners include Scottish Government, Royal Academy of Engineering, EAUC.</t>
        </is>
      </c>
      <c r="AD439" s="77" t="inlineStr">
        <is>
          <t>Local schools, NHS, partners in Malawi, Rwanda and the Gambia (undated programme pages)</t>
        </is>
      </c>
      <c r="AE439" s="77" t="inlineStr">
        <is>
          <t>Project outputs (e.g. installations, teaching interventions, research outputs)</t>
        </is>
      </c>
      <c r="AF439" s="77">
        <f>IF(OR(V439="No",X439="No",Z439="No"),"Outside strict definition",IF(AND(V439="Yes",X439="Yes",Z439="Yes"),"Meets all three","Potentially relevant; evidence incomplete"))</f>
        <v/>
      </c>
      <c r="AG439" s="77" t="inlineStr">
        <is>
          <t>Current delivery confirmed</t>
        </is>
      </c>
      <c r="AH439" s="77" t="inlineStr">
        <is>
          <t>2025</t>
        </is>
      </c>
      <c r="AI439" s="77" t="inlineStr">
        <is>
          <t>Yes</t>
        </is>
      </c>
      <c r="AJ439" s="77">
        <f>IF(AND(AI439="Yes",AF439="Meets all three",AG439="Current delivery confirmed"),"Yes","No")</f>
        <v/>
      </c>
      <c r="AK439" s="77" t="inlineStr">
        <is>
          <t>Approx. 200 students across 20 interdisciplinary research projects (University sustainability strategy case study, SESS30, Nov 2025 document).</t>
        </is>
      </c>
      <c r="AL439" s="77" t="inlineStr">
        <is>
          <t>UK10-S01-R1; UK10-S01-R2; UK10-S01-R3</t>
        </is>
      </c>
      <c r="AM439" s="77" t="inlineStr">
        <is>
          <t>Credit value per project, eligibility, and whether external organisations set briefs or only benefit. Participation figures are from an undated case study within a Nov 2025 document.</t>
        </is>
      </c>
      <c r="AN439" s="77" t="inlineStr">
        <is>
          <t>Vertically Integrated Projects for Sustainable Development</t>
        </is>
      </c>
      <c r="AO439" s="77" t="inlineStr">
        <is>
          <t>UK</t>
        </is>
      </c>
      <c r="AP439" s="77" t="inlineStr">
        <is>
          <t>UK – additional</t>
        </is>
      </c>
      <c r="AQ439" s="77" t="inlineStr">
        <is>
          <t>&gt;1 term</t>
        </is>
      </c>
      <c r="AR439" s="77" t="inlineStr">
        <is>
          <t>Some projects</t>
        </is>
      </c>
      <c r="AS439" s="77" t="inlineStr"/>
    </row>
    <row r="440">
      <c r="A440" s="77" t="inlineStr">
        <is>
          <t>UK10</t>
        </is>
      </c>
      <c r="B440" s="77" t="inlineStr">
        <is>
          <t>Strathclyde</t>
        </is>
      </c>
      <c r="C440" s="77" t="inlineStr">
        <is>
          <t>Programme/course</t>
        </is>
      </c>
      <c r="D440" s="77" t="inlineStr">
        <is>
          <t>UK10-S02</t>
        </is>
      </c>
      <c r="E440" s="77" t="inlineStr"/>
      <c r="F440" s="77" t="inlineStr">
        <is>
          <t>No</t>
        </is>
      </c>
      <c r="G440" s="79" t="inlineStr">
        <is>
          <t>DMEM Industrial Group Projects (IGP) / Industrial Projects scheme</t>
        </is>
      </c>
      <c r="H440" s="77" t="inlineStr">
        <is>
          <t>Design, Manufacturing &amp; Engineering Management Industrial Group Projects</t>
        </is>
      </c>
      <c r="I440" s="77" t="inlineStr"/>
      <c r="J440"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40" s="77" t="inlineStr">
        <is>
          <t>Department of Design, Manufacturing &amp; Engineering Management (Faculty of Engineering)</t>
        </is>
      </c>
      <c r="L440" s="77" t="inlineStr">
        <is>
          <t>Senior undergraduate and postgraduate taught students on DMEM product design, manufacture and engineering management related degrees (e.g. MEng Manufacturing Engineering with Management, MSc Systems Engineering Management, Product Design Engineering).</t>
        </is>
      </c>
      <c r="M440" s="77" t="inlineStr">
        <is>
          <t>Engineering/computing</t>
        </is>
      </c>
      <c r="N440" s="77" t="inlineStr">
        <is>
          <t>Mixed</t>
        </is>
      </c>
      <c r="O440" s="77" t="inlineStr">
        <is>
          <t>Senior undergraduate (e.g. year 4) and PGT</t>
        </is>
      </c>
      <c r="P440" s="77" t="inlineStr">
        <is>
          <t>Students on participating DMEM programmes.</t>
        </is>
      </c>
      <c r="Q440" s="77" t="inlineStr">
        <is>
          <t>Compulsory within specified programmes</t>
        </is>
      </c>
      <c r="R440" s="77" t="inlineStr">
        <is>
          <t>Curricular</t>
        </is>
      </c>
      <c r="S440" s="77" t="inlineStr">
        <is>
          <t>40-credit module on MSc Systems Engineering Management (course page); BEng assessment: brief and report/folio 75%, critiques 25% (per search summary). Credit values on other programmes not confirmed.</t>
        </is>
      </c>
      <c r="T440" s="77" t="inlineStr">
        <is>
          <t>October to May; January to August</t>
        </is>
      </c>
      <c r="U440" s="77" t="inlineStr">
        <is>
          <t>In-person team projects with client liaison; presentation day in May/August</t>
        </is>
      </c>
      <c r="V440" s="77" t="inlineStr">
        <is>
          <t>Yes</t>
        </is>
      </c>
      <c r="W440" s="77" t="inlineStr">
        <is>
          <t>Defined client brief, four staged milestones, final report/prototype/CAD/data [1][2].</t>
        </is>
      </c>
      <c r="X440" s="77" t="inlineStr">
        <is>
          <t>Yes</t>
        </is>
      </c>
      <c r="Y440" s="77" t="inlineStr">
        <is>
          <t>'Team-based industrial project'; project allocated to a team of single- or multi-discipline students [1][2][3].</t>
        </is>
      </c>
      <c r="Z440" s="77" t="inlineStr">
        <is>
          <t>Yes</t>
        </is>
      </c>
      <c r="AA440" s="77" t="inlineStr">
        <is>
          <t>Company sets the brief, nominates a representative, gives formal feedback at each stage and is expected to attend the presentation day [1][2]; MSc SEM students present to the client [3].</t>
        </is>
      </c>
      <c r="AB440" s="77" t="inlineStr">
        <is>
          <t>Mixed</t>
        </is>
      </c>
      <c r="AC440" s="77" t="inlineStr">
        <is>
          <t>Client company sets brief, liaises, gives milestone feedback, attends presentation day.</t>
        </is>
      </c>
      <c r="AD440" s="77" t="inlineStr">
        <is>
          <t>Babcock, BAE Systems, Rolls-Royce, Thales, Jacobs (SEM course page, undated); Rolls-Royce, Unilever, Jaguar Land Rover, NHS listed as companies worked with (DMEM page); Royal Botanic Garden Edinburgh in 2021-22 catalogue</t>
        </is>
      </c>
      <c r="AE440" s="77" t="inlineStr">
        <is>
          <t>Report, often with prototype, CAD layouts or experimental data; client presentation</t>
        </is>
      </c>
      <c r="AF440" s="77">
        <f>IF(OR(V440="No",X440="No",Z440="No"),"Outside strict definition",IF(AND(V440="Yes",X440="Yes",Z440="Yes"),"Meets all three","Potentially relevant; evidence incomplete"))</f>
        <v/>
      </c>
      <c r="AG440" s="77" t="inlineStr">
        <is>
          <t>Current delivery confirmed</t>
        </is>
      </c>
      <c r="AH440" s="77" t="inlineStr">
        <is>
          <t>2024/25 (IGP Presentation Day 9 May 2025)</t>
        </is>
      </c>
      <c r="AI440" s="77" t="inlineStr">
        <is>
          <t>Yes</t>
        </is>
      </c>
      <c r="AJ440" s="77">
        <f>IF(AND(AI440="Yes",AF440="Meets all three",AG440="Current delivery confirmed"),"Yes","No")</f>
        <v/>
      </c>
      <c r="AK440" s="77" t="inlineStr"/>
      <c r="AL440" s="77" t="inlineStr">
        <is>
          <t>UK10-S02-R1; UK10-S02-R2; UK10-S02-R3; UK10-S02-R4</t>
        </is>
      </c>
      <c r="AM440" s="77" t="inlineStr">
        <is>
          <t>Credit values and compulsory status per programme beyond MSc SEM; no 2025/26 cohort list found (dated evidence is the May 2025 presentation day record).</t>
        </is>
      </c>
      <c r="AN440" s="77" t="inlineStr"/>
      <c r="AO440" s="77" t="inlineStr">
        <is>
          <t>UK</t>
        </is>
      </c>
      <c r="AP440" s="77" t="inlineStr">
        <is>
          <t>UK – additional</t>
        </is>
      </c>
      <c r="AQ440" s="77" t="inlineStr">
        <is>
          <t>&gt;1 term</t>
        </is>
      </c>
      <c r="AR440" s="77" t="inlineStr">
        <is>
          <t>All/standard</t>
        </is>
      </c>
      <c r="AS440" s="77" t="inlineStr"/>
    </row>
    <row r="441">
      <c r="A441" s="77" t="inlineStr">
        <is>
          <t>UK10</t>
        </is>
      </c>
      <c r="B441" s="77" t="inlineStr">
        <is>
          <t>Strathclyde</t>
        </is>
      </c>
      <c r="C441" s="77" t="inlineStr">
        <is>
          <t>Programme/course</t>
        </is>
      </c>
      <c r="D441" s="77" t="inlineStr">
        <is>
          <t>UK10-S03</t>
        </is>
      </c>
      <c r="E441" s="77" t="inlineStr"/>
      <c r="F441" s="77" t="inlineStr">
        <is>
          <t>No</t>
        </is>
      </c>
      <c r="G441" s="79" t="inlineStr">
        <is>
          <t>MSc Civil Engineering industry-led Group Design Project</t>
        </is>
      </c>
      <c r="H441" s="77" t="inlineStr">
        <is>
          <t>Industry-led Civil Engineering Group Design Project (renewable energy project)</t>
        </is>
      </c>
      <c r="I441" s="77" t="inlineStr"/>
      <c r="J441"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41" s="77" t="inlineStr">
        <is>
          <t>Department of Civil &amp; Environmental Engineering</t>
        </is>
      </c>
      <c r="L441" s="77" t="inlineStr">
        <is>
          <t>MSc Civil Engineering (tied to the sustainability pathways)</t>
        </is>
      </c>
      <c r="M441" s="77" t="inlineStr">
        <is>
          <t>Engineering/computing</t>
        </is>
      </c>
      <c r="N441" s="77" t="inlineStr">
        <is>
          <t>Postgraduate taught</t>
        </is>
      </c>
      <c r="O441" s="77" t="inlineStr"/>
      <c r="P441" s="77" t="inlineStr">
        <is>
          <t>Linked to the MSc Civil Engineering 'sustainability' pathways.</t>
        </is>
      </c>
      <c r="Q441" s="77" t="inlineStr">
        <is>
          <t>Unclear</t>
        </is>
      </c>
      <c r="R441" s="77" t="inlineStr">
        <is>
          <t>Curricular</t>
        </is>
      </c>
      <c r="S441" s="77" t="inlineStr">
        <is>
          <t>20 credits</t>
        </is>
      </c>
      <c r="T441" s="77" t="inlineStr">
        <is>
          <t>One class (semester not retrieved)</t>
        </is>
      </c>
      <c r="U441" s="77" t="inlineStr">
        <is>
          <t>Group design project with industry mentor</t>
        </is>
      </c>
      <c r="V441" s="77" t="inlineStr">
        <is>
          <t>Yes</t>
        </is>
      </c>
      <c r="W441" s="77" t="inlineStr">
        <is>
          <t>Group design project producing a concept-to-detailed design for a renewable energy project [1].</t>
        </is>
      </c>
      <c r="X441" s="77" t="inlineStr">
        <is>
          <t>Yes</t>
        </is>
      </c>
      <c r="Y441" s="77" t="inlineStr">
        <is>
          <t>Described as a Group Design Project [1].</t>
        </is>
      </c>
      <c r="Z441" s="77" t="inlineStr">
        <is>
          <t>Yes</t>
        </is>
      </c>
      <c r="AA441" s="77" t="inlineStr">
        <is>
          <t>Industry mentor gives continuous feedback; mentors named (Arcadis, Ocean Winds, AtkinsRealis, Amey, Skanska) [1]. Role is mentoring/feedback; whether the firm sets the brief is not stated.</t>
        </is>
      </c>
      <c r="AB441" s="77" t="inlineStr">
        <is>
          <t>Business/commercial</t>
        </is>
      </c>
      <c r="AC441" s="77" t="inlineStr">
        <is>
          <t>Industry mentors provide continuous feedback on student projects.</t>
        </is>
      </c>
      <c r="AD441" s="77" t="inlineStr">
        <is>
          <t>Arcadis, Ocean Winds, AtkinsRealis, Amey, Skanska (course page, undated; 'recent projects')</t>
        </is>
      </c>
      <c r="AE441" s="77" t="inlineStr">
        <is>
          <t>Group design report</t>
        </is>
      </c>
      <c r="AF441" s="77">
        <f>IF(OR(V441="No",X441="No",Z441="No"),"Outside strict definition",IF(AND(V441="Yes",X441="Yes",Z441="Yes"),"Meets all three","Potentially relevant; evidence incomplete"))</f>
        <v/>
      </c>
      <c r="AG441" s="77" t="inlineStr">
        <is>
          <t>Current status unclear</t>
        </is>
      </c>
      <c r="AH441" s="77" t="inlineStr"/>
      <c r="AI441" s="77" t="inlineStr">
        <is>
          <t>Yes</t>
        </is>
      </c>
      <c r="AJ441" s="77">
        <f>IF(AND(AI441="Yes",AF441="Meets all three",AG441="Current delivery confirmed"),"Yes","No")</f>
        <v/>
      </c>
      <c r="AK441" s="77" t="inlineStr"/>
      <c r="AL441" s="77" t="inlineStr">
        <is>
          <t>UK10-S03-R1</t>
        </is>
      </c>
      <c r="AM441" s="77" t="inlineStr">
        <is>
          <t>Course page is undated and no dated 2025/26 corroboration found; whether the class is compulsory on the pathways; whether mentors also set briefs.</t>
        </is>
      </c>
      <c r="AN441" s="77" t="inlineStr"/>
      <c r="AO441" s="77" t="inlineStr">
        <is>
          <t>UK</t>
        </is>
      </c>
      <c r="AP441" s="77" t="inlineStr">
        <is>
          <t>UK – additional</t>
        </is>
      </c>
      <c r="AQ441" s="77" t="inlineStr">
        <is>
          <t>~1 term/semester</t>
        </is>
      </c>
      <c r="AR441" s="77" t="inlineStr">
        <is>
          <t>All/standard</t>
        </is>
      </c>
      <c r="AS441" s="77" t="inlineStr"/>
    </row>
    <row r="442">
      <c r="A442" s="77" t="inlineStr">
        <is>
          <t>UK10</t>
        </is>
      </c>
      <c r="B442" s="77" t="inlineStr">
        <is>
          <t>Strathclyde</t>
        </is>
      </c>
      <c r="C442" s="77" t="inlineStr">
        <is>
          <t>Programme/course</t>
        </is>
      </c>
      <c r="D442" s="77" t="inlineStr">
        <is>
          <t>UK10-S04</t>
        </is>
      </c>
      <c r="E442" s="77" t="inlineStr"/>
      <c r="F442" s="77" t="inlineStr">
        <is>
          <t>No</t>
        </is>
      </c>
      <c r="G442" s="79" t="inlineStr">
        <is>
          <t>Becoming an Effective Business Analyst (BEBA) experiential learning class, MSc Business Analysis &amp; Consulting (and pathway variants)</t>
        </is>
      </c>
      <c r="H442" s="77" t="inlineStr">
        <is>
          <t>Becoming an Effective Business Analyst client-problem class</t>
        </is>
      </c>
      <c r="I442" s="77" t="inlineStr"/>
      <c r="J442"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42" s="77" t="inlineStr">
        <is>
          <t>Department of Management Science, Strathclyde Business School</t>
        </is>
      </c>
      <c r="L442" s="77" t="inlineStr">
        <is>
          <t>MSc Business Analysis &amp; Consulting and related pathways (January, with Project Management, with AI)</t>
        </is>
      </c>
      <c r="M442" s="77" t="inlineStr">
        <is>
          <t>Business/management</t>
        </is>
      </c>
      <c r="N442" s="77" t="inlineStr">
        <is>
          <t>Postgraduate taught</t>
        </is>
      </c>
      <c r="O442" s="77" t="inlineStr"/>
      <c r="P442" s="77" t="inlineStr"/>
      <c r="Q442" s="77" t="inlineStr">
        <is>
          <t>Compulsory within specified programmes</t>
        </is>
      </c>
      <c r="R442" s="77" t="inlineStr">
        <is>
          <t>Curricular</t>
        </is>
      </c>
      <c r="S442" s="77" t="inlineStr">
        <is>
          <t>Credit and weighting not retrieved (pages inconsistent).</t>
        </is>
      </c>
      <c r="T442" s="77" t="inlineStr">
        <is>
          <t>Two semesters</t>
        </is>
      </c>
      <c r="U442" s="77" t="inlineStr">
        <is>
          <t>In-person client sessions, workshops, team report and presentation</t>
        </is>
      </c>
      <c r="V442" s="77" t="inlineStr">
        <is>
          <t>Yes</t>
        </is>
      </c>
      <c r="W442" s="77" t="inlineStr">
        <is>
          <t>Defined client problems with team report/recommendations presented to client [1][2].</t>
        </is>
      </c>
      <c r="X442" s="77" t="inlineStr">
        <is>
          <t>Yes</t>
        </is>
      </c>
      <c r="Y442" s="77" t="inlineStr">
        <is>
          <t>Alumni accounts: 'allocated team members' and a week or two to produce a report and present back to the client [1]; assessment weighting unclear but a group report is mentioned for a pathway page.</t>
        </is>
      </c>
      <c r="Z442" s="77" t="inlineStr">
        <is>
          <t>Yes</t>
        </is>
      </c>
      <c r="AA442" s="77" t="inlineStr">
        <is>
          <t>External organisations present problems/case studies, and students present solutions back to the client [1][2]; 2026 newsletter names Deloitte, StormID, Sphera, WB Alloys [3].</t>
        </is>
      </c>
      <c r="AB442" s="77" t="inlineStr">
        <is>
          <t>Business/commercial</t>
        </is>
      </c>
      <c r="AC442" s="77" t="inlineStr">
        <is>
          <t>Clients set the problem and receive recommendations.</t>
        </is>
      </c>
      <c r="AD442" s="77" t="inlineStr">
        <is>
          <t>Deloitte, StormID, Sphera software solutions, WB Alloys (SBS newsletter March 2026); earlier pages cite Accenture, British Airways, RBS, NHS, Diageo (undated)</t>
        </is>
      </c>
      <c r="AE442" s="77" t="inlineStr">
        <is>
          <t>Team report/recommendations and client presentation</t>
        </is>
      </c>
      <c r="AF442" s="77">
        <f>IF(OR(V442="No",X442="No",Z442="No"),"Outside strict definition",IF(AND(V442="Yes",X442="Yes",Z442="Yes"),"Meets all three","Potentially relevant; evidence incomplete"))</f>
        <v/>
      </c>
      <c r="AG442" s="77" t="inlineStr">
        <is>
          <t>Current delivery confirmed</t>
        </is>
      </c>
      <c r="AH442" s="77" t="inlineStr">
        <is>
          <t>2025/26 (March 2026 newsletter)</t>
        </is>
      </c>
      <c r="AI442" s="77" t="inlineStr">
        <is>
          <t>Yes</t>
        </is>
      </c>
      <c r="AJ442" s="77">
        <f>IF(AND(AI442="Yes",AF442="Meets all three",AG442="Current delivery confirmed"),"Yes","No")</f>
        <v/>
      </c>
      <c r="AK442" s="77" t="inlineStr"/>
      <c r="AL442" s="77" t="inlineStr">
        <is>
          <t>UK10-S04-R1; UK10-S04-R2; UK10-S04-R3</t>
        </is>
      </c>
      <c r="AM442" s="77" t="inlineStr">
        <is>
          <t>Credit value; exact team size and assessment split; the separate summer project is individual (see exclusions).</t>
        </is>
      </c>
      <c r="AN442" s="77" t="inlineStr"/>
      <c r="AO442" s="77" t="inlineStr">
        <is>
          <t>UK</t>
        </is>
      </c>
      <c r="AP442" s="77" t="inlineStr">
        <is>
          <t>UK – additional</t>
        </is>
      </c>
      <c r="AQ442" s="77" t="inlineStr">
        <is>
          <t>&gt;1 term</t>
        </is>
      </c>
      <c r="AR442" s="77" t="inlineStr">
        <is>
          <t>All/standard</t>
        </is>
      </c>
      <c r="AS442" s="77" t="inlineStr"/>
    </row>
    <row r="443">
      <c r="A443" s="77" t="inlineStr">
        <is>
          <t>UK10</t>
        </is>
      </c>
      <c r="B443" s="77" t="inlineStr">
        <is>
          <t>Strathclyde</t>
        </is>
      </c>
      <c r="C443" s="77" t="inlineStr">
        <is>
          <t>Programme/course</t>
        </is>
      </c>
      <c r="D443" s="77" t="inlineStr">
        <is>
          <t>UK10-S05</t>
        </is>
      </c>
      <c r="E443" s="77" t="inlineStr"/>
      <c r="F443" s="77" t="inlineStr">
        <is>
          <t>No</t>
        </is>
      </c>
      <c r="G443" s="79" t="inlineStr">
        <is>
          <t>BA Business Analysis &amp; Technology: live business consultancy projects (second year) / Business Analysis and Practice</t>
        </is>
      </c>
      <c r="H443" s="77" t="inlineStr">
        <is>
          <t>Undergraduate live consultancy projects for local SMEs and corporate clients</t>
        </is>
      </c>
      <c r="I443" s="77" t="inlineStr"/>
      <c r="J443"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43" s="77" t="inlineStr">
        <is>
          <t>Department of Management Science, Strathclyde Business School</t>
        </is>
      </c>
      <c r="L443" s="77" t="inlineStr">
        <is>
          <t>BA Hons Business Analysis &amp; Technology and its joint-honours variants (with Finance, Marketing, Economics, HRM, Business Enterprise, etc.)</t>
        </is>
      </c>
      <c r="M443" s="77" t="inlineStr">
        <is>
          <t>Business/management</t>
        </is>
      </c>
      <c r="N443" s="77" t="inlineStr">
        <is>
          <t>Undergraduate</t>
        </is>
      </c>
      <c r="O443" s="77" t="inlineStr">
        <is>
          <t>Second year (Honours projects separate)</t>
        </is>
      </c>
      <c r="P443" s="77" t="inlineStr"/>
      <c r="Q443" s="77" t="inlineStr">
        <is>
          <t>Compulsory within specified programmes</t>
        </is>
      </c>
      <c r="R443" s="77" t="inlineStr">
        <is>
          <t>Curricular</t>
        </is>
      </c>
      <c r="S443" s="77" t="inlineStr">
        <is>
          <t>Not retrieved</t>
        </is>
      </c>
      <c r="T443" s="77" t="inlineStr">
        <is>
          <t>Two semesters (two projects)</t>
        </is>
      </c>
      <c r="U443" s="77" t="inlineStr">
        <is>
          <t>In-person client-led projects</t>
        </is>
      </c>
      <c r="V443" s="77" t="inlineStr">
        <is>
          <t>Yes</t>
        </is>
      </c>
      <c r="W443" s="77" t="inlineStr">
        <is>
          <t>Two live consultancy projects with solutions/recommendations presented to clients [1].</t>
        </is>
      </c>
      <c r="X443" s="77" t="inlineStr">
        <is>
          <t>Yes</t>
        </is>
      </c>
      <c r="Y443" s="77" t="inlineStr">
        <is>
          <t>'As a team of six' develop solutions [1].</t>
        </is>
      </c>
      <c r="Z443" s="77" t="inlineStr">
        <is>
          <t>Yes</t>
        </is>
      </c>
      <c r="AA443" s="77" t="inlineStr">
        <is>
          <t>Clients introduce problems, provide information and listen to recommended solutions [1]; 2026 newsletter reports Barclays and DSTL cases in the module [2].</t>
        </is>
      </c>
      <c r="AB443" s="77" t="inlineStr">
        <is>
          <t>Mixed</t>
        </is>
      </c>
      <c r="AC443" s="77" t="inlineStr">
        <is>
          <t>Clients (local SMEs; corporate/government clients in 2026 module) set problems and receive recommendations.</t>
        </is>
      </c>
      <c r="AD443" s="77" t="inlineStr">
        <is>
          <t>Barclays, DSTL (March 2026 newsletter); Honours-year past clients on course page: Scottish Power, RBS, NHS, Kwik Fit, Barclays Wealth, Glasgow City Council, Scottish Water (undated)</t>
        </is>
      </c>
      <c r="AE443" s="77" t="inlineStr">
        <is>
          <t>Team solutions/recommendations presented to clients</t>
        </is>
      </c>
      <c r="AF443" s="77">
        <f>IF(OR(V443="No",X443="No",Z443="No"),"Outside strict definition",IF(AND(V443="Yes",X443="Yes",Z443="Yes"),"Meets all three","Potentially relevant; evidence incomplete"))</f>
        <v/>
      </c>
      <c r="AG443" s="77" t="inlineStr">
        <is>
          <t>Current status unclear</t>
        </is>
      </c>
      <c r="AH443" s="77" t="inlineStr">
        <is>
          <t>2026 (newsletter, module identity uncertain)</t>
        </is>
      </c>
      <c r="AI443" s="77" t="inlineStr">
        <is>
          <t>Yes</t>
        </is>
      </c>
      <c r="AJ443" s="77">
        <f>IF(AND(AI443="Yes",AF443="Meets all three",AG443="Current delivery confirmed"),"Yes","No")</f>
        <v/>
      </c>
      <c r="AK443" s="77" t="inlineStr"/>
      <c r="AL443" s="77" t="inlineStr">
        <is>
          <t>UK10-S05-R1; UK10-S05-R2</t>
        </is>
      </c>
      <c r="AM443"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43" s="77" t="inlineStr"/>
      <c r="AO443" s="77" t="inlineStr">
        <is>
          <t>UK</t>
        </is>
      </c>
      <c r="AP443" s="77" t="inlineStr">
        <is>
          <t>UK – additional</t>
        </is>
      </c>
      <c r="AQ443" s="77" t="inlineStr">
        <is>
          <t>&gt;1 term</t>
        </is>
      </c>
      <c r="AR443" s="77" t="inlineStr">
        <is>
          <t>All/standard</t>
        </is>
      </c>
      <c r="AS443" s="77" t="inlineStr"/>
    </row>
    <row r="444">
      <c r="A444" s="77" t="inlineStr">
        <is>
          <t>UK10</t>
        </is>
      </c>
      <c r="B444" s="77" t="inlineStr">
        <is>
          <t>Strathclyde</t>
        </is>
      </c>
      <c r="C444" s="77" t="inlineStr">
        <is>
          <t>Programme/course</t>
        </is>
      </c>
      <c r="D444" s="77" t="inlineStr">
        <is>
          <t>UK10-S06</t>
        </is>
      </c>
      <c r="E444" s="77" t="inlineStr"/>
      <c r="F444" s="77" t="inlineStr">
        <is>
          <t>No</t>
        </is>
      </c>
      <c r="G444" s="79" t="inlineStr">
        <is>
          <t>Marketing Works (live project option), MSc Marketing / International Marketing / Tourism Marketing Management</t>
        </is>
      </c>
      <c r="H444" s="77" t="inlineStr">
        <is>
          <t>Marketing Works group consultancy project</t>
        </is>
      </c>
      <c r="I444" s="77" t="inlineStr"/>
      <c r="J444"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44" s="77" t="inlineStr">
        <is>
          <t>Department of Marketing, Strathclyde Business School</t>
        </is>
      </c>
      <c r="L444" s="77" t="inlineStr">
        <is>
          <t>MSc Marketing, MSc International Marketing, MSc Tourism Marketing Management</t>
        </is>
      </c>
      <c r="M444" s="77" t="inlineStr">
        <is>
          <t>Business/management</t>
        </is>
      </c>
      <c r="N444" s="77" t="inlineStr">
        <is>
          <t>Postgraduate taught</t>
        </is>
      </c>
      <c r="O444" s="77" t="inlineStr"/>
      <c r="P444" s="77" t="inlineStr"/>
      <c r="Q444" s="77" t="inlineStr">
        <is>
          <t>Optional/elective</t>
        </is>
      </c>
      <c r="R444" s="77" t="inlineStr">
        <is>
          <t>Curricular</t>
        </is>
      </c>
      <c r="S444" s="77" t="inlineStr">
        <is>
          <t>Capstone (semester 3); credit not retrieved</t>
        </is>
      </c>
      <c r="T444" s="77" t="inlineStr">
        <is>
          <t>Begins January; capstone period</t>
        </is>
      </c>
      <c r="U444" s="77" t="inlineStr">
        <is>
          <t>Group project with client</t>
        </is>
      </c>
      <c r="V444" s="77" t="inlineStr">
        <is>
          <t>Yes</t>
        </is>
      </c>
      <c r="W444" s="77" t="inlineStr">
        <is>
          <t>Real-life marketing problem with consultant-style output (e.g. marketing communication strategy) [1][2].</t>
        </is>
      </c>
      <c r="X444" s="77" t="inlineStr">
        <is>
          <t>Yes</t>
        </is>
      </c>
      <c r="Y444" s="77" t="inlineStr">
        <is>
          <t>Groups of five or six [2]; 'students work in groups' [1].</t>
        </is>
      </c>
      <c r="Z444" s="77" t="inlineStr">
        <is>
          <t>Yes</t>
        </is>
      </c>
      <c r="AA444" s="77" t="inlineStr">
        <is>
          <t>Projects 'put forward by various types of business' and clients work closely with students (data collection, strategy; client recruited a marketing assistant to implement recommendations) [1][2].</t>
        </is>
      </c>
      <c r="AB444" s="77" t="inlineStr">
        <is>
          <t>Mixed</t>
        </is>
      </c>
      <c r="AC444" s="77" t="inlineStr">
        <is>
          <t>Client organisations put forward projects and receive recommendations.</t>
        </is>
      </c>
      <c r="AD444" s="77" t="inlineStr">
        <is>
          <t>Sgurr Energy, Smith McLaurin, Microsoft, Thales, Strathclyde Police (industry-links page, undated)</t>
        </is>
      </c>
      <c r="AE444" s="77" t="inlineStr">
        <is>
          <t>Group consultancy report/marketing strategy</t>
        </is>
      </c>
      <c r="AF444" s="77">
        <f>IF(OR(V444="No",X444="No",Z444="No"),"Outside strict definition",IF(AND(V444="Yes",X444="Yes",Z444="Yes"),"Meets all three","Potentially relevant; evidence incomplete"))</f>
        <v/>
      </c>
      <c r="AG444" s="77" t="inlineStr">
        <is>
          <t>Current status unclear</t>
        </is>
      </c>
      <c r="AH444" s="77" t="inlineStr"/>
      <c r="AI444" s="77" t="inlineStr">
        <is>
          <t>Yes</t>
        </is>
      </c>
      <c r="AJ444" s="77">
        <f>IF(AND(AI444="Yes",AF444="Meets all three",AG444="Current delivery confirmed"),"Yes","No")</f>
        <v/>
      </c>
      <c r="AK444" s="77" t="inlineStr">
        <is>
          <t>170 students on 33 projects in one year (department blog, around 2017; historical).</t>
        </is>
      </c>
      <c r="AL444" s="77" t="inlineStr">
        <is>
          <t>UK10-S06-R1; UK10-S06-R2; UK10-S06-R3</t>
        </is>
      </c>
      <c r="AM444" s="77" t="inlineStr">
        <is>
          <t>Older sources call it compulsory; current MSc Marketing pages present it as a choice with a dissertation. No dated 2025/26 corroboration found.</t>
        </is>
      </c>
      <c r="AN444" s="77" t="inlineStr"/>
      <c r="AO444" s="77" t="inlineStr">
        <is>
          <t>UK</t>
        </is>
      </c>
      <c r="AP444" s="77" t="inlineStr">
        <is>
          <t>UK – additional</t>
        </is>
      </c>
      <c r="AQ444" s="77" t="inlineStr">
        <is>
          <t>~1 term/semester</t>
        </is>
      </c>
      <c r="AR444" s="77" t="inlineStr">
        <is>
          <t>All/standard</t>
        </is>
      </c>
      <c r="AS444" s="77" t="inlineStr"/>
    </row>
    <row r="445">
      <c r="A445" s="77" t="inlineStr">
        <is>
          <t>UK10</t>
        </is>
      </c>
      <c r="B445" s="77" t="inlineStr">
        <is>
          <t>Strathclyde</t>
        </is>
      </c>
      <c r="C445" s="77" t="inlineStr">
        <is>
          <t>Programme/course</t>
        </is>
      </c>
      <c r="D445" s="77" t="inlineStr">
        <is>
          <t>UK10-S07</t>
        </is>
      </c>
      <c r="E445" s="77" t="inlineStr"/>
      <c r="F445" s="77" t="inlineStr">
        <is>
          <t>No</t>
        </is>
      </c>
      <c r="G445" s="79" t="inlineStr">
        <is>
          <t>Consultancy in Practice (MSc Project Management &amp; Innovation; MSc International Management)</t>
        </is>
      </c>
      <c r="H445" s="77" t="inlineStr">
        <is>
          <t>Consultancy in Practice</t>
        </is>
      </c>
      <c r="I445" s="77" t="inlineStr"/>
      <c r="J445"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45" s="77" t="inlineStr">
        <is>
          <t>Strathclyde Business School</t>
        </is>
      </c>
      <c r="L445" s="77" t="inlineStr">
        <is>
          <t>MSc Project Management &amp; Innovation; MSc International Management</t>
        </is>
      </c>
      <c r="M445" s="77" t="inlineStr">
        <is>
          <t>Business/management</t>
        </is>
      </c>
      <c r="N445" s="77" t="inlineStr">
        <is>
          <t>Postgraduate taught</t>
        </is>
      </c>
      <c r="O445" s="77" t="inlineStr"/>
      <c r="P445" s="77" t="inlineStr"/>
      <c r="Q445" s="77" t="inlineStr">
        <is>
          <t>Compulsory within specified programmes</t>
        </is>
      </c>
      <c r="R445" s="77" t="inlineStr">
        <is>
          <t>Curricular</t>
        </is>
      </c>
      <c r="S445" s="77" t="inlineStr">
        <is>
          <t>Not retrieved</t>
        </is>
      </c>
      <c r="T445" s="77" t="inlineStr">
        <is>
          <t>One class (final)</t>
        </is>
      </c>
      <c r="U445" s="77" t="inlineStr">
        <is>
          <t>Small-team client project</t>
        </is>
      </c>
      <c r="V445" s="77" t="inlineStr">
        <is>
          <t>Yes</t>
        </is>
      </c>
      <c r="W445" s="77" t="inlineStr">
        <is>
          <t>Live client issue with brief and expected outcome [1][2].</t>
        </is>
      </c>
      <c r="X445" s="77" t="inlineStr">
        <is>
          <t>Yes</t>
        </is>
      </c>
      <c r="Y445" s="77" t="inlineStr">
        <is>
          <t>Small teams; group activity [1][2].</t>
        </is>
      </c>
      <c r="Z445" s="77" t="inlineStr">
        <is>
          <t>Yes</t>
        </is>
      </c>
      <c r="AA445" s="77" t="inlineStr">
        <is>
          <t>Client companies provide the live issue, brief and further input, often in direct contact [1][2].</t>
        </is>
      </c>
      <c r="AB445" s="77" t="inlineStr">
        <is>
          <t>Business/commercial</t>
        </is>
      </c>
      <c r="AC445" s="77" t="inlineStr">
        <is>
          <t>Client company supplies live brief and input.</t>
        </is>
      </c>
      <c r="AD445" s="77" t="inlineStr"/>
      <c r="AE445" s="77" t="inlineStr">
        <is>
          <t>Client-facing consultancy output (form not retrieved)</t>
        </is>
      </c>
      <c r="AF445" s="77">
        <f>IF(OR(V445="No",X445="No",Z445="No"),"Outside strict definition",IF(AND(V445="Yes",X445="Yes",Z445="Yes"),"Meets all three","Potentially relevant; evidence incomplete"))</f>
        <v/>
      </c>
      <c r="AG445" s="77" t="inlineStr">
        <is>
          <t>Current status unclear</t>
        </is>
      </c>
      <c r="AH445" s="77" t="inlineStr"/>
      <c r="AI445" s="77" t="inlineStr">
        <is>
          <t>Yes</t>
        </is>
      </c>
      <c r="AJ445" s="77">
        <f>IF(AND(AI445="Yes",AF445="Meets all three",AG445="Current delivery confirmed"),"Yes","No")</f>
        <v/>
      </c>
      <c r="AK445" s="77" t="inlineStr"/>
      <c r="AL445" s="77" t="inlineStr">
        <is>
          <t>UK10-S07-R1; UK10-S07-R2</t>
        </is>
      </c>
      <c r="AM445" s="77" t="inlineStr">
        <is>
          <t>Undated course pages; credit, assessment, whether compulsory, and any dated cohort not found.</t>
        </is>
      </c>
      <c r="AN445" s="77" t="inlineStr"/>
      <c r="AO445" s="77" t="inlineStr">
        <is>
          <t>UK</t>
        </is>
      </c>
      <c r="AP445" s="77" t="inlineStr">
        <is>
          <t>UK – additional</t>
        </is>
      </c>
      <c r="AQ445" s="77" t="inlineStr">
        <is>
          <t>~1 term/semester</t>
        </is>
      </c>
      <c r="AR445" s="77" t="inlineStr">
        <is>
          <t>All/standard</t>
        </is>
      </c>
      <c r="AS445" s="77" t="inlineStr"/>
    </row>
    <row r="446">
      <c r="A446" s="77" t="inlineStr">
        <is>
          <t>UK10</t>
        </is>
      </c>
      <c r="B446" s="77" t="inlineStr">
        <is>
          <t>Strathclyde</t>
        </is>
      </c>
      <c r="C446" s="77" t="inlineStr">
        <is>
          <t>Faculty/school</t>
        </is>
      </c>
      <c r="D446" s="77" t="inlineStr">
        <is>
          <t>UK10-S08</t>
        </is>
      </c>
      <c r="E446" s="77" t="inlineStr"/>
      <c r="F446" s="77" t="inlineStr">
        <is>
          <t>No</t>
        </is>
      </c>
      <c r="G446" s="79" t="inlineStr">
        <is>
          <t>Management Development Programme (MDP)</t>
        </is>
      </c>
      <c r="H446" s="77" t="inlineStr">
        <is>
          <t>Management Development Programme</t>
        </is>
      </c>
      <c r="I446" s="77" t="inlineStr"/>
      <c r="J446"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46" s="77" t="inlineStr">
        <is>
          <t>Strathclyde Business School</t>
        </is>
      </c>
      <c r="L446" s="77" t="inlineStr">
        <is>
          <t>Strathclyde Business School undergraduate degrees (years 1-3)</t>
        </is>
      </c>
      <c r="M446" s="77" t="inlineStr">
        <is>
          <t>Business/management</t>
        </is>
      </c>
      <c r="N446" s="77" t="inlineStr">
        <is>
          <t>Undergraduate</t>
        </is>
      </c>
      <c r="O446" s="77" t="inlineStr">
        <is>
          <t>Years 1-3</t>
        </is>
      </c>
      <c r="P446" s="77" t="inlineStr"/>
      <c r="Q446" s="77" t="inlineStr">
        <is>
          <t>Compulsory within specified programmes</t>
        </is>
      </c>
      <c r="R446" s="77" t="inlineStr">
        <is>
          <t>Curricular</t>
        </is>
      </c>
      <c r="S446" s="77" t="inlineStr"/>
      <c r="T446" s="77" t="inlineStr"/>
      <c r="U446" s="77" t="inlineStr"/>
      <c r="V446" s="77" t="inlineStr">
        <is>
          <t>Unclear</t>
        </is>
      </c>
      <c r="W446" s="77" t="inlineStr">
        <is>
          <t>Modules said to be driven by real business problems, but project briefs/outputs not retrieved [1].</t>
        </is>
      </c>
      <c r="X446" s="77" t="inlineStr">
        <is>
          <t>Yes</t>
        </is>
      </c>
      <c r="Y446" s="77" t="inlineStr">
        <is>
          <t>Students work in project teams [1].</t>
        </is>
      </c>
      <c r="Z446" s="77" t="inlineStr">
        <is>
          <t>Unclear</t>
        </is>
      </c>
      <c r="AA446" s="77" t="inlineStr">
        <is>
          <t>Sponsor organisations fund prizes and selected best teams present to the organisation's senior staff [1][2]; no evidence that employers set briefs for all teams, so standard involvement unclear. Prize sponsorship alone is insufficient.</t>
        </is>
      </c>
      <c r="AB446" s="77" t="inlineStr">
        <is>
          <t>Business/commercial</t>
        </is>
      </c>
      <c r="AC446" s="77" t="inlineStr">
        <is>
          <t>Prize sponsor and recipient of presentations from selected best teams.</t>
        </is>
      </c>
      <c r="AD446" s="77" t="inlineStr">
        <is>
          <t>Deloitte, Procter &amp; Gamble, Screenmedia, Ernst &amp; Young, Barclays (past; 2010 and 2013 newsletters)</t>
        </is>
      </c>
      <c r="AE446" s="77" t="inlineStr">
        <is>
          <t>Team project presentations</t>
        </is>
      </c>
      <c r="AF446" s="77">
        <f>IF(OR(V446="No",X446="No",Z446="No"),"Outside strict definition",IF(AND(V446="Yes",X446="Yes",Z446="Yes"),"Meets all three","Potentially relevant; evidence incomplete"))</f>
        <v/>
      </c>
      <c r="AG446" s="77" t="inlineStr">
        <is>
          <t>Current status unclear</t>
        </is>
      </c>
      <c r="AH446" s="77" t="inlineStr"/>
      <c r="AI446" s="77" t="inlineStr">
        <is>
          <t>Yes</t>
        </is>
      </c>
      <c r="AJ446" s="77">
        <f>IF(AND(AI446="Yes",AF446="Meets all three",AG446="Current delivery confirmed"),"Yes","No")</f>
        <v/>
      </c>
      <c r="AK446" s="77" t="inlineStr"/>
      <c r="AL446" s="77" t="inlineStr">
        <is>
          <t>UK10-S08-R1; UK10-S08-R2</t>
        </is>
      </c>
      <c r="AM446" s="77" t="inlineStr">
        <is>
          <t>Current sponsors and whether MDP projects use real employer briefs; sources date from 2010-2013 and an undated page.</t>
        </is>
      </c>
      <c r="AN446" s="77" t="inlineStr"/>
      <c r="AO446" s="77" t="inlineStr">
        <is>
          <t>UK</t>
        </is>
      </c>
      <c r="AP446" s="77" t="inlineStr">
        <is>
          <t>UK – additional</t>
        </is>
      </c>
      <c r="AQ446" s="77" t="inlineStr">
        <is>
          <t>Unclear</t>
        </is>
      </c>
      <c r="AR446" s="77" t="inlineStr">
        <is>
          <t>Some projects</t>
        </is>
      </c>
      <c r="AS446" s="77" t="inlineStr"/>
    </row>
    <row r="447">
      <c r="A447" s="77" t="inlineStr">
        <is>
          <t>UK10</t>
        </is>
      </c>
      <c r="B447" s="77" t="inlineStr">
        <is>
          <t>Strathclyde</t>
        </is>
      </c>
      <c r="C447" s="77" t="inlineStr">
        <is>
          <t>Programme/course</t>
        </is>
      </c>
      <c r="D447" s="77" t="inlineStr">
        <is>
          <t>UK10-S09</t>
        </is>
      </c>
      <c r="E447" s="77" t="inlineStr"/>
      <c r="F447" s="77" t="inlineStr">
        <is>
          <t>No</t>
        </is>
      </c>
      <c r="G447" s="79" t="inlineStr">
        <is>
          <t>Architecture: Individual &amp; Industrial Group Projects (live projects)</t>
        </is>
      </c>
      <c r="H447" s="77" t="inlineStr">
        <is>
          <t>Architecture live projects with practices, organisations and community groups</t>
        </is>
      </c>
      <c r="I447" s="77" t="inlineStr"/>
      <c r="J447"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47" s="77" t="inlineStr">
        <is>
          <t>Department of Architecture (Faculty of Engineering)</t>
        </is>
      </c>
      <c r="L447" s="77" t="inlineStr">
        <is>
          <t>Architecture programmes</t>
        </is>
      </c>
      <c r="M447" s="77" t="inlineStr">
        <is>
          <t>Engineering/computing; Other (law, health, design, architecture…)</t>
        </is>
      </c>
      <c r="N447" s="77" t="inlineStr">
        <is>
          <t>Unclear</t>
        </is>
      </c>
      <c r="O447" s="77" t="inlineStr"/>
      <c r="P447" s="77" t="inlineStr"/>
      <c r="Q447" s="77" t="inlineStr">
        <is>
          <t>Unclear</t>
        </is>
      </c>
      <c r="R447" s="77" t="inlineStr">
        <is>
          <t>Curricular</t>
        </is>
      </c>
      <c r="S447" s="77" t="inlineStr"/>
      <c r="T447" s="77" t="inlineStr"/>
      <c r="U447" s="77" t="inlineStr"/>
      <c r="V447" s="77" t="inlineStr">
        <is>
          <t>Yes</t>
        </is>
      </c>
      <c r="W447" s="77" t="inlineStr">
        <is>
          <t>Live design briefs agreed with clients [1].</t>
        </is>
      </c>
      <c r="X447" s="77" t="inlineStr">
        <is>
          <t>Unclear</t>
        </is>
      </c>
      <c r="Y447" s="77" t="inlineStr">
        <is>
          <t>'Individual students or multidisciplinary groups'; routes cannot be separated from the retrieved extract [1].</t>
        </is>
      </c>
      <c r="Z447" s="77" t="inlineStr">
        <is>
          <t>Yes</t>
        </is>
      </c>
      <c r="AA447" s="77" t="inlineStr">
        <is>
          <t>Client co-defines the brief and partners join reviews [1].</t>
        </is>
      </c>
      <c r="AB447" s="77" t="inlineStr">
        <is>
          <t>Mixed</t>
        </is>
      </c>
      <c r="AC447" s="77" t="inlineStr">
        <is>
          <t>Practices, organisations and community groups supply briefs and join reviews.</t>
        </is>
      </c>
      <c r="AD447" s="77" t="inlineStr"/>
      <c r="AE447" s="77" t="inlineStr">
        <is>
          <t>Design proposals</t>
        </is>
      </c>
      <c r="AF447" s="77">
        <f>IF(OR(V447="No",X447="No",Z447="No"),"Outside strict definition",IF(AND(V447="Yes",X447="Yes",Z447="Yes"),"Meets all three","Potentially relevant; evidence incomplete"))</f>
        <v/>
      </c>
      <c r="AG447" s="77" t="inlineStr">
        <is>
          <t>Current status unclear</t>
        </is>
      </c>
      <c r="AH447" s="77" t="inlineStr">
        <is>
          <t>2025 (consultancy page on private-sector live briefs, per search summary)</t>
        </is>
      </c>
      <c r="AI447" s="77" t="inlineStr">
        <is>
          <t>Yes</t>
        </is>
      </c>
      <c r="AJ447" s="77">
        <f>IF(AND(AI447="Yes",AF447="Meets all three",AG447="Current delivery confirmed"),"Yes","No")</f>
        <v/>
      </c>
      <c r="AK447" s="77" t="inlineStr"/>
      <c r="AL447" s="77" t="inlineStr">
        <is>
          <t>UK10-S09-R1</t>
        </is>
      </c>
      <c r="AM447" s="77" t="inlineStr">
        <is>
          <t>Group vs individual split, module/credit, whether it is standard across architecture years; possible blending with DMEM wording.</t>
        </is>
      </c>
      <c r="AN447" s="77" t="inlineStr"/>
      <c r="AO447" s="77" t="inlineStr">
        <is>
          <t>UK</t>
        </is>
      </c>
      <c r="AP447" s="77" t="inlineStr">
        <is>
          <t>UK – additional</t>
        </is>
      </c>
      <c r="AQ447" s="77" t="inlineStr">
        <is>
          <t>Unclear</t>
        </is>
      </c>
      <c r="AR447" s="77" t="inlineStr">
        <is>
          <t>Unclear</t>
        </is>
      </c>
      <c r="AS447" s="77" t="inlineStr"/>
    </row>
    <row r="448">
      <c r="A448" s="77" t="inlineStr">
        <is>
          <t>UK11</t>
        </is>
      </c>
      <c r="B448" s="77" t="inlineStr">
        <is>
          <t>Heriot-Watt</t>
        </is>
      </c>
      <c r="C448" s="77" t="inlineStr">
        <is>
          <t>Programme/course</t>
        </is>
      </c>
      <c r="D448" s="77" t="inlineStr">
        <is>
          <t>UK11-S01</t>
        </is>
      </c>
      <c r="E448" s="77" t="inlineStr"/>
      <c r="F448" s="77" t="inlineStr">
        <is>
          <t>No</t>
        </is>
      </c>
      <c r="G448" s="79" t="inlineStr">
        <is>
          <t>Multidisciplinary Engineering Final Year Project (industrial-client design project)</t>
        </is>
      </c>
      <c r="H448" s="77" t="inlineStr">
        <is>
          <t>Multidisciplinary Engineering Final Year Project</t>
        </is>
      </c>
      <c r="I448" s="77" t="inlineStr"/>
      <c r="J448"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48" s="77" t="inlineStr">
        <is>
          <t>School of Engineering and Physical Sciences (inferred from disciplines; not confirmed)</t>
        </is>
      </c>
      <c r="L448" s="77" t="inlineStr">
        <is>
          <t>Mechanical, Electrical and Electronics, and Robotics engineering, 4th year</t>
        </is>
      </c>
      <c r="M448" s="77" t="inlineStr">
        <is>
          <t>Engineering/computing</t>
        </is>
      </c>
      <c r="N448" s="77" t="inlineStr">
        <is>
          <t>Undergraduate</t>
        </is>
      </c>
      <c r="O448" s="77" t="inlineStr">
        <is>
          <t>Year 4</t>
        </is>
      </c>
      <c r="P448" s="77" t="inlineStr">
        <is>
          <t>Final-year students in the named engineering disciplines</t>
        </is>
      </c>
      <c r="Q448" s="77" t="inlineStr">
        <is>
          <t>Unclear</t>
        </is>
      </c>
      <c r="R448" s="77" t="inlineStr">
        <is>
          <t>Curricular</t>
        </is>
      </c>
      <c r="S448" s="77" t="inlineStr">
        <is>
          <t>Final year project; credit not established</t>
        </is>
      </c>
      <c r="T448" s="77" t="inlineStr">
        <is>
          <t>Final year project (length not established)</t>
        </is>
      </c>
      <c r="U448" s="77" t="inlineStr">
        <is>
          <t>Unclear</t>
        </is>
      </c>
      <c r="V448" s="77" t="inlineStr">
        <is>
          <t>Yes</t>
        </is>
      </c>
      <c r="W448" s="77" t="inlineStr">
        <is>
          <t>Defined multidisciplinary design project to fulfil requirements specified by an industrial client [1].</t>
        </is>
      </c>
      <c r="X448" s="77" t="inlineStr">
        <is>
          <t>Unclear</t>
        </is>
      </c>
      <c r="Y448" s="77" t="inlineStr">
        <is>
          <t>Search summary describes 'teams' building to the client's specifications and the project is multidisciplinary across disciplines, but no verbatim extract confirms a joint team output [1].</t>
        </is>
      </c>
      <c r="Z448" s="77" t="inlineStr">
        <is>
          <t>Unclear</t>
        </is>
      </c>
      <c r="AA448"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48" s="77" t="inlineStr">
        <is>
          <t>Business/commercial</t>
        </is>
      </c>
      <c r="AC448" s="77" t="inlineStr">
        <is>
          <t>Industrial client sets requirements/specification (per publication)</t>
        </is>
      </c>
      <c r="AD448" s="77" t="inlineStr"/>
      <c r="AE448" s="77" t="inlineStr">
        <is>
          <t>Engineering design/prototype (e.g. autonomous robot, drone)</t>
        </is>
      </c>
      <c r="AF448" s="77">
        <f>IF(OR(V448="No",X448="No",Z448="No"),"Outside strict definition",IF(AND(V448="Yes",X448="Yes",Z448="Yes"),"Meets all three","Potentially relevant; evidence incomplete"))</f>
        <v/>
      </c>
      <c r="AG448" s="77" t="inlineStr">
        <is>
          <t>Current status unclear</t>
        </is>
      </c>
      <c r="AH448" s="77" t="inlineStr">
        <is>
          <t>Undated (research publication)</t>
        </is>
      </c>
      <c r="AI448" s="77" t="inlineStr">
        <is>
          <t>Yes</t>
        </is>
      </c>
      <c r="AJ448" s="77">
        <f>IF(AND(AI448="Yes",AF448="Meets all three",AG448="Current delivery confirmed"),"Yes","No")</f>
        <v/>
      </c>
      <c r="AK448" s="77" t="inlineStr"/>
      <c r="AL448" s="77" t="inlineStr">
        <is>
          <t>UK11-S01-R1</t>
        </is>
      </c>
      <c r="AM448" s="77" t="inlineStr">
        <is>
          <t>Publication year, whether team-based (verbatim), whether still delivered, whether all such FYPs have industrial clients, course code and credit. Not verified on Curriculum Explorer.</t>
        </is>
      </c>
      <c r="AN448" s="77" t="inlineStr"/>
      <c r="AO448" s="77" t="inlineStr">
        <is>
          <t>UK</t>
        </is>
      </c>
      <c r="AP448" s="77" t="inlineStr">
        <is>
          <t>UK – additional</t>
        </is>
      </c>
      <c r="AQ448" s="77" t="inlineStr">
        <is>
          <t>Unclear</t>
        </is>
      </c>
      <c r="AR448" s="77" t="inlineStr">
        <is>
          <t>Unclear</t>
        </is>
      </c>
      <c r="AS448" s="77" t="inlineStr"/>
    </row>
    <row r="449">
      <c r="A449" s="77" t="inlineStr">
        <is>
          <t>UK11</t>
        </is>
      </c>
      <c r="B449" s="77" t="inlineStr">
        <is>
          <t>Heriot-Watt</t>
        </is>
      </c>
      <c r="C449" s="77" t="inlineStr">
        <is>
          <t>Programme/course</t>
        </is>
      </c>
      <c r="D449" s="77" t="inlineStr">
        <is>
          <t>UK11-S02</t>
        </is>
      </c>
      <c r="E449" s="77" t="inlineStr"/>
      <c r="F449" s="77" t="inlineStr">
        <is>
          <t>No</t>
        </is>
      </c>
      <c r="G449" s="79" t="inlineStr">
        <is>
          <t>System Project</t>
        </is>
      </c>
      <c r="H449" s="77" t="inlineStr">
        <is>
          <t>System Project</t>
        </is>
      </c>
      <c r="I449" s="77" t="inlineStr">
        <is>
          <t>B39VS</t>
        </is>
      </c>
      <c r="J449" s="77" t="inlineStr">
        <is>
          <t>Electronic and Computer Engineering taught course built around a team project; learning outcomes include team documentation (meeting minutes, final report) and a project demonstration to academic staff and staff from industry.</t>
        </is>
      </c>
      <c r="K449" s="77" t="inlineStr">
        <is>
          <t>School of Engineering and Physical Sciences (Electrical, Electronic and Computer Engineering)</t>
        </is>
      </c>
      <c r="L449" s="77" t="inlineStr">
        <is>
          <t>Electronic and Computer Engineering programmes</t>
        </is>
      </c>
      <c r="M449" s="77" t="inlineStr">
        <is>
          <t>Engineering/computing</t>
        </is>
      </c>
      <c r="N449" s="77" t="inlineStr">
        <is>
          <t>Undergraduate</t>
        </is>
      </c>
      <c r="O449" s="77" t="inlineStr">
        <is>
          <t>Unclear</t>
        </is>
      </c>
      <c r="P449" s="77" t="inlineStr">
        <is>
          <t>Students on programmes including B39VS</t>
        </is>
      </c>
      <c r="Q449" s="77" t="inlineStr">
        <is>
          <t>Unclear</t>
        </is>
      </c>
      <c r="R449" s="77" t="inlineStr">
        <is>
          <t>Curricular</t>
        </is>
      </c>
      <c r="S449" s="77" t="inlineStr">
        <is>
          <t>Not established</t>
        </is>
      </c>
      <c r="T449" s="77" t="inlineStr">
        <is>
          <t>Not established</t>
        </is>
      </c>
      <c r="U449" s="77" t="inlineStr">
        <is>
          <t>Unclear</t>
        </is>
      </c>
      <c r="V449" s="77" t="inlineStr">
        <is>
          <t>Yes</t>
        </is>
      </c>
      <c r="W449" s="77" t="inlineStr">
        <is>
          <t>Team system project with a project demonstration and final report [1].</t>
        </is>
      </c>
      <c r="X449" s="77" t="inlineStr">
        <is>
          <t>Yes</t>
        </is>
      </c>
      <c r="Y449" s="77" t="inlineStr">
        <is>
          <t>Course develops teamwork; team documents including meeting minutes and final report [1] (search-summary paraphrase).</t>
        </is>
      </c>
      <c r="Z449" s="77" t="inlineStr">
        <is>
          <t>Unclear</t>
        </is>
      </c>
      <c r="AA449" s="77" t="inlineStr">
        <is>
          <t>Staff from industry attend the project demonstration [1]; no evidence that an external organisation sets the brief or assesses, and 'staff from industry' are not tied to a client organisation.</t>
        </is>
      </c>
      <c r="AB449" s="77" t="inlineStr">
        <is>
          <t>Unclear</t>
        </is>
      </c>
      <c r="AC449" s="77" t="inlineStr">
        <is>
          <t>Industry staff attend final demonstration</t>
        </is>
      </c>
      <c r="AD449" s="77" t="inlineStr"/>
      <c r="AE449" s="77" t="inlineStr">
        <is>
          <t>System demonstration, final report, team documents</t>
        </is>
      </c>
      <c r="AF449" s="77">
        <f>IF(OR(V449="No",X449="No",Z449="No"),"Outside strict definition",IF(AND(V449="Yes",X449="Yes",Z449="Yes"),"Meets all three","Potentially relevant; evidence incomplete"))</f>
        <v/>
      </c>
      <c r="AG449" s="77" t="inlineStr">
        <is>
          <t>Current status unclear</t>
        </is>
      </c>
      <c r="AH449" s="77" t="inlineStr">
        <is>
          <t>2022/23</t>
        </is>
      </c>
      <c r="AI449" s="77" t="inlineStr">
        <is>
          <t>Yes</t>
        </is>
      </c>
      <c r="AJ449" s="77">
        <f>IF(AND(AI449="Yes",AF449="Meets all three",AG449="Current delivery confirmed"),"Yes","No")</f>
        <v/>
      </c>
      <c r="AK449" s="77" t="inlineStr"/>
      <c r="AL449" s="77" t="inlineStr">
        <is>
          <t>UK11-S02-R1</t>
        </is>
      </c>
      <c r="AM449" s="77" t="inlineStr">
        <is>
          <t>Only a 2022/23 Curriculum Explorer entry was surfaced; current delivery, credits, year of study and whether projects come from external briefs not verified.</t>
        </is>
      </c>
      <c r="AN449" s="77" t="inlineStr"/>
      <c r="AO449" s="77" t="inlineStr">
        <is>
          <t>UK</t>
        </is>
      </c>
      <c r="AP449" s="77" t="inlineStr">
        <is>
          <t>UK – additional</t>
        </is>
      </c>
      <c r="AQ449" s="77" t="inlineStr">
        <is>
          <t>Unclear</t>
        </is>
      </c>
      <c r="AR449" s="77" t="inlineStr">
        <is>
          <t>Unclear</t>
        </is>
      </c>
      <c r="AS449" s="77" t="inlineStr"/>
    </row>
    <row r="450">
      <c r="A450" s="77" t="inlineStr">
        <is>
          <t>UK11</t>
        </is>
      </c>
      <c r="B450" s="77" t="inlineStr">
        <is>
          <t>Heriot-Watt</t>
        </is>
      </c>
      <c r="C450" s="77" t="inlineStr">
        <is>
          <t>Programme/course</t>
        </is>
      </c>
      <c r="D450" s="77" t="inlineStr">
        <is>
          <t>UK11-S03</t>
        </is>
      </c>
      <c r="E450" s="77" t="inlineStr"/>
      <c r="F450" s="77" t="inlineStr">
        <is>
          <t>No</t>
        </is>
      </c>
      <c r="G450" s="79" t="inlineStr">
        <is>
          <t>MSc International Business Management - company consultancy project</t>
        </is>
      </c>
      <c r="H450" s="77" t="inlineStr">
        <is>
          <t>MSc International Business Management company consultancy project</t>
        </is>
      </c>
      <c r="I450" s="77" t="inlineStr"/>
      <c r="J450" s="77" t="inlineStr">
        <is>
          <t>Final stage of the MSc International Business Management in which students work on a company consultancy project to understand business issues and apply programme concepts. Group format and external client status not established.</t>
        </is>
      </c>
      <c r="K450" s="77" t="inlineStr">
        <is>
          <t>Edinburgh Business School</t>
        </is>
      </c>
      <c r="L450" s="77" t="inlineStr">
        <is>
          <t>MSc International Business Management</t>
        </is>
      </c>
      <c r="M450" s="77" t="inlineStr">
        <is>
          <t>Business/management</t>
        </is>
      </c>
      <c r="N450" s="77" t="inlineStr">
        <is>
          <t>Postgraduate taught</t>
        </is>
      </c>
      <c r="O450" s="77" t="inlineStr">
        <is>
          <t>Final stage</t>
        </is>
      </c>
      <c r="P450" s="77" t="inlineStr">
        <is>
          <t>MSc International Business Management students</t>
        </is>
      </c>
      <c r="Q450" s="77" t="inlineStr">
        <is>
          <t>Unclear</t>
        </is>
      </c>
      <c r="R450" s="77" t="inlineStr">
        <is>
          <t>Curricular</t>
        </is>
      </c>
      <c r="S450" s="77" t="inlineStr">
        <is>
          <t>Not established</t>
        </is>
      </c>
      <c r="T450" s="77" t="inlineStr">
        <is>
          <t>Not established</t>
        </is>
      </c>
      <c r="U450" s="77" t="inlineStr">
        <is>
          <t>Unclear</t>
        </is>
      </c>
      <c r="V450" s="77" t="inlineStr">
        <is>
          <t>Yes</t>
        </is>
      </c>
      <c r="W450" s="77" t="inlineStr">
        <is>
          <t>'Company consultancy project' applying programme concepts to business issues [1].</t>
        </is>
      </c>
      <c r="X450" s="77" t="inlineStr">
        <is>
          <t>Unclear</t>
        </is>
      </c>
      <c r="Y450" s="77" t="inlineStr">
        <is>
          <t>No evidence on whether the project is individual or team-based [1].</t>
        </is>
      </c>
      <c r="Z450" s="77" t="inlineStr">
        <is>
          <t>Unclear</t>
        </is>
      </c>
      <c r="AA450" s="77" t="inlineStr">
        <is>
          <t>Described as a 'company consultancy project' but the page does not say a real external company sets the brief or receives the output [1].</t>
        </is>
      </c>
      <c r="AB450" s="77" t="inlineStr">
        <is>
          <t>Unclear</t>
        </is>
      </c>
      <c r="AC450" s="77" t="inlineStr">
        <is>
          <t>Not established</t>
        </is>
      </c>
      <c r="AD450" s="77" t="inlineStr"/>
      <c r="AE450" s="77" t="inlineStr">
        <is>
          <t>Consultancy project (format not established)</t>
        </is>
      </c>
      <c r="AF450" s="77">
        <f>IF(OR(V450="No",X450="No",Z450="No"),"Outside strict definition",IF(AND(V450="Yes",X450="Yes",Z450="Yes"),"Meets all three","Potentially relevant; evidence incomplete"))</f>
        <v/>
      </c>
      <c r="AG450" s="77" t="inlineStr">
        <is>
          <t>Current status unclear</t>
        </is>
      </c>
      <c r="AH450" s="77" t="inlineStr">
        <is>
          <t>Undated programme page</t>
        </is>
      </c>
      <c r="AI450" s="77" t="inlineStr">
        <is>
          <t>Yes</t>
        </is>
      </c>
      <c r="AJ450" s="77">
        <f>IF(AND(AI450="Yes",AF450="Meets all three",AG450="Current delivery confirmed"),"Yes","No")</f>
        <v/>
      </c>
      <c r="AK450" s="77" t="inlineStr"/>
      <c r="AL450" s="77" t="inlineStr">
        <is>
          <t>UK11-S03-R1</t>
        </is>
      </c>
      <c r="AM450" s="77" t="inlineStr">
        <is>
          <t>Course code, group vs individual, real external client, credit and current-year delivery.</t>
        </is>
      </c>
      <c r="AN450" s="77" t="inlineStr"/>
      <c r="AO450" s="77" t="inlineStr">
        <is>
          <t>UK</t>
        </is>
      </c>
      <c r="AP450" s="77" t="inlineStr">
        <is>
          <t>UK – additional</t>
        </is>
      </c>
      <c r="AQ450" s="77" t="inlineStr">
        <is>
          <t>Unclear</t>
        </is>
      </c>
      <c r="AR450" s="77" t="inlineStr">
        <is>
          <t>Unclear</t>
        </is>
      </c>
      <c r="AS450" s="77" t="inlineStr"/>
    </row>
    <row r="451">
      <c r="A451" s="77" t="inlineStr">
        <is>
          <t>UK12</t>
        </is>
      </c>
      <c r="B451" s="77" t="inlineStr">
        <is>
          <t>East Anglia</t>
        </is>
      </c>
      <c r="C451" s="77" t="inlineStr">
        <is>
          <t>University-wide</t>
        </is>
      </c>
      <c r="D451" s="77" t="inlineStr">
        <is>
          <t>UK12-S01</t>
        </is>
      </c>
      <c r="E451" s="77" t="inlineStr"/>
      <c r="F451" s="77" t="inlineStr">
        <is>
          <t>Yes</t>
        </is>
      </c>
      <c r="G451" s="79" t="inlineStr">
        <is>
          <t>Employer Live Briefs (CareerCentral Employer Opportunities form)</t>
        </is>
      </c>
      <c r="H451" s="77" t="inlineStr">
        <is>
          <t>Employer live group projects/briefs set within course modules</t>
        </is>
      </c>
      <c r="I451" s="77" t="inlineStr"/>
      <c r="J451"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51" s="77" t="inlineStr">
        <is>
          <t>CareerCentral (central careers service)</t>
        </is>
      </c>
      <c r="L451" s="77" t="inlineStr">
        <is>
          <t>Any school/course whose modules can host a live brief; employers can name target schools/courses</t>
        </is>
      </c>
      <c r="M451" s="77" t="inlineStr">
        <is>
          <t>Central provision</t>
        </is>
      </c>
      <c r="N451" s="77" t="inlineStr">
        <is>
          <t>Mixed</t>
        </is>
      </c>
      <c r="O451" s="77" t="inlineStr"/>
      <c r="P451" s="77" t="inlineStr"/>
      <c r="Q451" s="77" t="inlineStr">
        <is>
          <t>Optional/elective</t>
        </is>
      </c>
      <c r="R451" s="77" t="inlineStr">
        <is>
          <t>Curricular</t>
        </is>
      </c>
      <c r="S451" s="77" t="inlineStr">
        <is>
          <t>Within host modules (not specified)</t>
        </is>
      </c>
      <c r="T451" s="77" t="inlineStr">
        <is>
          <t>Varies by module</t>
        </is>
      </c>
      <c r="U451" s="77" t="inlineStr">
        <is>
          <t>Employer-set brief embedded in course module</t>
        </is>
      </c>
      <c r="V451" s="77" t="inlineStr">
        <is>
          <t>Unclear</t>
        </is>
      </c>
      <c r="W451" s="77" t="inlineStr">
        <is>
          <t>Form lists brief types (consultancy-style projects, campaigns, data analysis, design concepts) but no specific module or output [1].</t>
        </is>
      </c>
      <c r="X451" s="77" t="inlineStr">
        <is>
          <t>Yes</t>
        </is>
      </c>
      <c r="Y451" s="77" t="inlineStr">
        <is>
          <t>Form wording: students 'work on live group projects and briefs set by employers as part of their course' [1] (generic offer, no module identified).</t>
        </is>
      </c>
      <c r="Z451" s="77" t="inlineStr">
        <is>
          <t>Unclear</t>
        </is>
      </c>
      <c r="AA451" s="77" t="inlineStr">
        <is>
          <t>Employers set the brief via the form [1], but no module, cohort or delivery is evidenced; this is an invitation to employers, not evidence of delivery.</t>
        </is>
      </c>
      <c r="AB451" s="77" t="inlineStr">
        <is>
          <t>Unclear</t>
        </is>
      </c>
      <c r="AC451" s="77" t="inlineStr">
        <is>
          <t>Employer sets live brief (offer to employers)</t>
        </is>
      </c>
      <c r="AD451" s="77" t="inlineStr"/>
      <c r="AE451" s="77" t="inlineStr">
        <is>
          <t>Varies (research task, campaign, consultancy-style report, presentation)</t>
        </is>
      </c>
      <c r="AF451" s="77">
        <f>IF(OR(V451="No",X451="No",Z451="No"),"Outside strict definition",IF(AND(V451="Yes",X451="Yes",Z451="Yes"),"Meets all three","Potentially relevant; evidence incomplete"))</f>
        <v/>
      </c>
      <c r="AG451" s="77" t="inlineStr">
        <is>
          <t>Current status unclear</t>
        </is>
      </c>
      <c r="AH451" s="77" t="inlineStr">
        <is>
          <t>undated</t>
        </is>
      </c>
      <c r="AI451" s="77" t="inlineStr">
        <is>
          <t>No</t>
        </is>
      </c>
      <c r="AJ451" s="77">
        <f>IF(AND(AI451="Yes",AF451="Meets all three",AG451="Current delivery confirmed"),"Yes","No")</f>
        <v/>
      </c>
      <c r="AK451" s="77" t="inlineStr"/>
      <c r="AL451" s="77" t="inlineStr">
        <is>
          <t>UK12-S01-R1</t>
        </is>
      </c>
      <c r="AM451" s="77" t="inlineStr">
        <is>
          <t>Which modules actually run employer live briefs and how often; undated form page. Umbrella: not counted separately.</t>
        </is>
      </c>
      <c r="AN451" s="77" t="inlineStr"/>
      <c r="AO451" s="77" t="inlineStr">
        <is>
          <t>UK</t>
        </is>
      </c>
      <c r="AP451" s="77" t="inlineStr">
        <is>
          <t>UK – additional</t>
        </is>
      </c>
      <c r="AQ451" s="77" t="inlineStr">
        <is>
          <t>Unclear</t>
        </is>
      </c>
      <c r="AR451" s="77" t="inlineStr">
        <is>
          <t>Unclear</t>
        </is>
      </c>
      <c r="AS451" s="77" t="inlineStr">
        <is>
          <t>No (umbrella; children counted)</t>
        </is>
      </c>
    </row>
    <row r="452">
      <c r="A452" s="77" t="inlineStr">
        <is>
          <t>UK12</t>
        </is>
      </c>
      <c r="B452" s="77" t="inlineStr">
        <is>
          <t>East Anglia</t>
        </is>
      </c>
      <c r="C452" s="77" t="inlineStr">
        <is>
          <t>Programme/course</t>
        </is>
      </c>
      <c r="D452" s="77" t="inlineStr">
        <is>
          <t>UK12-S02</t>
        </is>
      </c>
      <c r="E452" s="77" t="inlineStr">
        <is>
          <t>UK12-S01</t>
        </is>
      </c>
      <c r="F452" s="77" t="inlineStr">
        <is>
          <t>No</t>
        </is>
      </c>
      <c r="G452" s="79" t="inlineStr">
        <is>
          <t>BA Business Management: live marketing briefs (Norwich Business School)</t>
        </is>
      </c>
      <c r="H452" s="77" t="inlineStr">
        <is>
          <t>Live marketing briefs for Adnams Brewery / East Anglian Zoological Society within BA Business Management</t>
        </is>
      </c>
      <c r="I452" s="77" t="inlineStr"/>
      <c r="J452"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52" s="77" t="inlineStr">
        <is>
          <t>Norwich Business School</t>
        </is>
      </c>
      <c r="L452" s="77" t="inlineStr">
        <is>
          <t>BA Business Management (and related NBS undergraduate programmes where the wording recurs)</t>
        </is>
      </c>
      <c r="M452" s="77" t="inlineStr">
        <is>
          <t>Business/management</t>
        </is>
      </c>
      <c r="N452" s="77" t="inlineStr">
        <is>
          <t>Undergraduate</t>
        </is>
      </c>
      <c r="O452" s="77" t="inlineStr"/>
      <c r="P452" s="77" t="inlineStr"/>
      <c r="Q452" s="77" t="inlineStr">
        <is>
          <t>Compulsory within specified programmes</t>
        </is>
      </c>
      <c r="R452" s="77" t="inlineStr">
        <is>
          <t>Curricular</t>
        </is>
      </c>
      <c r="S452" s="77" t="inlineStr">
        <is>
          <t>Not evidenced</t>
        </is>
      </c>
      <c r="T452" s="77" t="inlineStr">
        <is>
          <t>Unclear</t>
        </is>
      </c>
      <c r="U452" s="77" t="inlineStr">
        <is>
          <t>Practical projects within taught modules</t>
        </is>
      </c>
      <c r="V452" s="77" t="inlineStr">
        <is>
          <t>Unclear</t>
        </is>
      </c>
      <c r="W452" s="77" t="inlineStr">
        <is>
          <t>'Live marketing briefs' named but no output, module or assessment evidenced [2].</t>
        </is>
      </c>
      <c r="X452" s="77" t="inlineStr">
        <is>
          <t>Unclear</t>
        </is>
      </c>
      <c r="Y452" s="77" t="inlineStr">
        <is>
          <t>No evidence whether briefs are tackled in teams or individually [2].</t>
        </is>
      </c>
      <c r="Z452" s="77" t="inlineStr">
        <is>
          <t>Unclear</t>
        </is>
      </c>
      <c r="AA452" s="77" t="inlineStr">
        <is>
          <t>Adnams Brewery and East Anglian Zoological Society named as sources of live briefs [2]; not shown how organisations participate or whether it is standard across the cohort.</t>
        </is>
      </c>
      <c r="AB452" s="77" t="inlineStr">
        <is>
          <t>Mixed</t>
        </is>
      </c>
      <c r="AC452" s="77" t="inlineStr">
        <is>
          <t>Provide live marketing briefs (as described on course page)</t>
        </is>
      </c>
      <c r="AD452" s="77" t="inlineStr">
        <is>
          <t>Adnams Brewery; East Anglian Zoological Society (course page 2025/26 and 2026/27 wording)</t>
        </is>
      </c>
      <c r="AE452" s="77" t="inlineStr">
        <is>
          <t>Not evidenced</t>
        </is>
      </c>
      <c r="AF452" s="77">
        <f>IF(OR(V452="No",X452="No",Z452="No"),"Outside strict definition",IF(AND(V452="Yes",X452="Yes",Z452="Yes"),"Meets all three","Potentially relevant; evidence incomplete"))</f>
        <v/>
      </c>
      <c r="AG452" s="77" t="inlineStr">
        <is>
          <t>Current status unclear</t>
        </is>
      </c>
      <c r="AH452" s="77" t="inlineStr">
        <is>
          <t>2026/27 (course page wording)</t>
        </is>
      </c>
      <c r="AI452" s="77" t="inlineStr">
        <is>
          <t>Yes</t>
        </is>
      </c>
      <c r="AJ452" s="77">
        <f>IF(AND(AI452="Yes",AF452="Meets all three",AG452="Current delivery confirmed"),"Yes","No")</f>
        <v/>
      </c>
      <c r="AK452" s="77" t="inlineStr"/>
      <c r="AL452" s="77" t="inlineStr">
        <is>
          <t>UK12-S02-R1</t>
        </is>
      </c>
      <c r="AM452" s="77" t="inlineStr">
        <is>
          <t>Module(s) in which live briefs run, group vs individual, assessment, whether current each year. Course-page marketing text only.</t>
        </is>
      </c>
      <c r="AN452" s="77" t="inlineStr"/>
      <c r="AO452" s="77" t="inlineStr">
        <is>
          <t>UK</t>
        </is>
      </c>
      <c r="AP452" s="77" t="inlineStr">
        <is>
          <t>UK – additional</t>
        </is>
      </c>
      <c r="AQ452" s="77" t="inlineStr">
        <is>
          <t>Unclear</t>
        </is>
      </c>
      <c r="AR452" s="77" t="inlineStr">
        <is>
          <t>Unclear</t>
        </is>
      </c>
      <c r="AS452" s="77" t="inlineStr"/>
    </row>
    <row r="453">
      <c r="A453" s="77" t="inlineStr">
        <is>
          <t>UK12</t>
        </is>
      </c>
      <c r="B453" s="77" t="inlineStr">
        <is>
          <t>East Anglia</t>
        </is>
      </c>
      <c r="C453" s="77" t="inlineStr">
        <is>
          <t>Programme/course</t>
        </is>
      </c>
      <c r="D453" s="77" t="inlineStr">
        <is>
          <t>UK12-S03</t>
        </is>
      </c>
      <c r="E453" s="77" t="inlineStr"/>
      <c r="F453" s="77" t="inlineStr">
        <is>
          <t>No</t>
        </is>
      </c>
      <c r="G453" s="79" t="inlineStr">
        <is>
          <t>Executive (Part-Time) MBA: group consultancy project with an external client</t>
        </is>
      </c>
      <c r="H453" s="77" t="inlineStr">
        <is>
          <t>Executive MBA group consultancy project</t>
        </is>
      </c>
      <c r="I453" s="77" t="inlineStr"/>
      <c r="J453"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53" s="77" t="inlineStr">
        <is>
          <t>Norwich Business School</t>
        </is>
      </c>
      <c r="L453" s="77" t="inlineStr">
        <is>
          <t>MBA (Executive Part Time)</t>
        </is>
      </c>
      <c r="M453" s="77" t="inlineStr">
        <is>
          <t>Business/management</t>
        </is>
      </c>
      <c r="N453" s="77" t="inlineStr">
        <is>
          <t>Postgraduate taught</t>
        </is>
      </c>
      <c r="O453" s="77" t="inlineStr"/>
      <c r="P453" s="77" t="inlineStr"/>
      <c r="Q453" s="77" t="inlineStr">
        <is>
          <t>Compulsory within specified programmes</t>
        </is>
      </c>
      <c r="R453" s="77" t="inlineStr">
        <is>
          <t>Curricular</t>
        </is>
      </c>
      <c r="S453" s="77" t="inlineStr">
        <is>
          <t>Module credit not evidenced; written report and presentation</t>
        </is>
      </c>
      <c r="T453" s="77" t="inlineStr">
        <is>
          <t>About three months (2026/27 page)</t>
        </is>
      </c>
      <c r="U453" s="77" t="inlineStr">
        <is>
          <t>Part-time executive programme with overseas element</t>
        </is>
      </c>
      <c r="V453" s="77" t="inlineStr">
        <is>
          <t>Yes</t>
        </is>
      </c>
      <c r="W453" s="77" t="inlineStr">
        <is>
          <t>Substantive written report and presentation on a client-chosen strategic topic, extended research-based project [3].</t>
        </is>
      </c>
      <c r="X453" s="77" t="inlineStr">
        <is>
          <t>Yes</t>
        </is>
      </c>
      <c r="Y453" s="77" t="inlineStr">
        <is>
          <t>'Group-based consultancy module' / group consultancy project [3].</t>
        </is>
      </c>
      <c r="Z453" s="77" t="inlineStr">
        <is>
          <t>Yes</t>
        </is>
      </c>
      <c r="AA453" s="77" t="inlineStr">
        <is>
          <t>Client organisation chooses the strategic topic and receives the report and presentation [3].</t>
        </is>
      </c>
      <c r="AB453" s="77" t="inlineStr">
        <is>
          <t>Unclear</t>
        </is>
      </c>
      <c r="AC453" s="77" t="inlineStr">
        <is>
          <t>External client sets topic; receives report and presentation</t>
        </is>
      </c>
      <c r="AD453" s="77" t="inlineStr"/>
      <c r="AE453" s="77" t="inlineStr">
        <is>
          <t>Group written consultancy report + presentation to client</t>
        </is>
      </c>
      <c r="AF453" s="77">
        <f>IF(OR(V453="No",X453="No",Z453="No"),"Outside strict definition",IF(AND(V453="Yes",X453="Yes",Z453="Yes"),"Meets all three","Potentially relevant; evidence incomplete"))</f>
        <v/>
      </c>
      <c r="AG453" s="77" t="inlineStr">
        <is>
          <t>Current delivery confirmed</t>
        </is>
      </c>
      <c r="AH453" s="77" t="inlineStr">
        <is>
          <t>2026/27</t>
        </is>
      </c>
      <c r="AI453" s="77" t="inlineStr">
        <is>
          <t>Yes</t>
        </is>
      </c>
      <c r="AJ453" s="77">
        <f>IF(AND(AI453="Yes",AF453="Meets all three",AG453="Current delivery confirmed"),"Yes","No")</f>
        <v/>
      </c>
      <c r="AK453" s="77" t="inlineStr"/>
      <c r="AL453" s="77" t="inlineStr">
        <is>
          <t>UK12-S03-R1</t>
        </is>
      </c>
      <c r="AM453" s="77" t="inlineStr">
        <is>
          <t>Client sector/names not given; module code and credit not retrieved; extract is a search summary of the course page.</t>
        </is>
      </c>
      <c r="AN453" s="77" t="inlineStr"/>
      <c r="AO453" s="77" t="inlineStr">
        <is>
          <t>UK</t>
        </is>
      </c>
      <c r="AP453" s="77" t="inlineStr">
        <is>
          <t>UK – additional</t>
        </is>
      </c>
      <c r="AQ453" s="77" t="inlineStr">
        <is>
          <t>~1 term/semester</t>
        </is>
      </c>
      <c r="AR453" s="77" t="inlineStr">
        <is>
          <t>All/standard</t>
        </is>
      </c>
      <c r="AS453" s="77" t="inlineStr"/>
    </row>
    <row r="454">
      <c r="A454" s="77" t="inlineStr">
        <is>
          <t>UK12</t>
        </is>
      </c>
      <c r="B454" s="77" t="inlineStr">
        <is>
          <t>East Anglia</t>
        </is>
      </c>
      <c r="C454" s="77" t="inlineStr">
        <is>
          <t>Programme/course</t>
        </is>
      </c>
      <c r="D454" s="77" t="inlineStr">
        <is>
          <t>UK12-S04</t>
        </is>
      </c>
      <c r="E454" s="77" t="inlineStr"/>
      <c r="F454" s="77" t="inlineStr">
        <is>
          <t>No</t>
        </is>
      </c>
      <c r="G454" s="79" t="inlineStr">
        <is>
          <t>Full-time MBA: live consultancy projects (incl. Capstone Consultancy)</t>
        </is>
      </c>
      <c r="H454" s="77" t="inlineStr">
        <is>
          <t>Full-time MBA live consultancy projects</t>
        </is>
      </c>
      <c r="I454" s="77" t="inlineStr"/>
      <c r="J454"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54" s="77" t="inlineStr">
        <is>
          <t>Norwich Business School</t>
        </is>
      </c>
      <c r="L454" s="77" t="inlineStr">
        <is>
          <t>MBA (full-time)</t>
        </is>
      </c>
      <c r="M454" s="77" t="inlineStr">
        <is>
          <t>Business/management</t>
        </is>
      </c>
      <c r="N454" s="77" t="inlineStr">
        <is>
          <t>Postgraduate taught</t>
        </is>
      </c>
      <c r="O454" s="77" t="inlineStr"/>
      <c r="P454" s="77" t="inlineStr"/>
      <c r="Q454" s="77" t="inlineStr">
        <is>
          <t>Compulsory within specified programmes</t>
        </is>
      </c>
      <c r="R454" s="77" t="inlineStr">
        <is>
          <t>Curricular</t>
        </is>
      </c>
      <c r="S454" s="77" t="inlineStr">
        <is>
          <t>Not evidenced</t>
        </is>
      </c>
      <c r="T454" s="77" t="inlineStr">
        <is>
          <t>Unclear</t>
        </is>
      </c>
      <c r="U454" s="77" t="inlineStr">
        <is>
          <t>Full-time 12-month MBA</t>
        </is>
      </c>
      <c r="V454" s="77" t="inlineStr">
        <is>
          <t>Yes</t>
        </is>
      </c>
      <c r="W454" s="77" t="inlineStr">
        <is>
          <t>Consultancy projects on real organisational challenges [4][5].</t>
        </is>
      </c>
      <c r="X454" s="77" t="inlineStr">
        <is>
          <t>Unclear</t>
        </is>
      </c>
      <c r="Y454" s="77" t="inlineStr">
        <is>
          <t>Team format not stated in retrieved text.</t>
        </is>
      </c>
      <c r="Z454" s="77" t="inlineStr">
        <is>
          <t>Unclear</t>
        </is>
      </c>
      <c r="AA454" s="77" t="inlineStr">
        <is>
          <t>'Live' consultancy and 'real organisational challenges' implied external organisations, but client role (brief-setting, receipt of output) not evidenced [4].</t>
        </is>
      </c>
      <c r="AB454" s="77" t="inlineStr">
        <is>
          <t>Unclear</t>
        </is>
      </c>
      <c r="AC454" s="77" t="inlineStr">
        <is>
          <t>Not evidenced</t>
        </is>
      </c>
      <c r="AD454" s="77" t="inlineStr"/>
      <c r="AE454" s="77" t="inlineStr">
        <is>
          <t>Not evidenced</t>
        </is>
      </c>
      <c r="AF454" s="77">
        <f>IF(OR(V454="No",X454="No",Z454="No"),"Outside strict definition",IF(AND(V454="Yes",X454="Yes",Z454="Yes"),"Meets all three","Potentially relevant; evidence incomplete"))</f>
        <v/>
      </c>
      <c r="AG454" s="77" t="inlineStr">
        <is>
          <t>Current delivery confirmed</t>
        </is>
      </c>
      <c r="AH454" s="77" t="inlineStr">
        <is>
          <t>2025/26</t>
        </is>
      </c>
      <c r="AI454" s="77" t="inlineStr">
        <is>
          <t>Yes</t>
        </is>
      </c>
      <c r="AJ454" s="77">
        <f>IF(AND(AI454="Yes",AF454="Meets all three",AG454="Current delivery confirmed"),"Yes","No")</f>
        <v/>
      </c>
      <c r="AK454" s="77" t="inlineStr"/>
      <c r="AL454" s="77" t="inlineStr">
        <is>
          <t>UK12-S04-R1; UK12-S04-R2</t>
        </is>
      </c>
      <c r="AM454" s="77" t="inlineStr">
        <is>
          <t>Group vs individual, client role, structure of the two projects and the Capstone Consultancy; 2025/26 page supports status, 2027/28 page repeats.</t>
        </is>
      </c>
      <c r="AN454" s="77" t="inlineStr"/>
      <c r="AO454" s="77" t="inlineStr">
        <is>
          <t>UK</t>
        </is>
      </c>
      <c r="AP454" s="77" t="inlineStr">
        <is>
          <t>UK – additional</t>
        </is>
      </c>
      <c r="AQ454" s="77" t="inlineStr">
        <is>
          <t>Unclear</t>
        </is>
      </c>
      <c r="AR454" s="77" t="inlineStr">
        <is>
          <t>Unclear</t>
        </is>
      </c>
      <c r="AS454" s="77" t="inlineStr"/>
    </row>
    <row r="455">
      <c r="A455" s="77" t="inlineStr">
        <is>
          <t>UK12</t>
        </is>
      </c>
      <c r="B455" s="77" t="inlineStr">
        <is>
          <t>East Anglia</t>
        </is>
      </c>
      <c r="C455" s="77" t="inlineStr">
        <is>
          <t>Programme/course</t>
        </is>
      </c>
      <c r="D455" s="77" t="inlineStr">
        <is>
          <t>UK12-S05</t>
        </is>
      </c>
      <c r="E455" s="77" t="inlineStr"/>
      <c r="F455" s="77" t="inlineStr">
        <is>
          <t>No</t>
        </is>
      </c>
      <c r="G455" s="79" t="inlineStr">
        <is>
          <t>MEng final-year Engineering Group Project (industry client brief)</t>
        </is>
      </c>
      <c r="H455" s="77" t="inlineStr">
        <is>
          <t>MEng final-year industry-brief group project</t>
        </is>
      </c>
      <c r="I455" s="77" t="inlineStr"/>
      <c r="J455"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55" s="77" t="inlineStr">
        <is>
          <t>School of Engineering, Mathematics and Physics</t>
        </is>
      </c>
      <c r="L455" s="77" t="inlineStr">
        <is>
          <t>MEng Mechanical Engineering (+ Year in Industry), MEng Engineering, MEng Energy Engineering, MEng Electrical and Electronic Engineering (BEng routes use an individual project)</t>
        </is>
      </c>
      <c r="M455" s="77" t="inlineStr">
        <is>
          <t>Engineering/computing</t>
        </is>
      </c>
      <c r="N455" s="77" t="inlineStr">
        <is>
          <t>Undergraduate</t>
        </is>
      </c>
      <c r="O455" s="77" t="inlineStr">
        <is>
          <t>Final year (Year 4 of MEng)</t>
        </is>
      </c>
      <c r="P455" s="77" t="inlineStr"/>
      <c r="Q455" s="77" t="inlineStr">
        <is>
          <t>Compulsory within specified programmes</t>
        </is>
      </c>
      <c r="R455" s="77" t="inlineStr">
        <is>
          <t>Curricular</t>
        </is>
      </c>
      <c r="S455" s="77" t="inlineStr">
        <is>
          <t>Module code/credits not retrieved; presentation, report, computational work and data processing</t>
        </is>
      </c>
      <c r="T455" s="77" t="inlineStr">
        <is>
          <t>Final year (starts at beginning of year)</t>
        </is>
      </c>
      <c r="U455" s="77" t="inlineStr">
        <is>
          <t>Team project with site visit and presentation to professional engineers</t>
        </is>
      </c>
      <c r="V455" s="77" t="inlineStr">
        <is>
          <t>Yes</t>
        </is>
      </c>
      <c r="W455" s="77" t="inlineStr">
        <is>
          <t>Real client brief; proposal, report and presentation outputs [6][7].</t>
        </is>
      </c>
      <c r="X455" s="77" t="inlineStr">
        <is>
          <t>Yes</t>
        </is>
      </c>
      <c r="Y455" s="77" t="inlineStr">
        <is>
          <t>'Engineering group project'; 'work with your team' [6][7].</t>
        </is>
      </c>
      <c r="Z455" s="77" t="inlineStr">
        <is>
          <t>Yes</t>
        </is>
      </c>
      <c r="AA455" s="77" t="inlineStr">
        <is>
          <t>Industry client supplies the brief (typically); teams visit the site and present proposals to professional engineers; EEE page: close work with a professional engineering organisation throughout [6][7]. Wording varies: 'typically' (Mechanical), 'often' (Energy).</t>
        </is>
      </c>
      <c r="AB455" s="77" t="inlineStr">
        <is>
          <t>Business/commercial</t>
        </is>
      </c>
      <c r="AC455" s="77" t="inlineStr">
        <is>
          <t>Industry client sets brief, hosts site visit, receives proposals</t>
        </is>
      </c>
      <c r="AD455" s="77" t="inlineStr">
        <is>
          <t>Not named</t>
        </is>
      </c>
      <c r="AE455" s="77" t="inlineStr">
        <is>
          <t>Group proposal/report and presentation to professional engineers</t>
        </is>
      </c>
      <c r="AF455" s="77">
        <f>IF(OR(V455="No",X455="No",Z455="No"),"Outside strict definition",IF(AND(V455="Yes",X455="Yes",Z455="Yes"),"Meets all three","Potentially relevant; evidence incomplete"))</f>
        <v/>
      </c>
      <c r="AG455" s="77" t="inlineStr">
        <is>
          <t>Current delivery confirmed</t>
        </is>
      </c>
      <c r="AH455" s="77" t="inlineStr">
        <is>
          <t>2026/27</t>
        </is>
      </c>
      <c r="AI455" s="77" t="inlineStr">
        <is>
          <t>Yes</t>
        </is>
      </c>
      <c r="AJ455" s="77">
        <f>IF(AND(AI455="Yes",AF455="Meets all three",AG455="Current delivery confirmed"),"Yes","No")</f>
        <v/>
      </c>
      <c r="AK455" s="77" t="inlineStr"/>
      <c r="AL455" s="77" t="inlineStr">
        <is>
          <t>UK12-S05-R1; UK12-S05-R2</t>
        </is>
      </c>
      <c r="AM455"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55" s="77" t="inlineStr"/>
      <c r="AO455" s="77" t="inlineStr">
        <is>
          <t>UK</t>
        </is>
      </c>
      <c r="AP455" s="77" t="inlineStr">
        <is>
          <t>UK – additional</t>
        </is>
      </c>
      <c r="AQ455" s="77" t="inlineStr">
        <is>
          <t>&gt;1 term</t>
        </is>
      </c>
      <c r="AR455" s="77" t="inlineStr">
        <is>
          <t>Some projects</t>
        </is>
      </c>
      <c r="AS455" s="77" t="inlineStr"/>
    </row>
    <row r="456">
      <c r="A456" s="77" t="inlineStr">
        <is>
          <t>UK12</t>
        </is>
      </c>
      <c r="B456" s="77" t="inlineStr">
        <is>
          <t>East Anglia</t>
        </is>
      </c>
      <c r="C456" s="77" t="inlineStr">
        <is>
          <t>Programme/course</t>
        </is>
      </c>
      <c r="D456" s="77" t="inlineStr">
        <is>
          <t>UK12-S06</t>
        </is>
      </c>
      <c r="E456" s="77" t="inlineStr"/>
      <c r="F456" s="77" t="inlineStr">
        <is>
          <t>No</t>
        </is>
      </c>
      <c r="G456" s="79" t="inlineStr">
        <is>
          <t>MComp final-year group project (CMP-7024Y MCOMP Project per 2022 catalogue)</t>
        </is>
      </c>
      <c r="H456" s="77" t="inlineStr">
        <is>
          <t>MComp Computing/AI final-year group (partner) project</t>
        </is>
      </c>
      <c r="I456" s="77" t="inlineStr"/>
      <c r="J456"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56" s="77" t="inlineStr">
        <is>
          <t>School of Computing Sciences</t>
        </is>
      </c>
      <c r="L456" s="77" t="inlineStr">
        <is>
          <t>MComp Computing Science (incl. Study Abroad, Cyber Security), MComp Artificial Intelligence</t>
        </is>
      </c>
      <c r="M456" s="77" t="inlineStr">
        <is>
          <t>Engineering/computing</t>
        </is>
      </c>
      <c r="N456" s="77" t="inlineStr">
        <is>
          <t>Undergraduate</t>
        </is>
      </c>
      <c r="O456" s="77" t="inlineStr">
        <is>
          <t>Final year (MComp)</t>
        </is>
      </c>
      <c r="P456" s="77" t="inlineStr"/>
      <c r="Q456" s="77" t="inlineStr">
        <is>
          <t>Compulsory within specified programmes</t>
        </is>
      </c>
      <c r="R456" s="77" t="inlineStr">
        <is>
          <t>Curricular</t>
        </is>
      </c>
      <c r="S456" s="77" t="inlineStr">
        <is>
          <t>40 credits (2022 catalogue record, module CMP-7024Y); demonstration + written report</t>
        </is>
      </c>
      <c r="T456" s="77" t="inlineStr">
        <is>
          <t>Final year</t>
        </is>
      </c>
      <c r="U456" s="77" t="inlineStr">
        <is>
          <t>Supervised team project</t>
        </is>
      </c>
      <c r="V456" s="77" t="inlineStr">
        <is>
          <t>Yes</t>
        </is>
      </c>
      <c r="W456" s="77" t="inlineStr">
        <is>
          <t>Defined solution demonstrated and reported [8].</t>
        </is>
      </c>
      <c r="X456" s="77" t="inlineStr">
        <is>
          <t>Yes</t>
        </is>
      </c>
      <c r="Y456" s="77" t="inlineStr">
        <is>
          <t>'Group or partner project' / team-based project [8].</t>
        </is>
      </c>
      <c r="Z456" s="77" t="inlineStr">
        <is>
          <t>Unclear</t>
        </is>
      </c>
      <c r="AA456" s="77" t="inlineStr">
        <is>
          <t>Source is 'industry or commerce' OR 'active research group': internal research-group projects are an alternative; no statement that external organisations are the standard source [8].</t>
        </is>
      </c>
      <c r="AB456" s="77" t="inlineStr">
        <is>
          <t>Mixed</t>
        </is>
      </c>
      <c r="AC456" s="77" t="inlineStr">
        <is>
          <t>Industry/commerce problem or internal research group (alternative)</t>
        </is>
      </c>
      <c r="AD456" s="77" t="inlineStr"/>
      <c r="AE456" s="77" t="inlineStr">
        <is>
          <t>Working solution demonstration + group report</t>
        </is>
      </c>
      <c r="AF456" s="77">
        <f>IF(OR(V456="No",X456="No",Z456="No"),"Outside strict definition",IF(AND(V456="Yes",X456="Yes",Z456="Yes"),"Meets all three","Potentially relevant; evidence incomplete"))</f>
        <v/>
      </c>
      <c r="AG456" s="77" t="inlineStr">
        <is>
          <t>Current delivery confirmed</t>
        </is>
      </c>
      <c r="AH456" s="77" t="inlineStr">
        <is>
          <t>2026/27</t>
        </is>
      </c>
      <c r="AI456" s="77" t="inlineStr">
        <is>
          <t>Yes</t>
        </is>
      </c>
      <c r="AJ456" s="77">
        <f>IF(AND(AI456="Yes",AF456="Meets all three",AG456="Current delivery confirmed"),"Yes","No")</f>
        <v/>
      </c>
      <c r="AK456" s="77" t="inlineStr"/>
      <c r="AL456" s="77" t="inlineStr">
        <is>
          <t>UK12-S06-R1</t>
        </is>
      </c>
      <c r="AM456" s="77" t="inlineStr">
        <is>
          <t>Share of projects with external organisations; whether external partners supervise/assess. Industrial Advisory Board terms say members may provide real-world challenges or assess final-year projects (capability, not frequency).</t>
        </is>
      </c>
      <c r="AN456" s="77" t="inlineStr"/>
      <c r="AO456" s="77" t="inlineStr">
        <is>
          <t>UK</t>
        </is>
      </c>
      <c r="AP456" s="77" t="inlineStr">
        <is>
          <t>UK – additional</t>
        </is>
      </c>
      <c r="AQ456" s="77" t="inlineStr">
        <is>
          <t>&gt;1 term</t>
        </is>
      </c>
      <c r="AR456" s="77" t="inlineStr">
        <is>
          <t>Some projects</t>
        </is>
      </c>
      <c r="AS456" s="77" t="inlineStr"/>
    </row>
    <row r="457">
      <c r="A457" s="77" t="inlineStr">
        <is>
          <t>UK12</t>
        </is>
      </c>
      <c r="B457" s="77" t="inlineStr">
        <is>
          <t>East Anglia</t>
        </is>
      </c>
      <c r="C457" s="77" t="inlineStr">
        <is>
          <t>Programme/course</t>
        </is>
      </c>
      <c r="D457" s="77" t="inlineStr">
        <is>
          <t>UK12-S07</t>
        </is>
      </c>
      <c r="E457" s="77" t="inlineStr"/>
      <c r="F457" s="77" t="inlineStr">
        <is>
          <t>No</t>
        </is>
      </c>
      <c r="G457" s="79" t="inlineStr">
        <is>
          <t>School of Economics final-year consulting project (alternative to dissertation)</t>
        </is>
      </c>
      <c r="H457" s="77" t="inlineStr">
        <is>
          <t>Economics final-year consulting project with an external organisation</t>
        </is>
      </c>
      <c r="I457" s="77" t="inlineStr"/>
      <c r="J457"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57" s="77" t="inlineStr">
        <is>
          <t>School of Economics</t>
        </is>
      </c>
      <c r="L457" s="77" t="inlineStr">
        <is>
          <t>BSc Economics, Economics and Finance, Economics with Accountancy, Business Economics, Business Finance and Economics, Economics Behaviour and Data Science (per course pages)</t>
        </is>
      </c>
      <c r="M457" s="77" t="inlineStr">
        <is>
          <t>Arts/humanities/social sciences; Business/management</t>
        </is>
      </c>
      <c r="N457" s="77" t="inlineStr">
        <is>
          <t>Undergraduate</t>
        </is>
      </c>
      <c r="O457" s="77" t="inlineStr">
        <is>
          <t>Final year</t>
        </is>
      </c>
      <c r="P457" s="77" t="inlineStr"/>
      <c r="Q457" s="77" t="inlineStr">
        <is>
          <t>Optional/elective</t>
        </is>
      </c>
      <c r="R457" s="77" t="inlineStr">
        <is>
          <t>Curricular</t>
        </is>
      </c>
      <c r="S457" s="77" t="inlineStr">
        <is>
          <t>Not retrieved</t>
        </is>
      </c>
      <c r="T457" s="77" t="inlineStr">
        <is>
          <t>Unclear</t>
        </is>
      </c>
      <c r="U457" s="77" t="inlineStr">
        <is>
          <t>Capstone option alongside dissertation</t>
        </is>
      </c>
      <c r="V457" s="77" t="inlineStr">
        <is>
          <t>Yes</t>
        </is>
      </c>
      <c r="W457" s="77" t="inlineStr">
        <is>
          <t>Consulting project applying analysis to a real-world problem with recommendations [9].</t>
        </is>
      </c>
      <c r="X457" s="77" t="inlineStr">
        <is>
          <t>Unclear</t>
        </is>
      </c>
      <c r="Y457" s="77" t="inlineStr">
        <is>
          <t>No source says whether the consulting project is team-based or individual [9].</t>
        </is>
      </c>
      <c r="Z457" s="77" t="inlineStr">
        <is>
          <t>Yes</t>
        </is>
      </c>
      <c r="AA457" s="77" t="inlineStr">
        <is>
          <t>Project is 'in collaboration with an external organisation'; students build a client relationship [9]; sector and extent of client input not stated.</t>
        </is>
      </c>
      <c r="AB457" s="77" t="inlineStr">
        <is>
          <t>Unclear</t>
        </is>
      </c>
      <c r="AC457" s="77" t="inlineStr">
        <is>
          <t>External organisation collaborates/acts as client</t>
        </is>
      </c>
      <c r="AD457" s="77" t="inlineStr"/>
      <c r="AE457" s="77" t="inlineStr">
        <is>
          <t>Consulting project report/recommendations (not specified)</t>
        </is>
      </c>
      <c r="AF457" s="77">
        <f>IF(OR(V457="No",X457="No",Z457="No"),"Outside strict definition",IF(AND(V457="Yes",X457="Yes",Z457="Yes"),"Meets all three","Potentially relevant; evidence incomplete"))</f>
        <v/>
      </c>
      <c r="AG457" s="77" t="inlineStr">
        <is>
          <t>Current delivery confirmed</t>
        </is>
      </c>
      <c r="AH457" s="77" t="inlineStr">
        <is>
          <t>2026/27</t>
        </is>
      </c>
      <c r="AI457" s="77" t="inlineStr">
        <is>
          <t>Yes</t>
        </is>
      </c>
      <c r="AJ457" s="77">
        <f>IF(AND(AI457="Yes",AF457="Meets all three",AG457="Current delivery confirmed"),"Yes","No")</f>
        <v/>
      </c>
      <c r="AK457" s="77" t="inlineStr"/>
      <c r="AL457" s="77" t="inlineStr">
        <is>
          <t>UK12-S07-R1</t>
        </is>
      </c>
      <c r="AM457" s="77" t="inlineStr">
        <is>
          <t>Group vs individual; module code; client names; sector.</t>
        </is>
      </c>
      <c r="AN457" s="77" t="inlineStr"/>
      <c r="AO457" s="77" t="inlineStr">
        <is>
          <t>UK</t>
        </is>
      </c>
      <c r="AP457" s="77" t="inlineStr">
        <is>
          <t>UK – additional</t>
        </is>
      </c>
      <c r="AQ457" s="77" t="inlineStr">
        <is>
          <t>Unclear</t>
        </is>
      </c>
      <c r="AR457" s="77" t="inlineStr">
        <is>
          <t>All/standard</t>
        </is>
      </c>
      <c r="AS457" s="77" t="inlineStr"/>
    </row>
    <row r="458">
      <c r="A458" s="77" t="inlineStr">
        <is>
          <t>UK12</t>
        </is>
      </c>
      <c r="B458" s="77" t="inlineStr">
        <is>
          <t>East Anglia</t>
        </is>
      </c>
      <c r="C458" s="77" t="inlineStr">
        <is>
          <t>Programme/course</t>
        </is>
      </c>
      <c r="D458" s="77" t="inlineStr">
        <is>
          <t>UK12-S08</t>
        </is>
      </c>
      <c r="E458" s="77" t="inlineStr"/>
      <c r="F458" s="77" t="inlineStr">
        <is>
          <t>No</t>
        </is>
      </c>
      <c r="G458" s="79" t="inlineStr">
        <is>
          <t>MA Media, Communication and Global Development: Media and Development in Practice live project</t>
        </is>
      </c>
      <c r="H458" s="77" t="inlineStr">
        <is>
          <t>Live media-and-development project with a partner organisation</t>
        </is>
      </c>
      <c r="I458" s="77" t="inlineStr"/>
      <c r="J458"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58" s="77" t="inlineStr">
        <is>
          <t>School of Global Development</t>
        </is>
      </c>
      <c r="L458" s="77" t="inlineStr">
        <is>
          <t>MA Media, Communication and Global Development (formerly MA Media and Global Development)</t>
        </is>
      </c>
      <c r="M458" s="77" t="inlineStr">
        <is>
          <t>Arts/humanities/social sciences</t>
        </is>
      </c>
      <c r="N458" s="77" t="inlineStr">
        <is>
          <t>Postgraduate taught</t>
        </is>
      </c>
      <c r="O458" s="77" t="inlineStr"/>
      <c r="P458" s="77" t="inlineStr"/>
      <c r="Q458" s="77" t="inlineStr">
        <is>
          <t>Compulsory within specified programmes</t>
        </is>
      </c>
      <c r="R458" s="77" t="inlineStr">
        <is>
          <t>Curricular</t>
        </is>
      </c>
      <c r="S458" s="77" t="inlineStr">
        <is>
          <t>Not retrieved</t>
        </is>
      </c>
      <c r="T458" s="77" t="inlineStr">
        <is>
          <t>Unclear</t>
        </is>
      </c>
      <c r="U458" s="77" t="inlineStr">
        <is>
          <t>Live project with partner organisation</t>
        </is>
      </c>
      <c r="V458" s="77" t="inlineStr">
        <is>
          <t>Yes</t>
        </is>
      </c>
      <c r="W458" s="77" t="inlineStr">
        <is>
          <t>Real-world media and development project with defined project design/delivery reflection [10][11].</t>
        </is>
      </c>
      <c r="X458" s="77" t="inlineStr">
        <is>
          <t>Unclear</t>
        </is>
      </c>
      <c r="Y458" s="77" t="inlineStr">
        <is>
          <t>An older school page says students design, implement and evaluate their own 'live' project; no source states team vs individual work [10][11].</t>
        </is>
      </c>
      <c r="Z458" s="77" t="inlineStr">
        <is>
          <t>Yes</t>
        </is>
      </c>
      <c r="AA458" s="77" t="inlineStr">
        <is>
          <t>Partner organisations (business, charity or media) supply the live project; named recent partners [10].</t>
        </is>
      </c>
      <c r="AB458" s="77" t="inlineStr">
        <is>
          <t>Mixed</t>
        </is>
      </c>
      <c r="AC458" s="77" t="inlineStr">
        <is>
          <t>Partner organisation hosts/supplies live project</t>
        </is>
      </c>
      <c r="AD458" s="77" t="inlineStr">
        <is>
          <t>Action Aid; Amref Africa; Anti-Slavery International; British Red Cross (2025/26 page); BBC Radio Norfolk; Girl Effect; Public Media Alliance; Save the Children International; WaterAid</t>
        </is>
      </c>
      <c r="AE458" s="77" t="inlineStr">
        <is>
          <t>Media/development project output (not specified)</t>
        </is>
      </c>
      <c r="AF458" s="77">
        <f>IF(OR(V458="No",X458="No",Z458="No"),"Outside strict definition",IF(AND(V458="Yes",X458="Yes",Z458="Yes"),"Meets all three","Potentially relevant; evidence incomplete"))</f>
        <v/>
      </c>
      <c r="AG458" s="77" t="inlineStr">
        <is>
          <t>Current delivery confirmed</t>
        </is>
      </c>
      <c r="AH458" s="77" t="inlineStr">
        <is>
          <t>2026/27</t>
        </is>
      </c>
      <c r="AI458" s="77" t="inlineStr">
        <is>
          <t>Yes</t>
        </is>
      </c>
      <c r="AJ458" s="77">
        <f>IF(AND(AI458="Yes",AF458="Meets all three",AG458="Current delivery confirmed"),"Yes","No")</f>
        <v/>
      </c>
      <c r="AK458" s="77" t="inlineStr"/>
      <c r="AL458" s="77" t="inlineStr">
        <is>
          <t>UK12-S08-R1; UK12-S08-R2</t>
        </is>
      </c>
      <c r="AM458" s="77" t="inlineStr">
        <is>
          <t>Group vs individual; deliverable; credits; whether the module is compulsory for all MA students on the programme.</t>
        </is>
      </c>
      <c r="AN458" s="77" t="inlineStr"/>
      <c r="AO458" s="77" t="inlineStr">
        <is>
          <t>UK</t>
        </is>
      </c>
      <c r="AP458" s="77" t="inlineStr">
        <is>
          <t>UK – additional</t>
        </is>
      </c>
      <c r="AQ458" s="77" t="inlineStr">
        <is>
          <t>Unclear</t>
        </is>
      </c>
      <c r="AR458" s="77" t="inlineStr">
        <is>
          <t>All/standard</t>
        </is>
      </c>
      <c r="AS458" s="77" t="inlineStr"/>
    </row>
    <row r="459">
      <c r="A459" s="77" t="inlineStr">
        <is>
          <t>UK12</t>
        </is>
      </c>
      <c r="B459" s="77" t="inlineStr">
        <is>
          <t>East Anglia</t>
        </is>
      </c>
      <c r="C459" s="77" t="inlineStr">
        <is>
          <t>Cross-faculty</t>
        </is>
      </c>
      <c r="D459" s="77" t="inlineStr">
        <is>
          <t>UK12-S09</t>
        </is>
      </c>
      <c r="E459" s="77" t="inlineStr"/>
      <c r="F459" s="77" t="inlineStr">
        <is>
          <t>No</t>
        </is>
      </c>
      <c r="G459" s="79" t="inlineStr">
        <is>
          <t>Master's with a Placement Year: three structured industry projects (placement-partner route)</t>
        </is>
      </c>
      <c r="H459" s="77" t="inlineStr">
        <is>
          <t>Postgraduate placement-year industry projects (Twin Group / Impact Consulting)</t>
        </is>
      </c>
      <c r="I459" s="77" t="inlineStr"/>
      <c r="J459"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59" s="77" t="inlineStr">
        <is>
          <t>UEA central (placement partners Twin Group, Impact Consulting)</t>
        </is>
      </c>
      <c r="L459" s="77" t="inlineStr">
        <is>
          <t>60+ Master's with placement year programmes (e.g. MSc Data Science, Digital Business and AI, Cyber Security, MA Creative Writing, Film and TV Production, Applied Ecology and Conservation)</t>
        </is>
      </c>
      <c r="M459" s="77" t="inlineStr">
        <is>
          <t>Central provision; Business/management; Engineering/computing; Science; Arts/humanities/social sciences</t>
        </is>
      </c>
      <c r="N459" s="77" t="inlineStr">
        <is>
          <t>Postgraduate taught</t>
        </is>
      </c>
      <c r="O459" s="77" t="inlineStr">
        <is>
          <t>Year 2 of two-year Master's</t>
        </is>
      </c>
      <c r="P459" s="77" t="inlineStr">
        <is>
          <t>Must pass all taught modules including dissertation and meet minimum attendance on the placement preparation module; route used only if no industry placement is secured</t>
        </is>
      </c>
      <c r="Q459" s="77" t="inlineStr">
        <is>
          <t>Selective/competitive</t>
        </is>
      </c>
      <c r="R459" s="77" t="inlineStr">
        <is>
          <t>Mixed</t>
        </is>
      </c>
      <c r="S459" s="77" t="inlineStr">
        <is>
          <t>Placement-year module pass/fail via portfolio and reflective report (Data Science page); not otherwise retrieved</t>
        </is>
      </c>
      <c r="T459" s="77" t="inlineStr">
        <is>
          <t>Year 2 (three projects, ~20 hours/week)</t>
        </is>
      </c>
      <c r="U459" s="77" t="inlineStr">
        <is>
          <t>Part-time small-group projects through placement partners</t>
        </is>
      </c>
      <c r="V459" s="77" t="inlineStr">
        <is>
          <t>Unclear</t>
        </is>
      </c>
      <c r="W459" s="77" t="inlineStr">
        <is>
          <t>'Structured industry projects' but brief content and outputs not described [12][13].</t>
        </is>
      </c>
      <c r="X459" s="77" t="inlineStr">
        <is>
          <t>Yes</t>
        </is>
      </c>
      <c r="Y459" s="77" t="inlineStr">
        <is>
          <t>UEA comparison table lists projects as 'in a small group' [12] (search paraphrase of the page).</t>
        </is>
      </c>
      <c r="Z459" s="77" t="inlineStr">
        <is>
          <t>Unclear</t>
        </is>
      </c>
      <c r="AA459" s="77" t="inlineStr">
        <is>
          <t>Projects are 'with different UK organisations' [12][13]; how organisations set briefs or receive outputs not described.</t>
        </is>
      </c>
      <c r="AB459" s="77" t="inlineStr">
        <is>
          <t>Unclear</t>
        </is>
      </c>
      <c r="AC459" s="77" t="inlineStr">
        <is>
          <t>Host organisations via placement partners; role not described</t>
        </is>
      </c>
      <c r="AD459" s="77" t="inlineStr"/>
      <c r="AE459" s="77" t="inlineStr">
        <is>
          <t>Not evidenced</t>
        </is>
      </c>
      <c r="AF459" s="77">
        <f>IF(OR(V459="No",X459="No",Z459="No"),"Outside strict definition",IF(AND(V459="Yes",X459="Yes",Z459="Yes"),"Meets all three","Potentially relevant; evidence incomplete"))</f>
        <v/>
      </c>
      <c r="AG459" s="77" t="inlineStr">
        <is>
          <t>Announced/forthcoming</t>
        </is>
      </c>
      <c r="AH459" s="77" t="inlineStr">
        <is>
          <t>2026/27 entry (course pages) / 2026 news</t>
        </is>
      </c>
      <c r="AI459" s="77" t="inlineStr">
        <is>
          <t>Yes</t>
        </is>
      </c>
      <c r="AJ459" s="77">
        <f>IF(AND(AI459="Yes",AF459="Meets all three",AG459="Current delivery confirmed"),"Yes","No")</f>
        <v/>
      </c>
      <c r="AK459" s="77" t="inlineStr"/>
      <c r="AL459" s="77" t="inlineStr">
        <is>
          <t>UK12-S09-R1; UK12-S09-R2</t>
        </is>
      </c>
      <c r="AM459" s="77" t="inlineStr">
        <is>
          <t>First year-two cohorts likely 2027/28 onwards, so delivery not evidenced; project content, assessment and whether groups work on one client brief unknown.</t>
        </is>
      </c>
      <c r="AN459" s="77" t="inlineStr"/>
      <c r="AO459" s="77" t="inlineStr">
        <is>
          <t>UK</t>
        </is>
      </c>
      <c r="AP459" s="77" t="inlineStr">
        <is>
          <t>UK – additional</t>
        </is>
      </c>
      <c r="AQ459" s="77" t="inlineStr">
        <is>
          <t>Unclear</t>
        </is>
      </c>
      <c r="AR459" s="77" t="inlineStr">
        <is>
          <t>All/standard</t>
        </is>
      </c>
      <c r="AS459" s="77" t="inlineStr"/>
    </row>
    <row r="460">
      <c r="A460" s="77" t="inlineStr">
        <is>
          <t>UK12</t>
        </is>
      </c>
      <c r="B460" s="77" t="inlineStr">
        <is>
          <t>East Anglia</t>
        </is>
      </c>
      <c r="C460" s="77" t="inlineStr">
        <is>
          <t>University-wide</t>
        </is>
      </c>
      <c r="D460" s="77" t="inlineStr">
        <is>
          <t>UK12-S10</t>
        </is>
      </c>
      <c r="E460" s="77" t="inlineStr"/>
      <c r="F460" s="77" t="inlineStr">
        <is>
          <t>No</t>
        </is>
      </c>
      <c r="G460" s="79" t="inlineStr">
        <is>
          <t>i-Teams (Norwich Research Park innovation teams)</t>
        </is>
      </c>
      <c r="H460" s="77" t="inlineStr">
        <is>
          <t>i-Teams</t>
        </is>
      </c>
      <c r="I460" s="77" t="inlineStr"/>
      <c r="J460"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60" s="77" t="inlineStr">
        <is>
          <t>UEA Business / Access Entrepreneurship and Innovation; CareerCentral listing</t>
        </is>
      </c>
      <c r="L460" s="77" t="inlineStr">
        <is>
          <t>Postgraduate and Master's students and postdocs across Norwich Research Park institutions</t>
        </is>
      </c>
      <c r="M460" s="77" t="inlineStr">
        <is>
          <t>Central provision</t>
        </is>
      </c>
      <c r="N460" s="77" t="inlineStr">
        <is>
          <t>Postgraduate research</t>
        </is>
      </c>
      <c r="O460" s="77" t="inlineStr"/>
      <c r="P460" s="77" t="inlineStr">
        <is>
          <t>Postgraduates/postdocs only (not undergraduates)</t>
        </is>
      </c>
      <c r="Q460" s="77" t="inlineStr">
        <is>
          <t>Selective/competitive</t>
        </is>
      </c>
      <c r="R460" s="77" t="inlineStr">
        <is>
          <t>Extracurricular</t>
        </is>
      </c>
      <c r="S460" s="77" t="inlineStr">
        <is>
          <t>None evidenced</t>
        </is>
      </c>
      <c r="T460" s="77" t="inlineStr">
        <is>
          <t>12 weeks</t>
        </is>
      </c>
      <c r="U460" s="77" t="inlineStr">
        <is>
          <t>Workshops, mentoring, final presentation</t>
        </is>
      </c>
      <c r="V460" s="77" t="inlineStr">
        <is>
          <t>Yes</t>
        </is>
      </c>
      <c r="W460" s="77" t="inlineStr">
        <is>
          <t>Commercialisation/impact plan for a defined innovation or heritage project, presented at end [14].</t>
        </is>
      </c>
      <c r="X460" s="77" t="inlineStr">
        <is>
          <t>Yes</t>
        </is>
      </c>
      <c r="Y460" s="77" t="inlineStr">
        <is>
          <t>'Small teams' [14].</t>
        </is>
      </c>
      <c r="Z460" s="77" t="inlineStr">
        <is>
          <t>Unclear</t>
        </is>
      </c>
      <c r="AA460" s="77" t="inlineStr">
        <is>
          <t>Industry mentors and a final audience of business leaders; regional organisations named for heritage projects, but innovation projects are NRP research outputs (internal/affiliated) and the partner pages' testimonials date from 2019 [14].</t>
        </is>
      </c>
      <c r="AB460" s="77" t="inlineStr">
        <is>
          <t>Mixed</t>
        </is>
      </c>
      <c r="AC460" s="77" t="inlineStr">
        <is>
          <t>Industry mentors; regional organisations as heritage project hosts; NRP research innovations (internal/affiliated)</t>
        </is>
      </c>
      <c r="AD460" s="77" t="inlineStr">
        <is>
          <t>Adnams; Broads Authority; Gressenhall Farm and Workhouse; The History of Advertising Trust (past, undated/2019-era)</t>
        </is>
      </c>
      <c r="AE460" s="77" t="inlineStr">
        <is>
          <t>Commercialisation/business impact plan and final presentation</t>
        </is>
      </c>
      <c r="AF460" s="77">
        <f>IF(OR(V460="No",X460="No",Z460="No"),"Outside strict definition",IF(AND(V460="Yes",X460="Yes",Z460="Yes"),"Meets all three","Potentially relevant; evidence incomplete"))</f>
        <v/>
      </c>
      <c r="AG460" s="77" t="inlineStr">
        <is>
          <t>Current status unclear</t>
        </is>
      </c>
      <c r="AH460" s="77" t="inlineStr">
        <is>
          <t>undated (testimonials 2019)</t>
        </is>
      </c>
      <c r="AI460" s="77" t="inlineStr">
        <is>
          <t>Yes</t>
        </is>
      </c>
      <c r="AJ460" s="77">
        <f>IF(AND(AI460="Yes",AF460="Meets all three",AG460="Current delivery confirmed"),"Yes","No")</f>
        <v/>
      </c>
      <c r="AK460" s="77" t="inlineStr"/>
      <c r="AL460" s="77" t="inlineStr">
        <is>
          <t>UK12-S10-R1</t>
        </is>
      </c>
      <c r="AM460" s="77" t="inlineStr">
        <is>
          <t>Current-year runs and dates; share of external-organisation (vs internal innovation) projects.</t>
        </is>
      </c>
      <c r="AN460" s="77" t="inlineStr"/>
      <c r="AO460" s="77" t="inlineStr">
        <is>
          <t>UK</t>
        </is>
      </c>
      <c r="AP460" s="77" t="inlineStr">
        <is>
          <t>UK – additional</t>
        </is>
      </c>
      <c r="AQ460" s="77" t="inlineStr">
        <is>
          <t>~1 term/semester</t>
        </is>
      </c>
      <c r="AR460" s="77" t="inlineStr">
        <is>
          <t>Some projects</t>
        </is>
      </c>
      <c r="AS460" s="77" t="inlineStr"/>
    </row>
    <row r="461">
      <c r="A461" s="77" t="inlineStr">
        <is>
          <t>UK12</t>
        </is>
      </c>
      <c r="B461" s="77" t="inlineStr">
        <is>
          <t>East Anglia</t>
        </is>
      </c>
      <c r="C461" s="77" t="inlineStr">
        <is>
          <t>Programme/course</t>
        </is>
      </c>
      <c r="D461" s="77" t="inlineStr">
        <is>
          <t>UK12-S11</t>
        </is>
      </c>
      <c r="E461" s="77" t="inlineStr"/>
      <c r="F461" s="77" t="inlineStr">
        <is>
          <t>No</t>
        </is>
      </c>
      <c r="G461" s="79" t="inlineStr">
        <is>
          <t>NBS MSc industry-sponsored / industry-focused project options (MSc Business Management; MSc Finance and Management)</t>
        </is>
      </c>
      <c r="H461" s="77" t="inlineStr">
        <is>
          <t>MSc industry-sponsored project pathway</t>
        </is>
      </c>
      <c r="I461" s="77" t="inlineStr"/>
      <c r="J461"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461" s="77" t="inlineStr">
        <is>
          <t>Norwich Business School</t>
        </is>
      </c>
      <c r="L461" s="77" t="inlineStr">
        <is>
          <t>MSc Business Management; MSc Finance and Management</t>
        </is>
      </c>
      <c r="M461" s="77" t="inlineStr">
        <is>
          <t>Business/management</t>
        </is>
      </c>
      <c r="N461" s="77" t="inlineStr">
        <is>
          <t>Postgraduate taught</t>
        </is>
      </c>
      <c r="O461" s="77" t="inlineStr"/>
      <c r="P461" s="77" t="inlineStr"/>
      <c r="Q461" s="77" t="inlineStr">
        <is>
          <t>Optional/elective</t>
        </is>
      </c>
      <c r="R461" s="77" t="inlineStr">
        <is>
          <t>Curricular</t>
        </is>
      </c>
      <c r="S461" s="77" t="inlineStr">
        <is>
          <t>Not retrieved</t>
        </is>
      </c>
      <c r="T461" s="77" t="inlineStr">
        <is>
          <t>Unclear</t>
        </is>
      </c>
      <c r="U461" s="77" t="inlineStr">
        <is>
          <t>Alternative to dissertation</t>
        </is>
      </c>
      <c r="V461" s="77" t="inlineStr">
        <is>
          <t>Unclear</t>
        </is>
      </c>
      <c r="W461" s="77" t="inlineStr">
        <is>
          <t>Named options only [15].</t>
        </is>
      </c>
      <c r="X461" s="77" t="inlineStr">
        <is>
          <t>Unclear</t>
        </is>
      </c>
      <c r="Y461" s="77" t="inlineStr">
        <is>
          <t>Not stated [15].</t>
        </is>
      </c>
      <c r="Z461" s="77" t="inlineStr">
        <is>
          <t>Unclear</t>
        </is>
      </c>
      <c r="AA461" s="77" t="inlineStr">
        <is>
          <t>'Industry-sponsored' / 'subject to availability' wording indicates external sponsors only for some students [15].</t>
        </is>
      </c>
      <c r="AB461" s="77" t="inlineStr">
        <is>
          <t>Business/commercial</t>
        </is>
      </c>
      <c r="AC461" s="77" t="inlineStr">
        <is>
          <t>Industry sponsor (not detailed)</t>
        </is>
      </c>
      <c r="AD461" s="77" t="inlineStr"/>
      <c r="AE461" s="77" t="inlineStr">
        <is>
          <t>Not evidenced</t>
        </is>
      </c>
      <c r="AF461" s="77">
        <f>IF(OR(V461="No",X461="No",Z461="No"),"Outside strict definition",IF(AND(V461="Yes",X461="Yes",Z461="Yes"),"Meets all three","Potentially relevant; evidence incomplete"))</f>
        <v/>
      </c>
      <c r="AG461" s="77" t="inlineStr">
        <is>
          <t>Current delivery confirmed</t>
        </is>
      </c>
      <c r="AH461" s="77" t="inlineStr">
        <is>
          <t>2026/27</t>
        </is>
      </c>
      <c r="AI461" s="77" t="inlineStr">
        <is>
          <t>Yes</t>
        </is>
      </c>
      <c r="AJ461" s="77">
        <f>IF(AND(AI461="Yes",AF461="Meets all three",AG461="Current delivery confirmed"),"Yes","No")</f>
        <v/>
      </c>
      <c r="AK461" s="77" t="inlineStr"/>
      <c r="AL461" s="77" t="inlineStr">
        <is>
          <t>UK12-S11-R1</t>
        </is>
      </c>
      <c r="AM461" s="77" t="inlineStr">
        <is>
          <t>Everything beyond existence of the option.</t>
        </is>
      </c>
      <c r="AN461" s="77" t="inlineStr"/>
      <c r="AO461" s="77" t="inlineStr">
        <is>
          <t>UK</t>
        </is>
      </c>
      <c r="AP461" s="77" t="inlineStr">
        <is>
          <t>UK – additional</t>
        </is>
      </c>
      <c r="AQ461" s="77" t="inlineStr">
        <is>
          <t>Unclear</t>
        </is>
      </c>
      <c r="AR461" s="77" t="inlineStr">
        <is>
          <t>Some projects</t>
        </is>
      </c>
      <c r="AS461" s="77" t="inlineStr"/>
    </row>
    <row r="462">
      <c r="A462" s="77" t="inlineStr">
        <is>
          <t>UK12</t>
        </is>
      </c>
      <c r="B462" s="77" t="inlineStr">
        <is>
          <t>East Anglia</t>
        </is>
      </c>
      <c r="C462" s="77" t="inlineStr">
        <is>
          <t>Programme/course</t>
        </is>
      </c>
      <c r="D462" s="77" t="inlineStr">
        <is>
          <t>UK12-S12</t>
        </is>
      </c>
      <c r="E462" s="77" t="inlineStr"/>
      <c r="F462" s="77" t="inlineStr">
        <is>
          <t>No</t>
        </is>
      </c>
      <c r="G462" s="79" t="inlineStr">
        <is>
          <t>MSc Sustainability and Society: partner-organisation practical work in core modules</t>
        </is>
      </c>
      <c r="H462" s="77" t="inlineStr">
        <is>
          <t>Partner-organisation practical sessions (MSc Sustainability and Society)</t>
        </is>
      </c>
      <c r="I462" s="77" t="inlineStr"/>
      <c r="J462"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462" s="77" t="inlineStr">
        <is>
          <t>School of Environmental Sciences / Science, Society and Sustainability</t>
        </is>
      </c>
      <c r="L462" s="77" t="inlineStr">
        <is>
          <t>MSc Sustainability and Society (full-time and part-time)</t>
        </is>
      </c>
      <c r="M462" s="77" t="inlineStr">
        <is>
          <t>Science</t>
        </is>
      </c>
      <c r="N462" s="77" t="inlineStr">
        <is>
          <t>Postgraduate taught</t>
        </is>
      </c>
      <c r="O462" s="77" t="inlineStr"/>
      <c r="P462" s="77" t="inlineStr"/>
      <c r="Q462" s="77" t="inlineStr">
        <is>
          <t>Compulsory within specified programmes</t>
        </is>
      </c>
      <c r="R462" s="77" t="inlineStr">
        <is>
          <t>Curricular</t>
        </is>
      </c>
      <c r="S462" s="77" t="inlineStr">
        <is>
          <t>Not retrieved</t>
        </is>
      </c>
      <c r="T462" s="77" t="inlineStr">
        <is>
          <t>Unclear</t>
        </is>
      </c>
      <c r="U462" s="77" t="inlineStr">
        <is>
          <t>Practical sessions in core modules</t>
        </is>
      </c>
      <c r="V462" s="77" t="inlineStr">
        <is>
          <t>Unclear</t>
        </is>
      </c>
      <c r="W462" s="77" t="inlineStr">
        <is>
          <t>Work on 'real-world problems and initiatives' but no defined output [16].</t>
        </is>
      </c>
      <c r="X462" s="77" t="inlineStr">
        <is>
          <t>Unclear</t>
        </is>
      </c>
      <c r="Y462" s="77" t="inlineStr">
        <is>
          <t>Not stated [16].</t>
        </is>
      </c>
      <c r="Z462" s="77" t="inlineStr">
        <is>
          <t>Yes</t>
        </is>
      </c>
      <c r="AA462" s="77" t="inlineStr">
        <is>
          <t>Students work with partner organisations in core modules [16]; role of organisations beyond hosting unclear.</t>
        </is>
      </c>
      <c r="AB462" s="77" t="inlineStr">
        <is>
          <t>Unclear</t>
        </is>
      </c>
      <c r="AC462" s="77" t="inlineStr">
        <is>
          <t>Partner organisations on real-world problems</t>
        </is>
      </c>
      <c r="AD462" s="77" t="inlineStr"/>
      <c r="AE462" s="77" t="inlineStr">
        <is>
          <t>Not evidenced</t>
        </is>
      </c>
      <c r="AF462" s="77">
        <f>IF(OR(V462="No",X462="No",Z462="No"),"Outside strict definition",IF(AND(V462="Yes",X462="Yes",Z462="Yes"),"Meets all three","Potentially relevant; evidence incomplete"))</f>
        <v/>
      </c>
      <c r="AG462" s="77" t="inlineStr">
        <is>
          <t>Announced/forthcoming</t>
        </is>
      </c>
      <c r="AH462" s="77" t="inlineStr">
        <is>
          <t>2027/28 (course page)</t>
        </is>
      </c>
      <c r="AI462" s="77" t="inlineStr">
        <is>
          <t>Yes</t>
        </is>
      </c>
      <c r="AJ462" s="77">
        <f>IF(AND(AI462="Yes",AF462="Meets all three",AG462="Current delivery confirmed"),"Yes","No")</f>
        <v/>
      </c>
      <c r="AK462" s="77" t="inlineStr"/>
      <c r="AL462" s="77" t="inlineStr">
        <is>
          <t>UK12-S12-R1</t>
        </is>
      </c>
      <c r="AM462" s="77" t="inlineStr">
        <is>
          <t>Whether current in 2025/26-2026/27; project/group status; partners.</t>
        </is>
      </c>
      <c r="AN462" s="77" t="inlineStr"/>
      <c r="AO462" s="77" t="inlineStr">
        <is>
          <t>UK</t>
        </is>
      </c>
      <c r="AP462" s="77" t="inlineStr">
        <is>
          <t>UK – additional</t>
        </is>
      </c>
      <c r="AQ462" s="77" t="inlineStr">
        <is>
          <t>Unclear</t>
        </is>
      </c>
      <c r="AR462" s="77" t="inlineStr">
        <is>
          <t>All/standard</t>
        </is>
      </c>
      <c r="AS462" s="77" t="inlineStr"/>
    </row>
    <row r="463">
      <c r="A463" s="77" t="inlineStr">
        <is>
          <t>UK14</t>
        </is>
      </c>
      <c r="B463" s="77" t="inlineStr">
        <is>
          <t>Swansea</t>
        </is>
      </c>
      <c r="C463" s="77" t="inlineStr">
        <is>
          <t>Programme/course</t>
        </is>
      </c>
      <c r="D463" s="77" t="inlineStr">
        <is>
          <t>UK14-S01</t>
        </is>
      </c>
      <c r="E463" s="77" t="inlineStr"/>
      <c r="F463" s="77" t="inlineStr">
        <is>
          <t>No</t>
        </is>
      </c>
      <c r="G463" s="79" t="inlineStr">
        <is>
          <t>Civil Engineering MEng Level 7 group design exercise</t>
        </is>
      </c>
      <c r="H463" s="77" t="inlineStr">
        <is>
          <t>Civil Engineering MEng Level 7 group design exercise</t>
        </is>
      </c>
      <c r="I463" s="77" t="inlineStr"/>
      <c r="J463"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463" s="77" t="inlineStr">
        <is>
          <t>Faculty of Science and Engineering (Civil Engineering)</t>
        </is>
      </c>
      <c r="L463" s="77" t="inlineStr">
        <is>
          <t>MEng Civil Engineering</t>
        </is>
      </c>
      <c r="M463" s="77" t="inlineStr">
        <is>
          <t>Engineering/computing</t>
        </is>
      </c>
      <c r="N463" s="77" t="inlineStr">
        <is>
          <t>Undergraduate</t>
        </is>
      </c>
      <c r="O463" s="77" t="inlineStr">
        <is>
          <t>Level 7 (MEng final year)</t>
        </is>
      </c>
      <c r="P463" s="77" t="inlineStr">
        <is>
          <t>MEng Civil Engineering students</t>
        </is>
      </c>
      <c r="Q463" s="77" t="inlineStr">
        <is>
          <t>Unclear</t>
        </is>
      </c>
      <c r="R463" s="77" t="inlineStr">
        <is>
          <t>Curricular</t>
        </is>
      </c>
      <c r="S463" s="77" t="inlineStr">
        <is>
          <t>Not found (module code and credits not retrieved)</t>
        </is>
      </c>
      <c r="T463" s="77" t="inlineStr">
        <is>
          <t>Year-long</t>
        </is>
      </c>
      <c r="U463" s="77" t="inlineStr">
        <is>
          <t>In person (assumed; not evidenced)</t>
        </is>
      </c>
      <c r="V463" s="77" t="inlineStr">
        <is>
          <t>Yes</t>
        </is>
      </c>
      <c r="W463" s="77" t="inlineStr">
        <is>
          <t>Full design projects with a year-long group design exercise [1].</t>
        </is>
      </c>
      <c r="X463" s="77" t="inlineStr">
        <is>
          <t>Yes</t>
        </is>
      </c>
      <c r="Y463" s="77" t="inlineStr">
        <is>
          <t>Described as a 'year-long group design exercise' and, by an alumnus, as 'the group project during my MEng year' [1].</t>
        </is>
      </c>
      <c r="Z463" s="77" t="inlineStr">
        <is>
          <t>Yes</t>
        </is>
      </c>
      <c r="AA463"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463" s="77" t="inlineStr">
        <is>
          <t>Business/commercial</t>
        </is>
      </c>
      <c r="AC463" s="77" t="inlineStr">
        <is>
          <t>Industry supplies live design projects; industry professionals engage with student groups (exact role not specified)</t>
        </is>
      </c>
      <c r="AD463" s="77" t="inlineStr"/>
      <c r="AE463" s="77" t="inlineStr">
        <is>
          <t>Group engineering design (exact outputs not stated)</t>
        </is>
      </c>
      <c r="AF463" s="77">
        <f>IF(OR(V463="No",X463="No",Z463="No"),"Outside strict definition",IF(AND(V463="Yes",X463="Yes",Z463="Yes"),"Meets all three","Potentially relevant; evidence incomplete"))</f>
        <v/>
      </c>
      <c r="AG463" s="77" t="inlineStr">
        <is>
          <t>Current status unclear</t>
        </is>
      </c>
      <c r="AH463" s="77" t="inlineStr"/>
      <c r="AI463" s="77" t="inlineStr">
        <is>
          <t>Yes</t>
        </is>
      </c>
      <c r="AJ463" s="77">
        <f>IF(AND(AI463="Yes",AF463="Meets all three",AG463="Current delivery confirmed"),"Yes","No")</f>
        <v/>
      </c>
      <c r="AK463" s="77" t="inlineStr"/>
      <c r="AL463" s="77" t="inlineStr">
        <is>
          <t>UK14-S01-R1; UK14-S01-R2</t>
        </is>
      </c>
      <c r="AM463" s="77" t="inlineStr">
        <is>
          <t>Undated course page with no 2025/26 corroboration, so current delivery is not confirmed. The search summary did not say which of the two Swansea Civil Engineering course pages carried the extract (the BEng/MEng page [1] or the older H200 page [2]). Module code, credits, named partners and assessment role are unknown.</t>
        </is>
      </c>
      <c r="AN463" s="77" t="inlineStr"/>
      <c r="AO463" s="77" t="inlineStr">
        <is>
          <t>UK</t>
        </is>
      </c>
      <c r="AP463" s="77" t="inlineStr">
        <is>
          <t>UK – additional</t>
        </is>
      </c>
      <c r="AQ463" s="77" t="inlineStr">
        <is>
          <t>&gt;1 term</t>
        </is>
      </c>
      <c r="AR463" s="77" t="inlineStr">
        <is>
          <t>All/standard</t>
        </is>
      </c>
      <c r="AS463" s="77" t="inlineStr"/>
    </row>
    <row r="464">
      <c r="A464" s="77" t="inlineStr">
        <is>
          <t>UK14</t>
        </is>
      </c>
      <c r="B464" s="77" t="inlineStr">
        <is>
          <t>Swansea</t>
        </is>
      </c>
      <c r="C464" s="77" t="inlineStr">
        <is>
          <t>Programme/course</t>
        </is>
      </c>
      <c r="D464" s="77" t="inlineStr">
        <is>
          <t>UK14-S02</t>
        </is>
      </c>
      <c r="E464" s="77" t="inlineStr"/>
      <c r="F464" s="77" t="inlineStr">
        <is>
          <t>No</t>
        </is>
      </c>
      <c r="G464" s="79" t="inlineStr">
        <is>
          <t>Civil Engineering BEng Level 6 design project</t>
        </is>
      </c>
      <c r="H464" s="77" t="inlineStr">
        <is>
          <t>Civil Engineering BEng Level 6 design project</t>
        </is>
      </c>
      <c r="I464" s="77" t="inlineStr"/>
      <c r="J464"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464" s="77" t="inlineStr">
        <is>
          <t>Faculty of Science and Engineering (Civil Engineering)</t>
        </is>
      </c>
      <c r="L464" s="77" t="inlineStr">
        <is>
          <t>BEng Civil Engineering</t>
        </is>
      </c>
      <c r="M464" s="77" t="inlineStr">
        <is>
          <t>Engineering/computing</t>
        </is>
      </c>
      <c r="N464" s="77" t="inlineStr">
        <is>
          <t>Undergraduate</t>
        </is>
      </c>
      <c r="O464" s="77" t="inlineStr">
        <is>
          <t>Level 6</t>
        </is>
      </c>
      <c r="P464" s="77" t="inlineStr">
        <is>
          <t>Civil Engineering BEng students</t>
        </is>
      </c>
      <c r="Q464" s="77" t="inlineStr">
        <is>
          <t>Unclear</t>
        </is>
      </c>
      <c r="R464" s="77" t="inlineStr">
        <is>
          <t>Curricular</t>
        </is>
      </c>
      <c r="S464" s="77" t="inlineStr">
        <is>
          <t>Not found</t>
        </is>
      </c>
      <c r="T464" s="77" t="inlineStr">
        <is>
          <t>Not stated</t>
        </is>
      </c>
      <c r="U464" s="77" t="inlineStr"/>
      <c r="V464" s="77" t="inlineStr">
        <is>
          <t>Yes</t>
        </is>
      </c>
      <c r="W464" s="77" t="inlineStr">
        <is>
          <t>A design project with a task set by industry engineers [1].</t>
        </is>
      </c>
      <c r="X464" s="77" t="inlineStr">
        <is>
          <t>Unclear</t>
        </is>
      </c>
      <c r="Y464" s="77" t="inlineStr">
        <is>
          <t>The extract does not say whether the design project is a group project. It is contrasted with 'an individual project', which suggests but does not establish group work [1].</t>
        </is>
      </c>
      <c r="Z464" s="77" t="inlineStr">
        <is>
          <t>Yes</t>
        </is>
      </c>
      <c r="AA464" s="77" t="inlineStr">
        <is>
          <t>The project brief is 'a task set by engineers currently working in industry' [1].</t>
        </is>
      </c>
      <c r="AB464" s="77" t="inlineStr">
        <is>
          <t>Business/commercial</t>
        </is>
      </c>
      <c r="AC464" s="77" t="inlineStr">
        <is>
          <t>Industry engineers set the design task</t>
        </is>
      </c>
      <c r="AD464" s="77" t="inlineStr"/>
      <c r="AE464" s="77" t="inlineStr">
        <is>
          <t>Engineering design (not specified)</t>
        </is>
      </c>
      <c r="AF464" s="77">
        <f>IF(OR(V464="No",X464="No",Z464="No"),"Outside strict definition",IF(AND(V464="Yes",X464="Yes",Z464="Yes"),"Meets all three","Potentially relevant; evidence incomplete"))</f>
        <v/>
      </c>
      <c r="AG464" s="77" t="inlineStr">
        <is>
          <t>Current status unclear</t>
        </is>
      </c>
      <c r="AH464" s="77" t="inlineStr"/>
      <c r="AI464" s="77" t="inlineStr">
        <is>
          <t>Yes</t>
        </is>
      </c>
      <c r="AJ464" s="77">
        <f>IF(AND(AI464="Yes",AF464="Meets all three",AG464="Current delivery confirmed"),"Yes","No")</f>
        <v/>
      </c>
      <c r="AK464" s="77" t="inlineStr"/>
      <c r="AL464" s="77" t="inlineStr">
        <is>
          <t>UK14-S02-R1</t>
        </is>
      </c>
      <c r="AM464" s="77" t="inlineStr">
        <is>
          <t>Group working is not established. The page is undated, so current delivery is unclear. The extract may come from either Civil Engineering course URL.</t>
        </is>
      </c>
      <c r="AN464" s="77" t="inlineStr"/>
      <c r="AO464" s="77" t="inlineStr">
        <is>
          <t>UK</t>
        </is>
      </c>
      <c r="AP464" s="77" t="inlineStr">
        <is>
          <t>UK – additional</t>
        </is>
      </c>
      <c r="AQ464" s="77" t="inlineStr">
        <is>
          <t>Unclear</t>
        </is>
      </c>
      <c r="AR464" s="77" t="inlineStr">
        <is>
          <t>All/standard</t>
        </is>
      </c>
      <c r="AS464" s="77" t="inlineStr"/>
    </row>
    <row r="465">
      <c r="A465" s="77" t="inlineStr">
        <is>
          <t>UK14</t>
        </is>
      </c>
      <c r="B465" s="77" t="inlineStr">
        <is>
          <t>Swansea</t>
        </is>
      </c>
      <c r="C465" s="77" t="inlineStr">
        <is>
          <t>Programme/course</t>
        </is>
      </c>
      <c r="D465" s="77" t="inlineStr">
        <is>
          <t>UK14-S03</t>
        </is>
      </c>
      <c r="E465" s="77" t="inlineStr"/>
      <c r="F465" s="77" t="inlineStr">
        <is>
          <t>No</t>
        </is>
      </c>
      <c r="G465" s="79" t="inlineStr">
        <is>
          <t>Business Consultancy Project (BSc Economics and Business)</t>
        </is>
      </c>
      <c r="H465" s="77" t="inlineStr">
        <is>
          <t>Business Consultancy Project</t>
        </is>
      </c>
      <c r="I465" s="77" t="inlineStr"/>
      <c r="J465" s="77" t="inlineStr">
        <is>
          <t>A final-year Business Consultancy Project on the BSc Economics and Business, in which students 'apply [their] skills to a live client real-world challenge'. Group structure, credits and module code were not retrieved.</t>
        </is>
      </c>
      <c r="K465" s="77" t="inlineStr">
        <is>
          <t>Swansea University (Economics / School of Management; host not confirmed)</t>
        </is>
      </c>
      <c r="L465" s="77" t="inlineStr">
        <is>
          <t>BSc Economics and Business</t>
        </is>
      </c>
      <c r="M465" s="77" t="inlineStr">
        <is>
          <t>Business/management; Arts/humanities/social sciences</t>
        </is>
      </c>
      <c r="N465" s="77" t="inlineStr">
        <is>
          <t>Undergraduate</t>
        </is>
      </c>
      <c r="O465" s="77" t="inlineStr">
        <is>
          <t>Final year</t>
        </is>
      </c>
      <c r="P465" s="77" t="inlineStr"/>
      <c r="Q465" s="77" t="inlineStr">
        <is>
          <t>Unclear</t>
        </is>
      </c>
      <c r="R465" s="77" t="inlineStr">
        <is>
          <t>Curricular</t>
        </is>
      </c>
      <c r="S465" s="77" t="inlineStr"/>
      <c r="T465" s="77" t="inlineStr"/>
      <c r="U465" s="77" t="inlineStr"/>
      <c r="V465" s="77" t="inlineStr">
        <is>
          <t>Yes</t>
        </is>
      </c>
      <c r="W465" s="77" t="inlineStr">
        <is>
          <t>A consultancy project on a live client's real-world challenge [1].</t>
        </is>
      </c>
      <c r="X465" s="77" t="inlineStr">
        <is>
          <t>Unclear</t>
        </is>
      </c>
      <c r="Y465" s="77" t="inlineStr">
        <is>
          <t>No evidence on group or individual format [1].</t>
        </is>
      </c>
      <c r="Z465" s="77" t="inlineStr">
        <is>
          <t>Yes</t>
        </is>
      </c>
      <c r="AA465" s="77" t="inlineStr">
        <is>
          <t>Described as working on 'a live client real-world challenge' (the client supplies the problem) [1].</t>
        </is>
      </c>
      <c r="AB465" s="77" t="inlineStr">
        <is>
          <t>Unclear</t>
        </is>
      </c>
      <c r="AC465" s="77" t="inlineStr">
        <is>
          <t>Live client supplies a real-world challenge</t>
        </is>
      </c>
      <c r="AD465" s="77" t="inlineStr"/>
      <c r="AE465" s="77" t="inlineStr">
        <is>
          <t>Consultancy output (not specified)</t>
        </is>
      </c>
      <c r="AF465" s="77">
        <f>IF(OR(V465="No",X465="No",Z465="No"),"Outside strict definition",IF(AND(V465="Yes",X465="Yes",Z465="Yes"),"Meets all three","Potentially relevant; evidence incomplete"))</f>
        <v/>
      </c>
      <c r="AG465" s="77" t="inlineStr">
        <is>
          <t>Current status unclear</t>
        </is>
      </c>
      <c r="AH465" s="77" t="inlineStr"/>
      <c r="AI465" s="77" t="inlineStr">
        <is>
          <t>Yes</t>
        </is>
      </c>
      <c r="AJ465" s="77">
        <f>IF(AND(AI465="Yes",AF465="Meets all three",AG465="Current delivery confirmed"),"Yes","No")</f>
        <v/>
      </c>
      <c r="AK465" s="77" t="inlineStr"/>
      <c r="AL465" s="77" t="inlineStr">
        <is>
          <t>UK14-S03-R1</t>
        </is>
      </c>
      <c r="AM465" s="77" t="inlineStr">
        <is>
          <t>Group working, module code, credits and current delivery are unknown. The module table on the page did not list the module, so it may be optional. It may be shared with the School of Management's consultancy modules (see S4).</t>
        </is>
      </c>
      <c r="AN465" s="77" t="inlineStr"/>
      <c r="AO465" s="77" t="inlineStr">
        <is>
          <t>UK</t>
        </is>
      </c>
      <c r="AP465" s="77" t="inlineStr">
        <is>
          <t>UK – additional</t>
        </is>
      </c>
      <c r="AQ465" s="77" t="inlineStr">
        <is>
          <t>Unclear</t>
        </is>
      </c>
      <c r="AR465" s="77" t="inlineStr">
        <is>
          <t>All/standard</t>
        </is>
      </c>
      <c r="AS465" s="77" t="inlineStr"/>
    </row>
    <row r="466">
      <c r="A466" s="77" t="inlineStr">
        <is>
          <t>UK14</t>
        </is>
      </c>
      <c r="B466" s="77" t="inlineStr">
        <is>
          <t>Swansea</t>
        </is>
      </c>
      <c r="C466" s="77" t="inlineStr">
        <is>
          <t>Programme/course</t>
        </is>
      </c>
      <c r="D466" s="77" t="inlineStr">
        <is>
          <t>UK14-S04</t>
        </is>
      </c>
      <c r="E466" s="77" t="inlineStr"/>
      <c r="F466" s="77" t="inlineStr">
        <is>
          <t>No</t>
        </is>
      </c>
      <c r="G466" s="79" t="inlineStr">
        <is>
          <t>Marketing consultancy project (BSc Marketing final-year pathway)</t>
        </is>
      </c>
      <c r="H466" s="77" t="inlineStr">
        <is>
          <t>Marketing consultancy project</t>
        </is>
      </c>
      <c r="I466" s="77" t="inlineStr"/>
      <c r="J466" s="77" t="inlineStr">
        <is>
          <t>Final-year BSc Marketing students can choose a marketing consultancy project instead of a traditional dissertation or a Welsh-medium dissertation. A Level 5 Management Consulting module (15 credits) is also listed as optional.</t>
        </is>
      </c>
      <c r="K466" s="77" t="inlineStr">
        <is>
          <t>School of Management</t>
        </is>
      </c>
      <c r="L466" s="77" t="inlineStr">
        <is>
          <t>BSc Marketing</t>
        </is>
      </c>
      <c r="M466" s="77" t="inlineStr">
        <is>
          <t>Business/management</t>
        </is>
      </c>
      <c r="N466" s="77" t="inlineStr">
        <is>
          <t>Undergraduate</t>
        </is>
      </c>
      <c r="O466" s="77" t="inlineStr">
        <is>
          <t>Final year</t>
        </is>
      </c>
      <c r="P466" s="77" t="inlineStr"/>
      <c r="Q466" s="77" t="inlineStr">
        <is>
          <t>Optional/elective</t>
        </is>
      </c>
      <c r="R466" s="77" t="inlineStr">
        <is>
          <t>Curricular</t>
        </is>
      </c>
      <c r="S466" s="77" t="inlineStr"/>
      <c r="T466" s="77" t="inlineStr"/>
      <c r="U466" s="77" t="inlineStr"/>
      <c r="V466" s="77" t="inlineStr">
        <is>
          <t>Yes</t>
        </is>
      </c>
      <c r="W466" s="77" t="inlineStr">
        <is>
          <t>Consultancy project offered as an alternative to the dissertation [1].</t>
        </is>
      </c>
      <c r="X466" s="77" t="inlineStr">
        <is>
          <t>Unclear</t>
        </is>
      </c>
      <c r="Y466" s="77" t="inlineStr">
        <is>
          <t>Not stated.</t>
        </is>
      </c>
      <c r="Z466" s="77" t="inlineStr">
        <is>
          <t>Unclear</t>
        </is>
      </c>
      <c r="AA466" s="77" t="inlineStr">
        <is>
          <t>The extract does not mention a client organisation [1].</t>
        </is>
      </c>
      <c r="AB466" s="77" t="inlineStr">
        <is>
          <t>Unclear</t>
        </is>
      </c>
      <c r="AC466" s="77" t="inlineStr"/>
      <c r="AD466" s="77" t="inlineStr"/>
      <c r="AE466" s="77" t="inlineStr"/>
      <c r="AF466" s="77">
        <f>IF(OR(V466="No",X466="No",Z466="No"),"Outside strict definition",IF(AND(V466="Yes",X466="Yes",Z466="Yes"),"Meets all three","Potentially relevant; evidence incomplete"))</f>
        <v/>
      </c>
      <c r="AG466" s="77" t="inlineStr">
        <is>
          <t>Current status unclear</t>
        </is>
      </c>
      <c r="AH466" s="77" t="inlineStr"/>
      <c r="AI466" s="77" t="inlineStr">
        <is>
          <t>Yes</t>
        </is>
      </c>
      <c r="AJ466" s="77">
        <f>IF(AND(AI466="Yes",AF466="Meets all three",AG466="Current delivery confirmed"),"Yes","No")</f>
        <v/>
      </c>
      <c r="AK466" s="77" t="inlineStr"/>
      <c r="AL466" s="77" t="inlineStr">
        <is>
          <t>UK14-S04-R1</t>
        </is>
      </c>
      <c r="AM466" s="77" t="inlineStr">
        <is>
          <t>Client involvement, group format and current status are not evidenced. This may be the same consultancy module as S3.</t>
        </is>
      </c>
      <c r="AN466" s="77" t="inlineStr"/>
      <c r="AO466" s="77" t="inlineStr">
        <is>
          <t>UK</t>
        </is>
      </c>
      <c r="AP466" s="77" t="inlineStr">
        <is>
          <t>UK – additional</t>
        </is>
      </c>
      <c r="AQ466" s="77" t="inlineStr">
        <is>
          <t>Unclear</t>
        </is>
      </c>
      <c r="AR466" s="77" t="inlineStr">
        <is>
          <t>Unclear</t>
        </is>
      </c>
      <c r="AS466" s="77" t="inlineStr"/>
    </row>
    <row r="467">
      <c r="A467" s="77" t="inlineStr">
        <is>
          <t>UK14</t>
        </is>
      </c>
      <c r="B467" s="77" t="inlineStr">
        <is>
          <t>Swansea</t>
        </is>
      </c>
      <c r="C467" s="77" t="inlineStr">
        <is>
          <t>Programme/course</t>
        </is>
      </c>
      <c r="D467" s="77" t="inlineStr">
        <is>
          <t>UK14-S05</t>
        </is>
      </c>
      <c r="E467" s="77" t="inlineStr"/>
      <c r="F467" s="77" t="inlineStr">
        <is>
          <t>No</t>
        </is>
      </c>
      <c r="G467" s="79" t="inlineStr">
        <is>
          <t>MSc Project Management live project collaborations</t>
        </is>
      </c>
      <c r="H467" s="77" t="inlineStr">
        <is>
          <t>MSc Project Management live project collaborations</t>
        </is>
      </c>
      <c r="I467" s="77" t="inlineStr"/>
      <c r="J467"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467" s="77" t="inlineStr">
        <is>
          <t>School of Management</t>
        </is>
      </c>
      <c r="L467" s="77" t="inlineStr">
        <is>
          <t>MSc Project Management</t>
        </is>
      </c>
      <c r="M467" s="77" t="inlineStr">
        <is>
          <t>Business/management</t>
        </is>
      </c>
      <c r="N467" s="77" t="inlineStr">
        <is>
          <t>Postgraduate taught</t>
        </is>
      </c>
      <c r="O467" s="77" t="inlineStr"/>
      <c r="P467" s="77" t="inlineStr"/>
      <c r="Q467" s="77" t="inlineStr">
        <is>
          <t>Unclear</t>
        </is>
      </c>
      <c r="R467" s="77" t="inlineStr">
        <is>
          <t>Unclear</t>
        </is>
      </c>
      <c r="S467" s="77" t="inlineStr"/>
      <c r="T467" s="77" t="inlineStr"/>
      <c r="U467" s="77" t="inlineStr"/>
      <c r="V467" s="77" t="inlineStr">
        <is>
          <t>Unclear</t>
        </is>
      </c>
      <c r="W467" s="77" t="inlineStr">
        <is>
          <t>'Live project challenges' are mentioned but no defined project module is identified [1].</t>
        </is>
      </c>
      <c r="X467" s="77" t="inlineStr">
        <is>
          <t>Unclear</t>
        </is>
      </c>
      <c r="Y467" s="77" t="inlineStr">
        <is>
          <t>'Working as part of a project team', but it is not clear this team is the live-project route [1].</t>
        </is>
      </c>
      <c r="Z467" s="77" t="inlineStr">
        <is>
          <t>Unclear</t>
        </is>
      </c>
      <c r="AA467" s="77" t="inlineStr">
        <is>
          <t>Named organisations are linked to 'live project collaborations, and dissertation partnerships' without separating the two routes [1].</t>
        </is>
      </c>
      <c r="AB467" s="77" t="inlineStr">
        <is>
          <t>Mixed</t>
        </is>
      </c>
      <c r="AC467" s="77" t="inlineStr">
        <is>
          <t>Collaboration or dissertation partner (routes not separated)</t>
        </is>
      </c>
      <c r="AD467" s="77" t="inlineStr">
        <is>
          <t>Tata Steel, Siemens, NHS (undated course page)</t>
        </is>
      </c>
      <c r="AE467" s="77" t="inlineStr"/>
      <c r="AF467" s="77">
        <f>IF(OR(V467="No",X467="No",Z467="No"),"Outside strict definition",IF(AND(V467="Yes",X467="Yes",Z467="Yes"),"Meets all three","Potentially relevant; evidence incomplete"))</f>
        <v/>
      </c>
      <c r="AG467" s="77" t="inlineStr">
        <is>
          <t>Current status unclear</t>
        </is>
      </c>
      <c r="AH467" s="77" t="inlineStr"/>
      <c r="AI467" s="77" t="inlineStr">
        <is>
          <t>Yes</t>
        </is>
      </c>
      <c r="AJ467" s="77">
        <f>IF(AND(AI467="Yes",AF467="Meets all three",AG467="Current delivery confirmed"),"Yes","No")</f>
        <v/>
      </c>
      <c r="AK467" s="77" t="inlineStr"/>
      <c r="AL467" s="77" t="inlineStr">
        <is>
          <t>UK14-S05-R1</t>
        </is>
      </c>
      <c r="AM467" s="77" t="inlineStr">
        <is>
          <t>The live project route is not separated from individual dissertation partnerships, and no module is identified.</t>
        </is>
      </c>
      <c r="AN467" s="77" t="inlineStr"/>
      <c r="AO467" s="77" t="inlineStr">
        <is>
          <t>UK</t>
        </is>
      </c>
      <c r="AP467" s="77" t="inlineStr">
        <is>
          <t>UK – additional</t>
        </is>
      </c>
      <c r="AQ467" s="77" t="inlineStr">
        <is>
          <t>Unclear</t>
        </is>
      </c>
      <c r="AR467" s="77" t="inlineStr">
        <is>
          <t>Unclear</t>
        </is>
      </c>
      <c r="AS467" s="77" t="inlineStr"/>
    </row>
    <row r="468">
      <c r="A468" s="77" t="inlineStr">
        <is>
          <t>UK14</t>
        </is>
      </c>
      <c r="B468" s="77" t="inlineStr">
        <is>
          <t>Swansea</t>
        </is>
      </c>
      <c r="C468" s="77" t="inlineStr">
        <is>
          <t>University-wide</t>
        </is>
      </c>
      <c r="D468" s="77" t="inlineStr">
        <is>
          <t>UK14-S06</t>
        </is>
      </c>
      <c r="E468" s="77" t="inlineStr"/>
      <c r="F468" s="77" t="inlineStr">
        <is>
          <t>No</t>
        </is>
      </c>
      <c r="G468" s="79" t="inlineStr">
        <is>
          <t>Student Enterprise hackathon (Swansea City Football Club challenge)</t>
        </is>
      </c>
      <c r="H468" s="77" t="inlineStr">
        <is>
          <t>Student Enterprise hackathon</t>
        </is>
      </c>
      <c r="I468" s="77" t="inlineStr"/>
      <c r="J468" s="77" t="inlineStr">
        <is>
          <t>Swansea Student Enterprise ran a hackathon that set students from all faculties a real-life commercial challenge for Swansea City Football Club, producing more than 12 commercial ideas for the club.</t>
        </is>
      </c>
      <c r="K468" s="77" t="inlineStr">
        <is>
          <t>Student Enterprise (Swansea Employability Academy / Hwb)</t>
        </is>
      </c>
      <c r="L468" s="77" t="inlineStr">
        <is>
          <t>Students from across all faculties</t>
        </is>
      </c>
      <c r="M468" s="77" t="inlineStr">
        <is>
          <t>Central provision</t>
        </is>
      </c>
      <c r="N468" s="77" t="inlineStr">
        <is>
          <t>Unclear</t>
        </is>
      </c>
      <c r="O468" s="77" t="inlineStr"/>
      <c r="P468" s="77" t="inlineStr"/>
      <c r="Q468" s="77" t="inlineStr">
        <is>
          <t>Optional/elective</t>
        </is>
      </c>
      <c r="R468" s="77" t="inlineStr">
        <is>
          <t>Extracurricular</t>
        </is>
      </c>
      <c r="S468" s="77" t="inlineStr"/>
      <c r="T468" s="77" t="inlineStr">
        <is>
          <t>Not stated (hackathon format)</t>
        </is>
      </c>
      <c r="U468" s="77" t="inlineStr"/>
      <c r="V468" s="77" t="inlineStr">
        <is>
          <t>Unclear</t>
        </is>
      </c>
      <c r="W468" s="77" t="inlineStr">
        <is>
          <t>The output is 'commercial ideas' for the club. The hackathon's length and how substantial the output was are not stated [1].</t>
        </is>
      </c>
      <c r="X468" s="77" t="inlineStr">
        <is>
          <t>Unclear</t>
        </is>
      </c>
      <c r="Y468" s="77" t="inlineStr">
        <is>
          <t>Team format not stated in the extract [1].</t>
        </is>
      </c>
      <c r="Z468" s="77" t="inlineStr">
        <is>
          <t>Yes</t>
        </is>
      </c>
      <c r="AA468" s="77" t="inlineStr">
        <is>
          <t>Students worked on 'a real-life commercial challenge' and developed ideas 'to support Swansea City Football club' (the club is the source of the challenge and receives the ideas) [1].</t>
        </is>
      </c>
      <c r="AB468" s="77" t="inlineStr">
        <is>
          <t>Business/commercial</t>
        </is>
      </c>
      <c r="AC468" s="77" t="inlineStr">
        <is>
          <t>Sets the commercial challenge and receives the ideas</t>
        </is>
      </c>
      <c r="AD468" s="77" t="inlineStr">
        <is>
          <t>Swansea City Football Club (year not shown)</t>
        </is>
      </c>
      <c r="AE468" s="77" t="inlineStr">
        <is>
          <t>Commercial ideas</t>
        </is>
      </c>
      <c r="AF468" s="77">
        <f>IF(OR(V468="No",X468="No",Z468="No"),"Outside strict definition",IF(AND(V468="Yes",X468="Yes",Z468="Yes"),"Meets all three","Potentially relevant; evidence incomplete"))</f>
        <v/>
      </c>
      <c r="AG468" s="77" t="inlineStr">
        <is>
          <t>Current status unclear</t>
        </is>
      </c>
      <c r="AH468" s="77" t="inlineStr"/>
      <c r="AI468" s="77" t="inlineStr">
        <is>
          <t>Yes</t>
        </is>
      </c>
      <c r="AJ468" s="77">
        <f>IF(AND(AI468="Yes",AF468="Meets all three",AG468="Current delivery confirmed"),"Yes","No")</f>
        <v/>
      </c>
      <c r="AK468" s="77" t="inlineStr"/>
      <c r="AL468" s="77" t="inlineStr">
        <is>
          <t>UK14-S06-R1</t>
        </is>
      </c>
      <c r="AM468" s="77" t="inlineStr">
        <is>
          <t>Date, recurrence, team format and length are unknown. This looks like a one-off event.</t>
        </is>
      </c>
      <c r="AN468" s="77" t="inlineStr"/>
      <c r="AO468" s="77" t="inlineStr">
        <is>
          <t>UK</t>
        </is>
      </c>
      <c r="AP468" s="77" t="inlineStr">
        <is>
          <t>UK – additional</t>
        </is>
      </c>
      <c r="AQ468" s="77" t="inlineStr">
        <is>
          <t>Unclear</t>
        </is>
      </c>
      <c r="AR468" s="77" t="inlineStr">
        <is>
          <t>Unclear</t>
        </is>
      </c>
      <c r="AS468" s="77" t="inlineStr"/>
    </row>
    <row r="469">
      <c r="A469" s="77" t="inlineStr">
        <is>
          <t>UK15</t>
        </is>
      </c>
      <c r="B469" s="77" t="inlineStr">
        <is>
          <t>Essex</t>
        </is>
      </c>
      <c r="C469" s="77" t="inlineStr">
        <is>
          <t>University-wide</t>
        </is>
      </c>
      <c r="D469" s="77" t="inlineStr">
        <is>
          <t>UK15-S01</t>
        </is>
      </c>
      <c r="E469" s="77" t="inlineStr"/>
      <c r="F469" s="77" t="inlineStr">
        <is>
          <t>No</t>
        </is>
      </c>
      <c r="G469" s="79" t="inlineStr">
        <is>
          <t>iTeams (Essex Startups)</t>
        </is>
      </c>
      <c r="H469" s="77" t="inlineStr">
        <is>
          <t>iTeams multidisciplinary business challenge programme</t>
        </is>
      </c>
      <c r="I469" s="77" t="inlineStr"/>
      <c r="J469"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469" s="77" t="inlineStr">
        <is>
          <t>Essex Startups (Careers / Student Development)</t>
        </is>
      </c>
      <c r="L469" s="77" t="inlineStr">
        <is>
          <t>Students from different faculties apply; places limited and attendance at all workshops required (2025 page). Exact eligibility (levels) not confirmed.</t>
        </is>
      </c>
      <c r="M469" s="77" t="inlineStr">
        <is>
          <t>Central provision</t>
        </is>
      </c>
      <c r="N469" s="77" t="inlineStr">
        <is>
          <t>Unclear</t>
        </is>
      </c>
      <c r="O469" s="77" t="inlineStr"/>
      <c r="P469" s="77" t="inlineStr"/>
      <c r="Q469" s="77" t="inlineStr">
        <is>
          <t>Selective/competitive</t>
        </is>
      </c>
      <c r="R469" s="77" t="inlineStr">
        <is>
          <t>Extracurricular</t>
        </is>
      </c>
      <c r="S469" s="77" t="inlineStr">
        <is>
          <t>No credit evidenced; judged by expert panel finale with cash prizes</t>
        </is>
      </c>
      <c r="T469" s="77" t="inlineStr">
        <is>
          <t>7 weeks (2025); 8 weeks (2022); 10 weeks (earlier)</t>
        </is>
      </c>
      <c r="U469" s="77" t="inlineStr">
        <is>
          <t>Workshops plus team work with external mentor; final pitch at Colchester Campus</t>
        </is>
      </c>
      <c r="V469" s="77" t="inlineStr">
        <is>
          <t>Yes</t>
        </is>
      </c>
      <c r="W469" s="77" t="inlineStr">
        <is>
          <t>Teams are posed a question by the challenge-host and produce a report and presentation to help the organisation understand the problem (source 1).</t>
        </is>
      </c>
      <c r="X469" s="77" t="inlineStr">
        <is>
          <t>Yes</t>
        </is>
      </c>
      <c r="Y469" s="77" t="inlineStr">
        <is>
          <t>Six student teams made up of several students across different faculties (sources 1, 2).</t>
        </is>
      </c>
      <c r="Z469" s="77" t="inlineStr">
        <is>
          <t>Yes</t>
        </is>
      </c>
      <c r="AA469" s="77" t="inlineStr">
        <is>
          <t>Three external businesses each deliver a challenge; each team has an external industry-expert mentor; teams present to an expert panel (sources 1, 2).</t>
        </is>
      </c>
      <c r="AB469" s="77" t="inlineStr">
        <is>
          <t>Business/commercial</t>
        </is>
      </c>
      <c r="AC469" s="77" t="inlineStr">
        <is>
          <t>Host businesses set the challenge; industry experts mentor; panel judges the pitch</t>
        </is>
      </c>
      <c r="AD469" s="77" t="inlineStr"/>
      <c r="AE469" s="77" t="inlineStr">
        <is>
          <t>Report and presentation/pitch to the challenge host and expert panel</t>
        </is>
      </c>
      <c r="AF469" s="77">
        <f>IF(OR(V469="No",X469="No",Z469="No"),"Outside strict definition",IF(AND(V469="Yes",X469="Yes",Z469="Yes"),"Meets all three","Potentially relevant; evidence incomplete"))</f>
        <v/>
      </c>
      <c r="AG469" s="77" t="inlineStr">
        <is>
          <t>Current status unclear</t>
        </is>
      </c>
      <c r="AH469" s="77" t="inlineStr">
        <is>
          <t>2024/25 (event Feb 2025)</t>
        </is>
      </c>
      <c r="AI469" s="77" t="inlineStr">
        <is>
          <t>Yes</t>
        </is>
      </c>
      <c r="AJ469" s="77">
        <f>IF(AND(AI469="Yes",AF469="Meets all three",AG469="Current delivery confirmed"),"Yes","No")</f>
        <v/>
      </c>
      <c r="AK469" s="77" t="inlineStr"/>
      <c r="AL469" s="77" t="inlineStr">
        <is>
          <t>UK15-S01-R1; UK15-S01-R2; UK15-S01-R3</t>
        </is>
      </c>
      <c r="AM469" s="77" t="inlineStr">
        <is>
          <t>No 2026 edition found in search; 2025 edition (4 Feb 2025) is academic year 2024/25, so 2025/26 delivery not confirmed. Student-level eligibility, named host businesses and cohort numbers not obtained.</t>
        </is>
      </c>
      <c r="AN469" s="77" t="inlineStr"/>
      <c r="AO469" s="77" t="inlineStr">
        <is>
          <t>UK</t>
        </is>
      </c>
      <c r="AP469" s="77" t="inlineStr">
        <is>
          <t>UK – additional</t>
        </is>
      </c>
      <c r="AQ469" s="77" t="inlineStr">
        <is>
          <t>~1 term/semester</t>
        </is>
      </c>
      <c r="AR469" s="77" t="inlineStr">
        <is>
          <t>All/standard</t>
        </is>
      </c>
      <c r="AS469" s="77" t="inlineStr"/>
    </row>
    <row r="470">
      <c r="A470" s="77" t="inlineStr">
        <is>
          <t>UK15</t>
        </is>
      </c>
      <c r="B470" s="77" t="inlineStr">
        <is>
          <t>Essex</t>
        </is>
      </c>
      <c r="C470" s="77" t="inlineStr">
        <is>
          <t>Unclear</t>
        </is>
      </c>
      <c r="D470" s="77" t="inlineStr">
        <is>
          <t>UK15-S02</t>
        </is>
      </c>
      <c r="E470" s="77" t="inlineStr">
        <is>
          <t>UK15-S01</t>
        </is>
      </c>
      <c r="F470" s="77" t="inlineStr">
        <is>
          <t>No</t>
        </is>
      </c>
      <c r="G470" s="79" t="inlineStr">
        <is>
          <t>Cyber Innovate to Elevate (bespoke iTeams programme)</t>
        </is>
      </c>
      <c r="H470" s="77" t="inlineStr">
        <is>
          <t>Cyber Innovate to Elevate</t>
        </is>
      </c>
      <c r="I470" s="77" t="inlineStr"/>
      <c r="J470" s="77" t="inlineStr">
        <is>
          <t>Funded Freeport East/Essex programme in which MSc and PhD students work directly with SMEs on cybersecurity strategies through a six-week bespoke iTeams innovation challenge.</t>
        </is>
      </c>
      <c r="K470" s="77" t="inlineStr">
        <is>
          <t>Essex (business services / Essex Startups)</t>
        </is>
      </c>
      <c r="L470" s="77" t="inlineStr">
        <is>
          <t>MSc and PhD students (cyber-related); full eligibility not obtained</t>
        </is>
      </c>
      <c r="M470" s="77" t="inlineStr">
        <is>
          <t>Engineering/computing; Central provision</t>
        </is>
      </c>
      <c r="N470" s="77" t="inlineStr">
        <is>
          <t>Mixed</t>
        </is>
      </c>
      <c r="O470" s="77" t="inlineStr"/>
      <c r="P470" s="77" t="inlineStr"/>
      <c r="Q470" s="77" t="inlineStr">
        <is>
          <t>Selective/competitive</t>
        </is>
      </c>
      <c r="R470" s="77" t="inlineStr">
        <is>
          <t>Extracurricular</t>
        </is>
      </c>
      <c r="S470" s="77" t="inlineStr"/>
      <c r="T470" s="77" t="inlineStr">
        <is>
          <t>Six weeks</t>
        </is>
      </c>
      <c r="U470" s="77" t="inlineStr">
        <is>
          <t>Bespoke iTeams challenge with SMEs</t>
        </is>
      </c>
      <c r="V470" s="77" t="inlineStr">
        <is>
          <t>Unclear</t>
        </is>
      </c>
      <c r="W470" s="77" t="inlineStr">
        <is>
          <t>Students work with SMEs on cybersecurity strategies; defined output not confirmed (source 1).</t>
        </is>
      </c>
      <c r="X470" s="77" t="inlineStr">
        <is>
          <t>Unclear</t>
        </is>
      </c>
      <c r="Y470" s="77" t="inlineStr">
        <is>
          <t>Described as an iTeams variant, which uses teams in the main programme, but team working not explicitly stated for this variant in the extract.</t>
        </is>
      </c>
      <c r="Z470" s="77" t="inlineStr">
        <is>
          <t>Yes</t>
        </is>
      </c>
      <c r="AA470" s="77" t="inlineStr">
        <is>
          <t>Students work directly with SMEs (source 1, 2).</t>
        </is>
      </c>
      <c r="AB470" s="77" t="inlineStr">
        <is>
          <t>Business/commercial</t>
        </is>
      </c>
      <c r="AC470" s="77" t="inlineStr">
        <is>
          <t>SMEs host cybersecurity challenges</t>
        </is>
      </c>
      <c r="AD470" s="77" t="inlineStr"/>
      <c r="AE470" s="77" t="inlineStr">
        <is>
          <t>Not confirmed (cybersecurity strategy/recommendations)</t>
        </is>
      </c>
      <c r="AF470" s="77">
        <f>IF(OR(V470="No",X470="No",Z470="No"),"Outside strict definition",IF(AND(V470="Yes",X470="Yes",Z470="Yes"),"Meets all three","Potentially relevant; evidence incomplete"))</f>
        <v/>
      </c>
      <c r="AG470" s="77" t="inlineStr">
        <is>
          <t>Current delivery confirmed</t>
        </is>
      </c>
      <c r="AH470" s="77" t="inlineStr">
        <is>
          <t>2025/26</t>
        </is>
      </c>
      <c r="AI470" s="77" t="inlineStr">
        <is>
          <t>Yes</t>
        </is>
      </c>
      <c r="AJ470" s="77">
        <f>IF(AND(AI470="Yes",AF470="Meets all three",AG470="Current delivery confirmed"),"Yes","No")</f>
        <v/>
      </c>
      <c r="AK470" s="77" t="inlineStr"/>
      <c r="AL470" s="77" t="inlineStr">
        <is>
          <t>UK15-S02-R1; UK15-S02-R2</t>
        </is>
      </c>
      <c r="AM470" s="77" t="inlineStr">
        <is>
          <t>Need explicit team structure, deliverable, student eligibility and partner numbers. Six weeks falls between the 1-4 week and one-term bands, so duration_band set to Unclear. Projects due to finish by 28 Feb 2026.</t>
        </is>
      </c>
      <c r="AN470" s="77" t="inlineStr"/>
      <c r="AO470" s="77" t="inlineStr">
        <is>
          <t>UK</t>
        </is>
      </c>
      <c r="AP470" s="77" t="inlineStr">
        <is>
          <t>UK – additional</t>
        </is>
      </c>
      <c r="AQ470" s="77" t="inlineStr">
        <is>
          <t>Unclear</t>
        </is>
      </c>
      <c r="AR470" s="77" t="inlineStr">
        <is>
          <t>Unclear</t>
        </is>
      </c>
      <c r="AS470" s="77" t="inlineStr"/>
    </row>
    <row r="471">
      <c r="A471" s="77" t="inlineStr">
        <is>
          <t>UK15</t>
        </is>
      </c>
      <c r="B471" s="77" t="inlineStr">
        <is>
          <t>Essex</t>
        </is>
      </c>
      <c r="C471" s="77" t="inlineStr">
        <is>
          <t>Programme/course</t>
        </is>
      </c>
      <c r="D471" s="77" t="inlineStr">
        <is>
          <t>UK15-S03</t>
        </is>
      </c>
      <c r="E471" s="77" t="inlineStr"/>
      <c r="F471" s="77" t="inlineStr">
        <is>
          <t>No</t>
        </is>
      </c>
      <c r="G471" s="79" t="inlineStr">
        <is>
          <t>Marketing Management consultancy project (BSc Marketing Management and related degrees)</t>
        </is>
      </c>
      <c r="H471" s="77" t="inlineStr">
        <is>
          <t>Marketing Management module consultancy project</t>
        </is>
      </c>
      <c r="I471" s="77" t="inlineStr"/>
      <c r="J471" s="77" t="inlineStr">
        <is>
          <t>15-credit Marketing Management module on Essex Business School degrees whose assessment has students undertake a consultancy project for a real-world business in response to a marketing brief.</t>
        </is>
      </c>
      <c r="K471" s="77" t="inlineStr">
        <is>
          <t>Essex Business School</t>
        </is>
      </c>
      <c r="L471" s="77" t="inlineStr">
        <is>
          <t>BSc Marketing Management (incl. foundation/year abroad variants), Integrated Master in Management: Marketing Management; wording also appears on other EBS course pages</t>
        </is>
      </c>
      <c r="M471" s="77" t="inlineStr">
        <is>
          <t>Business/management</t>
        </is>
      </c>
      <c r="N471" s="77" t="inlineStr">
        <is>
          <t>Undergraduate</t>
        </is>
      </c>
      <c r="O471" s="77" t="inlineStr">
        <is>
          <t>Second year (per search summary)</t>
        </is>
      </c>
      <c r="P471" s="77" t="inlineStr"/>
      <c r="Q471" s="77" t="inlineStr">
        <is>
          <t>Compulsory within specified programmes</t>
        </is>
      </c>
      <c r="R471" s="77" t="inlineStr">
        <is>
          <t>Curricular</t>
        </is>
      </c>
      <c r="S471" s="77" t="inlineStr">
        <is>
          <t>15 credits; consultancy project is part of assessment</t>
        </is>
      </c>
      <c r="T471" s="77" t="inlineStr">
        <is>
          <t>Module length not obtained</t>
        </is>
      </c>
      <c r="U471" s="77" t="inlineStr">
        <is>
          <t>Taught module</t>
        </is>
      </c>
      <c r="V471" s="77" t="inlineStr">
        <is>
          <t>Yes</t>
        </is>
      </c>
      <c r="W471" s="77" t="inlineStr">
        <is>
          <t>Course pages: students undertake a consultancy project for a real-world business in response to a marketing brief (source 1).</t>
        </is>
      </c>
      <c r="X471" s="77" t="inlineStr">
        <is>
          <t>Unclear</t>
        </is>
      </c>
      <c r="Y471" s="77" t="inlineStr">
        <is>
          <t>No source states the consultancy project is a group assessment; course-level page lists group presentations among assessment types only generally (source 1).</t>
        </is>
      </c>
      <c r="Z471" s="77" t="inlineStr">
        <is>
          <t>Unclear</t>
        </is>
      </c>
      <c r="AA471" s="77" t="inlineStr">
        <is>
          <t>'Real-world business' stated but not whether the business sets/receives the brief, nor how many external clients or whether briefs are partly hypothetical (source 1).</t>
        </is>
      </c>
      <c r="AB471" s="77" t="inlineStr">
        <is>
          <t>Business/commercial</t>
        </is>
      </c>
      <c r="AC471" s="77" t="inlineStr">
        <is>
          <t>Real-world business (unnamed)</t>
        </is>
      </c>
      <c r="AD471" s="77" t="inlineStr"/>
      <c r="AE471" s="77" t="inlineStr">
        <is>
          <t>Consultancy project/marketing plan report (format not confirmed)</t>
        </is>
      </c>
      <c r="AF471" s="77">
        <f>IF(OR(V471="No",X471="No",Z471="No"),"Outside strict definition",IF(AND(V471="Yes",X471="Yes",Z471="Yes"),"Meets all three","Potentially relevant; evidence incomplete"))</f>
        <v/>
      </c>
      <c r="AG471" s="77" t="inlineStr">
        <is>
          <t>Current status unclear</t>
        </is>
      </c>
      <c r="AH471" s="77" t="inlineStr">
        <is>
          <t>2026 entry (course page); module directory entry 2024/25</t>
        </is>
      </c>
      <c r="AI471" s="77" t="inlineStr">
        <is>
          <t>Yes</t>
        </is>
      </c>
      <c r="AJ471" s="77">
        <f>IF(AND(AI471="Yes",AF471="Meets all three",AG471="Current delivery confirmed"),"Yes","No")</f>
        <v/>
      </c>
      <c r="AK471" s="77" t="inlineStr"/>
      <c r="AL471" s="77" t="inlineStr">
        <is>
          <t>UK15-S03-R1</t>
        </is>
      </c>
      <c r="AM471" s="77" t="inlineStr">
        <is>
          <t>Module code and handbook assessment spec not seen; group vs individual; external client involvement; 2025/26 delivery.</t>
        </is>
      </c>
      <c r="AN471" s="77" t="inlineStr"/>
      <c r="AO471" s="77" t="inlineStr">
        <is>
          <t>UK</t>
        </is>
      </c>
      <c r="AP471" s="77" t="inlineStr">
        <is>
          <t>UK – additional</t>
        </is>
      </c>
      <c r="AQ471" s="77" t="inlineStr">
        <is>
          <t>Unclear</t>
        </is>
      </c>
      <c r="AR471" s="77" t="inlineStr">
        <is>
          <t>Unclear</t>
        </is>
      </c>
      <c r="AS471" s="77" t="inlineStr"/>
    </row>
    <row r="472">
      <c r="A472" s="77" t="inlineStr">
        <is>
          <t>UK15</t>
        </is>
      </c>
      <c r="B472" s="77" t="inlineStr">
        <is>
          <t>Essex</t>
        </is>
      </c>
      <c r="C472" s="77" t="inlineStr">
        <is>
          <t>Cross-faculty</t>
        </is>
      </c>
      <c r="D472" s="77" t="inlineStr">
        <is>
          <t>UK15-S04</t>
        </is>
      </c>
      <c r="E472" s="77" t="inlineStr"/>
      <c r="F472" s="77" t="inlineStr">
        <is>
          <t>No</t>
        </is>
      </c>
      <c r="G472" s="79" t="inlineStr">
        <is>
          <t>Work-based learning live employer projects (Industry and Placements team)</t>
        </is>
      </c>
      <c r="H472" s="77" t="inlineStr">
        <is>
          <t>Work-based learning: live employer projects</t>
        </is>
      </c>
      <c r="I472" s="77" t="inlineStr"/>
      <c r="J472"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472" s="77" t="inlineStr">
        <is>
          <t>Industry and Placements team (Student Development Team)</t>
        </is>
      </c>
      <c r="L472" s="77" t="inlineStr">
        <is>
          <t>Named degrees (e.g. Biomedical Science, Actuarial Science); full list not obtained</t>
        </is>
      </c>
      <c r="M472" s="77" t="inlineStr">
        <is>
          <t>Science; Central provision</t>
        </is>
      </c>
      <c r="N472" s="77" t="inlineStr">
        <is>
          <t>Undergraduate</t>
        </is>
      </c>
      <c r="O472" s="77" t="inlineStr"/>
      <c r="P472" s="77" t="inlineStr"/>
      <c r="Q472" s="77" t="inlineStr">
        <is>
          <t>Optional/elective</t>
        </is>
      </c>
      <c r="R472" s="77" t="inlineStr">
        <is>
          <t>Curricular</t>
        </is>
      </c>
      <c r="S472" s="77" t="inlineStr"/>
      <c r="T472" s="77" t="inlineStr"/>
      <c r="U472" s="77" t="inlineStr"/>
      <c r="V472" s="77" t="inlineStr">
        <is>
          <t>Unclear</t>
        </is>
      </c>
      <c r="W472" s="77" t="inlineStr">
        <is>
          <t>Policy defines live projects for an organisation or client as WBL (source 1); no specific module assessed.</t>
        </is>
      </c>
      <c r="X472" s="77" t="inlineStr">
        <is>
          <t>Unclear</t>
        </is>
      </c>
      <c r="Y472" s="77" t="inlineStr">
        <is>
          <t>Not stated.</t>
        </is>
      </c>
      <c r="Z472" s="77" t="inlineStr">
        <is>
          <t>Unclear</t>
        </is>
      </c>
      <c r="AA472" s="77" t="inlineStr">
        <is>
          <t>Live projects for an organisation/client in policy; module-level evidence missing.</t>
        </is>
      </c>
      <c r="AB472" s="77" t="inlineStr">
        <is>
          <t>Unclear</t>
        </is>
      </c>
      <c r="AC472" s="77" t="inlineStr"/>
      <c r="AD472" s="77" t="inlineStr"/>
      <c r="AE472" s="77" t="inlineStr"/>
      <c r="AF472" s="77">
        <f>IF(OR(V472="No",X472="No",Z472="No"),"Outside strict definition",IF(AND(V472="Yes",X472="Yes",Z472="Yes"),"Meets all three","Potentially relevant; evidence incomplete"))</f>
        <v/>
      </c>
      <c r="AG472" s="77" t="inlineStr">
        <is>
          <t>Current status unclear</t>
        </is>
      </c>
      <c r="AH472" s="77" t="inlineStr">
        <is>
          <t>undated</t>
        </is>
      </c>
      <c r="AI472" s="77" t="inlineStr">
        <is>
          <t>Yes</t>
        </is>
      </c>
      <c r="AJ472" s="77">
        <f>IF(AND(AI472="Yes",AF472="Meets all three",AG472="Current delivery confirmed"),"Yes","No")</f>
        <v/>
      </c>
      <c r="AK472" s="77" t="inlineStr"/>
      <c r="AL472" s="77" t="inlineStr">
        <is>
          <t>UK15-S04-R1; UK15-S04-R2</t>
        </is>
      </c>
      <c r="AM472" s="77" t="inlineStr">
        <is>
          <t>Identify the actual WBL project modules (module codes), whether team-based, partner types and 2025/26 delivery.</t>
        </is>
      </c>
      <c r="AN472" s="77" t="inlineStr"/>
      <c r="AO472" s="77" t="inlineStr">
        <is>
          <t>UK</t>
        </is>
      </c>
      <c r="AP472" s="77" t="inlineStr">
        <is>
          <t>UK – additional</t>
        </is>
      </c>
      <c r="AQ472" s="77" t="inlineStr">
        <is>
          <t>Unclear</t>
        </is>
      </c>
      <c r="AR472" s="77" t="inlineStr">
        <is>
          <t>Unclear</t>
        </is>
      </c>
      <c r="AS472" s="77" t="inlineStr"/>
    </row>
    <row r="473">
      <c r="A473" s="77" t="inlineStr">
        <is>
          <t>UK17</t>
        </is>
      </c>
      <c r="B473" s="77" t="inlineStr">
        <is>
          <t>Brunel</t>
        </is>
      </c>
      <c r="C473" s="77" t="inlineStr">
        <is>
          <t>Faculty/school</t>
        </is>
      </c>
      <c r="D473" s="77" t="inlineStr">
        <is>
          <t>UK17-S01</t>
        </is>
      </c>
      <c r="E473" s="77" t="inlineStr"/>
      <c r="F473" s="77" t="inlineStr">
        <is>
          <t>Yes</t>
        </is>
      </c>
      <c r="G473" s="79" t="inlineStr">
        <is>
          <t>BBS Co-Innovate Collaborative Student Projects</t>
        </is>
      </c>
      <c r="H473" s="77" t="inlineStr">
        <is>
          <t>Brunel Business School Co-Innovate collaborative student projects with SMEs</t>
        </is>
      </c>
      <c r="I473" s="77" t="inlineStr"/>
      <c r="J473"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473" s="77" t="inlineStr">
        <is>
          <t>Brunel Business School (Co-Innovate)</t>
        </is>
      </c>
      <c r="L473" s="77" t="inlineStr">
        <is>
          <t>Brunel Business School students; wider cross-university eligibility not evidenced</t>
        </is>
      </c>
      <c r="M473" s="77" t="inlineStr">
        <is>
          <t>Business/management</t>
        </is>
      </c>
      <c r="N473" s="77" t="inlineStr">
        <is>
          <t>Mixed</t>
        </is>
      </c>
      <c r="O473" s="77" t="inlineStr"/>
      <c r="P473" s="77" t="inlineStr"/>
      <c r="Q473" s="77" t="inlineStr">
        <is>
          <t>Optional/elective</t>
        </is>
      </c>
      <c r="R473" s="77" t="inlineStr">
        <is>
          <t>Mixed</t>
        </is>
      </c>
      <c r="S473" s="77" t="inlineStr">
        <is>
          <t>Final-year project/dissertation route (30 credits per BSc BME page); otherwise not stated</t>
        </is>
      </c>
      <c r="T473" s="77" t="inlineStr">
        <is>
          <t>3 weeks to 3/5 months, or across the academic year (sources differ)</t>
        </is>
      </c>
      <c r="U473" s="77" t="inlineStr">
        <is>
          <t>On campus, supervised by academic tutor</t>
        </is>
      </c>
      <c r="V473" s="77" t="inlineStr">
        <is>
          <t>Yes</t>
        </is>
      </c>
      <c r="W473" s="77" t="inlineStr">
        <is>
          <t>Business-written brief with scope/objectives and a final report (src 1).</t>
        </is>
      </c>
      <c r="X473" s="77" t="inlineStr">
        <is>
          <t>Unclear</t>
        </is>
      </c>
      <c r="Y473" s="77" t="inlineStr">
        <is>
          <t>Source says projects can be undertaken 'either as an individual or in a small team'; routes not separable (src 1).</t>
        </is>
      </c>
      <c r="Z473" s="77" t="inlineStr">
        <is>
          <t>Yes</t>
        </is>
      </c>
      <c r="AA473" s="77" t="inlineStr">
        <is>
          <t>SME writes the brief, is party to a tri-partite contract, and IP terms are agreed with the company (src 1).</t>
        </is>
      </c>
      <c r="AB473" s="77" t="inlineStr">
        <is>
          <t>Business/commercial</t>
        </is>
      </c>
      <c r="AC473" s="77" t="inlineStr">
        <is>
          <t>Client SME supplies live brief and IP agreement.</t>
        </is>
      </c>
      <c r="AD473" s="77" t="inlineStr"/>
      <c r="AE473" s="77" t="inlineStr">
        <is>
          <t>Final report to the SME</t>
        </is>
      </c>
      <c r="AF473" s="77">
        <f>IF(OR(V473="No",X473="No",Z473="No"),"Outside strict definition",IF(AND(V473="Yes",X473="Yes",Z473="Yes"),"Meets all three","Potentially relevant; evidence incomplete"))</f>
        <v/>
      </c>
      <c r="AG473" s="77" t="inlineStr">
        <is>
          <t>Current status unclear</t>
        </is>
      </c>
      <c r="AH473" s="77" t="inlineStr">
        <is>
          <t>undated</t>
        </is>
      </c>
      <c r="AI473" s="77" t="inlineStr">
        <is>
          <t>No</t>
        </is>
      </c>
      <c r="AJ473" s="77">
        <f>IF(AND(AI473="Yes",AF473="Meets all three",AG473="Current delivery confirmed"),"Yes","No")</f>
        <v/>
      </c>
      <c r="AK473" s="77" t="inlineStr"/>
      <c r="AL473" s="77" t="inlineStr">
        <is>
          <t>UK17-S01-R1</t>
        </is>
      </c>
      <c r="AM473" s="77" t="inlineStr">
        <is>
          <t>Pages undated; programme co-funded by ERDF with targets to 2020, so current delivery unverified. Team vs individual not separable. Search limit reached before checking a dated 2025/26 source.</t>
        </is>
      </c>
      <c r="AN473" s="77" t="inlineStr"/>
      <c r="AO473" s="77" t="inlineStr">
        <is>
          <t>UK</t>
        </is>
      </c>
      <c r="AP473" s="77" t="inlineStr">
        <is>
          <t>UK – additional</t>
        </is>
      </c>
      <c r="AQ473" s="77" t="inlineStr">
        <is>
          <t>Unclear</t>
        </is>
      </c>
      <c r="AR473" s="77" t="inlineStr">
        <is>
          <t>All/standard</t>
        </is>
      </c>
      <c r="AS473" s="77" t="inlineStr">
        <is>
          <t>No (umbrella; children counted)</t>
        </is>
      </c>
    </row>
    <row r="474">
      <c r="A474" s="77" t="inlineStr">
        <is>
          <t>UK17</t>
        </is>
      </c>
      <c r="B474" s="77" t="inlineStr">
        <is>
          <t>Brunel</t>
        </is>
      </c>
      <c r="C474" s="77" t="inlineStr">
        <is>
          <t>Programme/course</t>
        </is>
      </c>
      <c r="D474" s="77" t="inlineStr">
        <is>
          <t>UK17-S02</t>
        </is>
      </c>
      <c r="E474" s="77" t="inlineStr">
        <is>
          <t>UK17-S01</t>
        </is>
      </c>
      <c r="F474" s="77" t="inlineStr">
        <is>
          <t>No</t>
        </is>
      </c>
      <c r="G474" s="79" t="inlineStr">
        <is>
          <t>BSc Business Management with Entrepreneurship: Issues and Controversies in Business and Management Project / Co-Innovate business project</t>
        </is>
      </c>
      <c r="H474" s="77" t="inlineStr">
        <is>
          <t>Final-year Co-Innovate SME consultancy</t>
        </is>
      </c>
      <c r="I474" s="77" t="inlineStr">
        <is>
          <t>MG3654 (BME BSc; coded MG3A30 on Business and Management BSc)</t>
        </is>
      </c>
      <c r="J474"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474" s="77" t="inlineStr">
        <is>
          <t>Brunel Business School</t>
        </is>
      </c>
      <c r="L474" s="77" t="inlineStr">
        <is>
          <t>BSc Business Management with Entrepreneurship; Business and Management BSc lists same title</t>
        </is>
      </c>
      <c r="M474" s="77" t="inlineStr">
        <is>
          <t>Business/management</t>
        </is>
      </c>
      <c r="N474" s="77" t="inlineStr">
        <is>
          <t>Undergraduate</t>
        </is>
      </c>
      <c r="O474" s="77" t="inlineStr">
        <is>
          <t>Final year</t>
        </is>
      </c>
      <c r="P474" s="77" t="inlineStr"/>
      <c r="Q474" s="77" t="inlineStr">
        <is>
          <t>Optional/elective</t>
        </is>
      </c>
      <c r="R474" s="77" t="inlineStr">
        <is>
          <t>Curricular</t>
        </is>
      </c>
      <c r="S474" s="77" t="inlineStr">
        <is>
          <t>30 credits (final-year project route); oral presentations, group discussions, extended written report</t>
        </is>
      </c>
      <c r="T474" s="77" t="inlineStr">
        <is>
          <t>Academic year (per Co-Innovate)</t>
        </is>
      </c>
      <c r="U474" s="77" t="inlineStr">
        <is>
          <t>Module/project with SME client</t>
        </is>
      </c>
      <c r="V474" s="77" t="inlineStr">
        <is>
          <t>Yes</t>
        </is>
      </c>
      <c r="W474" s="77" t="inlineStr">
        <is>
          <t>Live business challenge for London SME; extended report (src 2).</t>
        </is>
      </c>
      <c r="X474" s="77" t="inlineStr">
        <is>
          <t>Unclear</t>
        </is>
      </c>
      <c r="Y474" s="77" t="inlineStr">
        <is>
          <t>Module description mentions group discussions; Co-Innovate allows individual or small team; not separable (src 2, S1 src 1).</t>
        </is>
      </c>
      <c r="Z474" s="77" t="inlineStr">
        <is>
          <t>Yes</t>
        </is>
      </c>
      <c r="AA474" s="77" t="inlineStr">
        <is>
          <t>Students present strategic recommendations to the client's management team (src 2).</t>
        </is>
      </c>
      <c r="AB474" s="77" t="inlineStr">
        <is>
          <t>Business/commercial</t>
        </is>
      </c>
      <c r="AC474" s="77" t="inlineStr">
        <is>
          <t>London SME client receives recommendations.</t>
        </is>
      </c>
      <c r="AD474" s="77" t="inlineStr"/>
      <c r="AE474" s="77" t="inlineStr">
        <is>
          <t>Report and presentation to SME management</t>
        </is>
      </c>
      <c r="AF474" s="77">
        <f>IF(OR(V474="No",X474="No",Z474="No"),"Outside strict definition",IF(AND(V474="Yes",X474="Yes",Z474="Yes"),"Meets all three","Potentially relevant; evidence incomplete"))</f>
        <v/>
      </c>
      <c r="AG474" s="77" t="inlineStr">
        <is>
          <t>Current status unclear</t>
        </is>
      </c>
      <c r="AH474" s="77" t="inlineStr"/>
      <c r="AI474" s="77" t="inlineStr">
        <is>
          <t>Yes</t>
        </is>
      </c>
      <c r="AJ474" s="77">
        <f>IF(AND(AI474="Yes",AF474="Meets all three",AG474="Current delivery confirmed"),"Yes","No")</f>
        <v/>
      </c>
      <c r="AK474" s="77" t="inlineStr"/>
      <c r="AL474" s="77" t="inlineStr">
        <is>
          <t>UK17-S02-R1</t>
        </is>
      </c>
      <c r="AM474" s="77" t="inlineStr">
        <is>
          <t>Optional vs core status differs between BME and Business &amp; Management pages; whether every student gets an SME client unclear; no dated 2025/26 evidence retrieved.</t>
        </is>
      </c>
      <c r="AN474" s="77" t="inlineStr"/>
      <c r="AO474" s="77" t="inlineStr">
        <is>
          <t>UK</t>
        </is>
      </c>
      <c r="AP474" s="77" t="inlineStr">
        <is>
          <t>UK – additional</t>
        </is>
      </c>
      <c r="AQ474" s="77" t="inlineStr">
        <is>
          <t>&gt;1 term</t>
        </is>
      </c>
      <c r="AR474" s="77" t="inlineStr">
        <is>
          <t>Some projects</t>
        </is>
      </c>
      <c r="AS474" s="77" t="inlineStr"/>
    </row>
    <row r="475">
      <c r="A475" s="77" t="inlineStr">
        <is>
          <t>UK17</t>
        </is>
      </c>
      <c r="B475" s="77" t="inlineStr">
        <is>
          <t>Brunel</t>
        </is>
      </c>
      <c r="C475" s="77" t="inlineStr">
        <is>
          <t>Programme/course</t>
        </is>
      </c>
      <c r="D475" s="77" t="inlineStr">
        <is>
          <t>UK17-S03</t>
        </is>
      </c>
      <c r="E475" s="77" t="inlineStr"/>
      <c r="F475" s="77" t="inlineStr">
        <is>
          <t>No</t>
        </is>
      </c>
      <c r="G475" s="79" t="inlineStr">
        <is>
          <t>MSc Project Management: Project Consultancy and Risk Management</t>
        </is>
      </c>
      <c r="H475" s="77" t="inlineStr">
        <is>
          <t>Live consultancy projects in MSc Project Management</t>
        </is>
      </c>
      <c r="I475" s="77" t="inlineStr">
        <is>
          <t>MG5xx2 (as quoted in search summary)</t>
        </is>
      </c>
      <c r="J475" s="77" t="inlineStr">
        <is>
          <t>Compulsory module whose assessment includes live consultancy projects and case study analyses applied to real organisational challenges.</t>
        </is>
      </c>
      <c r="K475" s="77" t="inlineStr">
        <is>
          <t>Brunel Business School</t>
        </is>
      </c>
      <c r="L475" s="77" t="inlineStr">
        <is>
          <t>MSc Project Management</t>
        </is>
      </c>
      <c r="M475" s="77" t="inlineStr">
        <is>
          <t>Business/management</t>
        </is>
      </c>
      <c r="N475" s="77" t="inlineStr">
        <is>
          <t>Postgraduate taught</t>
        </is>
      </c>
      <c r="O475" s="77" t="inlineStr"/>
      <c r="P475" s="77" t="inlineStr"/>
      <c r="Q475" s="77" t="inlineStr">
        <is>
          <t>Compulsory within specified programmes</t>
        </is>
      </c>
      <c r="R475" s="77" t="inlineStr">
        <is>
          <t>Curricular</t>
        </is>
      </c>
      <c r="S475" s="77" t="inlineStr"/>
      <c r="T475" s="77" t="inlineStr"/>
      <c r="U475" s="77" t="inlineStr"/>
      <c r="V475" s="77" t="inlineStr">
        <is>
          <t>Unclear</t>
        </is>
      </c>
      <c r="W475" s="77" t="inlineStr">
        <is>
          <t>'Live consultancy projects' mentioned (src 3) but no brief/output detail.</t>
        </is>
      </c>
      <c r="X475" s="77" t="inlineStr">
        <is>
          <t>Unclear</t>
        </is>
      </c>
      <c r="Y475" s="77" t="inlineStr">
        <is>
          <t>No team evidence retrieved.</t>
        </is>
      </c>
      <c r="Z475" s="77" t="inlineStr">
        <is>
          <t>Unclear</t>
        </is>
      </c>
      <c r="AA475" s="77" t="inlineStr">
        <is>
          <t>Says 'real organisational challenges' but not who sets/receives the work.</t>
        </is>
      </c>
      <c r="AB475" s="77" t="inlineStr">
        <is>
          <t>Unclear</t>
        </is>
      </c>
      <c r="AC475" s="77" t="inlineStr"/>
      <c r="AD475" s="77" t="inlineStr"/>
      <c r="AE475" s="77" t="inlineStr"/>
      <c r="AF475" s="77">
        <f>IF(OR(V475="No",X475="No",Z475="No"),"Outside strict definition",IF(AND(V475="Yes",X475="Yes",Z475="Yes"),"Meets all three","Potentially relevant; evidence incomplete"))</f>
        <v/>
      </c>
      <c r="AG475" s="77" t="inlineStr">
        <is>
          <t>Current status unclear</t>
        </is>
      </c>
      <c r="AH475" s="77" t="inlineStr"/>
      <c r="AI475" s="77" t="inlineStr">
        <is>
          <t>Yes</t>
        </is>
      </c>
      <c r="AJ475" s="77">
        <f>IF(AND(AI475="Yes",AF475="Meets all three",AG475="Current delivery confirmed"),"Yes","No")</f>
        <v/>
      </c>
      <c r="AK475" s="77" t="inlineStr"/>
      <c r="AL475" s="77" t="inlineStr">
        <is>
          <t>UK17-S03-R1</t>
        </is>
      </c>
      <c r="AM475" s="77" t="inlineStr">
        <is>
          <t>Need module page: client identity, team structure, current-year delivery.</t>
        </is>
      </c>
      <c r="AN475" s="77" t="inlineStr"/>
      <c r="AO475" s="77" t="inlineStr">
        <is>
          <t>UK</t>
        </is>
      </c>
      <c r="AP475" s="77" t="inlineStr">
        <is>
          <t>UK – additional</t>
        </is>
      </c>
      <c r="AQ475" s="77" t="inlineStr">
        <is>
          <t>Unclear</t>
        </is>
      </c>
      <c r="AR475" s="77" t="inlineStr">
        <is>
          <t>Unclear</t>
        </is>
      </c>
      <c r="AS475" s="77" t="inlineStr"/>
    </row>
    <row r="476">
      <c r="A476" s="77" t="inlineStr">
        <is>
          <t>UK17</t>
        </is>
      </c>
      <c r="B476" s="77" t="inlineStr">
        <is>
          <t>Brunel</t>
        </is>
      </c>
      <c r="C476" s="77" t="inlineStr">
        <is>
          <t>Faculty/school</t>
        </is>
      </c>
      <c r="D476" s="77" t="inlineStr">
        <is>
          <t>UK17-S04</t>
        </is>
      </c>
      <c r="E476" s="77" t="inlineStr"/>
      <c r="F476" s="77" t="inlineStr">
        <is>
          <t>No</t>
        </is>
      </c>
      <c r="G476" s="79" t="inlineStr">
        <is>
          <t>Design+ (Brunel Design School) industry final-year projects / live briefs</t>
        </is>
      </c>
      <c r="H476" s="77" t="inlineStr">
        <is>
          <t>Design+ industry collaboration on final-year projects</t>
        </is>
      </c>
      <c r="I476" s="77" t="inlineStr"/>
      <c r="J476" s="77" t="inlineStr">
        <is>
          <t>Design+ lets businesses work with Brunel Design students on their Final Year Project; named partners in the search summary include Brompton Bikes, Hornby, BT and JLR. Also reported: Digital Design BSc group project producing a final output for an external company.</t>
        </is>
      </c>
      <c r="K476" s="77" t="inlineStr">
        <is>
          <t>Brunel Design School; Student Professional Development</t>
        </is>
      </c>
      <c r="L476" s="77" t="inlineStr">
        <is>
          <t>Design School programmes (Industrial Design, Digital Design, Integrated Product Design MSc etc.)</t>
        </is>
      </c>
      <c r="M476" s="77" t="inlineStr">
        <is>
          <t>Other (law, health, design, architecture…)</t>
        </is>
      </c>
      <c r="N476" s="77" t="inlineStr">
        <is>
          <t>Mixed</t>
        </is>
      </c>
      <c r="O476" s="77" t="inlineStr"/>
      <c r="P476" s="77" t="inlineStr"/>
      <c r="Q476" s="77" t="inlineStr">
        <is>
          <t>Unclear</t>
        </is>
      </c>
      <c r="R476" s="77" t="inlineStr">
        <is>
          <t>Curricular</t>
        </is>
      </c>
      <c r="S476" s="77" t="inlineStr"/>
      <c r="T476" s="77" t="inlineStr"/>
      <c r="U476" s="77" t="inlineStr"/>
      <c r="V476" s="77" t="inlineStr">
        <is>
          <t>Yes</t>
        </is>
      </c>
      <c r="W476" s="77" t="inlineStr">
        <is>
          <t>Final-year design project with industry partner (src 4, summary).</t>
        </is>
      </c>
      <c r="X476" s="77" t="inlineStr">
        <is>
          <t>Unclear</t>
        </is>
      </c>
      <c r="Y476" s="77" t="inlineStr">
        <is>
          <t>Final-year projects typically individual; only the Digital Design BSc summary mentions group project, not verified (src 4).</t>
        </is>
      </c>
      <c r="Z476" s="77" t="inlineStr">
        <is>
          <t>Unclear</t>
        </is>
      </c>
      <c r="AA476" s="77" t="inlineStr">
        <is>
          <t>Companies collaborate on final-year projects; extent ('can', 'some projects') unclear.</t>
        </is>
      </c>
      <c r="AB476" s="77" t="inlineStr">
        <is>
          <t>Business/commercial</t>
        </is>
      </c>
      <c r="AC476" s="77" t="inlineStr"/>
      <c r="AD476" s="77" t="inlineStr">
        <is>
          <t>Brompton Bikes, Hornby, BT, JLR (undated search summary)</t>
        </is>
      </c>
      <c r="AE476" s="77" t="inlineStr"/>
      <c r="AF476" s="77">
        <f>IF(OR(V476="No",X476="No",Z476="No"),"Outside strict definition",IF(AND(V476="Yes",X476="Yes",Z476="Yes"),"Meets all three","Potentially relevant; evidence incomplete"))</f>
        <v/>
      </c>
      <c r="AG476" s="77" t="inlineStr">
        <is>
          <t>Current status unclear</t>
        </is>
      </c>
      <c r="AH476" s="77" t="inlineStr"/>
      <c r="AI476" s="77" t="inlineStr">
        <is>
          <t>Yes</t>
        </is>
      </c>
      <c r="AJ476" s="77">
        <f>IF(AND(AI476="Yes",AF476="Meets all three",AG476="Current delivery confirmed"),"Yes","No")</f>
        <v/>
      </c>
      <c r="AK476" s="77" t="inlineStr"/>
      <c r="AL476" s="77" t="inlineStr">
        <is>
          <t>UK17-S04-R1</t>
        </is>
      </c>
      <c r="AM476" s="77" t="inlineStr">
        <is>
          <t>Extended searches refused (limit). Need Digital Design BSc module page and Design+ page to test group working, standard client coverage and 2025/26 delivery.</t>
        </is>
      </c>
      <c r="AN476" s="77" t="inlineStr"/>
      <c r="AO476" s="77" t="inlineStr">
        <is>
          <t>UK</t>
        </is>
      </c>
      <c r="AP476" s="77" t="inlineStr">
        <is>
          <t>UK – additional</t>
        </is>
      </c>
      <c r="AQ476" s="77" t="inlineStr">
        <is>
          <t>Unclear</t>
        </is>
      </c>
      <c r="AR476" s="77" t="inlineStr">
        <is>
          <t>Some projects</t>
        </is>
      </c>
      <c r="AS476" s="77" t="inlineStr"/>
    </row>
    <row r="477">
      <c r="A477" s="77" t="inlineStr">
        <is>
          <t>UK17</t>
        </is>
      </c>
      <c r="B477" s="77" t="inlineStr">
        <is>
          <t>Brunel</t>
        </is>
      </c>
      <c r="C477" s="77" t="inlineStr">
        <is>
          <t>Programme/course</t>
        </is>
      </c>
      <c r="D477" s="77" t="inlineStr">
        <is>
          <t>UK17-S05</t>
        </is>
      </c>
      <c r="E477" s="77" t="inlineStr"/>
      <c r="F477" s="77" t="inlineStr">
        <is>
          <t>No</t>
        </is>
      </c>
      <c r="G477" s="79" t="inlineStr">
        <is>
          <t>Global Challenges BASc: Enterprise Project</t>
        </is>
      </c>
      <c r="H477" s="77" t="inlineStr">
        <is>
          <t>Global Challenges Enterprise Project (placement or group project)</t>
        </is>
      </c>
      <c r="I477" s="77" t="inlineStr"/>
      <c r="J477" s="77" t="inlineStr">
        <is>
          <t>Third-year students complete a placement or group project over about 8 weeks; group projects can be run with an NGO, policy organisation, think tank, government body or business.</t>
        </is>
      </c>
      <c r="K477" s="77" t="inlineStr">
        <is>
          <t>Brunel (Global Challenges BASc)</t>
        </is>
      </c>
      <c r="L477" s="77" t="inlineStr">
        <is>
          <t>Global Challenges BASc</t>
        </is>
      </c>
      <c r="M477" s="77" t="inlineStr">
        <is>
          <t>Arts/humanities/social sciences</t>
        </is>
      </c>
      <c r="N477" s="77" t="inlineStr">
        <is>
          <t>Undergraduate</t>
        </is>
      </c>
      <c r="O477" s="77" t="inlineStr">
        <is>
          <t>Year 3</t>
        </is>
      </c>
      <c r="P477" s="77" t="inlineStr"/>
      <c r="Q477" s="77" t="inlineStr">
        <is>
          <t>Compulsory within specified programmes</t>
        </is>
      </c>
      <c r="R477" s="77" t="inlineStr">
        <is>
          <t>Curricular</t>
        </is>
      </c>
      <c r="S477" s="77" t="inlineStr"/>
      <c r="T477" s="77" t="inlineStr">
        <is>
          <t>8 weeks</t>
        </is>
      </c>
      <c r="U477" s="77" t="inlineStr"/>
      <c r="V477" s="77" t="inlineStr">
        <is>
          <t>Unclear</t>
        </is>
      </c>
      <c r="W477" s="77" t="inlineStr">
        <is>
          <t>Group project option (src 5).</t>
        </is>
      </c>
      <c r="X477" s="77" t="inlineStr">
        <is>
          <t>Yes</t>
        </is>
      </c>
      <c r="Y477" s="77" t="inlineStr">
        <is>
          <t>'group project' option stated, but alternative is individual placement (src 5).</t>
        </is>
      </c>
      <c r="Z477" s="77" t="inlineStr">
        <is>
          <t>Unclear</t>
        </is>
      </c>
      <c r="AA477" s="77" t="inlineStr">
        <is>
          <t>Group projects 'can be run with' external bodies - optional wording.</t>
        </is>
      </c>
      <c r="AB477" s="77" t="inlineStr">
        <is>
          <t>Mixed</t>
        </is>
      </c>
      <c r="AC477" s="77" t="inlineStr"/>
      <c r="AD477" s="77" t="inlineStr"/>
      <c r="AE477" s="77" t="inlineStr"/>
      <c r="AF477" s="77">
        <f>IF(OR(V477="No",X477="No",Z477="No"),"Outside strict definition",IF(AND(V477="Yes",X477="Yes",Z477="Yes"),"Meets all three","Potentially relevant; evidence incomplete"))</f>
        <v/>
      </c>
      <c r="AG477" s="77" t="inlineStr">
        <is>
          <t>Current status unclear</t>
        </is>
      </c>
      <c r="AH477" s="77" t="inlineStr"/>
      <c r="AI477" s="77" t="inlineStr">
        <is>
          <t>Yes</t>
        </is>
      </c>
      <c r="AJ477" s="77">
        <f>IF(AND(AI477="Yes",AF477="Meets all three",AG477="Current delivery confirmed"),"Yes","No")</f>
        <v/>
      </c>
      <c r="AK477" s="77" t="inlineStr"/>
      <c r="AL477" s="77" t="inlineStr">
        <is>
          <t>UK17-S05-R1</t>
        </is>
      </c>
      <c r="AM477" s="77" t="inlineStr">
        <is>
          <t>Need module page: choice between placement and group project, whether external body sets brief, current delivery.</t>
        </is>
      </c>
      <c r="AN477" s="77" t="inlineStr"/>
      <c r="AO477" s="77" t="inlineStr">
        <is>
          <t>UK</t>
        </is>
      </c>
      <c r="AP477" s="77" t="inlineStr">
        <is>
          <t>UK – additional</t>
        </is>
      </c>
      <c r="AQ477" s="77" t="inlineStr">
        <is>
          <t>~1 term/semester</t>
        </is>
      </c>
      <c r="AR477" s="77" t="inlineStr">
        <is>
          <t>Some projects</t>
        </is>
      </c>
      <c r="AS477" s="77" t="inlineStr"/>
    </row>
    <row r="478">
      <c r="A478" s="77" t="inlineStr">
        <is>
          <t>UK17</t>
        </is>
      </c>
      <c r="B478" s="77" t="inlineStr">
        <is>
          <t>Brunel</t>
        </is>
      </c>
      <c r="C478" s="77" t="inlineStr">
        <is>
          <t>Unclear</t>
        </is>
      </c>
      <c r="D478" s="77" t="inlineStr">
        <is>
          <t>UK17-S06</t>
        </is>
      </c>
      <c r="E478" s="77" t="inlineStr"/>
      <c r="F478" s="77" t="inlineStr">
        <is>
          <t>No</t>
        </is>
      </c>
      <c r="G478" s="79" t="inlineStr">
        <is>
          <t>Enterprise Mobility Challenge</t>
        </is>
      </c>
      <c r="H478" s="77" t="inlineStr">
        <is>
          <t>Enterprise Mobility Challenge (2-week design challenge with Enterprise)</t>
        </is>
      </c>
      <c r="I478" s="77" t="inlineStr"/>
      <c r="J478" s="77" t="inlineStr">
        <is>
          <t>Two-week design challenge launched Feb 2025 in which students collaborate with Enterprise (car rental company) to gain industry experience.</t>
        </is>
      </c>
      <c r="K478" s="77" t="inlineStr">
        <is>
          <t>Brunel (students.brunel.ac.uk what's-on)</t>
        </is>
      </c>
      <c r="L478" s="77" t="inlineStr"/>
      <c r="M478" s="77" t="inlineStr">
        <is>
          <t>Central provision</t>
        </is>
      </c>
      <c r="N478" s="77" t="inlineStr">
        <is>
          <t>Unclear</t>
        </is>
      </c>
      <c r="O478" s="77" t="inlineStr"/>
      <c r="P478" s="77" t="inlineStr"/>
      <c r="Q478" s="77" t="inlineStr">
        <is>
          <t>Optional/elective</t>
        </is>
      </c>
      <c r="R478" s="77" t="inlineStr">
        <is>
          <t>Extracurricular</t>
        </is>
      </c>
      <c r="S478" s="77" t="inlineStr"/>
      <c r="T478" s="77" t="inlineStr">
        <is>
          <t>2 weeks</t>
        </is>
      </c>
      <c r="U478" s="77" t="inlineStr"/>
      <c r="V478" s="77" t="inlineStr">
        <is>
          <t>Unclear</t>
        </is>
      </c>
      <c r="W478" s="77" t="inlineStr">
        <is>
          <t>Design challenge; output not evidenced.</t>
        </is>
      </c>
      <c r="X478" s="77" t="inlineStr">
        <is>
          <t>Unclear</t>
        </is>
      </c>
      <c r="Y478" s="77" t="inlineStr">
        <is>
          <t>Not evidenced.</t>
        </is>
      </c>
      <c r="Z478" s="77" t="inlineStr">
        <is>
          <t>Yes</t>
        </is>
      </c>
      <c r="AA478" s="77" t="inlineStr">
        <is>
          <t>Students collaborate with Enterprise (src 6, summary); depth of company role not evidenced.</t>
        </is>
      </c>
      <c r="AB478" s="77" t="inlineStr">
        <is>
          <t>Business/commercial</t>
        </is>
      </c>
      <c r="AC478" s="77" t="inlineStr"/>
      <c r="AD478" s="77" t="inlineStr">
        <is>
          <t>Enterprise (2025)</t>
        </is>
      </c>
      <c r="AE478" s="77" t="inlineStr"/>
      <c r="AF478" s="77">
        <f>IF(OR(V478="No",X478="No",Z478="No"),"Outside strict definition",IF(AND(V478="Yes",X478="Yes",Z478="Yes"),"Meets all three","Potentially relevant; evidence incomplete"))</f>
        <v/>
      </c>
      <c r="AG478" s="77" t="inlineStr">
        <is>
          <t>Current delivery confirmed</t>
        </is>
      </c>
      <c r="AH478" s="77" t="inlineStr">
        <is>
          <t>2025</t>
        </is>
      </c>
      <c r="AI478" s="77" t="inlineStr">
        <is>
          <t>Yes</t>
        </is>
      </c>
      <c r="AJ478" s="77">
        <f>IF(AND(AI478="Yes",AF478="Meets all three",AG478="Current delivery confirmed"),"Yes","No")</f>
        <v/>
      </c>
      <c r="AK478" s="77" t="inlineStr"/>
      <c r="AL478" s="77" t="inlineStr">
        <is>
          <t>UK17-S06-R1</t>
        </is>
      </c>
      <c r="AM478" s="77" t="inlineStr">
        <is>
          <t>Operating status set from Feb 2025 launch event only (before 2025/26 academic year start may be 2024/25); team format, output and eligibility unknown. Treat as evidence incomplete.</t>
        </is>
      </c>
      <c r="AN478" s="77" t="inlineStr"/>
      <c r="AO478" s="77" t="inlineStr">
        <is>
          <t>UK</t>
        </is>
      </c>
      <c r="AP478" s="77" t="inlineStr">
        <is>
          <t>UK – additional</t>
        </is>
      </c>
      <c r="AQ478" s="77" t="inlineStr">
        <is>
          <t>1–4 weeks</t>
        </is>
      </c>
      <c r="AR478" s="77" t="inlineStr">
        <is>
          <t>All/standard</t>
        </is>
      </c>
      <c r="AS478" s="77" t="inlineStr"/>
    </row>
    <row r="479">
      <c r="A479" s="77" t="inlineStr">
        <is>
          <t>UK17</t>
        </is>
      </c>
      <c r="B479" s="77" t="inlineStr">
        <is>
          <t>Brunel</t>
        </is>
      </c>
      <c r="C479" s="77" t="inlineStr">
        <is>
          <t>Programme/course</t>
        </is>
      </c>
      <c r="D479" s="77" t="inlineStr">
        <is>
          <t>UK17-S07</t>
        </is>
      </c>
      <c r="E479" s="77" t="inlineStr"/>
      <c r="F479" s="77" t="inlineStr">
        <is>
          <t>No</t>
        </is>
      </c>
      <c r="G479" s="79" t="inlineStr">
        <is>
          <t>MSc Integrated Product Design / Sustainability, Entrepreneurship and Design: studio projects with industry partners</t>
        </is>
      </c>
      <c r="H479" s="77" t="inlineStr">
        <is>
          <t>PG design studio live projects</t>
        </is>
      </c>
      <c r="I479" s="77" t="inlineStr"/>
      <c r="J479" s="77" t="inlineStr">
        <is>
          <t>Studio design projects include academic and live projects offered by industry partners.</t>
        </is>
      </c>
      <c r="K479" s="77" t="inlineStr">
        <is>
          <t>Brunel Design School</t>
        </is>
      </c>
      <c r="L479" s="77" t="inlineStr">
        <is>
          <t>MSc Integrated Product Design; MSc Sustainability, Entrepreneurship and Design</t>
        </is>
      </c>
      <c r="M479" s="77" t="inlineStr">
        <is>
          <t>Other (law, health, design, architecture…)</t>
        </is>
      </c>
      <c r="N479" s="77" t="inlineStr">
        <is>
          <t>Postgraduate taught</t>
        </is>
      </c>
      <c r="O479" s="77" t="inlineStr"/>
      <c r="P479" s="77" t="inlineStr"/>
      <c r="Q479" s="77" t="inlineStr">
        <is>
          <t>Compulsory within specified programmes</t>
        </is>
      </c>
      <c r="R479" s="77" t="inlineStr">
        <is>
          <t>Curricular</t>
        </is>
      </c>
      <c r="S479" s="77" t="inlineStr"/>
      <c r="T479" s="77" t="inlineStr"/>
      <c r="U479" s="77" t="inlineStr"/>
      <c r="V479" s="77" t="inlineStr">
        <is>
          <t>Yes</t>
        </is>
      </c>
      <c r="W479" s="77" t="inlineStr">
        <is>
          <t>Studio design projects (src 7).</t>
        </is>
      </c>
      <c r="X479" s="77" t="inlineStr">
        <is>
          <t>Unclear</t>
        </is>
      </c>
      <c r="Y479" s="77" t="inlineStr">
        <is>
          <t>Not evidenced.</t>
        </is>
      </c>
      <c r="Z479" s="77" t="inlineStr">
        <is>
          <t>Unclear</t>
        </is>
      </c>
      <c r="AA479" s="77" t="inlineStr">
        <is>
          <t>'academic and live projects' - mixed; not standard (src 7).</t>
        </is>
      </c>
      <c r="AB479" s="77" t="inlineStr">
        <is>
          <t>Business/commercial</t>
        </is>
      </c>
      <c r="AC479" s="77" t="inlineStr"/>
      <c r="AD479" s="77" t="inlineStr"/>
      <c r="AE479" s="77" t="inlineStr"/>
      <c r="AF479" s="77">
        <f>IF(OR(V479="No",X479="No",Z479="No"),"Outside strict definition",IF(AND(V479="Yes",X479="Yes",Z479="Yes"),"Meets all three","Potentially relevant; evidence incomplete"))</f>
        <v/>
      </c>
      <c r="AG479" s="77" t="inlineStr">
        <is>
          <t>Current status unclear</t>
        </is>
      </c>
      <c r="AH479" s="77" t="inlineStr"/>
      <c r="AI479" s="77" t="inlineStr">
        <is>
          <t>Yes</t>
        </is>
      </c>
      <c r="AJ479" s="77">
        <f>IF(AND(AI479="Yes",AF479="Meets all three",AG479="Current delivery confirmed"),"Yes","No")</f>
        <v/>
      </c>
      <c r="AK479" s="77" t="inlineStr"/>
      <c r="AL479" s="77" t="inlineStr">
        <is>
          <t>UK17-S07-R1</t>
        </is>
      </c>
      <c r="AM479" s="77" t="inlineStr">
        <is>
          <t>Need module page for team structure and share of live projects.</t>
        </is>
      </c>
      <c r="AN479" s="77" t="inlineStr"/>
      <c r="AO479" s="77" t="inlineStr">
        <is>
          <t>UK</t>
        </is>
      </c>
      <c r="AP479" s="77" t="inlineStr">
        <is>
          <t>UK – additional</t>
        </is>
      </c>
      <c r="AQ479" s="77" t="inlineStr">
        <is>
          <t>Unclear</t>
        </is>
      </c>
      <c r="AR479" s="77" t="inlineStr">
        <is>
          <t>Some projects</t>
        </is>
      </c>
      <c r="AS479" s="77" t="inlineStr"/>
    </row>
  </sheetData>
  <conditionalFormatting sqref="V7:V479">
    <cfRule type="expression" priority="1" dxfId="4">
      <formula>V7="Yes"</formula>
    </cfRule>
    <cfRule type="expression" priority="2" dxfId="6">
      <formula>V7="No"</formula>
    </cfRule>
    <cfRule type="expression" priority="3" dxfId="5">
      <formula>V7="Unclear"</formula>
    </cfRule>
  </conditionalFormatting>
  <conditionalFormatting sqref="X7:X479">
    <cfRule type="expression" priority="4" dxfId="4">
      <formula>X7="Yes"</formula>
    </cfRule>
    <cfRule type="expression" priority="5" dxfId="6">
      <formula>X7="No"</formula>
    </cfRule>
    <cfRule type="expression" priority="6" dxfId="5">
      <formula>X7="Unclear"</formula>
    </cfRule>
  </conditionalFormatting>
  <conditionalFormatting sqref="Z7:Z479">
    <cfRule type="expression" priority="7" dxfId="4">
      <formula>Z7="Yes"</formula>
    </cfRule>
    <cfRule type="expression" priority="8" dxfId="6">
      <formula>Z7="No"</formula>
    </cfRule>
    <cfRule type="expression" priority="9" dxfId="5">
      <formula>Z7="Unclear"</formula>
    </cfRule>
  </conditionalFormatting>
  <conditionalFormatting sqref="AF7:AF479">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479">
    <cfRule type="expression" priority="13" dxfId="4">
      <formula>AJ7="Yes"</formula>
    </cfRule>
  </conditionalFormatting>
  <dataValidations count="7">
    <dataValidation sqref="V7:V479" showDropDown="0" showInputMessage="0" showErrorMessage="0" allowBlank="1" type="list">
      <formula1>"Yes,No,Unclear"</formula1>
    </dataValidation>
    <dataValidation sqref="X7:X479" showDropDown="0" showInputMessage="0" showErrorMessage="0" allowBlank="1" type="list">
      <formula1>"Yes,No,Unclear"</formula1>
    </dataValidation>
    <dataValidation sqref="Z7:Z479" showDropDown="0" showInputMessage="0" showErrorMessage="0" allowBlank="1" type="list">
      <formula1>"Yes,No,Unclear"</formula1>
    </dataValidation>
    <dataValidation sqref="C7:C479" showDropDown="0" showInputMessage="0" showErrorMessage="0" allowBlank="1" type="list">
      <formula1>"University-wide,Cross-faculty,Faculty/school,Programme/course,Unclear"</formula1>
    </dataValidation>
    <dataValidation sqref="AG7:AG479" showDropDown="0" showInputMessage="0" showErrorMessage="0" allowBlank="1" type="list">
      <formula1>"Current delivery confirmed,Announced/forthcoming,Historical delivery only,Paused/discontinued,Current status unclear"</formula1>
    </dataValidation>
    <dataValidation sqref="Q7:Q479" showDropDown="0" showInputMessage="0" showErrorMessage="0" allowBlank="1" type="list">
      <formula1>"Compulsory for all students (at stated level),Compulsory within specified programmes,Optional/elective,Selective/competitive,Unclear"</formula1>
    </dataValidation>
    <dataValidation sqref="AB7:AB479"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437"/>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RG24-X01</t>
        </is>
      </c>
      <c r="B290" s="77" t="inlineStr">
        <is>
          <t>RG24</t>
        </is>
      </c>
      <c r="C290" s="77" t="inlineStr">
        <is>
          <t>York</t>
        </is>
      </c>
      <c r="D290" s="77" t="inlineStr">
        <is>
          <t>UK – Russell Group</t>
        </is>
      </c>
      <c r="E290" s="77" t="inlineStr">
        <is>
          <t>Engineering Group Project A/B (ELE00093H/ELE00087H) and Electronics Projects</t>
        </is>
      </c>
      <c r="F290" s="77" t="inlineStr">
        <is>
          <t>No</t>
        </is>
      </c>
      <c r="G290" s="77" t="inlineStr"/>
      <c r="H290" s="77" t="inlineStr">
        <is>
          <t>Near-miss: no external org</t>
        </is>
      </c>
      <c r="I290" s="77" t="inlineStr">
        <is>
          <t>Group design-build projects with 'client' specifications and client meetings run by students, but no named external organisation or partner evidenced; clients appear to be staff-set scenarios (self-driving floating water-sampling vehicle).</t>
        </is>
      </c>
      <c r="J290" s="77" t="inlineStr">
        <is>
          <t>https://www.york.ac.uk/students/studying/manage/programmes/module-catalogue/module/ELE00093H/latest</t>
        </is>
      </c>
      <c r="K290" s="77" t="inlineStr">
        <is>
          <t>2026-27 catalogue entry</t>
        </is>
      </c>
    </row>
    <row r="291">
      <c r="A291" s="77" t="inlineStr">
        <is>
          <t>RG24-X02</t>
        </is>
      </c>
      <c r="B291" s="77" t="inlineStr">
        <is>
          <t>RG24</t>
        </is>
      </c>
      <c r="C291" s="77" t="inlineStr">
        <is>
          <t>York</t>
        </is>
      </c>
      <c r="D291" s="77" t="inlineStr">
        <is>
          <t>UK – Russell Group</t>
        </is>
      </c>
      <c r="E291" s="77" t="inlineStr">
        <is>
          <t>Public History Placement (HIS00050M)</t>
        </is>
      </c>
      <c r="F291" s="77" t="inlineStr">
        <is>
          <t>No</t>
        </is>
      </c>
      <c r="G291" s="77" t="inlineStr"/>
      <c r="H291" s="77" t="inlineStr">
        <is>
          <t>Placement/internship</t>
        </is>
      </c>
      <c r="I291" s="77" t="inlineStr">
        <is>
          <t>10-week placement with external host producing a defined output; placement/individual host route, group working not evidenced (may be part of wider team).</t>
        </is>
      </c>
      <c r="J291" s="77" t="inlineStr">
        <is>
          <t>https://www.york.ac.uk/students/studying/manage/programmes/module-catalogue/module/HIS00050M/</t>
        </is>
      </c>
      <c r="K291" s="77" t="inlineStr">
        <is>
          <t>2026-27 catalogue entry</t>
        </is>
      </c>
    </row>
    <row r="292">
      <c r="A292" s="77" t="inlineStr">
        <is>
          <t>RG24-X03</t>
        </is>
      </c>
      <c r="B292" s="77" t="inlineStr">
        <is>
          <t>RG24</t>
        </is>
      </c>
      <c r="C292" s="77" t="inlineStr">
        <is>
          <t>York</t>
        </is>
      </c>
      <c r="D292" s="77" t="inlineStr">
        <is>
          <t>UK – Russell Group</t>
        </is>
      </c>
      <c r="E292" s="77" t="inlineStr">
        <is>
          <t>Mathematics final-year projects with external partners</t>
        </is>
      </c>
      <c r="F292" s="77" t="inlineStr">
        <is>
          <t>No</t>
        </is>
      </c>
      <c r="G292" s="77" t="inlineStr"/>
      <c r="H292" s="77" t="inlineStr">
        <is>
          <t>Near-miss: not group</t>
        </is>
      </c>
      <c r="I292" s="77" t="inlineStr">
        <is>
          <t>Department offers external-partner projects (e.g. Whitby Lobster Hatchery, Sky Betting and Gaming, GSK, Pfizer, Fera) but they are individual 40-credit projects with an academic supervisor; group working not evidenced.</t>
        </is>
      </c>
      <c r="J292" s="77" t="inlineStr">
        <is>
          <t>https://www.york.ac.uk/maths/research/collaborating-business-industry/</t>
        </is>
      </c>
      <c r="K292" s="77" t="inlineStr">
        <is>
          <t>undated page; 2025 student blog</t>
        </is>
      </c>
    </row>
    <row r="293">
      <c r="A293" s="77" t="inlineStr">
        <is>
          <t>RG24-X04</t>
        </is>
      </c>
      <c r="B293" s="77" t="inlineStr">
        <is>
          <t>RG24</t>
        </is>
      </c>
      <c r="C293" s="77" t="inlineStr">
        <is>
          <t>York</t>
        </is>
      </c>
      <c r="D293" s="77" t="inlineStr">
        <is>
          <t>UK – Russell Group</t>
        </is>
      </c>
      <c r="E293" s="77" t="inlineStr">
        <is>
          <t>Chemistry Advanced Research Project (Industry) CHE00051M / BSc Industry Project CHE00042H</t>
        </is>
      </c>
      <c r="F293" s="77" t="inlineStr">
        <is>
          <t>No</t>
        </is>
      </c>
      <c r="G293" s="77" t="inlineStr"/>
      <c r="H293" s="77" t="inlineStr">
        <is>
          <t>Placement/internship</t>
        </is>
      </c>
      <c r="I293" s="77" t="inlineStr">
        <is>
          <t>Individual industry-based research placement with industrial supervisor; not a group project.</t>
        </is>
      </c>
      <c r="J293" s="77" t="inlineStr">
        <is>
          <t>https://www.york.ac.uk/students/studying/manage/programmes/module-catalogue/module/CHE00051M/latest</t>
        </is>
      </c>
      <c r="K293" s="77" t="inlineStr">
        <is>
          <t>2026-27 / 2024-25</t>
        </is>
      </c>
    </row>
    <row r="294">
      <c r="A294" s="77" t="inlineStr">
        <is>
          <t>RG24-X05</t>
        </is>
      </c>
      <c r="B294" s="77" t="inlineStr">
        <is>
          <t>RG24</t>
        </is>
      </c>
      <c r="C294" s="77" t="inlineStr">
        <is>
          <t>York</t>
        </is>
      </c>
      <c r="D294" s="77" t="inlineStr">
        <is>
          <t>UK – Russell Group</t>
        </is>
      </c>
      <c r="E294" s="77" t="inlineStr">
        <is>
          <t>MBA Consultancy Portfolio (MAN00129M) and Consultancy Proposal &amp; Pitch (MAN00128M)</t>
        </is>
      </c>
      <c r="F294" s="77" t="inlineStr">
        <is>
          <t>No</t>
        </is>
      </c>
      <c r="G294" s="77" t="inlineStr"/>
      <c r="H294" s="77" t="inlineStr">
        <is>
          <t>Evidence gap</t>
        </is>
      </c>
      <c r="I294" s="77" t="inlineStr">
        <is>
          <t>MBA capstone consultancy on an organisational issue; no evidence of group working or named external client.</t>
        </is>
      </c>
      <c r="J294" s="77" t="inlineStr">
        <is>
          <t>https://www.york.ac.uk/students/studying/manage/programmes/module-catalogue/module/MAN00129M/2025-26</t>
        </is>
      </c>
      <c r="K294" s="77" t="inlineStr">
        <is>
          <t>2023-24 to 2025-26 entries</t>
        </is>
      </c>
    </row>
    <row r="295">
      <c r="A295" s="77" t="inlineStr">
        <is>
          <t>RG24-X06</t>
        </is>
      </c>
      <c r="B295" s="77" t="inlineStr">
        <is>
          <t>RG24</t>
        </is>
      </c>
      <c r="C295" s="77" t="inlineStr">
        <is>
          <t>York</t>
        </is>
      </c>
      <c r="D295" s="77" t="inlineStr">
        <is>
          <t>UK – Russell Group</t>
        </is>
      </c>
      <c r="E295" s="77" t="inlineStr">
        <is>
          <t>Strategic Marketing Consulting (MAN00068H)</t>
        </is>
      </c>
      <c r="F295" s="77" t="inlineStr">
        <is>
          <t>No</t>
        </is>
      </c>
      <c r="G295" s="77" t="inlineStr"/>
      <c r="H295" s="77" t="inlineStr">
        <is>
          <t>Near-miss: no external org</t>
        </is>
      </c>
      <c r="I295" s="77" t="inlineStr">
        <is>
          <t>Aim is 'interacting with a real-world client and/or case study' - live-or-case without separating routes (C Unclear).</t>
        </is>
      </c>
      <c r="J295" s="77" t="inlineStr">
        <is>
          <t>https://www.york.ac.uk/students/studying/manage/programmes/module-catalogue/module/MAN00068H/latest</t>
        </is>
      </c>
      <c r="K295" s="77" t="inlineStr">
        <is>
          <t>2026-27 catalogue</t>
        </is>
      </c>
    </row>
    <row r="296">
      <c r="A296" s="77" t="inlineStr">
        <is>
          <t>RG24-X07</t>
        </is>
      </c>
      <c r="B296" s="77" t="inlineStr">
        <is>
          <t>RG24</t>
        </is>
      </c>
      <c r="C296" s="77" t="inlineStr">
        <is>
          <t>York</t>
        </is>
      </c>
      <c r="D296" s="77" t="inlineStr">
        <is>
          <t>UK – Russell Group</t>
        </is>
      </c>
      <c r="E296" s="77" t="inlineStr">
        <is>
          <t>Clinic (LAW00083H) and Baroness Hale Legal Clinic</t>
        </is>
      </c>
      <c r="F296" s="77" t="inlineStr">
        <is>
          <t>No</t>
        </is>
      </c>
      <c r="G296" s="77" t="inlineStr"/>
      <c r="H296" s="77" t="inlineStr">
        <is>
          <t>Near-miss: not group</t>
        </is>
      </c>
      <c r="I296" s="77" t="inlineStr">
        <is>
          <t>Students advise members of the public (individuals) in a student law firm under supervision; clients are mostly individuals and group project working not separated.</t>
        </is>
      </c>
      <c r="J296" s="77" t="inlineStr">
        <is>
          <t>https://www.york.ac.uk/students/studying/manage/programmes/module-catalogue/module/LAW00083H/latest</t>
        </is>
      </c>
      <c r="K296" s="77" t="inlineStr">
        <is>
          <t>2026-27 catalogue</t>
        </is>
      </c>
    </row>
    <row r="297">
      <c r="A297" s="77" t="inlineStr">
        <is>
          <t>RG24-X08</t>
        </is>
      </c>
      <c r="B297" s="77" t="inlineStr">
        <is>
          <t>RG24</t>
        </is>
      </c>
      <c r="C297" s="77" t="inlineStr">
        <is>
          <t>York</t>
        </is>
      </c>
      <c r="D297" s="77" t="inlineStr">
        <is>
          <t>UK – Russell Group</t>
        </is>
      </c>
      <c r="E297" s="77" t="inlineStr">
        <is>
          <t>Film &amp; Television Group Projects (TFT00040H/TFT00085H, Group Projects I/II)</t>
        </is>
      </c>
      <c r="F297" s="77" t="inlineStr">
        <is>
          <t>No</t>
        </is>
      </c>
      <c r="G297" s="77" t="inlineStr"/>
      <c r="H297" s="77" t="inlineStr">
        <is>
          <t>Near-miss: no external org</t>
        </is>
      </c>
      <c r="I297" s="77" t="inlineStr">
        <is>
          <t>Team productions to industry-style briefs; no external organisation sets brief or receives output.</t>
        </is>
      </c>
      <c r="J297" s="77" t="inlineStr">
        <is>
          <t>https://www.york.ac.uk/students/studying/manage/programmes/module-catalogue/module/TFT00085H/latest</t>
        </is>
      </c>
      <c r="K297" s="77" t="inlineStr">
        <is>
          <t>2026-27</t>
        </is>
      </c>
    </row>
    <row r="298">
      <c r="A298" s="77" t="inlineStr">
        <is>
          <t>RG24-X09</t>
        </is>
      </c>
      <c r="B298" s="77" t="inlineStr">
        <is>
          <t>RG24</t>
        </is>
      </c>
      <c r="C298" s="77" t="inlineStr">
        <is>
          <t>York</t>
        </is>
      </c>
      <c r="D298" s="77" t="inlineStr">
        <is>
          <t>UK – Russell Group</t>
        </is>
      </c>
      <c r="E298" s="77" t="inlineStr">
        <is>
          <t>Physics BSc Research Project &amp; Skills (PHY00052H)</t>
        </is>
      </c>
      <c r="F298" s="77" t="inlineStr">
        <is>
          <t>No</t>
        </is>
      </c>
      <c r="G298" s="77" t="inlineStr"/>
      <c r="H298" s="77" t="inlineStr">
        <is>
          <t>Dissertation/research</t>
        </is>
      </c>
      <c r="I298" s="77" t="inlineStr">
        <is>
          <t>Small-group or individual research project; no standard external partner route evidenced.</t>
        </is>
      </c>
      <c r="J298" s="77" t="inlineStr">
        <is>
          <t>https://www.york.ac.uk/students/studying/manage/programmes/module-catalogue/module/PHY00052H/latest</t>
        </is>
      </c>
      <c r="K298" s="77" t="inlineStr">
        <is>
          <t>2026-27</t>
        </is>
      </c>
    </row>
    <row r="299">
      <c r="A299" s="77" t="inlineStr">
        <is>
          <t>RG24-X10</t>
        </is>
      </c>
      <c r="B299" s="77" t="inlineStr">
        <is>
          <t>RG24</t>
        </is>
      </c>
      <c r="C299" s="77" t="inlineStr">
        <is>
          <t>York</t>
        </is>
      </c>
      <c r="D299" s="77" t="inlineStr">
        <is>
          <t>UK – Russell Group</t>
        </is>
      </c>
      <c r="E299" s="77" t="inlineStr">
        <is>
          <t>Year in Industry (ELE00032H) and year-in-industry degrees</t>
        </is>
      </c>
      <c r="F299" s="77" t="inlineStr">
        <is>
          <t>No</t>
        </is>
      </c>
      <c r="G299" s="77" t="inlineStr"/>
      <c r="H299" s="77" t="inlineStr">
        <is>
          <t>Placement/internship</t>
        </is>
      </c>
      <c r="I299" s="77" t="inlineStr">
        <is>
          <t>Placement year; no project-group component evidenced.</t>
        </is>
      </c>
      <c r="J299" s="77" t="inlineStr">
        <is>
          <t>https://www.york.ac.uk/students/studying/manage/programmes/module-catalogue/module/ELE00032H/2026-27</t>
        </is>
      </c>
      <c r="K299" s="77" t="inlineStr">
        <is>
          <t>2026-27</t>
        </is>
      </c>
    </row>
    <row r="300">
      <c r="A300" s="77" t="inlineStr">
        <is>
          <t>RG24-X11</t>
        </is>
      </c>
      <c r="B300" s="77" t="inlineStr">
        <is>
          <t>RG24</t>
        </is>
      </c>
      <c r="C300" s="77" t="inlineStr">
        <is>
          <t>York</t>
        </is>
      </c>
      <c r="D300" s="77" t="inlineStr">
        <is>
          <t>UK – Russell Group</t>
        </is>
      </c>
      <c r="E300" s="77" t="inlineStr">
        <is>
          <t>Community projects (student volunteering) / York Leaders Challenge Day</t>
        </is>
      </c>
      <c r="F300" s="77" t="inlineStr">
        <is>
          <t>No</t>
        </is>
      </c>
      <c r="G300" s="77" t="inlineStr"/>
      <c r="H300" s="77" t="inlineStr">
        <is>
          <t>Volunteering/service-learning</t>
        </is>
      </c>
      <c r="I300" s="77" t="inlineStr">
        <is>
          <t>Voluntary student community projects and a leadership challenge day; not tested as substantive employer-set group projects.</t>
        </is>
      </c>
      <c r="J300" s="77" t="inlineStr">
        <is>
          <t>https://www.york.ac.uk/students/work-volunteering-careers/skills/volunteer/communityprojects/</t>
        </is>
      </c>
      <c r="K300" s="77" t="inlineStr">
        <is>
          <t>undated</t>
        </is>
      </c>
    </row>
    <row r="301">
      <c r="A301" s="77" t="inlineStr">
        <is>
          <t>RG24-X12</t>
        </is>
      </c>
      <c r="B301" s="77" t="inlineStr">
        <is>
          <t>RG24</t>
        </is>
      </c>
      <c r="C301" s="77" t="inlineStr">
        <is>
          <t>York</t>
        </is>
      </c>
      <c r="D301" s="77" t="inlineStr">
        <is>
          <t>UK – Russell Group</t>
        </is>
      </c>
      <c r="E301" s="77" t="inlineStr">
        <is>
          <t>Communities, Participation &amp; Creating Change (SPY00037I)</t>
        </is>
      </c>
      <c r="F301" s="77" t="inlineStr">
        <is>
          <t>No</t>
        </is>
      </c>
      <c r="G301" s="77" t="inlineStr"/>
      <c r="H301" s="77" t="inlineStr">
        <is>
          <t>Near-miss: no external org</t>
        </is>
      </c>
      <c r="I301" s="77" t="inlineStr">
        <is>
          <t>Taught module on community action in Social Work; catalogue lists no external-partner project.</t>
        </is>
      </c>
      <c r="J301" s="77" t="inlineStr">
        <is>
          <t>https://www.york.ac.uk/students/studying/manage/programmes/module-catalogue/module/SPY00037I/latest</t>
        </is>
      </c>
      <c r="K301" s="77" t="inlineStr">
        <is>
          <t>2026-27</t>
        </is>
      </c>
    </row>
    <row r="302">
      <c r="A302" s="77" t="inlineStr">
        <is>
          <t>AU02-X01</t>
        </is>
      </c>
      <c r="B302" s="77" t="inlineStr">
        <is>
          <t>AU02</t>
        </is>
      </c>
      <c r="C302" s="77" t="inlineStr">
        <is>
          <t>Melbourne</t>
        </is>
      </c>
      <c r="D302" s="77" t="inlineStr">
        <is>
          <t>Australia</t>
        </is>
      </c>
      <c r="E302" s="77" t="inlineStr">
        <is>
          <t>Breadth subjects / Melbourne curriculum</t>
        </is>
      </c>
      <c r="F302" s="77" t="inlineStr">
        <is>
          <t>Yes</t>
        </is>
      </c>
      <c r="G302" s="77" t="n">
        <v>32</v>
      </c>
      <c r="H302" s="77" t="inlineStr">
        <is>
          <t>Breadth/interdisciplinary curriculum</t>
        </is>
      </c>
      <c r="I302" s="77" t="inlineStr">
        <is>
          <t>Curriculum framework requiring study outside the main discipline; not itself a project. Underlying routes tested separately: ARTS30001 Industry Project is a breadth-eligible subject and is recorded as S1. The framework fails A/B/C as a scheme.</t>
        </is>
      </c>
      <c r="J302" s="77" t="inlineStr">
        <is>
          <t>https://students.unimelb.edu.au/course-admin/planning-your-course-and-subjects/breadth-subjects</t>
        </is>
      </c>
      <c r="K302" s="77" t="inlineStr">
        <is>
          <t>Framework current; not counted.</t>
        </is>
      </c>
    </row>
    <row r="303">
      <c r="A303" s="77" t="inlineStr">
        <is>
          <t>AU02-X02</t>
        </is>
      </c>
      <c r="B303" s="77" t="inlineStr">
        <is>
          <t>AU02</t>
        </is>
      </c>
      <c r="C303" s="77" t="inlineStr">
        <is>
          <t>Melbourne</t>
        </is>
      </c>
      <c r="D303" s="77" t="inlineStr">
        <is>
          <t>Australia</t>
        </is>
      </c>
      <c r="E303" s="77" t="inlineStr">
        <is>
          <t>Arts Work Integrated Learning and Industry Partnerships (partner umbrella page)</t>
        </is>
      </c>
      <c r="F303" s="77" t="inlineStr">
        <is>
          <t>No</t>
        </is>
      </c>
      <c r="G303" s="77" t="inlineStr"/>
      <c r="H303" s="77" t="inlineStr">
        <is>
          <t>WIL framework</t>
        </is>
      </c>
      <c r="I303" s="77" t="inlineStr">
        <is>
          <t>Umbrella describing internships and industry projects; the qualifying project route is ARTS30001 (S1); internships (incl. NGV placements, Melbourne Writers Festival research projects) are individual placements.</t>
        </is>
      </c>
      <c r="J303" s="77" t="inlineStr">
        <is>
          <t>https://arts.unimelb.edu.au/engage/partner-with-us/work-with-our-students/experiential-learning</t>
        </is>
      </c>
      <c r="K303" s="77" t="inlineStr">
        <is>
          <t>Undated</t>
        </is>
      </c>
    </row>
    <row r="304">
      <c r="A304" s="77" t="inlineStr">
        <is>
          <t>AU02-X03</t>
        </is>
      </c>
      <c r="B304" s="77" t="inlineStr">
        <is>
          <t>AU02</t>
        </is>
      </c>
      <c r="C304" s="77" t="inlineStr">
        <is>
          <t>Melbourne</t>
        </is>
      </c>
      <c r="D304" s="77" t="inlineStr">
        <is>
          <t>Australia</t>
        </is>
      </c>
      <c r="E304" s="77" t="inlineStr">
        <is>
          <t>Business Innovation Lab (FBE newsroom)</t>
        </is>
      </c>
      <c r="F304" s="77" t="inlineStr">
        <is>
          <t>No</t>
        </is>
      </c>
      <c r="G304" s="77" t="inlineStr"/>
      <c r="H304" s="77" t="inlineStr">
        <is>
          <t>Evidence gap</t>
        </is>
      </c>
      <c r="I304"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04" s="77" t="inlineStr">
        <is>
          <t>https://fbe.unimelb.edu.au/newsroom/experiencing-the-business-innovation-lab</t>
        </is>
      </c>
      <c r="K304" s="77" t="inlineStr">
        <is>
          <t>Undated; relationship to S8 unconfirmed</t>
        </is>
      </c>
    </row>
    <row r="305">
      <c r="A305" s="77" t="inlineStr">
        <is>
          <t>AU02-X04</t>
        </is>
      </c>
      <c r="B305" s="77" t="inlineStr">
        <is>
          <t>AU02</t>
        </is>
      </c>
      <c r="C305" s="77" t="inlineStr">
        <is>
          <t>Melbourne</t>
        </is>
      </c>
      <c r="D305" s="77" t="inlineStr">
        <is>
          <t>Australia</t>
        </is>
      </c>
      <c r="E305" s="77" t="inlineStr">
        <is>
          <t>Consulting Project (MGMT90147)</t>
        </is>
      </c>
      <c r="F305" s="77" t="inlineStr">
        <is>
          <t>No</t>
        </is>
      </c>
      <c r="G305" s="77" t="inlineStr"/>
      <c r="H305" s="77" t="inlineStr">
        <is>
          <t>Other</t>
        </is>
      </c>
      <c r="I305" s="77" t="inlineStr">
        <is>
          <t>Graduate team consulting with a practicum organisation (statement of work) - would meet A/B/C, but handbook marks it 'Not available in 2024'; no later offering found.</t>
        </is>
      </c>
      <c r="J305" s="77" t="inlineStr">
        <is>
          <t>https://handbook.unimelb.edu.au/view/current/MGMT90147</t>
        </is>
      </c>
      <c r="K305" s="77" t="inlineStr">
        <is>
          <t>Paused/discontinued (not available 2024)</t>
        </is>
      </c>
    </row>
    <row r="306">
      <c r="A306" s="77" t="inlineStr">
        <is>
          <t>AU02-X05</t>
        </is>
      </c>
      <c r="B306" s="77" t="inlineStr">
        <is>
          <t>AU02</t>
        </is>
      </c>
      <c r="C306" s="77" t="inlineStr">
        <is>
          <t>Melbourne</t>
        </is>
      </c>
      <c r="D306" s="77" t="inlineStr">
        <is>
          <t>Australia</t>
        </is>
      </c>
      <c r="E306" s="77" t="inlineStr">
        <is>
          <t>FBE Grand Challenges</t>
        </is>
      </c>
      <c r="F306" s="77" t="inlineStr">
        <is>
          <t>No</t>
        </is>
      </c>
      <c r="G306" s="77" t="inlineStr"/>
      <c r="H306" s="77" t="inlineStr">
        <is>
          <t>Evidence gap</t>
        </is>
      </c>
      <c r="I306" s="77" t="inlineStr">
        <is>
          <t>Three-week (50 hours) online program in cross-disciplinary remote teams on client themes with industry mentors; page appears ~3 years old and no current delivery found; client role not clear enough to distinguish from a Practera-type programme.</t>
        </is>
      </c>
      <c r="J306" s="77" t="inlineStr">
        <is>
          <t>https://fbe.unimelb.edu.au/bcom/career/expertise/fbe-grand-challenges</t>
        </is>
      </c>
      <c r="K306" s="77" t="inlineStr">
        <is>
          <t>Historical/undated</t>
        </is>
      </c>
    </row>
    <row r="307">
      <c r="A307" s="77" t="inlineStr">
        <is>
          <t>AU02-X06</t>
        </is>
      </c>
      <c r="B307" s="77" t="inlineStr">
        <is>
          <t>AU02</t>
        </is>
      </c>
      <c r="C307" s="77" t="inlineStr">
        <is>
          <t>Melbourne</t>
        </is>
      </c>
      <c r="D307" s="77" t="inlineStr">
        <is>
          <t>Australia</t>
        </is>
      </c>
      <c r="E307" s="77" t="inlineStr">
        <is>
          <t>BCom Case Competition / MBS Case Competition / FBE international case competitions</t>
        </is>
      </c>
      <c r="F307" s="77" t="inlineStr">
        <is>
          <t>No</t>
        </is>
      </c>
      <c r="G307" s="77" t="inlineStr"/>
      <c r="H307" s="77" t="inlineStr">
        <is>
          <t>Event/competition without live client</t>
        </is>
      </c>
      <c r="I307" s="77" t="inlineStr">
        <is>
          <t>Case competitions with a case partner (BCom: Who Gives A Crap, current year) and prize pool; no evidence the partner sets a live problem or engages with teams beyond the case - C not established.</t>
        </is>
      </c>
      <c r="J307" s="77" t="inlineStr">
        <is>
          <t>https://fbe.unimelb.edu.au/bcom/career/expertise/case-competition</t>
        </is>
      </c>
      <c r="K307" s="77" t="inlineStr">
        <is>
          <t>Current</t>
        </is>
      </c>
    </row>
    <row r="308">
      <c r="A308" s="77" t="inlineStr">
        <is>
          <t>AU02-X07</t>
        </is>
      </c>
      <c r="B308" s="77" t="inlineStr">
        <is>
          <t>AU02</t>
        </is>
      </c>
      <c r="C308" s="77" t="inlineStr">
        <is>
          <t>Melbourne</t>
        </is>
      </c>
      <c r="D308" s="77" t="inlineStr">
        <is>
          <t>Australia</t>
        </is>
      </c>
      <c r="E308" s="77" t="inlineStr">
        <is>
          <t>Innovation and Enterprise Internship (BUSA90518)</t>
        </is>
      </c>
      <c r="F308" s="77" t="inlineStr">
        <is>
          <t>No</t>
        </is>
      </c>
      <c r="G308" s="77" t="inlineStr"/>
      <c r="H308" s="77" t="inlineStr">
        <is>
          <t>Placement/internship</t>
        </is>
      </c>
      <c r="I308" s="77" t="inlineStr">
        <is>
          <t>Individual client-based internship; no team route.</t>
        </is>
      </c>
      <c r="J308" s="77" t="inlineStr">
        <is>
          <t>https://handbook.unimelb.edu.au/2021/subjects/busa90518</t>
        </is>
      </c>
      <c r="K308" s="77" t="inlineStr">
        <is>
          <t>2021 handbook</t>
        </is>
      </c>
    </row>
    <row r="309">
      <c r="A309" s="77" t="inlineStr">
        <is>
          <t>AU02-X08</t>
        </is>
      </c>
      <c r="B309" s="77" t="inlineStr">
        <is>
          <t>AU02</t>
        </is>
      </c>
      <c r="C309" s="77" t="inlineStr">
        <is>
          <t>Melbourne</t>
        </is>
      </c>
      <c r="D309" s="77" t="inlineStr">
        <is>
          <t>Australia</t>
        </is>
      </c>
      <c r="E309" s="77" t="inlineStr">
        <is>
          <t>Industry Project (AGRI30006, Dookie)</t>
        </is>
      </c>
      <c r="F309" s="77" t="inlineStr">
        <is>
          <t>No</t>
        </is>
      </c>
      <c r="G309" s="77" t="inlineStr"/>
      <c r="H309" s="77" t="inlineStr">
        <is>
          <t>Near-miss: not group</t>
        </is>
      </c>
      <c r="I309" s="77" t="inlineStr">
        <is>
          <t>Industry-linked project with industry advisors and presentation to an audience including industry members, but students define their own individual projects with a supervisor and submit individual reports. AGRI30005 not available in 2026.</t>
        </is>
      </c>
      <c r="J309" s="77" t="inlineStr">
        <is>
          <t>https://handbook.unimelb.edu.au/subjects/agri30006</t>
        </is>
      </c>
      <c r="K309" s="77" t="inlineStr">
        <is>
          <t>Current 2026 (Semester 2, Dookie)</t>
        </is>
      </c>
    </row>
    <row r="310">
      <c r="A310" s="77" t="inlineStr">
        <is>
          <t>AU02-X09</t>
        </is>
      </c>
      <c r="B310" s="77" t="inlineStr">
        <is>
          <t>AU02</t>
        </is>
      </c>
      <c r="C310" s="77" t="inlineStr">
        <is>
          <t>Melbourne</t>
        </is>
      </c>
      <c r="D310" s="77" t="inlineStr">
        <is>
          <t>Australia</t>
        </is>
      </c>
      <c r="E310" s="77" t="inlineStr">
        <is>
          <t>Environmental Industry Research (ENST90025 / ENST90020)</t>
        </is>
      </c>
      <c r="F310" s="77" t="inlineStr">
        <is>
          <t>No</t>
        </is>
      </c>
      <c r="G310" s="77" t="inlineStr"/>
      <c r="H310" s="77" t="inlineStr">
        <is>
          <t>Evidence gap</t>
        </is>
      </c>
      <c r="I310" s="77" t="inlineStr">
        <is>
          <t>Research with an industry partner on a real-world problem; team format not evidenced (likely individual research).</t>
        </is>
      </c>
      <c r="J310" s="77" t="inlineStr">
        <is>
          <t>https://environment.unimelb.edu.au/current-students/subject-options/research-and-industry-projects</t>
        </is>
      </c>
      <c r="K310" s="77" t="inlineStr">
        <is>
          <t>Undated</t>
        </is>
      </c>
    </row>
    <row r="311">
      <c r="A311" s="77" t="inlineStr">
        <is>
          <t>AU02-X10</t>
        </is>
      </c>
      <c r="B311" s="77" t="inlineStr">
        <is>
          <t>AU02</t>
        </is>
      </c>
      <c r="C311" s="77" t="inlineStr">
        <is>
          <t>Melbourne</t>
        </is>
      </c>
      <c r="D311" s="77" t="inlineStr">
        <is>
          <t>Australia</t>
        </is>
      </c>
      <c r="E311" s="77" t="inlineStr">
        <is>
          <t>Public Interest Law Clinic</t>
        </is>
      </c>
      <c r="F311" s="77" t="inlineStr">
        <is>
          <t>No</t>
        </is>
      </c>
      <c r="G311" s="77" t="inlineStr"/>
      <c r="H311" s="77" t="inlineStr">
        <is>
          <t>Placement/internship</t>
        </is>
      </c>
      <c r="I311" s="77" t="inlineStr">
        <is>
          <t>Students placed at VALS doing intake/casework with possible policy work - individual clinical placement, no team project.</t>
        </is>
      </c>
      <c r="J311" s="77" t="inlineStr">
        <is>
          <t>https://law.unimelb.edu.au/students/jd/enrichment/mls-clinics/subjects/public-interest-law-clinic</t>
        </is>
      </c>
      <c r="K311" s="77" t="inlineStr">
        <is>
          <t>Undated</t>
        </is>
      </c>
    </row>
    <row r="312">
      <c r="A312" s="77" t="inlineStr">
        <is>
          <t>AU02-X11</t>
        </is>
      </c>
      <c r="B312" s="77" t="inlineStr">
        <is>
          <t>AU02</t>
        </is>
      </c>
      <c r="C312" s="77" t="inlineStr">
        <is>
          <t>Melbourne</t>
        </is>
      </c>
      <c r="D312" s="77" t="inlineStr">
        <is>
          <t>Australia</t>
        </is>
      </c>
      <c r="E312" s="77" t="inlineStr">
        <is>
          <t>Melbourne School of Design studios with external partners (e.g. Studio 5/02, 2024 Merri-Bek Council / Wurundjeri)</t>
        </is>
      </c>
      <c r="F312" s="77" t="inlineStr">
        <is>
          <t>No</t>
        </is>
      </c>
      <c r="G312" s="77" t="inlineStr"/>
      <c r="H312" s="77" t="inlineStr">
        <is>
          <t>Evidence gap</t>
        </is>
      </c>
      <c r="I312" s="77" t="inlineStr">
        <is>
          <t>Individual studios sometimes have named external clients, but team format and partner role per studio not evidenced; studios vary each semester. Travelling studios partner with universities/government departments (role unclear).</t>
        </is>
      </c>
      <c r="J312" s="77" t="inlineStr">
        <is>
          <t>https://msd.unimelb.edu.au/current-students/subject-information/msd-studios/msd-studio-archive/2024/semester-1/studio-502</t>
        </is>
      </c>
      <c r="K312" s="77" t="inlineStr">
        <is>
          <t>2024 archive</t>
        </is>
      </c>
    </row>
    <row r="313">
      <c r="A313" s="77" t="inlineStr">
        <is>
          <t>AU02-X12</t>
        </is>
      </c>
      <c r="B313" s="77" t="inlineStr">
        <is>
          <t>AU02</t>
        </is>
      </c>
      <c r="C313" s="77" t="inlineStr">
        <is>
          <t>Melbourne</t>
        </is>
      </c>
      <c r="D313" s="77" t="inlineStr">
        <is>
          <t>Australia</t>
        </is>
      </c>
      <c r="E313" s="77" t="inlineStr">
        <is>
          <t>Melbourne Plus (co-curricular credential)</t>
        </is>
      </c>
      <c r="F313" s="77" t="inlineStr">
        <is>
          <t>No</t>
        </is>
      </c>
      <c r="G313" s="77" t="inlineStr"/>
      <c r="H313" s="77" t="inlineStr">
        <is>
          <t>Employability award</t>
        </is>
      </c>
      <c r="I313" s="77" t="inlineStr">
        <is>
          <t>Credential recognising activities such as BIC and VIP; not itself a project.</t>
        </is>
      </c>
      <c r="J313" s="77" t="inlineStr">
        <is>
          <t>https://mbs.unimelb.edu.au/career/expertise/business-innovation-challenge</t>
        </is>
      </c>
      <c r="K313" s="77" t="inlineStr"/>
    </row>
    <row r="314">
      <c r="A314" s="77" t="inlineStr">
        <is>
          <t>AU02-X13</t>
        </is>
      </c>
      <c r="B314" s="77" t="inlineStr">
        <is>
          <t>AU02</t>
        </is>
      </c>
      <c r="C314" s="77" t="inlineStr">
        <is>
          <t>Melbourne</t>
        </is>
      </c>
      <c r="D314" s="77" t="inlineStr">
        <is>
          <t>Australia</t>
        </is>
      </c>
      <c r="E314" s="77" t="inlineStr">
        <is>
          <t>Students@Work</t>
        </is>
      </c>
      <c r="F314" s="77" t="inlineStr">
        <is>
          <t>No</t>
        </is>
      </c>
      <c r="G314" s="77" t="inlineStr"/>
      <c r="H314" s="77" t="inlineStr">
        <is>
          <t>Placement/internship</t>
        </is>
      </c>
      <c r="I314" s="77" t="inlineStr">
        <is>
          <t>Paid on-campus work/internships for students; not an external team project.</t>
        </is>
      </c>
      <c r="J314" s="77" t="inlineStr">
        <is>
          <t>https://about.unimelb.edu.au/news-resources/awards-and-achievements/awards-and-prizes/university-of-melbournes-students@work-program-ranked-sixth-nationally</t>
        </is>
      </c>
      <c r="K314" s="77" t="inlineStr"/>
    </row>
    <row r="315">
      <c r="A315" s="77" t="inlineStr">
        <is>
          <t>AU03-X01</t>
        </is>
      </c>
      <c r="B315" s="77" t="inlineStr">
        <is>
          <t>AU03</t>
        </is>
      </c>
      <c r="C315" s="77" t="inlineStr">
        <is>
          <t>Sydney</t>
        </is>
      </c>
      <c r="D315" s="77" t="inlineStr">
        <is>
          <t>Australia</t>
        </is>
      </c>
      <c r="E315" s="77" t="inlineStr">
        <is>
          <t>DATA3888 Data Science Capstone</t>
        </is>
      </c>
      <c r="F315" s="77" t="inlineStr">
        <is>
          <t>No</t>
        </is>
      </c>
      <c r="G315" s="77" t="inlineStr"/>
      <c r="H315" s="77" t="inlineStr">
        <is>
          <t>Near-miss: no external org</t>
        </is>
      </c>
      <c r="I315" s="77" t="inlineStr">
        <is>
          <t>2026 unit page: project-based learning teams create a public data product; no industry partner mentioned (A,B yes; C not evidenced). A 2020 handbook described a separate selective partner-provided project, not current evidence.</t>
        </is>
      </c>
      <c r="J315" s="77" t="inlineStr">
        <is>
          <t>https://www.sydney.edu.au/units/DATA3888</t>
        </is>
      </c>
      <c r="K315" s="77" t="inlineStr">
        <is>
          <t>2026 unit page; ~440 students per 2025 symposium programme</t>
        </is>
      </c>
    </row>
    <row r="316">
      <c r="A316" s="77" t="inlineStr">
        <is>
          <t>AU03-X02</t>
        </is>
      </c>
      <c r="B316" s="77" t="inlineStr">
        <is>
          <t>AU03</t>
        </is>
      </c>
      <c r="C316" s="77" t="inlineStr">
        <is>
          <t>Sydney</t>
        </is>
      </c>
      <c r="D316" s="77" t="inlineStr">
        <is>
          <t>Australia</t>
        </is>
      </c>
      <c r="E316" s="77" t="inlineStr">
        <is>
          <t>SMBA6201 MBA capstone</t>
        </is>
      </c>
      <c r="F316" s="77" t="inlineStr">
        <is>
          <t>No</t>
        </is>
      </c>
      <c r="G316" s="77" t="inlineStr"/>
      <c r="H316" s="77" t="inlineStr">
        <is>
          <t>Evidence gap</t>
        </is>
      </c>
      <c r="I316" s="77" t="inlineStr">
        <is>
          <t>2018 handbook: teams integrate MBA learning to bring a real prototype to market; no external client evidenced and only historical (2018) evidence.</t>
        </is>
      </c>
      <c r="J316" s="77" t="inlineStr">
        <is>
          <t>https://rp-handbooks.sydney.edu.au/handbooks/archive/2018/business_school_PG/coursework/mba/mba_units.shtml.html</t>
        </is>
      </c>
      <c r="K316" s="77" t="inlineStr">
        <is>
          <t>2018</t>
        </is>
      </c>
    </row>
    <row r="317">
      <c r="A317" s="77" t="inlineStr">
        <is>
          <t>AU03-X03</t>
        </is>
      </c>
      <c r="B317" s="77" t="inlineStr">
        <is>
          <t>AU03</t>
        </is>
      </c>
      <c r="C317" s="77" t="inlineStr">
        <is>
          <t>Sydney</t>
        </is>
      </c>
      <c r="D317" s="77" t="inlineStr">
        <is>
          <t>Australia</t>
        </is>
      </c>
      <c r="E317" s="77" t="inlineStr">
        <is>
          <t>ARHT6923 Capstone Art Curating Placement</t>
        </is>
      </c>
      <c r="F317" s="77" t="inlineStr">
        <is>
          <t>No</t>
        </is>
      </c>
      <c r="G317" s="77" t="inlineStr"/>
      <c r="H317" s="77" t="inlineStr">
        <is>
          <t>Placement/internship</t>
        </is>
      </c>
      <c r="I317" s="77" t="inlineStr">
        <is>
          <t>20-day individual internship with a gallery/museum followed by a major essay; not a group project.</t>
        </is>
      </c>
      <c r="J317" s="77" t="inlineStr">
        <is>
          <t>https://www.sydney.edu.au/units/ARHT6923</t>
        </is>
      </c>
      <c r="K317" s="77" t="inlineStr"/>
    </row>
    <row r="318">
      <c r="A318" s="77" t="inlineStr">
        <is>
          <t>AU03-X04</t>
        </is>
      </c>
      <c r="B318" s="77" t="inlineStr">
        <is>
          <t>AU03</t>
        </is>
      </c>
      <c r="C318" s="77" t="inlineStr">
        <is>
          <t>Sydney</t>
        </is>
      </c>
      <c r="D318" s="77" t="inlineStr">
        <is>
          <t>Australia</t>
        </is>
      </c>
      <c r="E318" s="77" t="inlineStr">
        <is>
          <t>Cultural Studies internship capstone / MECO6928 Media internship</t>
        </is>
      </c>
      <c r="F318" s="77" t="inlineStr">
        <is>
          <t>No</t>
        </is>
      </c>
      <c r="G318" s="77" t="inlineStr"/>
      <c r="H318" s="77" t="inlineStr">
        <is>
          <t>Placement/internship</t>
        </is>
      </c>
      <c r="I318" s="77" t="inlineStr">
        <is>
          <t>Supervised individual work placements (MECO6928: 20-day placement); no group project evidenced.</t>
        </is>
      </c>
      <c r="J318" s="77" t="inlineStr">
        <is>
          <t>https://www.sydney.edu.au/handbooks/arts-pg/coursework-areas/cultural-studies/overview.html</t>
        </is>
      </c>
      <c r="K318" s="77" t="inlineStr"/>
    </row>
    <row r="319">
      <c r="A319" s="77" t="inlineStr">
        <is>
          <t>AU03-X05</t>
        </is>
      </c>
      <c r="B319" s="77" t="inlineStr">
        <is>
          <t>AU03</t>
        </is>
      </c>
      <c r="C319" s="77" t="inlineStr">
        <is>
          <t>Sydney</t>
        </is>
      </c>
      <c r="D319" s="77" t="inlineStr">
        <is>
          <t>Australia</t>
        </is>
      </c>
      <c r="E319" s="77" t="inlineStr">
        <is>
          <t>MECO6935 Professional Project</t>
        </is>
      </c>
      <c r="F319" s="77" t="inlineStr">
        <is>
          <t>No</t>
        </is>
      </c>
      <c r="G319" s="77" t="inlineStr"/>
      <c r="H319" s="77" t="inlineStr">
        <is>
          <t>Near-miss: not group</t>
        </is>
      </c>
      <c r="I319" s="77" t="inlineStr">
        <is>
          <t>Individual researched project tied to student's career goals; no team or external client evidenced (2021 archive).</t>
        </is>
      </c>
      <c r="J319" s="77" t="inlineStr">
        <is>
          <t>https://rp-handbooks.sydney.edu.au/handbooks/archive/2021/arts_PG/subject_areas_im/digital_communication_culture_descriptions.shtml.html</t>
        </is>
      </c>
      <c r="K319" s="77" t="inlineStr">
        <is>
          <t>2021 archive</t>
        </is>
      </c>
    </row>
    <row r="320">
      <c r="A320" s="77" t="inlineStr">
        <is>
          <t>AU03-X06</t>
        </is>
      </c>
      <c r="B320" s="77" t="inlineStr">
        <is>
          <t>AU03</t>
        </is>
      </c>
      <c r="C320" s="77" t="inlineStr">
        <is>
          <t>Sydney</t>
        </is>
      </c>
      <c r="D320" s="77" t="inlineStr">
        <is>
          <t>Australia</t>
        </is>
      </c>
      <c r="E320" s="77" t="inlineStr">
        <is>
          <t>Sydney Policy Reform Project</t>
        </is>
      </c>
      <c r="F320" s="77" t="inlineStr">
        <is>
          <t>No</t>
        </is>
      </c>
      <c r="G320" s="77" t="inlineStr"/>
      <c r="H320" s="77" t="inlineStr">
        <is>
          <t>Evidence gap</t>
        </is>
      </c>
      <c r="I320"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20" s="77" t="inlineStr">
        <is>
          <t>https://www.sydney.edu.au/arts/industry-and-community/industry-partnerships/engage-with-our-students.html</t>
        </is>
      </c>
      <c r="K320" s="77" t="inlineStr">
        <is>
          <t>Not tested</t>
        </is>
      </c>
    </row>
    <row r="321">
      <c r="A321" s="77" t="inlineStr">
        <is>
          <t>AU06-X01</t>
        </is>
      </c>
      <c r="B321" s="77" t="inlineStr">
        <is>
          <t>AU06</t>
        </is>
      </c>
      <c r="C321" s="77" t="inlineStr">
        <is>
          <t>Queensland</t>
        </is>
      </c>
      <c r="D321" s="77" t="inlineStr">
        <is>
          <t>Australia</t>
        </is>
      </c>
      <c r="E321" s="77" t="inlineStr">
        <is>
          <t>DECO3800/DECO3801 Design Computing Studio 3 (IT/software capstone)</t>
        </is>
      </c>
      <c r="F321" s="77" t="inlineStr">
        <is>
          <t>No</t>
        </is>
      </c>
      <c r="G321" s="77" t="inlineStr"/>
      <c r="H321" s="77" t="inlineStr">
        <is>
          <t>Near-miss: no external org</t>
        </is>
      </c>
      <c r="I321"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21" s="77" t="inlineStr">
        <is>
          <t>https://programs-courses.uq.edu.au/course.html?course_code=DECO3801</t>
        </is>
      </c>
      <c r="K321" s="77" t="inlineStr">
        <is>
          <t>Semester 1 2026 offering</t>
        </is>
      </c>
    </row>
    <row r="322">
      <c r="A322" s="77" t="inlineStr">
        <is>
          <t>AU06-X02</t>
        </is>
      </c>
      <c r="B322" s="77" t="inlineStr">
        <is>
          <t>AU06</t>
        </is>
      </c>
      <c r="C322" s="77" t="inlineStr">
        <is>
          <t>Queensland</t>
        </is>
      </c>
      <c r="D322" s="77" t="inlineStr">
        <is>
          <t>Australia</t>
        </is>
      </c>
      <c r="E322" s="77" t="inlineStr">
        <is>
          <t>ENGG1100 Professional Engineering / ENGG4901 Professional Practice and the Business Environment A</t>
        </is>
      </c>
      <c r="F322" s="77" t="inlineStr">
        <is>
          <t>No</t>
        </is>
      </c>
      <c r="G322" s="77" t="inlineStr"/>
      <c r="H322" s="77" t="inlineStr">
        <is>
          <t>Near-miss: no external org</t>
        </is>
      </c>
      <c r="I322" s="77" t="inlineStr">
        <is>
          <t>Team design project/report (ENGG1100) and team project reported to a 'project manager' (ENGG4901) in 2026 profiles; no external organisation evidenced as client.</t>
        </is>
      </c>
      <c r="J322" s="77" t="inlineStr">
        <is>
          <t>https://course-profiles.uq.edu.au/course-profiles/ENGG1100-20455-7620</t>
        </is>
      </c>
      <c r="K322" s="77" t="inlineStr">
        <is>
          <t>2026 profiles</t>
        </is>
      </c>
    </row>
    <row r="323">
      <c r="A323" s="77" t="inlineStr">
        <is>
          <t>AU06-X03</t>
        </is>
      </c>
      <c r="B323" s="77" t="inlineStr">
        <is>
          <t>AU06</t>
        </is>
      </c>
      <c r="C323" s="77" t="inlineStr">
        <is>
          <t>Queensland</t>
        </is>
      </c>
      <c r="D323" s="77" t="inlineStr">
        <is>
          <t>Australia</t>
        </is>
      </c>
      <c r="E323" s="77" t="inlineStr">
        <is>
          <t>Master of Data Science Capstone Project (industry-partner projects)</t>
        </is>
      </c>
      <c r="F323" s="77" t="inlineStr">
        <is>
          <t>No</t>
        </is>
      </c>
      <c r="G323" s="77" t="inlineStr"/>
      <c r="H323" s="77" t="inlineStr">
        <is>
          <t>Near-miss: not group</t>
        </is>
      </c>
      <c r="I323" s="77" t="inlineStr">
        <is>
          <t>Industry partners post projects which students apply for individually (shortlisting/interview; application signed by industry supervisor); no evidence of team working.</t>
        </is>
      </c>
      <c r="J323" s="77" t="inlineStr">
        <is>
          <t>https://www.eait.uq.edu.au/employability/industry-partnerships/data-science-and-cyber-security/master-of-data-science-capstone-project</t>
        </is>
      </c>
      <c r="K323" s="77" t="inlineStr">
        <is>
          <t>undated</t>
        </is>
      </c>
    </row>
    <row r="324">
      <c r="A324" s="77" t="inlineStr">
        <is>
          <t>AU06-X04</t>
        </is>
      </c>
      <c r="B324" s="77" t="inlineStr">
        <is>
          <t>AU06</t>
        </is>
      </c>
      <c r="C324" s="77" t="inlineStr">
        <is>
          <t>Queensland</t>
        </is>
      </c>
      <c r="D324" s="77" t="inlineStr">
        <is>
          <t>Australia</t>
        </is>
      </c>
      <c r="E324" s="77" t="inlineStr">
        <is>
          <t>BE (Hons)/ME 24-week industry placement</t>
        </is>
      </c>
      <c r="F324" s="77" t="inlineStr">
        <is>
          <t>No</t>
        </is>
      </c>
      <c r="G324" s="77" t="inlineStr"/>
      <c r="H324" s="77" t="inlineStr">
        <is>
          <t>Placement/internship</t>
        </is>
      </c>
      <c r="I324" s="77" t="inlineStr">
        <is>
          <t>Industry-proposed investigation/design task undertaken on an individual placement; not group.</t>
        </is>
      </c>
      <c r="J324" s="77" t="inlineStr">
        <is>
          <t>https://www.eait.uq.edu.au/employability/industry-partnerships/engineering-students/beme-industry-placement</t>
        </is>
      </c>
      <c r="K324" s="77" t="inlineStr">
        <is>
          <t>undated</t>
        </is>
      </c>
    </row>
    <row r="325">
      <c r="A325" s="77" t="inlineStr">
        <is>
          <t>AU06-X05</t>
        </is>
      </c>
      <c r="B325" s="77" t="inlineStr">
        <is>
          <t>AU06</t>
        </is>
      </c>
      <c r="C325" s="77" t="inlineStr">
        <is>
          <t>Queensland</t>
        </is>
      </c>
      <c r="D325" s="77" t="inlineStr">
        <is>
          <t>Australia</t>
        </is>
      </c>
      <c r="E325" s="77" t="inlineStr">
        <is>
          <t>RBUS7999 Business Industry Placement</t>
        </is>
      </c>
      <c r="F325" s="77" t="inlineStr">
        <is>
          <t>No</t>
        </is>
      </c>
      <c r="G325" s="77" t="inlineStr"/>
      <c r="H325" s="77" t="inlineStr">
        <is>
          <t>Placement/internship</t>
        </is>
      </c>
      <c r="I325" s="77" t="inlineStr">
        <is>
          <t>Professional placement or industry consultancy project (group project) option; consultancy route appears to be the same BEL Industry Consulting Project framework (S3); 2023 course page only.</t>
        </is>
      </c>
      <c r="J325" s="77" t="inlineStr">
        <is>
          <t>https://my.uq.edu.au/programs-courses/course.html?course_code=RBUS7999&amp;year=2023</t>
        </is>
      </c>
      <c r="K325" s="77" t="inlineStr">
        <is>
          <t>2023</t>
        </is>
      </c>
    </row>
    <row r="326">
      <c r="A326" s="77" t="inlineStr">
        <is>
          <t>AU06-X06</t>
        </is>
      </c>
      <c r="B326" s="77" t="inlineStr">
        <is>
          <t>AU06</t>
        </is>
      </c>
      <c r="C326" s="77" t="inlineStr">
        <is>
          <t>Queensland</t>
        </is>
      </c>
      <c r="D326" s="77" t="inlineStr">
        <is>
          <t>Australia</t>
        </is>
      </c>
      <c r="E326" s="77" t="inlineStr">
        <is>
          <t>PSYC7405 Business Skills for Consultants</t>
        </is>
      </c>
      <c r="F326" s="77" t="inlineStr">
        <is>
          <t>No</t>
        </is>
      </c>
      <c r="G326" s="77" t="inlineStr"/>
      <c r="H326" s="77" t="inlineStr">
        <is>
          <t>Near-miss: no external org</t>
        </is>
      </c>
      <c r="I326" s="77" t="inlineStr">
        <is>
          <t>Teams work through case studies with an experienced consultant; no live client.</t>
        </is>
      </c>
      <c r="J326" s="77" t="inlineStr">
        <is>
          <t>https://programs-courses.uq.edu.au/course.html?course_code=PSYC7405</t>
        </is>
      </c>
      <c r="K326" s="77" t="inlineStr">
        <is>
          <t>undated</t>
        </is>
      </c>
    </row>
    <row r="327">
      <c r="A327" s="77" t="inlineStr">
        <is>
          <t>AU06-X07</t>
        </is>
      </c>
      <c r="B327" s="77" t="inlineStr">
        <is>
          <t>AU06</t>
        </is>
      </c>
      <c r="C327" s="77" t="inlineStr">
        <is>
          <t>Queensland</t>
        </is>
      </c>
      <c r="D327" s="77" t="inlineStr">
        <is>
          <t>Australia</t>
        </is>
      </c>
      <c r="E327" s="77" t="inlineStr">
        <is>
          <t>UQ Ventures other challenges (Global Business Challenge, Food Innovation Challenge, Quantum Hackathon) and ilab Accelerator</t>
        </is>
      </c>
      <c r="F327" s="77" t="inlineStr">
        <is>
          <t>No</t>
        </is>
      </c>
      <c r="G327" s="77" t="inlineStr"/>
      <c r="H327" s="77" t="inlineStr">
        <is>
          <t>Evidence gap</t>
        </is>
      </c>
      <c r="I327" s="77" t="inlineStr">
        <is>
          <t>Surfaced in search results but not researched within budget; ilab Accelerator supports students' own ventures (entrepreneurship).</t>
        </is>
      </c>
      <c r="J327" s="77" t="inlineStr">
        <is>
          <t>https://ventures.uq.edu.au/programs</t>
        </is>
      </c>
      <c r="K327" s="77" t="inlineStr"/>
    </row>
    <row r="328">
      <c r="A328" s="77" t="inlineStr">
        <is>
          <t>UK02-X01</t>
        </is>
      </c>
      <c r="B328" s="77" t="inlineStr">
        <is>
          <t>UK02</t>
        </is>
      </c>
      <c r="C328" s="77" t="inlineStr">
        <is>
          <t>St Andrews</t>
        </is>
      </c>
      <c r="D328" s="77" t="inlineStr">
        <is>
          <t>UK – additional</t>
        </is>
      </c>
      <c r="E328" s="77" t="inlineStr">
        <is>
          <t>Playfair (student-led pro bono consultancy)</t>
        </is>
      </c>
      <c r="F328" s="77" t="inlineStr">
        <is>
          <t>No</t>
        </is>
      </c>
      <c r="G328" s="77" t="inlineStr"/>
      <c r="H328" s="77" t="inlineStr">
        <is>
          <t>Evidence gap</t>
        </is>
      </c>
      <c r="I328" s="77" t="inlineStr">
        <is>
          <t>Mentioned on Careers page as a student-led pro bono consultancy firm; student-run rather than University-run and no evidence on client briefs, teams or current activity was retrieved (search budget exhausted).</t>
        </is>
      </c>
      <c r="J328" s="77" t="inlineStr">
        <is>
          <t>https://www.st-andrews.ac.uk/careers/career-options/sectors/business/</t>
        </is>
      </c>
      <c r="K328" s="77" t="inlineStr">
        <is>
          <t>Undated careers page</t>
        </is>
      </c>
    </row>
    <row r="329">
      <c r="A329" s="77" t="inlineStr">
        <is>
          <t>UK02-X02</t>
        </is>
      </c>
      <c r="B329" s="77" t="inlineStr">
        <is>
          <t>UK02</t>
        </is>
      </c>
      <c r="C329" s="77" t="inlineStr">
        <is>
          <t>St Andrews</t>
        </is>
      </c>
      <c r="D329" s="77" t="inlineStr">
        <is>
          <t>UK – additional</t>
        </is>
      </c>
      <c r="E329" s="77" t="inlineStr">
        <is>
          <t>St Andrews Innovation consultancy services</t>
        </is>
      </c>
      <c r="F329" s="77" t="inlineStr">
        <is>
          <t>No</t>
        </is>
      </c>
      <c r="G329" s="77" t="inlineStr"/>
      <c r="H329" s="77" t="inlineStr">
        <is>
          <t>Other</t>
        </is>
      </c>
      <c r="I329" s="77" t="inlineStr">
        <is>
          <t>Staff-led consultancy for external clients handled by the University's innovation office; not a student project route.</t>
        </is>
      </c>
      <c r="J329" s="77" t="inlineStr">
        <is>
          <t>https://innovation.st-andrews.ac.uk/industry-services/consultancy/</t>
        </is>
      </c>
      <c r="K329" s="77" t="inlineStr"/>
    </row>
    <row r="330">
      <c r="A330" s="77" t="inlineStr">
        <is>
          <t>UK02-X03</t>
        </is>
      </c>
      <c r="B330" s="77" t="inlineStr">
        <is>
          <t>UK02</t>
        </is>
      </c>
      <c r="C330" s="77" t="inlineStr">
        <is>
          <t>St Andrews</t>
        </is>
      </c>
      <c r="D330" s="77" t="inlineStr">
        <is>
          <t>UK – additional</t>
        </is>
      </c>
      <c r="E330" s="77" t="inlineStr">
        <is>
          <t>Entrepreneurship MSc entrepreneurship project</t>
        </is>
      </c>
      <c r="F330" s="77" t="inlineStr">
        <is>
          <t>No</t>
        </is>
      </c>
      <c r="G330" s="77" t="inlineStr"/>
      <c r="H330" s="77" t="inlineStr">
        <is>
          <t>Entrepreneurship/incubator</t>
        </is>
      </c>
      <c r="I330" s="77" t="inlineStr">
        <is>
          <t>Replaces the dissertation with taking 'a real business idea from concept to action plan'; no external client brief evidenced.</t>
        </is>
      </c>
      <c r="J330" s="77" t="inlineStr">
        <is>
          <t>https://www.st-andrews.ac.uk/subjects/management/entrepreneurship-msc/</t>
        </is>
      </c>
      <c r="K330" s="77" t="inlineStr">
        <is>
          <t>Current course page</t>
        </is>
      </c>
    </row>
    <row r="331">
      <c r="A331" s="77" t="inlineStr">
        <is>
          <t>UK03-X01</t>
        </is>
      </c>
      <c r="B331" s="77" t="inlineStr">
        <is>
          <t>UK03</t>
        </is>
      </c>
      <c r="C331" s="77" t="inlineStr">
        <is>
          <t>Lancaster</t>
        </is>
      </c>
      <c r="D331" s="77" t="inlineStr">
        <is>
          <t>UK – additional</t>
        </is>
      </c>
      <c r="E331" s="77" t="inlineStr">
        <is>
          <t>Lancaster Award</t>
        </is>
      </c>
      <c r="F331" s="77" t="inlineStr">
        <is>
          <t>Yes</t>
        </is>
      </c>
      <c r="G331" s="77" t="n">
        <v>55</v>
      </c>
      <c r="H331" s="77" t="inlineStr">
        <is>
          <t>Employability award</t>
        </is>
      </c>
      <c r="I331"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31" s="77" t="inlineStr">
        <is>
          <t>https://www.lancaster.ac.uk/study/why-lancaster/careers-and-employability/</t>
        </is>
      </c>
      <c r="K331" s="77" t="inlineStr">
        <is>
          <t>Academic reach would be University-wide but no qualifying activity</t>
        </is>
      </c>
    </row>
    <row r="332">
      <c r="A332" s="77" t="inlineStr">
        <is>
          <t>UK03-X02</t>
        </is>
      </c>
      <c r="B332" s="77" t="inlineStr">
        <is>
          <t>UK03</t>
        </is>
      </c>
      <c r="C332" s="77" t="inlineStr">
        <is>
          <t>Lancaster</t>
        </is>
      </c>
      <c r="D332" s="77" t="inlineStr">
        <is>
          <t>UK – additional</t>
        </is>
      </c>
      <c r="E332" s="77" t="inlineStr">
        <is>
          <t>Computer Science Group Project (Year 2)</t>
        </is>
      </c>
      <c r="F332" s="77" t="inlineStr">
        <is>
          <t>No</t>
        </is>
      </c>
      <c r="G332" s="77" t="inlineStr"/>
      <c r="H332" s="77" t="inlineStr">
        <is>
          <t>Near-miss: no external org</t>
        </is>
      </c>
      <c r="I332" s="77" t="inlineStr">
        <is>
          <t>Group client-brief module, but brief is the module's own; no evidence of external organisations; client represented through supervisor in older records.</t>
        </is>
      </c>
      <c r="J332" s="77" t="inlineStr">
        <is>
          <t>https://www.lancaster.ac.uk/study/undergraduate/courses/computer-science-bsc-hons-g400/2027/</t>
        </is>
      </c>
      <c r="K332" s="77" t="inlineStr"/>
    </row>
    <row r="333">
      <c r="A333" s="77" t="inlineStr">
        <is>
          <t>UK03-X03</t>
        </is>
      </c>
      <c r="B333" s="77" t="inlineStr">
        <is>
          <t>UK03</t>
        </is>
      </c>
      <c r="C333" s="77" t="inlineStr">
        <is>
          <t>Lancaster</t>
        </is>
      </c>
      <c r="D333" s="77" t="inlineStr">
        <is>
          <t>UK – additional</t>
        </is>
      </c>
      <c r="E333" s="77" t="inlineStr">
        <is>
          <t>Computing Third Year Project with external partner</t>
        </is>
      </c>
      <c r="F333" s="77" t="inlineStr">
        <is>
          <t>No</t>
        </is>
      </c>
      <c r="G333" s="77" t="inlineStr"/>
      <c r="H333" s="77" t="inlineStr">
        <is>
          <t>Near-miss: not group</t>
        </is>
      </c>
      <c r="I333" s="77" t="inlineStr">
        <is>
          <t>Individual project that can be done with a company.</t>
        </is>
      </c>
      <c r="J333" s="77" t="inlineStr">
        <is>
          <t>https://www.lancaster.ac.uk/natural-sciences/course-and-pathways-2026/computing-and-communications-pathway/</t>
        </is>
      </c>
      <c r="K333" s="77" t="inlineStr"/>
    </row>
    <row r="334">
      <c r="A334" s="77" t="inlineStr">
        <is>
          <t>UK03-X04</t>
        </is>
      </c>
      <c r="B334" s="77" t="inlineStr">
        <is>
          <t>UK03</t>
        </is>
      </c>
      <c r="C334" s="77" t="inlineStr">
        <is>
          <t>Lancaster</t>
        </is>
      </c>
      <c r="D334" s="77" t="inlineStr">
        <is>
          <t>UK – additional</t>
        </is>
      </c>
      <c r="E334" s="77" t="inlineStr">
        <is>
          <t>Law Clinic (pro bono advice)</t>
        </is>
      </c>
      <c r="F334" s="77" t="inlineStr">
        <is>
          <t>No</t>
        </is>
      </c>
      <c r="G334" s="77" t="inlineStr"/>
      <c r="H334" s="77" t="inlineStr">
        <is>
          <t>Near-miss: no external org</t>
        </is>
      </c>
      <c r="I334" s="77" t="inlineStr">
        <is>
          <t>Students in pairs advise members of the public under supervision; clients are individuals, output is advice letters rather than organisation project. Policy Law Clinic with Environmental Law Foundation not evidenced in detail.</t>
        </is>
      </c>
      <c r="J334" s="77" t="inlineStr">
        <is>
          <t>https://www.lancaster.ac.uk/study/why-lancaster/law-clinics/</t>
        </is>
      </c>
      <c r="K334" s="77" t="inlineStr"/>
    </row>
    <row r="335">
      <c r="A335" s="77" t="inlineStr">
        <is>
          <t>UK03-X05</t>
        </is>
      </c>
      <c r="B335" s="77" t="inlineStr">
        <is>
          <t>UK03</t>
        </is>
      </c>
      <c r="C335" s="77" t="inlineStr">
        <is>
          <t>Lancaster</t>
        </is>
      </c>
      <c r="D335" s="77" t="inlineStr">
        <is>
          <t>UK – additional</t>
        </is>
      </c>
      <c r="E335" s="77" t="inlineStr">
        <is>
          <t>Global Challenges and Collaborative Solutions (FASS5002 Discovery module)</t>
        </is>
      </c>
      <c r="F335" s="77" t="inlineStr">
        <is>
          <t>No</t>
        </is>
      </c>
      <c r="G335" s="77" t="inlineStr"/>
      <c r="H335" s="77" t="inlineStr">
        <is>
          <t>Evidence gap</t>
        </is>
      </c>
      <c r="I335" s="77" t="inlineStr">
        <is>
          <t>Interdisciplinary team problem-solving; no external organisation evidenced.</t>
        </is>
      </c>
      <c r="J335" s="77" t="inlineStr">
        <is>
          <t>https://www.lancaster.ac.uk/humanities-arts-and-social-sciences/courses/discovery-modules/</t>
        </is>
      </c>
      <c r="K335" s="77" t="inlineStr"/>
    </row>
    <row r="336">
      <c r="A336" s="77" t="inlineStr">
        <is>
          <t>UK03-X06</t>
        </is>
      </c>
      <c r="B336" s="77" t="inlineStr">
        <is>
          <t>UK03</t>
        </is>
      </c>
      <c r="C336" s="77" t="inlineStr">
        <is>
          <t>Lancaster</t>
        </is>
      </c>
      <c r="D336" s="77" t="inlineStr">
        <is>
          <t>UK – additional</t>
        </is>
      </c>
      <c r="E336" s="77" t="inlineStr">
        <is>
          <t>SHAPE sustainability project</t>
        </is>
      </c>
      <c r="F336" s="77" t="inlineStr">
        <is>
          <t>No</t>
        </is>
      </c>
      <c r="G336" s="77" t="inlineStr"/>
      <c r="H336" s="77" t="inlineStr">
        <is>
          <t>Evidence gap</t>
        </is>
      </c>
      <c r="I336" s="77" t="inlineStr">
        <is>
          <t>Small interdisciplinary groups solving real-life sustainability challenges (2024, with SOS-UK/British Academy); external organisation role and current status not evidenced.</t>
        </is>
      </c>
      <c r="J336" s="77" t="inlineStr">
        <is>
          <t>https://www.lancaster.ac.uk/sustainability/get-involved/students/</t>
        </is>
      </c>
      <c r="K336" s="77" t="inlineStr">
        <is>
          <t>2024</t>
        </is>
      </c>
    </row>
    <row r="337">
      <c r="A337" s="77" t="inlineStr">
        <is>
          <t>UK03-X07</t>
        </is>
      </c>
      <c r="B337" s="77" t="inlineStr">
        <is>
          <t>UK03</t>
        </is>
      </c>
      <c r="C337" s="77" t="inlineStr">
        <is>
          <t>Lancaster</t>
        </is>
      </c>
      <c r="D337" s="77" t="inlineStr">
        <is>
          <t>UK – additional</t>
        </is>
      </c>
      <c r="E337" s="77" t="inlineStr">
        <is>
          <t>MSc Data Science summer placement/dissertation</t>
        </is>
      </c>
      <c r="F337" s="77" t="inlineStr">
        <is>
          <t>No</t>
        </is>
      </c>
      <c r="G337" s="77" t="inlineStr"/>
      <c r="H337" s="77" t="inlineStr">
        <is>
          <t>Placement/internship</t>
        </is>
      </c>
      <c r="I337" s="77" t="inlineStr">
        <is>
          <t>Industry placements (Unilever, Siemens, Bank of England) as individual dissertation basis; not shown as group.</t>
        </is>
      </c>
      <c r="J337" s="77" t="inlineStr">
        <is>
          <t>https://www.lancaster.ac.uk/sci-tech/msc-data-science-apply-now/</t>
        </is>
      </c>
      <c r="K337" s="77" t="inlineStr"/>
    </row>
    <row r="338">
      <c r="A338" s="77" t="inlineStr">
        <is>
          <t>UK03-X08</t>
        </is>
      </c>
      <c r="B338" s="77" t="inlineStr">
        <is>
          <t>UK03</t>
        </is>
      </c>
      <c r="C338" s="77" t="inlineStr">
        <is>
          <t>Lancaster</t>
        </is>
      </c>
      <c r="D338" s="77" t="inlineStr">
        <is>
          <t>UK – additional</t>
        </is>
      </c>
      <c r="E338" s="77" t="inlineStr">
        <is>
          <t>Psychology Employability Programme</t>
        </is>
      </c>
      <c r="F338" s="77" t="inlineStr">
        <is>
          <t>No</t>
        </is>
      </c>
      <c r="G338" s="77" t="inlineStr"/>
      <c r="H338" s="77" t="inlineStr">
        <is>
          <t>Volunteering/service-learning</t>
        </is>
      </c>
      <c r="I338" s="77" t="inlineStr">
        <is>
          <t>Individual community/charity work placements counting toward Lancaster Award.</t>
        </is>
      </c>
      <c r="J338" s="77" t="inlineStr">
        <is>
          <t>https://www.lancaster.ac.uk/psychology/study/employability/</t>
        </is>
      </c>
      <c r="K338" s="77" t="inlineStr"/>
    </row>
    <row r="339">
      <c r="A339" s="77" t="inlineStr">
        <is>
          <t>UK03-X09</t>
        </is>
      </c>
      <c r="B339" s="77" t="inlineStr">
        <is>
          <t>UK03</t>
        </is>
      </c>
      <c r="C339" s="77" t="inlineStr">
        <is>
          <t>Lancaster</t>
        </is>
      </c>
      <c r="D339" s="77" t="inlineStr">
        <is>
          <t>UK – additional</t>
        </is>
      </c>
      <c r="E339" s="77" t="inlineStr">
        <is>
          <t>Environmental Management MSc / Environment and Development MSc</t>
        </is>
      </c>
      <c r="F339" s="77" t="inlineStr">
        <is>
          <t>No</t>
        </is>
      </c>
      <c r="G339" s="77" t="inlineStr"/>
      <c r="H339" s="77" t="inlineStr">
        <is>
          <t>Near-miss: not group</t>
        </is>
      </c>
      <c r="I339" s="77" t="inlineStr">
        <is>
          <t>Partner-organisation dissertations are individual; Eco-innovation team module has no external client evidenced.</t>
        </is>
      </c>
      <c r="J339" s="77" t="inlineStr">
        <is>
          <t>https://www.lancaster.ac.uk/study/postgraduate/postgraduate-courses/environmental-management-msc/2025/</t>
        </is>
      </c>
      <c r="K339" s="77" t="inlineStr"/>
    </row>
    <row r="340">
      <c r="A340" s="77" t="inlineStr">
        <is>
          <t>UK03-X10</t>
        </is>
      </c>
      <c r="B340" s="77" t="inlineStr">
        <is>
          <t>UK03</t>
        </is>
      </c>
      <c r="C340" s="77" t="inlineStr">
        <is>
          <t>Lancaster</t>
        </is>
      </c>
      <c r="D340" s="77" t="inlineStr">
        <is>
          <t>UK – additional</t>
        </is>
      </c>
      <c r="E340" s="77" t="inlineStr">
        <is>
          <t>Marketing MSc live dissertation / Executive MBA group consultancy challenge</t>
        </is>
      </c>
      <c r="F340" s="77" t="inlineStr">
        <is>
          <t>No</t>
        </is>
      </c>
      <c r="G340" s="77" t="inlineStr"/>
      <c r="H340" s="77" t="inlineStr">
        <is>
          <t>Evidence gap</t>
        </is>
      </c>
      <c r="I340" s="77" t="inlineStr">
        <is>
          <t>'Can' complete live company dissertation (P&amp;G, Molson Coors, Suntory); Executive MBA says 'real-life problem or business simulation'; group/real status not separable.</t>
        </is>
      </c>
      <c r="J340" s="77" t="inlineStr">
        <is>
          <t>https://www.lancaster.ac.uk/study/postgraduate/postgraduate-courses/marketing-msc/2026/</t>
        </is>
      </c>
      <c r="K340" s="77" t="inlineStr"/>
    </row>
    <row r="341">
      <c r="A341" s="77" t="inlineStr">
        <is>
          <t>UK03-X11</t>
        </is>
      </c>
      <c r="B341" s="77" t="inlineStr">
        <is>
          <t>UK03</t>
        </is>
      </c>
      <c r="C341" s="77" t="inlineStr">
        <is>
          <t>Lancaster</t>
        </is>
      </c>
      <c r="D341" s="77" t="inlineStr">
        <is>
          <t>UK – additional</t>
        </is>
      </c>
      <c r="E341" s="77" t="inlineStr">
        <is>
          <t>Lancaster University Consultancy Services (LUCS)</t>
        </is>
      </c>
      <c r="F341" s="77" t="inlineStr">
        <is>
          <t>No</t>
        </is>
      </c>
      <c r="G341" s="77" t="inlineStr"/>
      <c r="H341" s="77" t="inlineStr">
        <is>
          <t>Other</t>
        </is>
      </c>
      <c r="I341" s="77" t="inlineStr">
        <is>
          <t>Staff consultancy; states it will not subcontract to students.</t>
        </is>
      </c>
      <c r="J341" s="77" t="inlineStr">
        <is>
          <t>https://www.lancaster.ac.uk/research/research-enterprise-services/consultancy/key-principles/</t>
        </is>
      </c>
      <c r="K341" s="77" t="inlineStr"/>
    </row>
    <row r="342">
      <c r="A342" s="77" t="inlineStr">
        <is>
          <t>UK03-X12</t>
        </is>
      </c>
      <c r="B342" s="77" t="inlineStr">
        <is>
          <t>UK03</t>
        </is>
      </c>
      <c r="C342" s="77" t="inlineStr">
        <is>
          <t>Lancaster</t>
        </is>
      </c>
      <c r="D342" s="77" t="inlineStr">
        <is>
          <t>UK – additional</t>
        </is>
      </c>
      <c r="E342" s="77" t="inlineStr">
        <is>
          <t>LUMS Next-Gen Entrepreneurs Challenge / 100 Day Challenge</t>
        </is>
      </c>
      <c r="F342" s="77" t="inlineStr">
        <is>
          <t>No</t>
        </is>
      </c>
      <c r="G342" s="77" t="inlineStr"/>
      <c r="H342" s="77" t="inlineStr">
        <is>
          <t>Entrepreneurship/incubator</t>
        </is>
      </c>
      <c r="I342" s="77" t="inlineStr">
        <is>
          <t>Schools outreach / entrepreneurship competition; no live external client.</t>
        </is>
      </c>
      <c r="J342" s="77" t="inlineStr">
        <is>
          <t>https://www.lancaster.ac.uk/lums/about-us/working-with-schools/next-gen-entrepreneurs-challenge/</t>
        </is>
      </c>
      <c r="K342" s="77" t="inlineStr"/>
    </row>
    <row r="343">
      <c r="A343" s="77" t="inlineStr">
        <is>
          <t>UK04-X01</t>
        </is>
      </c>
      <c r="B343" s="77" t="inlineStr">
        <is>
          <t>UK04</t>
        </is>
      </c>
      <c r="C343" s="77" t="inlineStr">
        <is>
          <t>Loughborough</t>
        </is>
      </c>
      <c r="D343" s="77" t="inlineStr">
        <is>
          <t>UK – additional</t>
        </is>
      </c>
      <c r="E343" s="77" t="inlineStr">
        <is>
          <t>Personal Best</t>
        </is>
      </c>
      <c r="F343" s="77" t="inlineStr">
        <is>
          <t>Yes</t>
        </is>
      </c>
      <c r="G343" s="77" t="n">
        <v>56</v>
      </c>
      <c r="H343" s="77" t="inlineStr">
        <is>
          <t>Employability award</t>
        </is>
      </c>
      <c r="I343" s="77" t="inlineStr">
        <is>
          <t>Co-curricular award recording personal/professional development badges (complete Ready Set Loughborough plus other badges); no project, group or external-organisation component identified.</t>
        </is>
      </c>
      <c r="J343" s="77" t="inlineStr">
        <is>
          <t>https://www.lboro.ac.uk/students/personal-best/award/</t>
        </is>
      </c>
      <c r="K343" s="77" t="inlineStr">
        <is>
          <t>Awarded on transcript; undated</t>
        </is>
      </c>
    </row>
    <row r="344">
      <c r="A344" s="77" t="inlineStr">
        <is>
          <t>UK04-X02</t>
        </is>
      </c>
      <c r="B344" s="77" t="inlineStr">
        <is>
          <t>UK04</t>
        </is>
      </c>
      <c r="C344" s="77" t="inlineStr">
        <is>
          <t>Loughborough</t>
        </is>
      </c>
      <c r="D344" s="77" t="inlineStr">
        <is>
          <t>UK – additional</t>
        </is>
      </c>
      <c r="E344" s="77" t="inlineStr">
        <is>
          <t>Digital Media and Communication MSc Workplace Focused Dissertation</t>
        </is>
      </c>
      <c r="F344" s="77" t="inlineStr">
        <is>
          <t>No</t>
        </is>
      </c>
      <c r="G344" s="77" t="inlineStr"/>
      <c r="H344" s="77" t="inlineStr">
        <is>
          <t>Near-miss: not group</t>
        </is>
      </c>
      <c r="I344" s="77" t="inlineStr">
        <is>
          <t>60-credit dissertation based on a project partner's brief solving a real problem, but a dissertation assessed individually; no group working evidenced.</t>
        </is>
      </c>
      <c r="J344" s="77" t="inlineStr">
        <is>
          <t>https://www.lboro.ac.uk/study/postgraduate/masters-degrees/digital-media-communication/</t>
        </is>
      </c>
      <c r="K344" s="77" t="inlineStr">
        <is>
          <t>Undated</t>
        </is>
      </c>
    </row>
    <row r="345">
      <c r="A345" s="77" t="inlineStr">
        <is>
          <t>UK04-X03</t>
        </is>
      </c>
      <c r="B345" s="77" t="inlineStr">
        <is>
          <t>UK04</t>
        </is>
      </c>
      <c r="C345" s="77" t="inlineStr">
        <is>
          <t>Loughborough</t>
        </is>
      </c>
      <c r="D345" s="77" t="inlineStr">
        <is>
          <t>UK – additional</t>
        </is>
      </c>
      <c r="E345" s="77" t="inlineStr">
        <is>
          <t>NatWest Group final-year work-based learning case</t>
        </is>
      </c>
      <c r="F345" s="77" t="inlineStr">
        <is>
          <t>No</t>
        </is>
      </c>
      <c r="G345" s="77" t="inlineStr"/>
      <c r="H345" s="77" t="inlineStr">
        <is>
          <t>Near-miss: no external org</t>
        </is>
      </c>
      <c r="I345" s="77" t="inlineStr">
        <is>
          <t>NatWest wrote a case study of a fictional organisation; top performers offered an internship; not a live brief.</t>
        </is>
      </c>
      <c r="J345" s="77" t="inlineStr">
        <is>
          <t>https://www.lboro.ac.uk/schools/business-school/news/2023/natwest-group-working-with-business-school/</t>
        </is>
      </c>
      <c r="K345" s="77" t="inlineStr">
        <is>
          <t>2023</t>
        </is>
      </c>
    </row>
    <row r="346">
      <c r="A346" s="77" t="inlineStr">
        <is>
          <t>UK04-X04</t>
        </is>
      </c>
      <c r="B346" s="77" t="inlineStr">
        <is>
          <t>UK04</t>
        </is>
      </c>
      <c r="C346" s="77" t="inlineStr">
        <is>
          <t>Loughborough</t>
        </is>
      </c>
      <c r="D346" s="77" t="inlineStr">
        <is>
          <t>UK – additional</t>
        </is>
      </c>
      <c r="E346" s="77" t="inlineStr">
        <is>
          <t>University Business Challenge (Loughborough Business School teams)</t>
        </is>
      </c>
      <c r="F346" s="77" t="inlineStr">
        <is>
          <t>No</t>
        </is>
      </c>
      <c r="G346" s="77" t="inlineStr"/>
      <c r="H346" s="77" t="inlineStr">
        <is>
          <t>Simulation/virtual</t>
        </is>
      </c>
      <c r="I346" s="77" t="inlineStr">
        <is>
          <t>Online business simulation competition; no live client.</t>
        </is>
      </c>
      <c r="J346" s="77" t="inlineStr">
        <is>
          <t>https://www.lboro.ac.uk/schools/business-school/news/2026/ubc-semi-final-2026/</t>
        </is>
      </c>
      <c r="K346" s="77" t="inlineStr">
        <is>
          <t>2026 semi-finals</t>
        </is>
      </c>
    </row>
    <row r="347">
      <c r="A347" s="77" t="inlineStr">
        <is>
          <t>UK04-X05</t>
        </is>
      </c>
      <c r="B347" s="77" t="inlineStr">
        <is>
          <t>UK04</t>
        </is>
      </c>
      <c r="C347" s="77" t="inlineStr">
        <is>
          <t>Loughborough</t>
        </is>
      </c>
      <c r="D347" s="77" t="inlineStr">
        <is>
          <t>UK – additional</t>
        </is>
      </c>
      <c r="E347" s="77" t="inlineStr">
        <is>
          <t>Challenge X (Loughborough Enterprise Network)</t>
        </is>
      </c>
      <c r="F347" s="77" t="inlineStr">
        <is>
          <t>No</t>
        </is>
      </c>
      <c r="G347" s="77" t="inlineStr"/>
      <c r="H347" s="77" t="inlineStr">
        <is>
          <t>Evidence gap</t>
        </is>
      </c>
      <c r="I347" s="77" t="inlineStr">
        <is>
          <t>18-hour event pairing students with SMEs on real problems (Santander-sponsored) but evidence is an old student blog post and current delivery was not confirmed.</t>
        </is>
      </c>
      <c r="J347" s="77" t="inlineStr">
        <is>
          <t>https://blog.lboro.ac.uk/students/postgraduate/challenge-x/</t>
        </is>
      </c>
      <c r="K347" s="77" t="inlineStr">
        <is>
          <t>Undated/old</t>
        </is>
      </c>
    </row>
    <row r="348">
      <c r="A348" s="77" t="inlineStr">
        <is>
          <t>UK04-X06</t>
        </is>
      </c>
      <c r="B348" s="77" t="inlineStr">
        <is>
          <t>UK04</t>
        </is>
      </c>
      <c r="C348" s="77" t="inlineStr">
        <is>
          <t>Loughborough</t>
        </is>
      </c>
      <c r="D348" s="77" t="inlineStr">
        <is>
          <t>UK – additional</t>
        </is>
      </c>
      <c r="E348" s="77" t="inlineStr">
        <is>
          <t>Talent Match micro-internships and Finalist/Global internships</t>
        </is>
      </c>
      <c r="F348" s="77" t="inlineStr">
        <is>
          <t>No</t>
        </is>
      </c>
      <c r="G348" s="77" t="inlineStr"/>
      <c r="H348" s="77" t="inlineStr">
        <is>
          <t>Placement/internship</t>
        </is>
      </c>
      <c r="I348" s="77" t="inlineStr">
        <is>
          <t>50-100 hour paid internships with SMEs/organisations; individual placements; no group project evidenced (the Consultancy Programme is recorded as S4).</t>
        </is>
      </c>
      <c r="J348" s="77" t="inlineStr">
        <is>
          <t>https://www.lboro.ac.uk/internal/news/2023/october/talent-match-roles-live/</t>
        </is>
      </c>
      <c r="K348" s="77" t="inlineStr">
        <is>
          <t>2023 call</t>
        </is>
      </c>
    </row>
    <row r="349">
      <c r="A349" s="77" t="inlineStr">
        <is>
          <t>UK04-X07</t>
        </is>
      </c>
      <c r="B349" s="77" t="inlineStr">
        <is>
          <t>UK04</t>
        </is>
      </c>
      <c r="C349" s="77" t="inlineStr">
        <is>
          <t>Loughborough</t>
        </is>
      </c>
      <c r="D349" s="77" t="inlineStr">
        <is>
          <t>UK – additional</t>
        </is>
      </c>
      <c r="E349" s="77" t="inlineStr">
        <is>
          <t>Materials Science and Engineering BEng year-3 research project / Chemistry MChem final-year project</t>
        </is>
      </c>
      <c r="F349" s="77" t="inlineStr">
        <is>
          <t>No</t>
        </is>
      </c>
      <c r="G349" s="77" t="inlineStr"/>
      <c r="H349" s="77" t="inlineStr">
        <is>
          <t>Dissertation/research</t>
        </is>
      </c>
      <c r="I349" s="77" t="inlineStr">
        <is>
          <t>Individual research projects possibly with an industrial partner; industry-sponsored projects mentioned but no group or client-brief evidence.</t>
        </is>
      </c>
      <c r="J349" s="77" t="inlineStr">
        <is>
          <t>https://www.lboro.ac.uk/study/undergraduate/courses/materials-science-engineering-beng/</t>
        </is>
      </c>
      <c r="K349" s="77" t="inlineStr">
        <is>
          <t>Undated</t>
        </is>
      </c>
    </row>
    <row r="350">
      <c r="A350" s="77" t="inlineStr">
        <is>
          <t>UK04-X08</t>
        </is>
      </c>
      <c r="B350" s="77" t="inlineStr">
        <is>
          <t>UK04</t>
        </is>
      </c>
      <c r="C350" s="77" t="inlineStr">
        <is>
          <t>Loughborough</t>
        </is>
      </c>
      <c r="D350" s="77" t="inlineStr">
        <is>
          <t>UK – additional</t>
        </is>
      </c>
      <c r="E350" s="77" t="inlineStr">
        <is>
          <t>Computer Science Team Projects / Group Project modules</t>
        </is>
      </c>
      <c r="F350" s="77" t="inlineStr">
        <is>
          <t>No</t>
        </is>
      </c>
      <c r="G350" s="77" t="inlineStr"/>
      <c r="H350" s="77" t="inlineStr">
        <is>
          <t>Evidence gap</t>
        </is>
      </c>
      <c r="I350" s="77" t="inlineStr">
        <is>
          <t>Group project modules exist (26COB290, 26COC800, 26COD292) but search results gave no evidence of external clients or briefs.</t>
        </is>
      </c>
      <c r="J350" s="77" t="inlineStr">
        <is>
          <t>https://www.lboro.ac.uk/study/undergraduate/courses/computer-science-msci/</t>
        </is>
      </c>
      <c r="K350" s="77" t="inlineStr">
        <is>
          <t>2025 course archive</t>
        </is>
      </c>
    </row>
    <row r="351">
      <c r="A351" s="77" t="inlineStr">
        <is>
          <t>UK04-X09</t>
        </is>
      </c>
      <c r="B351" s="77" t="inlineStr">
        <is>
          <t>UK04</t>
        </is>
      </c>
      <c r="C351" s="77" t="inlineStr">
        <is>
          <t>Loughborough</t>
        </is>
      </c>
      <c r="D351" s="77" t="inlineStr">
        <is>
          <t>UK – additional</t>
        </is>
      </c>
      <c r="E351" s="77" t="inlineStr">
        <is>
          <t>Loughborough University Enterprises Limited (LUEL) consultancy</t>
        </is>
      </c>
      <c r="F351" s="77" t="inlineStr">
        <is>
          <t>No</t>
        </is>
      </c>
      <c r="G351" s="77" t="inlineStr"/>
      <c r="H351" s="77" t="inlineStr">
        <is>
          <t>Other</t>
        </is>
      </c>
      <c r="I351" s="77" t="inlineStr">
        <is>
          <t>Staff-led external consultancy, not student project work.</t>
        </is>
      </c>
      <c r="J351" s="77" t="inlineStr">
        <is>
          <t>https://www.lboro.ac.uk/internal/research-innovation-support/partners-collaborators/luel/</t>
        </is>
      </c>
      <c r="K351" s="77" t="inlineStr"/>
    </row>
    <row r="352">
      <c r="A352" s="77" t="inlineStr">
        <is>
          <t>UK04-X10</t>
        </is>
      </c>
      <c r="B352" s="77" t="inlineStr">
        <is>
          <t>UK04</t>
        </is>
      </c>
      <c r="C352" s="77" t="inlineStr">
        <is>
          <t>Loughborough</t>
        </is>
      </c>
      <c r="D352" s="77" t="inlineStr">
        <is>
          <t>UK – additional</t>
        </is>
      </c>
      <c r="E352" s="77" t="inlineStr">
        <is>
          <t>Engineers Without Borders Loughborough (student society)</t>
        </is>
      </c>
      <c r="F352" s="77" t="inlineStr">
        <is>
          <t>No</t>
        </is>
      </c>
      <c r="G352" s="77" t="inlineStr"/>
      <c r="H352" s="77" t="inlineStr">
        <is>
          <t>Event/competition without live client</t>
        </is>
      </c>
      <c r="I352" s="77" t="inlineStr">
        <is>
          <t>Student society design challenges; no external client brief evidenced.</t>
        </is>
      </c>
      <c r="J352" s="77" t="inlineStr">
        <is>
          <t>https://lsu.co.uk/societies/engineers-without-borders</t>
        </is>
      </c>
      <c r="K352" s="77" t="inlineStr"/>
    </row>
    <row r="353">
      <c r="A353" s="77" t="inlineStr">
        <is>
          <t>UK04-X11</t>
        </is>
      </c>
      <c r="B353" s="77" t="inlineStr">
        <is>
          <t>UK04</t>
        </is>
      </c>
      <c r="C353" s="77" t="inlineStr">
        <is>
          <t>Loughborough</t>
        </is>
      </c>
      <c r="D353" s="77" t="inlineStr">
        <is>
          <t>UK – additional</t>
        </is>
      </c>
      <c r="E353" s="77" t="inlineStr">
        <is>
          <t>Loughborough Apprentice / LEN enterprise challenge</t>
        </is>
      </c>
      <c r="F353" s="77" t="inlineStr">
        <is>
          <t>No</t>
        </is>
      </c>
      <c r="G353" s="77" t="inlineStr"/>
      <c r="H353" s="77" t="inlineStr">
        <is>
          <t>Event/competition without live client</t>
        </is>
      </c>
      <c r="I353" s="77" t="inlineStr">
        <is>
          <t>Student-life improvement challenge for societies and halls; internal, not an employer brief.</t>
        </is>
      </c>
      <c r="J353" s="77" t="inlineStr">
        <is>
          <t>https://www.lboro.ac.uk/services/student-services/topics/len-whats-on/</t>
        </is>
      </c>
      <c r="K353" s="77" t="inlineStr"/>
    </row>
    <row r="354">
      <c r="A354" s="77" t="inlineStr">
        <is>
          <t>UK05-X01</t>
        </is>
      </c>
      <c r="B354" s="77" t="inlineStr">
        <is>
          <t>UK05</t>
        </is>
      </c>
      <c r="C354" s="77" t="inlineStr">
        <is>
          <t>Aberdeen</t>
        </is>
      </c>
      <c r="D354" s="77" t="inlineStr">
        <is>
          <t>UK – additional</t>
        </is>
      </c>
      <c r="E354" s="77" t="inlineStr">
        <is>
          <t>ABDN Internships</t>
        </is>
      </c>
      <c r="F354" s="77" t="inlineStr">
        <is>
          <t>Yes</t>
        </is>
      </c>
      <c r="G354" s="77" t="n">
        <v>57</v>
      </c>
      <c r="H354" s="77" t="inlineStr">
        <is>
          <t>Placement/internship</t>
        </is>
      </c>
      <c r="I354"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354" s="77" t="inlineStr">
        <is>
          <t>https://www.abdn.ac.uk/careers/experience/abdn-internships/</t>
        </is>
      </c>
      <c r="K354" s="77" t="inlineStr">
        <is>
          <t>2026/27 confirmed: Term 1 applications closed 7 October 2026 (search summary).</t>
        </is>
      </c>
    </row>
    <row r="355">
      <c r="A355" s="77" t="inlineStr">
        <is>
          <t>UK06-X01</t>
        </is>
      </c>
      <c r="B355" s="77" t="inlineStr">
        <is>
          <t>UK06</t>
        </is>
      </c>
      <c r="C355" s="77" t="inlineStr">
        <is>
          <t>Reading</t>
        </is>
      </c>
      <c r="D355" s="77" t="inlineStr">
        <is>
          <t>UK – additional</t>
        </is>
      </c>
      <c r="E355" s="77" t="inlineStr">
        <is>
          <t>RED Awards (Professional Development, Global Engagement, Sustainable Action)</t>
        </is>
      </c>
      <c r="F355" s="77" t="inlineStr">
        <is>
          <t>Yes</t>
        </is>
      </c>
      <c r="G355" s="77" t="n">
        <v>58</v>
      </c>
      <c r="H355" s="77" t="inlineStr">
        <is>
          <t>Employability award</t>
        </is>
      </c>
      <c r="I355" s="77" t="inlineStr">
        <is>
          <t>Co-curricular recognition scheme for any student activity; not itself a bounded team project with an external organisation (criteria A, B, C not evidenced).</t>
        </is>
      </c>
      <c r="J355" s="77" t="inlineStr">
        <is>
          <t>https://www.reading.ac.uk/essentials/Careers/Gaining-experience/RED-Awards</t>
        </is>
      </c>
      <c r="K355" s="77" t="inlineStr">
        <is>
          <t>Legacy row; undated page</t>
        </is>
      </c>
    </row>
    <row r="356">
      <c r="A356" s="77" t="inlineStr">
        <is>
          <t>UK06-X02</t>
        </is>
      </c>
      <c r="B356" s="77" t="inlineStr">
        <is>
          <t>UK06</t>
        </is>
      </c>
      <c r="C356" s="77" t="inlineStr">
        <is>
          <t>Reading</t>
        </is>
      </c>
      <c r="D356" s="77" t="inlineStr">
        <is>
          <t>UK – additional</t>
        </is>
      </c>
      <c r="E356" s="77" t="inlineStr">
        <is>
          <t>Reading Internship Scheme (RIS)</t>
        </is>
      </c>
      <c r="F356" s="77" t="inlineStr">
        <is>
          <t>No</t>
        </is>
      </c>
      <c r="G356" s="77" t="inlineStr"/>
      <c r="H356" s="77" t="inlineStr">
        <is>
          <t>Placement/internship</t>
        </is>
      </c>
      <c r="I356" s="77" t="inlineStr">
        <is>
          <t>Individual paid internships of 4-8 weeks with employer-set projects; individual, no team component (B not met).</t>
        </is>
      </c>
      <c r="J356" s="77" t="inlineStr">
        <is>
          <t>https://www.reading.ac.uk/essentials/careers/employers/ris</t>
        </is>
      </c>
      <c r="K356" s="77" t="inlineStr">
        <is>
          <t>2026-27 employer page</t>
        </is>
      </c>
    </row>
    <row r="357">
      <c r="A357" s="77" t="inlineStr">
        <is>
          <t>UK06-X03</t>
        </is>
      </c>
      <c r="B357" s="77" t="inlineStr">
        <is>
          <t>UK06</t>
        </is>
      </c>
      <c r="C357" s="77" t="inlineStr">
        <is>
          <t>Reading</t>
        </is>
      </c>
      <c r="D357" s="77" t="inlineStr">
        <is>
          <t>UK – additional</t>
        </is>
      </c>
      <c r="E357" s="77" t="inlineStr">
        <is>
          <t>MM313A/B Applied Entrepreneurship</t>
        </is>
      </c>
      <c r="F357" s="77" t="inlineStr">
        <is>
          <t>No</t>
        </is>
      </c>
      <c r="G357" s="77" t="inlineStr"/>
      <c r="H357" s="77" t="inlineStr">
        <is>
          <t>Near-miss: no external org</t>
        </is>
      </c>
      <c r="I357" s="77" t="inlineStr">
        <is>
          <t>Students run their own venture solo or in teams up to 3; no external client; earlier-year external industry assessor not confirmed for current version.</t>
        </is>
      </c>
      <c r="J357" s="77" t="inlineStr">
        <is>
          <t>https://www.reading.ac.uk/modules/documents?acyear=2025%2F6&amp;modcode=MM313A&amp;schoolcode=HBS+DME+W%7CHBS+FIN+W%7CHBS+IBS+W%7CHBS+ICM+W%7CHBS+LOB+W%7CHBS+MGM+W%7CHBS+MKR+W%7CHBS+REP+W</t>
        </is>
      </c>
      <c r="K357" s="77" t="inlineStr">
        <is>
          <t>2025/6 module record</t>
        </is>
      </c>
    </row>
    <row r="358">
      <c r="A358" s="77" t="inlineStr">
        <is>
          <t>UK06-X04</t>
        </is>
      </c>
      <c r="B358" s="77" t="inlineStr">
        <is>
          <t>UK06</t>
        </is>
      </c>
      <c r="C358" s="77" t="inlineStr">
        <is>
          <t>Reading</t>
        </is>
      </c>
      <c r="D358" s="77" t="inlineStr">
        <is>
          <t>UK – additional</t>
        </is>
      </c>
      <c r="E358" s="77" t="inlineStr">
        <is>
          <t>MMM163 Advanced Project (MSc International Business and Digital Transformation)</t>
        </is>
      </c>
      <c r="F358" s="77" t="inlineStr">
        <is>
          <t>No</t>
        </is>
      </c>
      <c r="G358" s="77" t="inlineStr"/>
      <c r="H358" s="77" t="inlineStr">
        <is>
          <t>Evidence gap</t>
        </is>
      </c>
      <c r="I358" s="77" t="inlineStr">
        <is>
          <t>Projects usually for outside organisations (competitive, may need interview) but a single report is submitted; group working not evidenced.</t>
        </is>
      </c>
      <c r="J358" s="77" t="inlineStr">
        <is>
          <t>https://www.reading.ac.uk/modules/documents?acyear=2025/6&amp;modcode=MMM163&amp;schoolcode=HBS+DME+W%7CHBS+FIN+W%7CHBS+IBS+W%7CHBS+ICM+W%7CHBS+LOB+W%7CHBS+MGM+W%7CHBS+MKR+W%7CHBS+REP+W</t>
        </is>
      </c>
      <c r="K358" s="77" t="inlineStr">
        <is>
          <t>2025/6 record</t>
        </is>
      </c>
    </row>
    <row r="359">
      <c r="A359" s="77" t="inlineStr">
        <is>
          <t>UK06-X05</t>
        </is>
      </c>
      <c r="B359" s="77" t="inlineStr">
        <is>
          <t>UK06</t>
        </is>
      </c>
      <c r="C359" s="77" t="inlineStr">
        <is>
          <t>Reading</t>
        </is>
      </c>
      <c r="D359" s="77" t="inlineStr">
        <is>
          <t>UK – additional</t>
        </is>
      </c>
      <c r="E359" s="77" t="inlineStr">
        <is>
          <t>MQM3CSP Capstone Project (Degree Apprenticeship MSc)</t>
        </is>
      </c>
      <c r="F359" s="77" t="inlineStr">
        <is>
          <t>No</t>
        </is>
      </c>
      <c r="G359" s="77" t="inlineStr"/>
      <c r="H359" s="77" t="inlineStr">
        <is>
          <t>Near-miss: not group</t>
        </is>
      </c>
      <c r="I359" s="77" t="inlineStr">
        <is>
          <t>Individual project for the apprentice's own employer.</t>
        </is>
      </c>
      <c r="J359" s="77" t="inlineStr">
        <is>
          <t>https://www.reading.ac.uk/modules/documents?acyear=2024/5&amp;modcode=MQM3CSP&amp;schoolcode=HBS+BIS+G%7CHBS+BIS+W%7CHBS+IBS+G%7CHBS+IBS+W%7CHBS+ICM+W%7CHBS+LOB+W%7CHBS+MGM+W%7CHBS+MKR+W%7CHBS+REP+W</t>
        </is>
      </c>
      <c r="K359" s="77" t="inlineStr">
        <is>
          <t>2024/5</t>
        </is>
      </c>
    </row>
    <row r="360">
      <c r="A360" s="77" t="inlineStr">
        <is>
          <t>UK06-X06</t>
        </is>
      </c>
      <c r="B360" s="77" t="inlineStr">
        <is>
          <t>UK06</t>
        </is>
      </c>
      <c r="C360" s="77" t="inlineStr">
        <is>
          <t>Reading</t>
        </is>
      </c>
      <c r="D360" s="77" t="inlineStr">
        <is>
          <t>UK – additional</t>
        </is>
      </c>
      <c r="E360" s="77" t="inlineStr">
        <is>
          <t>Strategic Technology Consulting (MQM2STC / INMB39)</t>
        </is>
      </c>
      <c r="F360" s="77" t="inlineStr">
        <is>
          <t>No</t>
        </is>
      </c>
      <c r="G360" s="77" t="inlineStr"/>
      <c r="H360" s="77" t="inlineStr">
        <is>
          <t>Evidence gap</t>
        </is>
      </c>
      <c r="I360" s="77" t="inlineStr">
        <is>
          <t>Module draws on students' own organisations; no live external client project evidenced.</t>
        </is>
      </c>
      <c r="J360" s="77" t="inlineStr">
        <is>
          <t>https://www.reading.ac.uk/modules/documents?acyear=2024/5&amp;modcode=MQM2STC</t>
        </is>
      </c>
      <c r="K360" s="77" t="inlineStr"/>
    </row>
    <row r="361">
      <c r="A361" s="77" t="inlineStr">
        <is>
          <t>UK06-X07</t>
        </is>
      </c>
      <c r="B361" s="77" t="inlineStr">
        <is>
          <t>UK06</t>
        </is>
      </c>
      <c r="C361" s="77" t="inlineStr">
        <is>
          <t>Reading</t>
        </is>
      </c>
      <c r="D361" s="77" t="inlineStr">
        <is>
          <t>UK – additional</t>
        </is>
      </c>
      <c r="E361" s="77" t="inlineStr">
        <is>
          <t>CS3IP Degree Project (Computer Science)</t>
        </is>
      </c>
      <c r="F361" s="77" t="inlineStr">
        <is>
          <t>No</t>
        </is>
      </c>
      <c r="G361" s="77" t="inlineStr"/>
      <c r="H361" s="77" t="inlineStr">
        <is>
          <t>Near-miss: no external org</t>
        </is>
      </c>
      <c r="I361" s="77" t="inlineStr">
        <is>
          <t>Final-year project with staff-proposed or own topics, supervisor and second assessor; no external organisation evidenced; team format unclear.</t>
        </is>
      </c>
      <c r="J361" s="77" t="inlineStr">
        <is>
          <t>https://www.reading.ac.uk/modules/documents?acyear=2025/6&amp;modcode=CS3IP&amp;schoolcode=MPS+CS%7CMPS+MATHST%7CMPS+MET</t>
        </is>
      </c>
      <c r="K361" s="77" t="inlineStr">
        <is>
          <t>2025/6</t>
        </is>
      </c>
    </row>
    <row r="362">
      <c r="A362" s="77" t="inlineStr">
        <is>
          <t>UK06-X08</t>
        </is>
      </c>
      <c r="B362" s="77" t="inlineStr">
        <is>
          <t>UK06</t>
        </is>
      </c>
      <c r="C362" s="77" t="inlineStr">
        <is>
          <t>Reading</t>
        </is>
      </c>
      <c r="D362" s="77" t="inlineStr">
        <is>
          <t>UK – additional</t>
        </is>
      </c>
      <c r="E362" s="77" t="inlineStr">
        <is>
          <t>PIM92 Applied Research Project and Placement (MSc Public Policy)</t>
        </is>
      </c>
      <c r="F362" s="77" t="inlineStr">
        <is>
          <t>No</t>
        </is>
      </c>
      <c r="G362" s="77" t="inlineStr"/>
      <c r="H362" s="77" t="inlineStr">
        <is>
          <t>Placement/internship</t>
        </is>
      </c>
      <c r="I362" s="77" t="inlineStr">
        <is>
          <t>Individual placement with external organisation and 4,000-word report; not a group route.</t>
        </is>
      </c>
      <c r="J362" s="77" t="inlineStr">
        <is>
          <t>https://www.reading.ac.uk/modules/documents?acyear=2023/4&amp;modcode=PIM92&amp;schoolcode=PEI+ECO%7CPEI+GIPIS%7CPEI+POL</t>
        </is>
      </c>
      <c r="K362" s="77" t="inlineStr">
        <is>
          <t>2023/4</t>
        </is>
      </c>
    </row>
    <row r="363">
      <c r="A363" s="77" t="inlineStr">
        <is>
          <t>UK06-X09</t>
        </is>
      </c>
      <c r="B363" s="77" t="inlineStr">
        <is>
          <t>UK06</t>
        </is>
      </c>
      <c r="C363" s="77" t="inlineStr">
        <is>
          <t>Reading</t>
        </is>
      </c>
      <c r="D363" s="77" t="inlineStr">
        <is>
          <t>UK – additional</t>
        </is>
      </c>
      <c r="E363" s="77" t="inlineStr">
        <is>
          <t>AD3APR Applied Marketing Project</t>
        </is>
      </c>
      <c r="F363" s="77" t="inlineStr">
        <is>
          <t>No</t>
        </is>
      </c>
      <c r="G363" s="77" t="inlineStr"/>
      <c r="H363" s="77" t="inlineStr">
        <is>
          <t>Evidence gap</t>
        </is>
      </c>
      <c r="I363" s="77" t="inlineStr">
        <is>
          <t>Students act as consultants responding to a client's brief, assessed by individual reports (3,500 words); no group work or external client evidenced.</t>
        </is>
      </c>
      <c r="J363" s="77" t="inlineStr">
        <is>
          <t>https://www.reading.ac.uk/modules/documents?acyear=2025/6&amp;modcode=AD3APR&amp;schoolcode=APD</t>
        </is>
      </c>
      <c r="K363" s="77" t="inlineStr">
        <is>
          <t>2025/6</t>
        </is>
      </c>
    </row>
    <row r="364">
      <c r="A364" s="77" t="inlineStr">
        <is>
          <t>UK06-X10</t>
        </is>
      </c>
      <c r="B364" s="77" t="inlineStr">
        <is>
          <t>UK06</t>
        </is>
      </c>
      <c r="C364" s="77" t="inlineStr">
        <is>
          <t>Reading</t>
        </is>
      </c>
      <c r="D364" s="77" t="inlineStr">
        <is>
          <t>UK – additional</t>
        </is>
      </c>
      <c r="E364" s="77" t="inlineStr">
        <is>
          <t>AP3EX3 Consumer Research Group Project 2</t>
        </is>
      </c>
      <c r="F364" s="77" t="inlineStr">
        <is>
          <t>No</t>
        </is>
      </c>
      <c r="G364" s="77" t="inlineStr"/>
      <c r="H364" s="77" t="inlineStr">
        <is>
          <t>Evidence gap</t>
        </is>
      </c>
      <c r="I364" s="77" t="inlineStr">
        <is>
          <t>Team consultancy for client companies/organisations, but only a 2021/22 record found; no current delivery evidence.</t>
        </is>
      </c>
      <c r="J364" s="77" t="inlineStr">
        <is>
          <t>https://www.reading.ac.uk/modules/documents?acyear=2021/2&amp;modcode=AP3EX3&amp;schoolcode=APD%7CAPD+AGECON%7CAPD+AGRIC%7CAPD+GIIDAE%7CAPD+IRDD</t>
        </is>
      </c>
      <c r="K364" s="77" t="inlineStr">
        <is>
          <t>Historical</t>
        </is>
      </c>
    </row>
    <row r="365">
      <c r="A365" s="77" t="inlineStr">
        <is>
          <t>UK06-X11</t>
        </is>
      </c>
      <c r="B365" s="77" t="inlineStr">
        <is>
          <t>UK06</t>
        </is>
      </c>
      <c r="C365" s="77" t="inlineStr">
        <is>
          <t>Reading</t>
        </is>
      </c>
      <c r="D365" s="77" t="inlineStr">
        <is>
          <t>UK – additional</t>
        </is>
      </c>
      <c r="E365" s="77" t="inlineStr">
        <is>
          <t>GV3GEF Geography and Environmental Science Field Class</t>
        </is>
      </c>
      <c r="F365" s="77" t="inlineStr">
        <is>
          <t>No</t>
        </is>
      </c>
      <c r="G365" s="77" t="inlineStr"/>
      <c r="H365" s="77" t="inlineStr">
        <is>
          <t>Near-miss: no external org</t>
        </is>
      </c>
      <c r="I365" s="77" t="inlineStr">
        <is>
          <t>Groups act as consultants on a scenario informed by field data; hypothetical scenario with no external organisation.</t>
        </is>
      </c>
      <c r="J365" s="77" t="inlineStr">
        <is>
          <t>https://www.reading.ac.uk/modules/documents?acyear=2025/6&amp;modcode=GV3GEF&amp;schoolcode=HES+ARCH%7CHES+GESC</t>
        </is>
      </c>
      <c r="K365" s="77" t="inlineStr">
        <is>
          <t>2025/6</t>
        </is>
      </c>
    </row>
    <row r="366">
      <c r="A366" s="77" t="inlineStr">
        <is>
          <t>UK06-X12</t>
        </is>
      </c>
      <c r="B366" s="77" t="inlineStr">
        <is>
          <t>UK06</t>
        </is>
      </c>
      <c r="C366" s="77" t="inlineStr">
        <is>
          <t>Reading</t>
        </is>
      </c>
      <c r="D366" s="77" t="inlineStr">
        <is>
          <t>UK – additional</t>
        </is>
      </c>
      <c r="E366" s="77" t="inlineStr">
        <is>
          <t>School of Law clinics and pro bono credit (Freedom Law Clinic, CommuniCare, Resolve Mediation)</t>
        </is>
      </c>
      <c r="F366" s="77" t="inlineStr">
        <is>
          <t>No</t>
        </is>
      </c>
      <c r="G366" s="77" t="inlineStr"/>
      <c r="H366" s="77" t="inlineStr">
        <is>
          <t>Volunteering/service-learning</t>
        </is>
      </c>
      <c r="I366" s="77" t="inlineStr">
        <is>
          <t>Individual casework/volunteering with supervisors; not a team project for a client; CommuniCare detail from 2010 source.</t>
        </is>
      </c>
      <c r="J366" s="77" t="inlineStr">
        <is>
          <t>https://www.reading.ac.uk/law/undergraduate/co-curricular-activities-and-pro-bono-work</t>
        </is>
      </c>
      <c r="K366" s="77" t="inlineStr"/>
    </row>
    <row r="367">
      <c r="A367" s="77" t="inlineStr">
        <is>
          <t>UK06-X13</t>
        </is>
      </c>
      <c r="B367" s="77" t="inlineStr">
        <is>
          <t>UK06</t>
        </is>
      </c>
      <c r="C367" s="77" t="inlineStr">
        <is>
          <t>Reading</t>
        </is>
      </c>
      <c r="D367" s="77" t="inlineStr">
        <is>
          <t>UK – additional</t>
        </is>
      </c>
      <c r="E367" s="77" t="inlineStr">
        <is>
          <t>Henley Enterprise Lab, IDEAFEST, Entrepreneurship Society</t>
        </is>
      </c>
      <c r="F367" s="77" t="inlineStr">
        <is>
          <t>No</t>
        </is>
      </c>
      <c r="G367" s="77" t="inlineStr"/>
      <c r="H367" s="77" t="inlineStr">
        <is>
          <t>Entrepreneurship/incubator</t>
        </is>
      </c>
      <c r="I367" s="77" t="inlineStr">
        <is>
          <t>Student business-idea competition and society; no external client brief evidenced.</t>
        </is>
      </c>
      <c r="J367" s="77" t="inlineStr">
        <is>
          <t>https://www.henley.ac.uk/henley-enterprise-lab</t>
        </is>
      </c>
      <c r="K367" s="77" t="inlineStr"/>
    </row>
    <row r="368">
      <c r="A368" s="77" t="inlineStr">
        <is>
          <t>UK06-X14</t>
        </is>
      </c>
      <c r="B368" s="77" t="inlineStr">
        <is>
          <t>UK06</t>
        </is>
      </c>
      <c r="C368" s="77" t="inlineStr">
        <is>
          <t>Reading</t>
        </is>
      </c>
      <c r="D368" s="77" t="inlineStr">
        <is>
          <t>UK – additional</t>
        </is>
      </c>
      <c r="E368" s="77" t="inlineStr">
        <is>
          <t>CE2CPR Projects (construction/surveying client briefs)</t>
        </is>
      </c>
      <c r="F368" s="77" t="inlineStr">
        <is>
          <t>No</t>
        </is>
      </c>
      <c r="G368" s="77" t="inlineStr"/>
      <c r="H368" s="77" t="inlineStr">
        <is>
          <t>Evidence gap</t>
        </is>
      </c>
      <c r="I368" s="77" t="inlineStr">
        <is>
          <t>Teams respond to client briefs and present to clients' representatives (2023/4 record), but whether clients are real external organisations and current delivery not verified.</t>
        </is>
      </c>
      <c r="J368" s="77" t="inlineStr">
        <is>
          <t>https://www.reading.ac.uk/modules/documents?acyear=2023/4&amp;modcode=CE2CPR</t>
        </is>
      </c>
      <c r="K368" s="77" t="inlineStr">
        <is>
          <t>2023/4</t>
        </is>
      </c>
    </row>
    <row r="369">
      <c r="A369" s="77" t="inlineStr">
        <is>
          <t>UK07-X01</t>
        </is>
      </c>
      <c r="B369" s="77" t="inlineStr">
        <is>
          <t>UK07</t>
        </is>
      </c>
      <c r="C369" s="77" t="inlineStr">
        <is>
          <t>Surrey</t>
        </is>
      </c>
      <c r="D369" s="77" t="inlineStr">
        <is>
          <t>UK – additional</t>
        </is>
      </c>
      <c r="E369" s="77" t="inlineStr">
        <is>
          <t>Professional Training placements</t>
        </is>
      </c>
      <c r="F369" s="77" t="inlineStr">
        <is>
          <t>Yes</t>
        </is>
      </c>
      <c r="G369" s="77" t="n">
        <v>59</v>
      </c>
      <c r="H369" s="77" t="inlineStr">
        <is>
          <t>Placement/internship</t>
        </is>
      </c>
      <c r="I369" s="77" t="inlineStr">
        <is>
          <t>Up-to-a-year individual placement with employers (legacy row); individual work alongside colleagues, no group project; not tested as project/group.</t>
        </is>
      </c>
      <c r="J369" s="77" t="inlineStr">
        <is>
          <t>https://www.surrey.ac.uk/professional-training-placements/ug-courses-placements</t>
        </is>
      </c>
      <c r="K369" s="77" t="inlineStr">
        <is>
          <t>Undated page; intake unverified</t>
        </is>
      </c>
    </row>
    <row r="370">
      <c r="A370" s="77" t="inlineStr">
        <is>
          <t>UK07-X02</t>
        </is>
      </c>
      <c r="B370" s="77" t="inlineStr">
        <is>
          <t>UK07</t>
        </is>
      </c>
      <c r="C370" s="77" t="inlineStr">
        <is>
          <t>Surrey</t>
        </is>
      </c>
      <c r="D370" s="77" t="inlineStr">
        <is>
          <t>UK – additional</t>
        </is>
      </c>
      <c r="E370" s="77" t="inlineStr">
        <is>
          <t>Independent Applied Study (MANM572)</t>
        </is>
      </c>
      <c r="F370" s="77" t="inlineStr">
        <is>
          <t>No</t>
        </is>
      </c>
      <c r="G370" s="77" t="inlineStr"/>
      <c r="H370" s="77" t="inlineStr">
        <is>
          <t>Near-miss: not group</t>
        </is>
      </c>
      <c r="I370" s="77" t="inlineStr">
        <is>
          <t>Consultancy route on a brief agreed with a company stakeholder and supervisor is an individual summer project.</t>
        </is>
      </c>
      <c r="J370" s="77" t="inlineStr">
        <is>
          <t>https://catalogue.surrey.ac.uk/2025-6/module/MANM572/XAY/X</t>
        </is>
      </c>
      <c r="K370" s="77" t="inlineStr">
        <is>
          <t>2025/6</t>
        </is>
      </c>
    </row>
    <row r="371">
      <c r="A371" s="77" t="inlineStr">
        <is>
          <t>UK07-X03</t>
        </is>
      </c>
      <c r="B371" s="77" t="inlineStr">
        <is>
          <t>UK07</t>
        </is>
      </c>
      <c r="C371" s="77" t="inlineStr">
        <is>
          <t>Surrey</t>
        </is>
      </c>
      <c r="D371" s="77" t="inlineStr">
        <is>
          <t>UK – additional</t>
        </is>
      </c>
      <c r="E371" s="77" t="inlineStr">
        <is>
          <t>Business Analytics Consultancy Project (MAN3245)</t>
        </is>
      </c>
      <c r="F371" s="77" t="inlineStr">
        <is>
          <t>No</t>
        </is>
      </c>
      <c r="G371" s="77" t="inlineStr"/>
      <c r="H371" s="77" t="inlineStr">
        <is>
          <t>Near-miss: not group</t>
        </is>
      </c>
      <c r="I371" s="77" t="inlineStr">
        <is>
          <t>Individual supervised analytics project.</t>
        </is>
      </c>
      <c r="J371" s="77" t="inlineStr">
        <is>
          <t>https://catalogue.surrey.ac.uk/2025-6/module/MAN3245</t>
        </is>
      </c>
      <c r="K371" s="77" t="inlineStr">
        <is>
          <t>2025/6</t>
        </is>
      </c>
    </row>
    <row r="372">
      <c r="A372" s="77" t="inlineStr">
        <is>
          <t>UK07-X04</t>
        </is>
      </c>
      <c r="B372" s="77" t="inlineStr">
        <is>
          <t>UK07</t>
        </is>
      </c>
      <c r="C372" s="77" t="inlineStr">
        <is>
          <t>Surrey</t>
        </is>
      </c>
      <c r="D372" s="77" t="inlineStr">
        <is>
          <t>UK – additional</t>
        </is>
      </c>
      <c r="E372" s="77" t="inlineStr">
        <is>
          <t>Capstone Project (MANM488)</t>
        </is>
      </c>
      <c r="F372" s="77" t="inlineStr">
        <is>
          <t>No</t>
        </is>
      </c>
      <c r="G372" s="77" t="inlineStr"/>
      <c r="H372" s="77" t="inlineStr">
        <is>
          <t>Dissertation/research</t>
        </is>
      </c>
      <c r="I372" s="77" t="inlineStr">
        <is>
          <t>Individual 8,000-word research report plus viva; no external organisation.</t>
        </is>
      </c>
      <c r="J372" s="77" t="inlineStr">
        <is>
          <t>https://catalogue.surrey.ac.uk/2025-6/module/MANM488</t>
        </is>
      </c>
      <c r="K372" s="77" t="inlineStr">
        <is>
          <t>2025/6</t>
        </is>
      </c>
    </row>
    <row r="373">
      <c r="A373" s="77" t="inlineStr">
        <is>
          <t>UK07-X05</t>
        </is>
      </c>
      <c r="B373" s="77" t="inlineStr">
        <is>
          <t>UK07</t>
        </is>
      </c>
      <c r="C373" s="77" t="inlineStr">
        <is>
          <t>Surrey</t>
        </is>
      </c>
      <c r="D373" s="77" t="inlineStr">
        <is>
          <t>UK – additional</t>
        </is>
      </c>
      <c r="E373" s="77" t="inlineStr">
        <is>
          <t>Professional Project (COM3001)</t>
        </is>
      </c>
      <c r="F373" s="77" t="inlineStr">
        <is>
          <t>No</t>
        </is>
      </c>
      <c r="G373" s="77" t="inlineStr"/>
      <c r="H373" s="77" t="inlineStr">
        <is>
          <t>Near-miss: not group</t>
        </is>
      </c>
      <c r="I373" s="77" t="inlineStr">
        <is>
          <t>Mostly individual final-year project; some on placement-employer topics.</t>
        </is>
      </c>
      <c r="J373" s="77" t="inlineStr">
        <is>
          <t>https://catalogue.surrey.ac.uk/2025-6/module/COM3001</t>
        </is>
      </c>
      <c r="K373" s="77" t="inlineStr">
        <is>
          <t>2025/6</t>
        </is>
      </c>
    </row>
    <row r="374">
      <c r="A374" s="77" t="inlineStr">
        <is>
          <t>UK07-X06</t>
        </is>
      </c>
      <c r="B374" s="77" t="inlineStr">
        <is>
          <t>UK07</t>
        </is>
      </c>
      <c r="C374" s="77" t="inlineStr">
        <is>
          <t>Surrey</t>
        </is>
      </c>
      <c r="D374" s="77" t="inlineStr">
        <is>
          <t>UK – additional</t>
        </is>
      </c>
      <c r="E374" s="77" t="inlineStr">
        <is>
          <t>Group Project (ENGM321, MSc Sustainable Energy)</t>
        </is>
      </c>
      <c r="F374" s="77" t="inlineStr">
        <is>
          <t>No</t>
        </is>
      </c>
      <c r="G374" s="77" t="inlineStr"/>
      <c r="H374" s="77" t="inlineStr">
        <is>
          <t>Near-miss: no external org</t>
        </is>
      </c>
      <c r="I374" s="77" t="inlineStr">
        <is>
          <t>Compulsory group project, but academic staff act as clients (internal), only 'often' consulting industry.</t>
        </is>
      </c>
      <c r="J374" s="77" t="inlineStr">
        <is>
          <t>https://catalogue.surrey.ac.uk/2025-6/module/ENGM321/XAY/XCF</t>
        </is>
      </c>
      <c r="K374" s="77" t="inlineStr">
        <is>
          <t>2025/6</t>
        </is>
      </c>
    </row>
    <row r="375">
      <c r="A375" s="77" t="inlineStr">
        <is>
          <t>UK07-X07</t>
        </is>
      </c>
      <c r="B375" s="77" t="inlineStr">
        <is>
          <t>UK07</t>
        </is>
      </c>
      <c r="C375" s="77" t="inlineStr">
        <is>
          <t>Surrey</t>
        </is>
      </c>
      <c r="D375" s="77" t="inlineStr">
        <is>
          <t>UK – additional</t>
        </is>
      </c>
      <c r="E375" s="77" t="inlineStr">
        <is>
          <t>Mentoring and Professional Development (MAN3162)</t>
        </is>
      </c>
      <c r="F375" s="77" t="inlineStr">
        <is>
          <t>No</t>
        </is>
      </c>
      <c r="G375" s="77" t="inlineStr"/>
      <c r="H375" s="77" t="inlineStr">
        <is>
          <t>Near-miss: not group</t>
        </is>
      </c>
      <c r="I375" s="77" t="inlineStr">
        <is>
          <t>Industry mentor sets a live issue but assessment is an individual 6,000-word industry report.</t>
        </is>
      </c>
      <c r="J375" s="77" t="inlineStr">
        <is>
          <t>https://www.surrey.ac.uk/mentoring-and-professional-development</t>
        </is>
      </c>
      <c r="K375" s="77" t="inlineStr">
        <is>
          <t>2025/6 catalogue</t>
        </is>
      </c>
    </row>
    <row r="376">
      <c r="A376" s="77" t="inlineStr">
        <is>
          <t>UK07-X08</t>
        </is>
      </c>
      <c r="B376" s="77" t="inlineStr">
        <is>
          <t>UK07</t>
        </is>
      </c>
      <c r="C376" s="77" t="inlineStr">
        <is>
          <t>Surrey</t>
        </is>
      </c>
      <c r="D376" s="77" t="inlineStr">
        <is>
          <t>UK – additional</t>
        </is>
      </c>
      <c r="E376" s="77" t="inlineStr">
        <is>
          <t>International Business Project (MANM372)</t>
        </is>
      </c>
      <c r="F376" s="77" t="inlineStr">
        <is>
          <t>No</t>
        </is>
      </c>
      <c r="G376" s="77" t="inlineStr"/>
      <c r="H376" s="77" t="inlineStr">
        <is>
          <t>Near-miss: no external org</t>
        </is>
      </c>
      <c r="I376" s="77" t="inlineStr">
        <is>
          <t>Unsupervised secondary-research project; no client evidenced.</t>
        </is>
      </c>
      <c r="J376" s="77" t="inlineStr">
        <is>
          <t>https://catalogue.surrey.ac.uk/2025-6/module/MANM372/SEMR2/2</t>
        </is>
      </c>
      <c r="K376" s="77" t="inlineStr">
        <is>
          <t>2025/6</t>
        </is>
      </c>
    </row>
    <row r="377">
      <c r="A377" s="77" t="inlineStr">
        <is>
          <t>UK07-X09</t>
        </is>
      </c>
      <c r="B377" s="77" t="inlineStr">
        <is>
          <t>UK07</t>
        </is>
      </c>
      <c r="C377" s="77" t="inlineStr">
        <is>
          <t>Surrey</t>
        </is>
      </c>
      <c r="D377" s="77" t="inlineStr">
        <is>
          <t>UK – additional</t>
        </is>
      </c>
      <c r="E377" s="77" t="inlineStr">
        <is>
          <t>Law Access to Justice partner workshop / D2LT pro bono / AI simulated client</t>
        </is>
      </c>
      <c r="F377" s="77" t="inlineStr">
        <is>
          <t>No</t>
        </is>
      </c>
      <c r="G377" s="77" t="inlineStr"/>
      <c r="H377" s="77" t="inlineStr">
        <is>
          <t>Evidence gap</t>
        </is>
      </c>
      <c r="I377" s="77" t="inlineStr">
        <is>
          <t>Single 2024 teaching-fund workshop with a charity and theatre company; pro bono clinical options and AI 'client' (simulation) not shown as group projects.</t>
        </is>
      </c>
      <c r="J377" s="77" t="inlineStr">
        <is>
          <t>https://surrey.ac.uk/faculty-arts-social-sciences/education/projects</t>
        </is>
      </c>
      <c r="K377" s="77" t="inlineStr">
        <is>
          <t>2024-2026</t>
        </is>
      </c>
    </row>
    <row r="378">
      <c r="A378" s="77" t="inlineStr">
        <is>
          <t>UK07-X10</t>
        </is>
      </c>
      <c r="B378" s="77" t="inlineStr">
        <is>
          <t>UK07</t>
        </is>
      </c>
      <c r="C378" s="77" t="inlineStr">
        <is>
          <t>Surrey</t>
        </is>
      </c>
      <c r="D378" s="77" t="inlineStr">
        <is>
          <t>UK – additional</t>
        </is>
      </c>
      <c r="E378" s="77" t="inlineStr">
        <is>
          <t>Biochemistry MSci target-product-profile pitch to industry experts</t>
        </is>
      </c>
      <c r="F378" s="77" t="inlineStr">
        <is>
          <t>No</t>
        </is>
      </c>
      <c r="G378" s="77" t="inlineStr"/>
      <c r="H378" s="77" t="inlineStr">
        <is>
          <t>Evidence gap</t>
        </is>
      </c>
      <c r="I378" s="77" t="inlineStr">
        <is>
          <t>Group status, client role and programme unclear from search summary.</t>
        </is>
      </c>
      <c r="J378" s="77" t="inlineStr">
        <is>
          <t>https://www.surrey.ac.uk/undergraduate/biochemistry</t>
        </is>
      </c>
      <c r="K378" s="77" t="inlineStr"/>
    </row>
    <row r="379">
      <c r="A379" s="77" t="inlineStr">
        <is>
          <t>UK07-X11</t>
        </is>
      </c>
      <c r="B379" s="77" t="inlineStr">
        <is>
          <t>UK07</t>
        </is>
      </c>
      <c r="C379" s="77" t="inlineStr">
        <is>
          <t>Surrey</t>
        </is>
      </c>
      <c r="D379" s="77" t="inlineStr">
        <is>
          <t>UK – additional</t>
        </is>
      </c>
      <c r="E379" s="77" t="inlineStr">
        <is>
          <t>Surrey Hatchery / Student Enterprise start-up support</t>
        </is>
      </c>
      <c r="F379" s="77" t="inlineStr">
        <is>
          <t>No</t>
        </is>
      </c>
      <c r="G379" s="77" t="inlineStr"/>
      <c r="H379" s="77" t="inlineStr">
        <is>
          <t>Entrepreneurship/incubator</t>
        </is>
      </c>
      <c r="I379" s="77" t="inlineStr">
        <is>
          <t>Supports students' own ventures.</t>
        </is>
      </c>
      <c r="J379" s="77" t="inlineStr">
        <is>
          <t>https://www.surrey.ac.uk/student-enterprise/about</t>
        </is>
      </c>
      <c r="K379" s="77" t="inlineStr"/>
    </row>
    <row r="380">
      <c r="A380" s="77" t="inlineStr">
        <is>
          <t>UK07-X12</t>
        </is>
      </c>
      <c r="B380" s="77" t="inlineStr">
        <is>
          <t>UK07</t>
        </is>
      </c>
      <c r="C380" s="77" t="inlineStr">
        <is>
          <t>Surrey</t>
        </is>
      </c>
      <c r="D380" s="77" t="inlineStr">
        <is>
          <t>UK – additional</t>
        </is>
      </c>
      <c r="E380" s="77" t="inlineStr">
        <is>
          <t>Surrey Employability Hub / Pathfinder / careers events</t>
        </is>
      </c>
      <c r="F380" s="77" t="inlineStr">
        <is>
          <t>No</t>
        </is>
      </c>
      <c r="G380" s="77" t="inlineStr"/>
      <c r="H380" s="77" t="inlineStr">
        <is>
          <t>Careers service</t>
        </is>
      </c>
      <c r="I380" s="77" t="inlineStr">
        <is>
          <t>Job and event listings; no project.</t>
        </is>
      </c>
      <c r="J380" s="77" t="inlineStr">
        <is>
          <t>https://www.surrey.ac.uk/employability-and-careers/about/surrey-employability-hub</t>
        </is>
      </c>
      <c r="K380" s="77" t="inlineStr"/>
    </row>
    <row r="381">
      <c r="A381" s="77" t="inlineStr">
        <is>
          <t>UK08-X01</t>
        </is>
      </c>
      <c r="B381" s="77" t="inlineStr">
        <is>
          <t>UK08</t>
        </is>
      </c>
      <c r="C381" s="77" t="inlineStr">
        <is>
          <t>Sussex</t>
        </is>
      </c>
      <c r="D381" s="77" t="inlineStr">
        <is>
          <t>UK – additional</t>
        </is>
      </c>
      <c r="E381" s="77" t="inlineStr">
        <is>
          <t>Connector Programme</t>
        </is>
      </c>
      <c r="F381" s="77" t="inlineStr">
        <is>
          <t>Yes</t>
        </is>
      </c>
      <c r="G381" s="77" t="n">
        <v>60</v>
      </c>
      <c r="H381" s="77" t="inlineStr">
        <is>
          <t>Near-miss: no external org</t>
        </is>
      </c>
      <c r="I381" s="77" t="inlineStr">
        <is>
          <t>Paid student-staff partnership projects improving university provision (modules, technology, student support); the university itself is the client, so C is not met (internal). Assessed from the legacy row; not re-searched this round (budget exhausted).</t>
        </is>
      </c>
      <c r="J381" s="77" t="inlineStr">
        <is>
          <t>https://staff.sussex.ac.uk/guides/join-the-connector-programme</t>
        </is>
      </c>
      <c r="K381" s="77" t="inlineStr">
        <is>
          <t>Legacy: 2025 welcome evidence</t>
        </is>
      </c>
    </row>
    <row r="382">
      <c r="A382" s="77" t="inlineStr">
        <is>
          <t>UK08-X02</t>
        </is>
      </c>
      <c r="B382" s="77" t="inlineStr">
        <is>
          <t>UK08</t>
        </is>
      </c>
      <c r="C382" s="77" t="inlineStr">
        <is>
          <t>Sussex</t>
        </is>
      </c>
      <c r="D382" s="77" t="inlineStr">
        <is>
          <t>UK – additional</t>
        </is>
      </c>
      <c r="E382" s="77" t="inlineStr">
        <is>
          <t>Teaching management consulting in partnership with the university's commercial services (Learning Matters blog)</t>
        </is>
      </c>
      <c r="F382" s="77" t="inlineStr">
        <is>
          <t>No</t>
        </is>
      </c>
      <c r="G382" s="77" t="inlineStr"/>
      <c r="H382" s="77" t="inlineStr">
        <is>
          <t>Near-miss: no external org</t>
        </is>
      </c>
      <c r="I382" s="77" t="inlineStr">
        <is>
          <t>Blog title indicates an authentic assessment in which the client is the university's own commercial services (internal client); not tested further.</t>
        </is>
      </c>
      <c r="J382" s="77" t="inlineStr">
        <is>
          <t>https://blogs.sussex.ac.uk/learning-matters/2024/08/27/authentic-assessment-through-collaboration-teaching-management-consulting-in-partnership-with-our-universitys-commercial-services/</t>
        </is>
      </c>
      <c r="K382" s="77" t="inlineStr">
        <is>
          <t>2024 blog</t>
        </is>
      </c>
    </row>
    <row r="383">
      <c r="A383" s="77" t="inlineStr">
        <is>
          <t>UK08-X03</t>
        </is>
      </c>
      <c r="B383" s="77" t="inlineStr">
        <is>
          <t>UK08</t>
        </is>
      </c>
      <c r="C383" s="77" t="inlineStr">
        <is>
          <t>Sussex</t>
        </is>
      </c>
      <c r="D383" s="77" t="inlineStr">
        <is>
          <t>UK – additional</t>
        </is>
      </c>
      <c r="E383" s="77" t="inlineStr">
        <is>
          <t>Business Analysis and Consulting (974N1)</t>
        </is>
      </c>
      <c r="F383" s="77" t="inlineStr">
        <is>
          <t>No</t>
        </is>
      </c>
      <c r="G383" s="77" t="inlineStr"/>
      <c r="H383" s="77" t="inlineStr">
        <is>
          <t>Evidence gap</t>
        </is>
      </c>
      <c r="I383" s="77" t="inlineStr">
        <is>
          <t>Level 7 module with group written submission (2020/21) following a generalist consulting approach; no evidence of an external client.</t>
        </is>
      </c>
      <c r="J383" s="77" t="inlineStr">
        <is>
          <t>https://www.sussex.ac.uk/business-school/internal/departments/strategy-marketing/pgcourses/2020/N1508T/88475</t>
        </is>
      </c>
      <c r="K383" s="77" t="inlineStr">
        <is>
          <t>2020/21 and 2024 pages</t>
        </is>
      </c>
    </row>
    <row r="384">
      <c r="A384" s="77" t="inlineStr">
        <is>
          <t>UK08-X04</t>
        </is>
      </c>
      <c r="B384" s="77" t="inlineStr">
        <is>
          <t>UK08</t>
        </is>
      </c>
      <c r="C384" s="77" t="inlineStr">
        <is>
          <t>Sussex</t>
        </is>
      </c>
      <c r="D384" s="77" t="inlineStr">
        <is>
          <t>UK – additional</t>
        </is>
      </c>
      <c r="E384" s="77" t="inlineStr">
        <is>
          <t>Dissertation / Consultancy Project (International Business and Development in Practice)</t>
        </is>
      </c>
      <c r="F384" s="77" t="inlineStr">
        <is>
          <t>No</t>
        </is>
      </c>
      <c r="G384" s="77" t="inlineStr"/>
      <c r="H384" s="77" t="inlineStr">
        <is>
          <t>Evidence gap</t>
        </is>
      </c>
      <c r="I384" s="77" t="inlineStr">
        <is>
          <t>Stream in which students choose a specific company and identify a research question; group working not evidenced (appears individual).</t>
        </is>
      </c>
      <c r="J384" s="77" t="inlineStr">
        <is>
          <t>https://www.sussex.ac.uk/study/modules/postgraduate/2024/95257-dissertation-consultancy-project-international-business-and-development-in-practice</t>
        </is>
      </c>
      <c r="K384" s="77" t="inlineStr">
        <is>
          <t>2024/25 page</t>
        </is>
      </c>
    </row>
    <row r="385">
      <c r="A385" s="77" t="inlineStr">
        <is>
          <t>UK09-X01</t>
        </is>
      </c>
      <c r="B385" s="77" t="inlineStr">
        <is>
          <t>UK09</t>
        </is>
      </c>
      <c r="C385" s="77" t="inlineStr">
        <is>
          <t>Leicester</t>
        </is>
      </c>
      <c r="D385" s="77" t="inlineStr">
        <is>
          <t>UK – additional</t>
        </is>
      </c>
      <c r="E385" s="77" t="inlineStr">
        <is>
          <t>Leicester Award / Leicester Award Gold</t>
        </is>
      </c>
      <c r="F385" s="77" t="inlineStr">
        <is>
          <t>Yes</t>
        </is>
      </c>
      <c r="G385" s="77" t="n">
        <v>61</v>
      </c>
      <c r="H385" s="77" t="inlineStr">
        <is>
          <t>Employability award</t>
        </is>
      </c>
      <c r="I385" s="77" t="inlineStr">
        <is>
          <t>Co-curricular/embedded employability award and Gold stage supporting placements/internships; no specific group employer project evidenced (fails A/B/C on its own). Now embedded in degree programmes (Gold usually a second-year module).</t>
        </is>
      </c>
      <c r="J385" s="77" t="inlineStr">
        <is>
          <t>https://le.ac.uk/study/undergraduates/careers/the-leicester-award</t>
        </is>
      </c>
      <c r="K385" s="77" t="inlineStr">
        <is>
          <t>2023 embedding news; latest award intake not verified</t>
        </is>
      </c>
    </row>
    <row r="386">
      <c r="A386" s="77" t="inlineStr">
        <is>
          <t>UK09-X02</t>
        </is>
      </c>
      <c r="B386" s="77" t="inlineStr">
        <is>
          <t>UK09</t>
        </is>
      </c>
      <c r="C386" s="77" t="inlineStr">
        <is>
          <t>Leicester</t>
        </is>
      </c>
      <c r="D386" s="77" t="inlineStr">
        <is>
          <t>UK – additional</t>
        </is>
      </c>
      <c r="E386" s="77" t="inlineStr">
        <is>
          <t>100 hours of work-related learning guarantee</t>
        </is>
      </c>
      <c r="F386" s="77" t="inlineStr">
        <is>
          <t>Yes</t>
        </is>
      </c>
      <c r="G386" s="77" t="n">
        <v>62</v>
      </c>
      <c r="H386" s="77" t="inlineStr">
        <is>
          <t>WIL framework</t>
        </is>
      </c>
      <c r="I386"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386" s="77" t="inlineStr">
        <is>
          <t>https://le.ac.uk/study/undergraduates/careers/100-hours</t>
        </is>
      </c>
      <c r="K386" s="77" t="inlineStr">
        <is>
          <t>Applies from 2026/27; announced Jan 2026</t>
        </is>
      </c>
    </row>
    <row r="387">
      <c r="A387" s="77" t="inlineStr">
        <is>
          <t>UK09-X03</t>
        </is>
      </c>
      <c r="B387" s="77" t="inlineStr">
        <is>
          <t>UK09</t>
        </is>
      </c>
      <c r="C387" s="77" t="inlineStr">
        <is>
          <t>Leicester</t>
        </is>
      </c>
      <c r="D387" s="77" t="inlineStr">
        <is>
          <t>UK – additional</t>
        </is>
      </c>
      <c r="E387" s="77" t="inlineStr">
        <is>
          <t>Business Consultancy Competition (School of Business)</t>
        </is>
      </c>
      <c r="F387" s="77" t="inlineStr">
        <is>
          <t>No</t>
        </is>
      </c>
      <c r="G387" s="77" t="inlineStr"/>
      <c r="H387" s="77" t="inlineStr">
        <is>
          <t>Simulation/virtual</t>
        </is>
      </c>
      <c r="I387" s="77" t="inlineStr">
        <is>
          <t>Teams of 2-5 form fictitious companies bidding on a made-up university procurement review; judges include the University's Director of Procurement (internal) - hypothetical client.</t>
        </is>
      </c>
      <c r="J387" s="77" t="inlineStr">
        <is>
          <t>https://le.ac.uk/school-of-business/news/events/business-consultancy-competition</t>
        </is>
      </c>
      <c r="K387" s="77" t="inlineStr">
        <is>
          <t>Event listing, undated</t>
        </is>
      </c>
    </row>
    <row r="388">
      <c r="A388" s="77" t="inlineStr">
        <is>
          <t>UK09-X04</t>
        </is>
      </c>
      <c r="B388" s="77" t="inlineStr">
        <is>
          <t>UK09</t>
        </is>
      </c>
      <c r="C388" s="77" t="inlineStr">
        <is>
          <t>Leicester</t>
        </is>
      </c>
      <c r="D388" s="77" t="inlineStr">
        <is>
          <t>UK – additional</t>
        </is>
      </c>
      <c r="E388" s="77" t="inlineStr">
        <is>
          <t>MSc Management with Professional Practice (live business project)</t>
        </is>
      </c>
      <c r="F388" s="77" t="inlineStr">
        <is>
          <t>No</t>
        </is>
      </c>
      <c r="G388" s="77" t="inlineStr"/>
      <c r="H388" s="77" t="inlineStr">
        <is>
          <t>Placement/internship</t>
        </is>
      </c>
      <c r="I388" s="77" t="inlineStr">
        <is>
          <t>Optional route: internship plus final business project informed by internship; individual and dependent on internship; group working not evidenced.</t>
        </is>
      </c>
      <c r="J388" s="77" t="inlineStr">
        <is>
          <t>https://le.ac.uk/courses/management-msc/2026</t>
        </is>
      </c>
      <c r="K388" s="77" t="inlineStr">
        <is>
          <t>2026 entry</t>
        </is>
      </c>
    </row>
    <row r="389">
      <c r="A389" s="77" t="inlineStr">
        <is>
          <t>UK09-X05</t>
        </is>
      </c>
      <c r="B389" s="77" t="inlineStr">
        <is>
          <t>UK09</t>
        </is>
      </c>
      <c r="C389" s="77" t="inlineStr">
        <is>
          <t>Leicester</t>
        </is>
      </c>
      <c r="D389" s="77" t="inlineStr">
        <is>
          <t>UK – additional</t>
        </is>
      </c>
      <c r="E389" s="77" t="inlineStr">
        <is>
          <t>MSc AI for Business Intelligence / Data Analysis for Business Intelligence summer project</t>
        </is>
      </c>
      <c r="F389" s="77" t="inlineStr">
        <is>
          <t>No</t>
        </is>
      </c>
      <c r="G389" s="77" t="inlineStr"/>
      <c r="H389" s="77" t="inlineStr">
        <is>
          <t>Near-miss: not group</t>
        </is>
      </c>
      <c r="I389" s="77" t="inlineStr">
        <is>
          <t>Industry supervisor and real data, partners such as Santander and Deloitte named as past collaborators, but programme specification describes students working individually.</t>
        </is>
      </c>
      <c r="J389" s="77" t="inlineStr">
        <is>
          <t>https://le.ac.uk/course-doc-links/pg/a/25-26/ai-for-business-intelligence-msc</t>
        </is>
      </c>
      <c r="K389" s="77" t="inlineStr">
        <is>
          <t>2025/26 spec</t>
        </is>
      </c>
    </row>
    <row r="390">
      <c r="A390" s="77" t="inlineStr">
        <is>
          <t>UK09-X06</t>
        </is>
      </c>
      <c r="B390" s="77" t="inlineStr">
        <is>
          <t>UK09</t>
        </is>
      </c>
      <c r="C390" s="77" t="inlineStr">
        <is>
          <t>Leicester</t>
        </is>
      </c>
      <c r="D390" s="77" t="inlineStr">
        <is>
          <t>UK – additional</t>
        </is>
      </c>
      <c r="E390" s="77" t="inlineStr">
        <is>
          <t>Law Legal Advice Clinic / Law in Practice modules and Pro Bono Society</t>
        </is>
      </c>
      <c r="F390" s="77" t="inlineStr">
        <is>
          <t>No</t>
        </is>
      </c>
      <c r="G390" s="77" t="inlineStr"/>
      <c r="H390" s="77" t="inlineStr">
        <is>
          <t>Volunteering/service-learning</t>
        </is>
      </c>
      <c r="I390"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390" s="77" t="inlineStr">
        <is>
          <t>https://le.ac.uk/engagement/case-studies/legal-advice</t>
        </is>
      </c>
      <c r="K390" s="77" t="inlineStr">
        <is>
          <t>2026 pages</t>
        </is>
      </c>
    </row>
    <row r="391">
      <c r="A391" s="77" t="inlineStr">
        <is>
          <t>UK09-X07</t>
        </is>
      </c>
      <c r="B391" s="77" t="inlineStr">
        <is>
          <t>UK09</t>
        </is>
      </c>
      <c r="C391" s="77" t="inlineStr">
        <is>
          <t>Leicester</t>
        </is>
      </c>
      <c r="D391" s="77" t="inlineStr">
        <is>
          <t>UK – additional</t>
        </is>
      </c>
      <c r="E391" s="77" t="inlineStr">
        <is>
          <t>Live Sociology (and Citizens for Change)</t>
        </is>
      </c>
      <c r="F391" s="77" t="inlineStr">
        <is>
          <t>No</t>
        </is>
      </c>
      <c r="G391" s="77" t="inlineStr"/>
      <c r="H391" s="77" t="inlineStr">
        <is>
          <t>Evidence gap</t>
        </is>
      </c>
      <c r="I391" s="77" t="inlineStr">
        <is>
          <t>Second-year community fieldwork 'real-world projects' module; no source identifies external organisations, group working or deliverables. Citizens for Change (Criminology BSc) format not described.</t>
        </is>
      </c>
      <c r="J391" s="77" t="inlineStr">
        <is>
          <t>https://le.ac.uk/courses/sociology-ba/2027</t>
        </is>
      </c>
      <c r="K391" s="77" t="inlineStr">
        <is>
          <t>2026-27 course pages</t>
        </is>
      </c>
    </row>
    <row r="392">
      <c r="A392" s="77" t="inlineStr">
        <is>
          <t>UK09-X08</t>
        </is>
      </c>
      <c r="B392" s="77" t="inlineStr">
        <is>
          <t>UK09</t>
        </is>
      </c>
      <c r="C392" s="77" t="inlineStr">
        <is>
          <t>Leicester</t>
        </is>
      </c>
      <c r="D392" s="77" t="inlineStr">
        <is>
          <t>UK – additional</t>
        </is>
      </c>
      <c r="E392" s="77" t="inlineStr">
        <is>
          <t>Employer-supplied summer consultancy challenges / micro-internships / Undergraduate Project Engineers (Innovation Hub)</t>
        </is>
      </c>
      <c r="F392" s="77" t="inlineStr">
        <is>
          <t>No</t>
        </is>
      </c>
      <c r="G392" s="77" t="inlineStr"/>
      <c r="H392" s="77" t="inlineStr">
        <is>
          <t>Evidence gap</t>
        </is>
      </c>
      <c r="I392" s="77" t="inlineStr">
        <is>
          <t>Employer-facing pages offer consultancy briefs and student projects for SMEs; no student-facing description, team structure, participation numbers or dated delivery found.</t>
        </is>
      </c>
      <c r="J392" s="77" t="inlineStr">
        <is>
          <t>https://le.ac.uk/enterprise/recruit-our-students/toolkit</t>
        </is>
      </c>
      <c r="K392" s="77" t="inlineStr">
        <is>
          <t>Undated pages</t>
        </is>
      </c>
    </row>
    <row r="393">
      <c r="A393" s="77" t="inlineStr">
        <is>
          <t>UK09-X09</t>
        </is>
      </c>
      <c r="B393" s="77" t="inlineStr">
        <is>
          <t>UK09</t>
        </is>
      </c>
      <c r="C393" s="77" t="inlineStr">
        <is>
          <t>Leicester</t>
        </is>
      </c>
      <c r="D393" s="77" t="inlineStr">
        <is>
          <t>UK – additional</t>
        </is>
      </c>
      <c r="E393" s="77" t="inlineStr">
        <is>
          <t>Interprofessional education / Health Care Team Challenge</t>
        </is>
      </c>
      <c r="F393" s="77" t="inlineStr">
        <is>
          <t>No</t>
        </is>
      </c>
      <c r="G393" s="77" t="inlineStr"/>
      <c r="H393" s="77" t="inlineStr">
        <is>
          <t>Simulation/virtual</t>
        </is>
      </c>
      <c r="I393" s="77" t="inlineStr">
        <is>
          <t>Uses a fictitious mock patient scenario; no external organisation.</t>
        </is>
      </c>
      <c r="J393" s="77" t="inlineStr">
        <is>
          <t>https://www2.le.ac.uk/departments/medicine/student-staff/projects/patient-centred-collaborative-quality-improvement-case-study-ajay-patel</t>
        </is>
      </c>
      <c r="K393" s="77" t="inlineStr">
        <is>
          <t>Undated</t>
        </is>
      </c>
    </row>
    <row r="394">
      <c r="A394" s="77" t="inlineStr">
        <is>
          <t>UK10-X01</t>
        </is>
      </c>
      <c r="B394" s="77" t="inlineStr">
        <is>
          <t>UK10</t>
        </is>
      </c>
      <c r="C394" s="77" t="inlineStr">
        <is>
          <t>Strathclyde</t>
        </is>
      </c>
      <c r="D394" s="77" t="inlineStr">
        <is>
          <t>UK – additional</t>
        </is>
      </c>
      <c r="E394" s="77" t="inlineStr">
        <is>
          <t>MSc Business Analysis &amp; Consulting summer project</t>
        </is>
      </c>
      <c r="F394" s="77" t="inlineStr">
        <is>
          <t>No</t>
        </is>
      </c>
      <c r="G394" s="77" t="inlineStr"/>
      <c r="H394" s="77" t="inlineStr">
        <is>
          <t>Near-miss: not group</t>
        </is>
      </c>
      <c r="I394" s="77" t="inlineStr">
        <is>
          <t>Three-month summer project for an external organisation, but the student manages the client relationship individually (individual project).</t>
        </is>
      </c>
      <c r="J394" s="77" t="inlineStr">
        <is>
          <t>https://www.strath.ac.uk/courses/postgraduatetaught/businessanalysisconsulting/</t>
        </is>
      </c>
      <c r="K394" s="77" t="inlineStr">
        <is>
          <t>Undated page; June-Sept (Aug-Nov January intake)</t>
        </is>
      </c>
    </row>
    <row r="395">
      <c r="A395" s="77" t="inlineStr">
        <is>
          <t>UK10-X02</t>
        </is>
      </c>
      <c r="B395" s="77" t="inlineStr">
        <is>
          <t>UK10</t>
        </is>
      </c>
      <c r="C395" s="77" t="inlineStr">
        <is>
          <t>Strathclyde</t>
        </is>
      </c>
      <c r="D395" s="77" t="inlineStr">
        <is>
          <t>UK – additional</t>
        </is>
      </c>
      <c r="E395" s="77" t="inlineStr">
        <is>
          <t>BA Business Analysis &amp; Technology Honours client projects</t>
        </is>
      </c>
      <c r="F395" s="77" t="inlineStr">
        <is>
          <t>No</t>
        </is>
      </c>
      <c r="G395" s="77" t="inlineStr"/>
      <c r="H395" s="77" t="inlineStr">
        <is>
          <t>Near-miss: not group</t>
        </is>
      </c>
      <c r="I395"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395" s="77" t="inlineStr">
        <is>
          <t>https://www.strath.ac.uk/courses/undergraduate/businessanalysistechnology/</t>
        </is>
      </c>
      <c r="K395" s="77" t="inlineStr">
        <is>
          <t>Undated</t>
        </is>
      </c>
    </row>
    <row r="396">
      <c r="A396" s="77" t="inlineStr">
        <is>
          <t>UK10-X03</t>
        </is>
      </c>
      <c r="B396" s="77" t="inlineStr">
        <is>
          <t>UK10</t>
        </is>
      </c>
      <c r="C396" s="77" t="inlineStr">
        <is>
          <t>Strathclyde</t>
        </is>
      </c>
      <c r="D396" s="77" t="inlineStr">
        <is>
          <t>UK – additional</t>
        </is>
      </c>
      <c r="E396" s="77" t="inlineStr">
        <is>
          <t>Strathclyde Business School Student Projects / HR Management Projects / Marketing placements (organisation engagement offer)</t>
        </is>
      </c>
      <c r="F396" s="77" t="inlineStr">
        <is>
          <t>No</t>
        </is>
      </c>
      <c r="G396" s="77" t="inlineStr"/>
      <c r="H396" s="77" t="inlineStr">
        <is>
          <t>Placement/internship</t>
        </is>
      </c>
      <c r="I396" s="77" t="inlineStr">
        <is>
          <t>Employer-facing offer of projects from a few days to months (class assignments or dissertations); HR route is student acting as consultant on an HR brief but no group working or underlying module evidenced; Marketing Works captured as S6.</t>
        </is>
      </c>
      <c r="J396" s="77" t="inlineStr">
        <is>
          <t>https://www.strath.ac.uk/business/faculty/engagewithourstudents/studentprojects/</t>
        </is>
      </c>
      <c r="K396" s="77" t="inlineStr"/>
    </row>
    <row r="397">
      <c r="A397" s="77" t="inlineStr">
        <is>
          <t>UK10-X04</t>
        </is>
      </c>
      <c r="B397" s="77" t="inlineStr">
        <is>
          <t>UK10</t>
        </is>
      </c>
      <c r="C397" s="77" t="inlineStr">
        <is>
          <t>Strathclyde</t>
        </is>
      </c>
      <c r="D397" s="77" t="inlineStr">
        <is>
          <t>UK – additional</t>
        </is>
      </c>
      <c r="E397" s="77" t="inlineStr">
        <is>
          <t>Management Science IDeA three-month consultancy</t>
        </is>
      </c>
      <c r="F397" s="77" t="inlineStr">
        <is>
          <t>No</t>
        </is>
      </c>
      <c r="G397" s="77" t="inlineStr"/>
      <c r="H397" s="77" t="inlineStr">
        <is>
          <t>Near-miss: not group</t>
        </is>
      </c>
      <c r="I397" s="77" t="inlineStr">
        <is>
          <t>Postgraduate students spend three months with organisations delivering consultancy work (dissertation-type); group working not evidenced.</t>
        </is>
      </c>
      <c r="J397" s="77" t="inlineStr">
        <is>
          <t>https://www.strath.ac.uk/business/managementscience/idea/howcanwehelp/</t>
        </is>
      </c>
      <c r="K397" s="77" t="inlineStr"/>
    </row>
    <row r="398">
      <c r="A398" s="77" t="inlineStr">
        <is>
          <t>UK10-X05</t>
        </is>
      </c>
      <c r="B398" s="77" t="inlineStr">
        <is>
          <t>UK10</t>
        </is>
      </c>
      <c r="C398" s="77" t="inlineStr">
        <is>
          <t>Strathclyde</t>
        </is>
      </c>
      <c r="D398" s="77" t="inlineStr">
        <is>
          <t>UK – additional</t>
        </is>
      </c>
      <c r="E398" s="77" t="inlineStr">
        <is>
          <t>Chemical &amp; Process Engineering industrial placement projects</t>
        </is>
      </c>
      <c r="F398" s="77" t="inlineStr">
        <is>
          <t>No</t>
        </is>
      </c>
      <c r="G398" s="77" t="inlineStr"/>
      <c r="H398" s="77" t="inlineStr">
        <is>
          <t>Near-miss: not group</t>
        </is>
      </c>
      <c r="I398" s="77" t="inlineStr">
        <is>
          <t>Final-year MEng students placed with a company for 3-6 months on a defined project: individual placement.</t>
        </is>
      </c>
      <c r="J398" s="77" t="inlineStr">
        <is>
          <t>https://www.strath.ac.uk/engineering/chemicalprocessengineering/workingwithindustry/industryprojects/</t>
        </is>
      </c>
      <c r="K398" s="77" t="inlineStr"/>
    </row>
    <row r="399">
      <c r="A399" s="77" t="inlineStr">
        <is>
          <t>UK10-X06</t>
        </is>
      </c>
      <c r="B399" s="77" t="inlineStr">
        <is>
          <t>UK10</t>
        </is>
      </c>
      <c r="C399" s="77" t="inlineStr">
        <is>
          <t>Strathclyde</t>
        </is>
      </c>
      <c r="D399" s="77" t="inlineStr">
        <is>
          <t>UK – additional</t>
        </is>
      </c>
      <c r="E399" s="77" t="inlineStr">
        <is>
          <t>BSc Software Engineering / MSc Advanced Computer Science employer-sponsored final projects</t>
        </is>
      </c>
      <c r="F399" s="77" t="inlineStr">
        <is>
          <t>No</t>
        </is>
      </c>
      <c r="G399" s="77" t="inlineStr"/>
      <c r="H399" s="77" t="inlineStr">
        <is>
          <t>Evidence gap</t>
        </is>
      </c>
      <c r="I399"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399" s="77" t="inlineStr">
        <is>
          <t>https://www.strath.ac.uk/courses/undergraduate/softwareengineering/</t>
        </is>
      </c>
      <c r="K399" s="77" t="inlineStr"/>
    </row>
    <row r="400">
      <c r="A400" s="77" t="inlineStr">
        <is>
          <t>UK10-X07</t>
        </is>
      </c>
      <c r="B400" s="77" t="inlineStr">
        <is>
          <t>UK10</t>
        </is>
      </c>
      <c r="C400" s="77" t="inlineStr">
        <is>
          <t>Strathclyde</t>
        </is>
      </c>
      <c r="D400" s="77" t="inlineStr">
        <is>
          <t>UK – additional</t>
        </is>
      </c>
      <c r="E400" s="77" t="inlineStr">
        <is>
          <t>Mechanical &amp; Aerospace Engineering MEng/MSc group projects</t>
        </is>
      </c>
      <c r="F400" s="77" t="inlineStr">
        <is>
          <t>No</t>
        </is>
      </c>
      <c r="G400" s="77" t="inlineStr"/>
      <c r="H400" s="77" t="inlineStr">
        <is>
          <t>Evidence gap</t>
        </is>
      </c>
      <c r="I400" s="77" t="inlineStr">
        <is>
          <t>PGT handbook 2025/26 refers to group projects tackling industry and societal challenges; no evidence retrieved that external clients set briefs.</t>
        </is>
      </c>
      <c r="J400" s="77" t="inlineStr">
        <is>
          <t>https://www.strath.ac.uk/media/departments/mechanicalengineering/handbooks/pg/FINAL_PGT_Handbook_2526.pdf</t>
        </is>
      </c>
      <c r="K400" s="77" t="inlineStr">
        <is>
          <t>2025/26 handbook</t>
        </is>
      </c>
    </row>
    <row r="401">
      <c r="A401" s="77" t="inlineStr">
        <is>
          <t>UK10-X08</t>
        </is>
      </c>
      <c r="B401" s="77" t="inlineStr">
        <is>
          <t>UK10</t>
        </is>
      </c>
      <c r="C401" s="77" t="inlineStr">
        <is>
          <t>Strathclyde</t>
        </is>
      </c>
      <c r="D401" s="77" t="inlineStr">
        <is>
          <t>UK – additional</t>
        </is>
      </c>
      <c r="E401" s="77" t="inlineStr">
        <is>
          <t>Mathematics &amp; Statistics SMART MSc summer projects</t>
        </is>
      </c>
      <c r="F401" s="77" t="inlineStr">
        <is>
          <t>No</t>
        </is>
      </c>
      <c r="G401" s="77" t="inlineStr"/>
      <c r="H401" s="77" t="inlineStr">
        <is>
          <t>Near-miss: not group</t>
        </is>
      </c>
      <c r="I401" s="77" t="inlineStr">
        <is>
          <t>Financial-sector firms co-supervise MSc Actuarial Science / Quantitative Finance summer projects; individual dissertations.</t>
        </is>
      </c>
      <c r="J401" s="77" t="inlineStr">
        <is>
          <t>https://www.strath.ac.uk/science/mathematicsstatistics/smart/</t>
        </is>
      </c>
      <c r="K401" s="77" t="inlineStr"/>
    </row>
    <row r="402">
      <c r="A402" s="77" t="inlineStr">
        <is>
          <t>UK10-X09</t>
        </is>
      </c>
      <c r="B402" s="77" t="inlineStr">
        <is>
          <t>UK10</t>
        </is>
      </c>
      <c r="C402" s="77" t="inlineStr">
        <is>
          <t>Strathclyde</t>
        </is>
      </c>
      <c r="D402" s="77" t="inlineStr">
        <is>
          <t>UK – additional</t>
        </is>
      </c>
      <c r="E402" s="77" t="inlineStr">
        <is>
          <t>Strathclyde Law Clinic</t>
        </is>
      </c>
      <c r="F402" s="77" t="inlineStr">
        <is>
          <t>No</t>
        </is>
      </c>
      <c r="G402" s="77" t="inlineStr"/>
      <c r="H402" s="77" t="inlineStr">
        <is>
          <t>Near-miss: no external org</t>
        </is>
      </c>
      <c r="I402" s="77" t="inlineStr">
        <is>
          <t>Students work in pairs under supervision on casework for members of the public (individuals), not external organisations; project-based clinics (e.g. Scottish Women's Rights Centre) mentioned but not assessed. Typed as service-learning/clinical.</t>
        </is>
      </c>
      <c r="J402" s="77" t="inlineStr">
        <is>
          <t>https://www.strath.ac.uk/humanities/lawschool/lawclinic/</t>
        </is>
      </c>
      <c r="K402" s="77" t="inlineStr"/>
    </row>
    <row r="403">
      <c r="A403" s="77" t="inlineStr">
        <is>
          <t>UK10-X10</t>
        </is>
      </c>
      <c r="B403" s="77" t="inlineStr">
        <is>
          <t>UK10</t>
        </is>
      </c>
      <c r="C403" s="77" t="inlineStr">
        <is>
          <t>Strathclyde</t>
        </is>
      </c>
      <c r="D403" s="77" t="inlineStr">
        <is>
          <t>UK – additional</t>
        </is>
      </c>
      <c r="E403" s="77" t="inlineStr">
        <is>
          <t>Exploring Entrepreneurship Challenge</t>
        </is>
      </c>
      <c r="F403" s="77" t="inlineStr">
        <is>
          <t>No</t>
        </is>
      </c>
      <c r="G403" s="77" t="inlineStr"/>
      <c r="H403" s="77" t="inlineStr">
        <is>
          <t>Entrepreneurship/incubator</t>
        </is>
      </c>
      <c r="I403" s="77" t="inlineStr">
        <is>
          <t>Student teams develop their own ventures with Strathclyde Inspire mentors; no external organisation sets a brief.</t>
        </is>
      </c>
      <c r="J403" s="77" t="inlineStr">
        <is>
          <t>https://www.strath.ac.uk/whystrathclyde/employability/employabilityopportunities/exploringentrepreneurshipchallenge/</t>
        </is>
      </c>
      <c r="K403" s="77" t="inlineStr"/>
    </row>
    <row r="404">
      <c r="A404" s="77" t="inlineStr">
        <is>
          <t>UK10-X11</t>
        </is>
      </c>
      <c r="B404" s="77" t="inlineStr">
        <is>
          <t>UK10</t>
        </is>
      </c>
      <c r="C404" s="77" t="inlineStr">
        <is>
          <t>Strathclyde</t>
        </is>
      </c>
      <c r="D404" s="77" t="inlineStr">
        <is>
          <t>UK – additional</t>
        </is>
      </c>
      <c r="E404" s="77" t="inlineStr">
        <is>
          <t>Innovation Challenge</t>
        </is>
      </c>
      <c r="F404" s="77" t="inlineStr">
        <is>
          <t>No</t>
        </is>
      </c>
      <c r="G404" s="77" t="inlineStr"/>
      <c r="H404" s="77" t="inlineStr">
        <is>
          <t>Entrepreneurship/incubator</t>
        </is>
      </c>
      <c r="I404" s="77" t="inlineStr">
        <is>
          <t>Grant of up to GBP 5,000 for students developing own product idea.</t>
        </is>
      </c>
      <c r="J404" s="77" t="inlineStr">
        <is>
          <t>https://www.strath.ac.uk/whystrathclyde/employability/employabilityopportunities/innovationchallege/</t>
        </is>
      </c>
      <c r="K404" s="77" t="inlineStr"/>
    </row>
    <row r="405">
      <c r="A405" s="77" t="inlineStr">
        <is>
          <t>UK10-X12</t>
        </is>
      </c>
      <c r="B405" s="77" t="inlineStr">
        <is>
          <t>UK10</t>
        </is>
      </c>
      <c r="C405" s="77" t="inlineStr">
        <is>
          <t>Strathclyde</t>
        </is>
      </c>
      <c r="D405" s="77" t="inlineStr">
        <is>
          <t>UK – additional</t>
        </is>
      </c>
      <c r="E405" s="77" t="inlineStr">
        <is>
          <t>Strathclyde Solutions Exchange</t>
        </is>
      </c>
      <c r="F405" s="77" t="inlineStr">
        <is>
          <t>No</t>
        </is>
      </c>
      <c r="G405" s="77" t="inlineStr"/>
      <c r="H405" s="77" t="inlineStr">
        <is>
          <t>Event/competition without live client</t>
        </is>
      </c>
      <c r="I405" s="77" t="inlineStr">
        <is>
          <t>Five-day workshop aimed at researchers working with students/staff on problems from industry, charities and SMEs; researcher-focused, student participation and curricular status not evidenced.</t>
        </is>
      </c>
      <c r="J405" s="77" t="inlineStr">
        <is>
          <t>https://www.strath.ac.uk/workwithus/strathclydesolutionsexchange/</t>
        </is>
      </c>
      <c r="K405" s="77" t="inlineStr"/>
    </row>
    <row r="406">
      <c r="A406" s="77" t="inlineStr">
        <is>
          <t>UK10-X13</t>
        </is>
      </c>
      <c r="B406" s="77" t="inlineStr">
        <is>
          <t>UK10</t>
        </is>
      </c>
      <c r="C406" s="77" t="inlineStr">
        <is>
          <t>Strathclyde</t>
        </is>
      </c>
      <c r="D406" s="77" t="inlineStr">
        <is>
          <t>UK – additional</t>
        </is>
      </c>
      <c r="E406" s="77" t="inlineStr">
        <is>
          <t>Careers Service employer projects/engagement</t>
        </is>
      </c>
      <c r="F406" s="77" t="inlineStr">
        <is>
          <t>No</t>
        </is>
      </c>
      <c r="G406" s="77" t="inlineStr"/>
      <c r="H406" s="77" t="inlineStr">
        <is>
          <t>Careers service</t>
        </is>
      </c>
      <c r="I406" s="77" t="inlineStr">
        <is>
          <t>Employer engagement page lists guest lectures and offering projects but no defined student project scheme.</t>
        </is>
      </c>
      <c r="J406" s="77" t="inlineStr">
        <is>
          <t>https://www.strath.ac.uk/professionalservices/careers/employers/</t>
        </is>
      </c>
      <c r="K406" s="77" t="inlineStr"/>
    </row>
    <row r="407">
      <c r="A407" s="77" t="inlineStr">
        <is>
          <t>UK10-X14</t>
        </is>
      </c>
      <c r="B407" s="77" t="inlineStr">
        <is>
          <t>UK10</t>
        </is>
      </c>
      <c r="C407" s="77" t="inlineStr">
        <is>
          <t>Strathclyde</t>
        </is>
      </c>
      <c r="D407" s="77" t="inlineStr">
        <is>
          <t>UK – additional</t>
        </is>
      </c>
      <c r="E407" s="77" t="inlineStr">
        <is>
          <t>Faculty of Humanities &amp; Social Sciences consultancy</t>
        </is>
      </c>
      <c r="F407" s="77" t="inlineStr">
        <is>
          <t>No</t>
        </is>
      </c>
      <c r="G407" s="77" t="inlineStr"/>
      <c r="H407" s="77" t="inlineStr">
        <is>
          <t>Other</t>
        </is>
      </c>
      <c r="I407" s="77" t="inlineStr">
        <is>
          <t>Staff consultancy (Save the Children, UNICEF Albania, British Council); no student project route evidenced.</t>
        </is>
      </c>
      <c r="J407" s="77" t="inlineStr">
        <is>
          <t>https://www.strath.ac.uk/humanities/engagewithus/consultancy/</t>
        </is>
      </c>
      <c r="K407" s="77" t="inlineStr"/>
    </row>
    <row r="408">
      <c r="A408" s="77" t="inlineStr">
        <is>
          <t>UK11-X01</t>
        </is>
      </c>
      <c r="B408" s="77" t="inlineStr">
        <is>
          <t>UK11</t>
        </is>
      </c>
      <c r="C408" s="77" t="inlineStr">
        <is>
          <t>Heriot-Watt</t>
        </is>
      </c>
      <c r="D408" s="77" t="inlineStr">
        <is>
          <t>UK – additional</t>
        </is>
      </c>
      <c r="E408" s="77" t="inlineStr">
        <is>
          <t>Global Innovation Challenge</t>
        </is>
      </c>
      <c r="F408" s="77" t="inlineStr">
        <is>
          <t>Yes</t>
        </is>
      </c>
      <c r="G408" s="77" t="n">
        <v>64</v>
      </c>
      <c r="H408" s="77" t="inlineStr">
        <is>
          <t>Entrepreneurship/incubator</t>
        </is>
      </c>
      <c r="I408" s="77" t="inlineStr">
        <is>
          <t>Nine-week workshop and competition developing participants' own business ideas (student/alumni-led ventures, prize fund). Founder-led; no external organisation sets a brief or acts as client (fails C; not a client project).</t>
        </is>
      </c>
      <c r="J408" s="77" t="inlineStr">
        <is>
          <t>https://www.hw.ac.uk/news/2025/global-innovation-challenge-2025-celebrates-heriot-watts-next-generation-of-founders</t>
        </is>
      </c>
      <c r="K408" s="77" t="inlineStr">
        <is>
          <t>2025 edition reported (GIC 2025 awarded £30,000 to student and alumni-led ventures); legacy notes 2026 challenge.</t>
        </is>
      </c>
    </row>
    <row r="409">
      <c r="A409" s="77" t="inlineStr">
        <is>
          <t>UK11-X02</t>
        </is>
      </c>
      <c r="B409" s="77" t="inlineStr">
        <is>
          <t>UK11</t>
        </is>
      </c>
      <c r="C409" s="77" t="inlineStr">
        <is>
          <t>Heriot-Watt</t>
        </is>
      </c>
      <c r="D409" s="77" t="inlineStr">
        <is>
          <t>UK – additional</t>
        </is>
      </c>
      <c r="E409" s="77" t="inlineStr">
        <is>
          <t>Careers and Graduate Futures Micro-Placements</t>
        </is>
      </c>
      <c r="F409" s="77" t="inlineStr">
        <is>
          <t>No</t>
        </is>
      </c>
      <c r="G409" s="77" t="inlineStr"/>
      <c r="H409" s="77" t="inlineStr">
        <is>
          <t>Placement/internship</t>
        </is>
      </c>
      <c r="I409" s="77" t="inlineStr">
        <is>
          <t>Two-week extracurricular unpaid placements giving insight into an industry; no evidence of a team project output.</t>
        </is>
      </c>
      <c r="J409" s="77" t="inlineStr">
        <is>
          <t>https://www.hw.ac.uk/document-library/recruitment-pack.pdf</t>
        </is>
      </c>
      <c r="K409" s="77" t="inlineStr">
        <is>
          <t>undated</t>
        </is>
      </c>
    </row>
    <row r="410">
      <c r="A410" s="77" t="inlineStr">
        <is>
          <t>UK11-X03</t>
        </is>
      </c>
      <c r="B410" s="77" t="inlineStr">
        <is>
          <t>UK11</t>
        </is>
      </c>
      <c r="C410" s="77" t="inlineStr">
        <is>
          <t>Heriot-Watt</t>
        </is>
      </c>
      <c r="D410" s="77" t="inlineStr">
        <is>
          <t>UK – additional</t>
        </is>
      </c>
      <c r="E410" s="77" t="inlineStr">
        <is>
          <t>MACS Project System (School of Mathematical and Computer Sciences project proposals)</t>
        </is>
      </c>
      <c r="F410" s="77" t="inlineStr">
        <is>
          <t>No</t>
        </is>
      </c>
      <c r="G410" s="77" t="inlineStr"/>
      <c r="H410" s="77" t="inlineStr">
        <is>
          <t>Dissertation/research</t>
        </is>
      </c>
      <c r="I410" s="77" t="inlineStr">
        <is>
          <t>Proposal database for (mainly individual) degree projects; some proposals state students work independently, others mention pairs/teams; external-client share not established. Evidence gap rather than verified scheme.</t>
        </is>
      </c>
      <c r="J410" s="77" t="inlineStr">
        <is>
          <t>https://projects.hw.ac.uk/Proposals/Index</t>
        </is>
      </c>
      <c r="K410" s="77" t="inlineStr">
        <is>
          <t>undated</t>
        </is>
      </c>
    </row>
    <row r="411">
      <c r="A411" s="77" t="inlineStr">
        <is>
          <t>UK11-X04</t>
        </is>
      </c>
      <c r="B411" s="77" t="inlineStr">
        <is>
          <t>UK11</t>
        </is>
      </c>
      <c r="C411" s="77" t="inlineStr">
        <is>
          <t>Heriot-Watt</t>
        </is>
      </c>
      <c r="D411" s="77" t="inlineStr">
        <is>
          <t>UK – additional</t>
        </is>
      </c>
      <c r="E411" s="77" t="inlineStr">
        <is>
          <t>Heriot-Watt / Falkirk FC Memorandum of Understanding</t>
        </is>
      </c>
      <c r="F411" s="77" t="inlineStr">
        <is>
          <t>No</t>
        </is>
      </c>
      <c r="G411" s="77" t="inlineStr"/>
      <c r="H411" s="77" t="inlineStr">
        <is>
          <t>Evidence gap</t>
        </is>
      </c>
      <c r="I411" s="77" t="inlineStr">
        <is>
          <t>2026 news says students apply learning to practical problems (player conditioning, match analysis) in a professional football environment; no evidence of a defined group project with output for the club.</t>
        </is>
      </c>
      <c r="J411" s="77" t="inlineStr">
        <is>
          <t>https://www.hw.ac.uk/news/2026/academic-expertise-aims-to-bolster-scottish-premiership-clubs-growth</t>
        </is>
      </c>
      <c r="K411" s="77" t="inlineStr">
        <is>
          <t>2026</t>
        </is>
      </c>
    </row>
    <row r="412">
      <c r="A412" s="77" t="inlineStr">
        <is>
          <t>UK12-X01</t>
        </is>
      </c>
      <c r="B412" s="77" t="inlineStr">
        <is>
          <t>UK12</t>
        </is>
      </c>
      <c r="C412" s="77" t="inlineStr">
        <is>
          <t>East Anglia</t>
        </is>
      </c>
      <c r="D412" s="77" t="inlineStr">
        <is>
          <t>UK – additional</t>
        </is>
      </c>
      <c r="E412" s="77" t="inlineStr">
        <is>
          <t>UEA Award</t>
        </is>
      </c>
      <c r="F412" s="77" t="inlineStr">
        <is>
          <t>Yes</t>
        </is>
      </c>
      <c r="G412" s="77" t="n">
        <v>65</v>
      </c>
      <c r="H412" s="77" t="inlineStr">
        <is>
          <t>Employability award</t>
        </is>
      </c>
      <c r="I412" s="77" t="inlineStr">
        <is>
          <t>CareerCentral co-curricular skills/employability award recognising wider experience; not itself a bounded group project with an external organisation. Reach not confirmed in legacy review.</t>
        </is>
      </c>
      <c r="J412" s="77" t="inlineStr">
        <is>
          <t>https://mycareercentral.uea.ac.uk/Uploads/Attachments/UEA%20Award/TandCs-UEA-Award-final.pdf</t>
        </is>
      </c>
      <c r="K412" s="77" t="inlineStr">
        <is>
          <t>Legacy: 2025-29 access plan and T&amp;Cs</t>
        </is>
      </c>
    </row>
    <row r="413">
      <c r="A413" s="77" t="inlineStr">
        <is>
          <t>UK12-X02</t>
        </is>
      </c>
      <c r="B413" s="77" t="inlineStr">
        <is>
          <t>UK12</t>
        </is>
      </c>
      <c r="C413" s="77" t="inlineStr">
        <is>
          <t>East Anglia</t>
        </is>
      </c>
      <c r="D413" s="77" t="inlineStr">
        <is>
          <t>UK – additional</t>
        </is>
      </c>
      <c r="E413" s="77" t="inlineStr">
        <is>
          <t>UEA Law Clinic (Norfolk Community Law Service, Shelter etc.)</t>
        </is>
      </c>
      <c r="F413" s="77" t="inlineStr">
        <is>
          <t>No</t>
        </is>
      </c>
      <c r="G413" s="77" t="inlineStr"/>
      <c r="H413" s="77" t="inlineStr">
        <is>
          <t>Volunteering/service-learning</t>
        </is>
      </c>
      <c r="I413"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13" s="77" t="inlineStr">
        <is>
          <t>https://lawclinic.uea.ac.uk/what-our-students-do/</t>
        </is>
      </c>
      <c r="K413" s="77" t="inlineStr"/>
    </row>
    <row r="414">
      <c r="A414" s="77" t="inlineStr">
        <is>
          <t>UK12-X03</t>
        </is>
      </c>
      <c r="B414" s="77" t="inlineStr">
        <is>
          <t>UK12</t>
        </is>
      </c>
      <c r="C414" s="77" t="inlineStr">
        <is>
          <t>East Anglia</t>
        </is>
      </c>
      <c r="D414" s="77" t="inlineStr">
        <is>
          <t>UK – additional</t>
        </is>
      </c>
      <c r="E414" s="77" t="inlineStr">
        <is>
          <t>BA Media and International Development first-year communications consultancy group project</t>
        </is>
      </c>
      <c r="F414" s="77" t="inlineStr">
        <is>
          <t>No</t>
        </is>
      </c>
      <c r="G414" s="77" t="inlineStr"/>
      <c r="H414" s="77" t="inlineStr">
        <is>
          <t>Near-miss: no external org</t>
        </is>
      </c>
      <c r="I414" s="77" t="inlineStr">
        <is>
          <t>Group project analysing the political communications of a real political actor as 'client' in a role-play consultancy; the actor does not appear to engage with students or receive outputs. Source is a 2021-year page.</t>
        </is>
      </c>
      <c r="J414" s="77" t="inlineStr">
        <is>
          <t>https://www.uea.ac.uk/course/undergraduate/ba-media-and-international-development/2021</t>
        </is>
      </c>
      <c r="K414" s="77" t="inlineStr">
        <is>
          <t>2021 page; currency unknown</t>
        </is>
      </c>
    </row>
    <row r="415">
      <c r="A415" s="77" t="inlineStr">
        <is>
          <t>UK12-X04</t>
        </is>
      </c>
      <c r="B415" s="77" t="inlineStr">
        <is>
          <t>UK12</t>
        </is>
      </c>
      <c r="C415" s="77" t="inlineStr">
        <is>
          <t>East Anglia</t>
        </is>
      </c>
      <c r="D415" s="77" t="inlineStr">
        <is>
          <t>UK – additional</t>
        </is>
      </c>
      <c r="E415" s="77" t="inlineStr">
        <is>
          <t>Year in Industry / Placement Year / Year Abroad degree variants and UEA Internship Programme</t>
        </is>
      </c>
      <c r="F415" s="77" t="inlineStr">
        <is>
          <t>No</t>
        </is>
      </c>
      <c r="G415" s="77" t="inlineStr"/>
      <c r="H415" s="77" t="inlineStr">
        <is>
          <t>Placement/internship</t>
        </is>
      </c>
      <c r="I415" s="77" t="inlineStr">
        <is>
          <t>Individual employer placements and internships with no evidenced group project component.</t>
        </is>
      </c>
      <c r="J415" s="77" t="inlineStr">
        <is>
          <t>https://mycareercentral.uea.ac.uk/docs/684/UEA-Internship-Programme-Employer-Booklet_online.pdf</t>
        </is>
      </c>
      <c r="K415" s="77" t="inlineStr"/>
    </row>
    <row r="416">
      <c r="A416" s="77" t="inlineStr">
        <is>
          <t>UK12-X05</t>
        </is>
      </c>
      <c r="B416" s="77" t="inlineStr">
        <is>
          <t>UK12</t>
        </is>
      </c>
      <c r="C416" s="77" t="inlineStr">
        <is>
          <t>East Anglia</t>
        </is>
      </c>
      <c r="D416" s="77" t="inlineStr">
        <is>
          <t>UK – additional</t>
        </is>
      </c>
      <c r="E416" s="77" t="inlineStr">
        <is>
          <t>Student Enterprise (Startup Bootcamp, Try It)</t>
        </is>
      </c>
      <c r="F416" s="77" t="inlineStr">
        <is>
          <t>No</t>
        </is>
      </c>
      <c r="G416" s="77" t="inlineStr"/>
      <c r="H416" s="77" t="inlineStr">
        <is>
          <t>Entrepreneurship/incubator</t>
        </is>
      </c>
      <c r="I416" s="77" t="inlineStr">
        <is>
          <t>Support for students' own start-up ideas; no external client brief.</t>
        </is>
      </c>
      <c r="J416" s="77" t="inlineStr">
        <is>
          <t>https://www.uea.ac.uk/business/access-entrepreneurship-and-innovation/student-enterprise</t>
        </is>
      </c>
      <c r="K416" s="77" t="inlineStr"/>
    </row>
    <row r="417">
      <c r="A417" s="77" t="inlineStr">
        <is>
          <t>UK12-X06</t>
        </is>
      </c>
      <c r="B417" s="77" t="inlineStr">
        <is>
          <t>UK12</t>
        </is>
      </c>
      <c r="C417" s="77" t="inlineStr">
        <is>
          <t>East Anglia</t>
        </is>
      </c>
      <c r="D417" s="77" t="inlineStr">
        <is>
          <t>UK – additional</t>
        </is>
      </c>
      <c r="E417" s="77" t="inlineStr">
        <is>
          <t>BSc Environmental Sciences optional module 'Environmental Consultancy'</t>
        </is>
      </c>
      <c r="F417" s="77" t="inlineStr">
        <is>
          <t>No</t>
        </is>
      </c>
      <c r="G417" s="77" t="inlineStr"/>
      <c r="H417" s="77" t="inlineStr">
        <is>
          <t>Evidence gap</t>
        </is>
      </c>
      <c r="I417" s="77" t="inlineStr">
        <is>
          <t>Course page lists an environmental consultancy option, but no source on real clients, team working or outputs was found.</t>
        </is>
      </c>
      <c r="J417" s="77" t="inlineStr">
        <is>
          <t>https://www.uea.ac.uk/course/undergraduate/bsc-environmental-sciences/2025-26/sep</t>
        </is>
      </c>
      <c r="K417" s="77" t="inlineStr"/>
    </row>
    <row r="418">
      <c r="A418" s="77" t="inlineStr">
        <is>
          <t>UK12-X07</t>
        </is>
      </c>
      <c r="B418" s="77" t="inlineStr">
        <is>
          <t>UK12</t>
        </is>
      </c>
      <c r="C418" s="77" t="inlineStr">
        <is>
          <t>East Anglia</t>
        </is>
      </c>
      <c r="D418" s="77" t="inlineStr">
        <is>
          <t>UK – additional</t>
        </is>
      </c>
      <c r="E418" s="77" t="inlineStr">
        <is>
          <t>Biological Sciences Integrated Laboratory Research Project / Skills for Biologists</t>
        </is>
      </c>
      <c r="F418" s="77" t="inlineStr">
        <is>
          <t>No</t>
        </is>
      </c>
      <c r="G418" s="77" t="inlineStr"/>
      <c r="H418" s="77" t="inlineStr">
        <is>
          <t>Near-miss: no external org</t>
        </is>
      </c>
      <c r="I418" s="77" t="inlineStr">
        <is>
          <t>Group work named as a skill but no external organisation involved in the retrieved descriptions.</t>
        </is>
      </c>
      <c r="J418" s="77" t="inlineStr">
        <is>
          <t>https://www2.uea.ac.uk/study/undergraduate/degree/detail/bsc-biological-sciences-with-a-year-in-industry</t>
        </is>
      </c>
      <c r="K418" s="77" t="inlineStr"/>
    </row>
    <row r="419">
      <c r="A419" s="77" t="inlineStr">
        <is>
          <t>UK12-X08</t>
        </is>
      </c>
      <c r="B419" s="77" t="inlineStr">
        <is>
          <t>UK12</t>
        </is>
      </c>
      <c r="C419" s="77" t="inlineStr">
        <is>
          <t>East Anglia</t>
        </is>
      </c>
      <c r="D419" s="77" t="inlineStr">
        <is>
          <t>UK – additional</t>
        </is>
      </c>
      <c r="E419" s="77" t="inlineStr">
        <is>
          <t>MSc Project Management</t>
        </is>
      </c>
      <c r="F419" s="77" t="inlineStr">
        <is>
          <t>No</t>
        </is>
      </c>
      <c r="G419" s="77" t="inlineStr"/>
      <c r="H419" s="77" t="inlineStr">
        <is>
          <t>Evidence gap</t>
        </is>
      </c>
      <c r="I419" s="77" t="inlineStr">
        <is>
          <t>Individual and group work assessed, but no live-client project evidenced.</t>
        </is>
      </c>
      <c r="J419" s="77" t="inlineStr">
        <is>
          <t>https://www.uea.ac.uk/course/postgraduate/msc-project-management</t>
        </is>
      </c>
      <c r="K419" s="77" t="inlineStr"/>
    </row>
    <row r="420">
      <c r="A420" s="77" t="inlineStr">
        <is>
          <t>UK12-X09</t>
        </is>
      </c>
      <c r="B420" s="77" t="inlineStr">
        <is>
          <t>UK12</t>
        </is>
      </c>
      <c r="C420" s="77" t="inlineStr">
        <is>
          <t>East Anglia</t>
        </is>
      </c>
      <c r="D420" s="77" t="inlineStr">
        <is>
          <t>UK – additional</t>
        </is>
      </c>
      <c r="E420" s="77" t="inlineStr">
        <is>
          <t>TCS Tech Challenge (CareerCentral news)</t>
        </is>
      </c>
      <c r="F420" s="77" t="inlineStr">
        <is>
          <t>No</t>
        </is>
      </c>
      <c r="G420" s="77" t="inlineStr"/>
      <c r="H420" s="77" t="inlineStr">
        <is>
          <t>Evidence gap</t>
        </is>
      </c>
      <c r="I420" s="77" t="inlineStr">
        <is>
          <t>2015 page about 8-week charity projects by teams across six UK universities; no evidence that UEA took part or that it runs now.</t>
        </is>
      </c>
      <c r="J420" s="77" t="inlineStr">
        <is>
          <t>https://mycareercentral.uea.ac.uk/students/news/detail/78/tcs-tech-challenge</t>
        </is>
      </c>
      <c r="K420" s="77" t="inlineStr">
        <is>
          <t>2015, historical</t>
        </is>
      </c>
    </row>
    <row r="421">
      <c r="A421" s="77" t="inlineStr">
        <is>
          <t>UK14-X01</t>
        </is>
      </c>
      <c r="B421" s="77" t="inlineStr">
        <is>
          <t>UK14</t>
        </is>
      </c>
      <c r="C421" s="77" t="inlineStr">
        <is>
          <t>Swansea</t>
        </is>
      </c>
      <c r="D421" s="77" t="inlineStr">
        <is>
          <t>UK – additional</t>
        </is>
      </c>
      <c r="E421" s="77" t="inlineStr">
        <is>
          <t>Employability Awards (Swansea Employability Academy)</t>
        </is>
      </c>
      <c r="F421" s="77" t="inlineStr">
        <is>
          <t>Yes</t>
        </is>
      </c>
      <c r="G421" s="77" t="n">
        <v>67</v>
      </c>
      <c r="H421" s="77" t="inlineStr">
        <is>
          <t>Employability award</t>
        </is>
      </c>
      <c r="I421"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21" s="77" t="inlineStr">
        <is>
          <t>https://hwb.swansea.ac.uk/employability-enterprise/employability-awards/</t>
        </is>
      </c>
      <c r="K421" s="77" t="inlineStr">
        <is>
          <t>Undated page</t>
        </is>
      </c>
    </row>
    <row r="422">
      <c r="A422" s="77" t="inlineStr">
        <is>
          <t>UK14-X02</t>
        </is>
      </c>
      <c r="B422" s="77" t="inlineStr">
        <is>
          <t>UK14</t>
        </is>
      </c>
      <c r="C422" s="77" t="inlineStr">
        <is>
          <t>Swansea</t>
        </is>
      </c>
      <c r="D422" s="77" t="inlineStr">
        <is>
          <t>UK – additional</t>
        </is>
      </c>
      <c r="E422" s="77" t="inlineStr">
        <is>
          <t>Discovery (student volunteering charity) award pathways</t>
        </is>
      </c>
      <c r="F422" s="77" t="inlineStr">
        <is>
          <t>No</t>
        </is>
      </c>
      <c r="G422" s="77" t="inlineStr"/>
      <c r="H422" s="77" t="inlineStr">
        <is>
          <t>Volunteering/service-learning</t>
        </is>
      </c>
      <c r="I422" s="77" t="inlineStr">
        <is>
          <t>Student-run volunteering projects with Volunteer, Project Coordinator and Trustee awards. No external organisation sets a brief or acts as client.</t>
        </is>
      </c>
      <c r="J422" s="77" t="inlineStr">
        <is>
          <t>https://hwb.swansea.ac.uk/employability-enterprise/employability-awards/</t>
        </is>
      </c>
      <c r="K422" s="77" t="inlineStr">
        <is>
          <t>Undated</t>
        </is>
      </c>
    </row>
    <row r="423">
      <c r="A423" s="77" t="inlineStr">
        <is>
          <t>UK14-X03</t>
        </is>
      </c>
      <c r="B423" s="77" t="inlineStr">
        <is>
          <t>UK14</t>
        </is>
      </c>
      <c r="C423" s="77" t="inlineStr">
        <is>
          <t>Swansea</t>
        </is>
      </c>
      <c r="D423" s="77" t="inlineStr">
        <is>
          <t>UK – additional</t>
        </is>
      </c>
      <c r="E423" s="77" t="inlineStr">
        <is>
          <t>GO Wales (SEA)</t>
        </is>
      </c>
      <c r="F423" s="77" t="inlineStr">
        <is>
          <t>No</t>
        </is>
      </c>
      <c r="G423" s="77" t="inlineStr"/>
      <c r="H423" s="77" t="inlineStr">
        <is>
          <t>Placement/internship</t>
        </is>
      </c>
      <c r="I423" s="77" t="inlineStr">
        <is>
          <t>Individual unpaid work experience (up to 70 hours) or subsidised internships. No group project evidenced.</t>
        </is>
      </c>
      <c r="J423" s="77" t="inlineStr">
        <is>
          <t>https://www.swansea.ac.uk/business-and-industry/recruit-our-talent/go-wales/</t>
        </is>
      </c>
      <c r="K423" s="77" t="inlineStr"/>
    </row>
    <row r="424">
      <c r="A424" s="77" t="inlineStr">
        <is>
          <t>UK14-X04</t>
        </is>
      </c>
      <c r="B424" s="77" t="inlineStr">
        <is>
          <t>UK14</t>
        </is>
      </c>
      <c r="C424" s="77" t="inlineStr">
        <is>
          <t>Swansea</t>
        </is>
      </c>
      <c r="D424" s="77" t="inlineStr">
        <is>
          <t>UK – additional</t>
        </is>
      </c>
      <c r="E424" s="77" t="inlineStr">
        <is>
          <t>Computer Science third-year project / Project Fair</t>
        </is>
      </c>
      <c r="F424" s="77" t="inlineStr">
        <is>
          <t>No</t>
        </is>
      </c>
      <c r="G424" s="77" t="inlineStr"/>
      <c r="H424" s="77" t="inlineStr">
        <is>
          <t>Near-miss: no external org</t>
        </is>
      </c>
      <c r="I424"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24" s="77" t="inlineStr">
        <is>
          <t>https://www.swansea.ac.uk/undergraduate/courses/maths-comp-sci/computer-science/bsc-computer-science/</t>
        </is>
      </c>
      <c r="K424" s="77" t="inlineStr">
        <is>
          <t>Undated</t>
        </is>
      </c>
    </row>
    <row r="425">
      <c r="A425" s="77" t="inlineStr">
        <is>
          <t>UK14-X05</t>
        </is>
      </c>
      <c r="B425" s="77" t="inlineStr">
        <is>
          <t>UK14</t>
        </is>
      </c>
      <c r="C425" s="77" t="inlineStr">
        <is>
          <t>Swansea</t>
        </is>
      </c>
      <c r="D425" s="77" t="inlineStr">
        <is>
          <t>UK – additional</t>
        </is>
      </c>
      <c r="E425" s="77" t="inlineStr">
        <is>
          <t>Engineering Doctorate (EngD)</t>
        </is>
      </c>
      <c r="F425" s="77" t="inlineStr">
        <is>
          <t>No</t>
        </is>
      </c>
      <c r="G425" s="77" t="inlineStr"/>
      <c r="H425" s="77" t="inlineStr">
        <is>
          <t>Dissertation/research</t>
        </is>
      </c>
      <c r="I425" s="77" t="inlineStr">
        <is>
          <t>An individual four-year research project defined by an industrial partner. Not group.</t>
        </is>
      </c>
      <c r="J425" s="77" t="inlineStr">
        <is>
          <t>https://www.swansea.ac.uk/science-and-engineering/courses/engineering/engd/</t>
        </is>
      </c>
      <c r="K425" s="77" t="inlineStr">
        <is>
          <t>Postgraduate research</t>
        </is>
      </c>
    </row>
    <row r="426">
      <c r="A426" s="77" t="inlineStr">
        <is>
          <t>UK14-X06</t>
        </is>
      </c>
      <c r="B426" s="77" t="inlineStr">
        <is>
          <t>UK14</t>
        </is>
      </c>
      <c r="C426" s="77" t="inlineStr">
        <is>
          <t>Swansea</t>
        </is>
      </c>
      <c r="D426" s="77" t="inlineStr">
        <is>
          <t>UK – additional</t>
        </is>
      </c>
      <c r="E426" s="77" t="inlineStr">
        <is>
          <t>MBA consultancy-based project (Research in Action Part 2)</t>
        </is>
      </c>
      <c r="F426" s="77" t="inlineStr">
        <is>
          <t>No</t>
        </is>
      </c>
      <c r="G426" s="77" t="inlineStr"/>
      <c r="H426" s="77" t="inlineStr">
        <is>
          <t>Evidence gap</t>
        </is>
      </c>
      <c r="I426" s="77" t="inlineStr">
        <is>
          <t>A search summary said the MBA 'culminates in a consultancy-based project ... through working with a client organisation', but did not tie this to a specific URL, so it cannot be cited. Group format is unknown.</t>
        </is>
      </c>
      <c r="J426" s="77" t="inlineStr"/>
      <c r="K426" s="77" t="inlineStr">
        <is>
          <t>Needs re-search</t>
        </is>
      </c>
    </row>
    <row r="427">
      <c r="A427" s="77" t="inlineStr">
        <is>
          <t>UK14-X07</t>
        </is>
      </c>
      <c r="B427" s="77" t="inlineStr">
        <is>
          <t>UK14</t>
        </is>
      </c>
      <c r="C427" s="77" t="inlineStr">
        <is>
          <t>Swansea</t>
        </is>
      </c>
      <c r="D427" s="77" t="inlineStr">
        <is>
          <t>UK – additional</t>
        </is>
      </c>
      <c r="E427" s="77" t="inlineStr">
        <is>
          <t>MSc Accounting and Finance consultancy-style projects</t>
        </is>
      </c>
      <c r="F427" s="77" t="inlineStr">
        <is>
          <t>No</t>
        </is>
      </c>
      <c r="G427" s="77" t="inlineStr"/>
      <c r="H427" s="77" t="inlineStr">
        <is>
          <t>Evidence gap</t>
        </is>
      </c>
      <c r="I427" s="77" t="inlineStr">
        <is>
          <t>The course page mentions 'industry partners, simulations and consultancy-style projects' without separating live-client work from simulation. Group format is unknown.</t>
        </is>
      </c>
      <c r="J427" s="77" t="inlineStr">
        <is>
          <t>https://www.swansea.ac.uk/postgraduate/taught/som/accounting-finance/msc-accounting-finance/</t>
        </is>
      </c>
      <c r="K427" s="77" t="inlineStr">
        <is>
          <t>Undated</t>
        </is>
      </c>
    </row>
    <row r="428">
      <c r="A428" s="77" t="inlineStr">
        <is>
          <t>UK15-X01</t>
        </is>
      </c>
      <c r="B428" s="77" t="inlineStr">
        <is>
          <t>UK15</t>
        </is>
      </c>
      <c r="C428" s="77" t="inlineStr">
        <is>
          <t>Essex</t>
        </is>
      </c>
      <c r="D428" s="77" t="inlineStr">
        <is>
          <t>UK – additional</t>
        </is>
      </c>
      <c r="E428" s="77" t="inlineStr">
        <is>
          <t>Big Essex Award</t>
        </is>
      </c>
      <c r="F428" s="77" t="inlineStr">
        <is>
          <t>Yes</t>
        </is>
      </c>
      <c r="G428" s="77" t="n">
        <v>68</v>
      </c>
      <c r="H428" s="77" t="inlineStr">
        <is>
          <t>Employability award</t>
        </is>
      </c>
      <c r="I428" s="77" t="inlineStr">
        <is>
          <t>Co-curricular recognition framework recorded via HEAR; not itself a collaborative employer-linked project. Underlying activities would need testing individually.</t>
        </is>
      </c>
      <c r="J428" s="77" t="inlineStr">
        <is>
          <t>https://www.essex.ac.uk/student/awards-and-achievements/hear</t>
        </is>
      </c>
      <c r="K428" s="77" t="inlineStr">
        <is>
          <t>Legacy row; official page, intake unverified</t>
        </is>
      </c>
    </row>
    <row r="429">
      <c r="A429" s="77" t="inlineStr">
        <is>
          <t>UK15-X02</t>
        </is>
      </c>
      <c r="B429" s="77" t="inlineStr">
        <is>
          <t>UK15</t>
        </is>
      </c>
      <c r="C429" s="77" t="inlineStr">
        <is>
          <t>Essex</t>
        </is>
      </c>
      <c r="D429" s="77" t="inlineStr">
        <is>
          <t>UK – additional</t>
        </is>
      </c>
      <c r="E429" s="77" t="inlineStr">
        <is>
          <t>Essex MBA consultancy project</t>
        </is>
      </c>
      <c r="F429" s="77" t="inlineStr">
        <is>
          <t>No</t>
        </is>
      </c>
      <c r="G429" s="77" t="inlineStr"/>
      <c r="H429" s="77" t="inlineStr">
        <is>
          <t>Near-miss: not group</t>
        </is>
      </c>
      <c r="I429" s="77" t="inlineStr">
        <is>
          <t>Real charity/business clients (e.g. Havens Hospices, 2022) but projects are carried out by a single student; MBA Project may alternatively be business plan or dissertation.</t>
        </is>
      </c>
      <c r="J429" s="77" t="inlineStr">
        <is>
          <t>https://www.essex.ac.uk/blog/posts/2023/02/27/mba-consultancy-project-havens-hospices</t>
        </is>
      </c>
      <c r="K429" s="77" t="inlineStr">
        <is>
          <t>Individual route</t>
        </is>
      </c>
    </row>
    <row r="430">
      <c r="A430" s="77" t="inlineStr">
        <is>
          <t>UK15-X03</t>
        </is>
      </c>
      <c r="B430" s="77" t="inlineStr">
        <is>
          <t>UK15</t>
        </is>
      </c>
      <c r="C430" s="77" t="inlineStr">
        <is>
          <t>Essex</t>
        </is>
      </c>
      <c r="D430" s="77" t="inlineStr">
        <is>
          <t>UK – additional</t>
        </is>
      </c>
      <c r="E430" s="77" t="inlineStr">
        <is>
          <t>Computer Science Team Project Challenge (CE101 / CE201 / CE291)</t>
        </is>
      </c>
      <c r="F430" s="77" t="inlineStr">
        <is>
          <t>No</t>
        </is>
      </c>
      <c r="G430" s="77" t="inlineStr"/>
      <c r="H430" s="77" t="inlineStr">
        <is>
          <t>Near-miss: no external org</t>
        </is>
      </c>
      <c r="I430" s="77" t="inlineStr">
        <is>
          <t>Small-team full-lifecycle project, but each team chooses its own project to given attributes; no external organisation evidenced.</t>
        </is>
      </c>
      <c r="J430" s="77" t="inlineStr">
        <is>
          <t>https://www1.essex.ac.uk/modules/Default.aspx?coursecode=CE101&amp;level=4&amp;period=FY&amp;campus=CO</t>
        </is>
      </c>
      <c r="K430" s="77" t="inlineStr">
        <is>
          <t>2026/27 CE101 entry seen via search extract</t>
        </is>
      </c>
    </row>
    <row r="431">
      <c r="A431" s="77" t="inlineStr">
        <is>
          <t>UK15-X04</t>
        </is>
      </c>
      <c r="B431" s="77" t="inlineStr">
        <is>
          <t>UK15</t>
        </is>
      </c>
      <c r="C431" s="77" t="inlineStr">
        <is>
          <t>Essex</t>
        </is>
      </c>
      <c r="D431" s="77" t="inlineStr">
        <is>
          <t>UK – additional</t>
        </is>
      </c>
      <c r="E431" s="77" t="inlineStr">
        <is>
          <t>Computer Science capstone with external company</t>
        </is>
      </c>
      <c r="F431" s="77" t="inlineStr">
        <is>
          <t>No</t>
        </is>
      </c>
      <c r="G431" s="77" t="inlineStr"/>
      <c r="H431" s="77" t="inlineStr">
        <is>
          <t>Near-miss: not group</t>
        </is>
      </c>
      <c r="I431" s="77" t="inlineStr">
        <is>
          <t>Project may originate from an external company with a company mentor, but it is an individual capstone and company projects are optional alongside staff-set ones.</t>
        </is>
      </c>
      <c r="J431" s="77" t="inlineStr">
        <is>
          <t>https://www.essex.ac.uk/courses/ug00069/1/bsc-computer-science</t>
        </is>
      </c>
      <c r="K431" s="77" t="inlineStr"/>
    </row>
    <row r="432">
      <c r="A432" s="77" t="inlineStr">
        <is>
          <t>UK15-X05</t>
        </is>
      </c>
      <c r="B432" s="77" t="inlineStr">
        <is>
          <t>UK15</t>
        </is>
      </c>
      <c r="C432" s="77" t="inlineStr">
        <is>
          <t>Essex</t>
        </is>
      </c>
      <c r="D432" s="77" t="inlineStr">
        <is>
          <t>UK – additional</t>
        </is>
      </c>
      <c r="E432" s="77" t="inlineStr">
        <is>
          <t>BSc Business and Human Resource Management final-year capstone (consultancy-based option)</t>
        </is>
      </c>
      <c r="F432" s="77" t="inlineStr">
        <is>
          <t>No</t>
        </is>
      </c>
      <c r="G432" s="77" t="inlineStr"/>
      <c r="H432" s="77" t="inlineStr">
        <is>
          <t>Evidence gap</t>
        </is>
      </c>
      <c r="I432" s="77" t="inlineStr">
        <is>
          <t>Students choose a consultancy-based project or independent research study with a personal supervisor; no evidence of group working or external-client standard.</t>
        </is>
      </c>
      <c r="J432" s="77" t="inlineStr">
        <is>
          <t>https://www.essex.ac.uk/courses/UG01545/1/BSc-Business-and-Human-Resource-Management</t>
        </is>
      </c>
      <c r="K432" s="77" t="inlineStr"/>
    </row>
    <row r="433">
      <c r="A433" s="77" t="inlineStr">
        <is>
          <t>UK15-X06</t>
        </is>
      </c>
      <c r="B433" s="77" t="inlineStr">
        <is>
          <t>UK15</t>
        </is>
      </c>
      <c r="C433" s="77" t="inlineStr">
        <is>
          <t>Essex</t>
        </is>
      </c>
      <c r="D433" s="77" t="inlineStr">
        <is>
          <t>UK – additional</t>
        </is>
      </c>
      <c r="E433" s="77" t="inlineStr">
        <is>
          <t>Social Impact Hackathon (Nov 2022)</t>
        </is>
      </c>
      <c r="F433" s="77" t="inlineStr">
        <is>
          <t>No</t>
        </is>
      </c>
      <c r="G433" s="77" t="inlineStr"/>
      <c r="H433" s="77" t="inlineStr">
        <is>
          <t>Event/competition without live client</t>
        </is>
      </c>
      <c r="I433" s="77" t="inlineStr">
        <is>
          <t>Weekend event with local businesses; 2022 only, no current delivery evidenced.</t>
        </is>
      </c>
      <c r="J433" s="77" t="inlineStr">
        <is>
          <t>https://www.essex.ac.uk/events/2022/11/18/social-impact-hackathon</t>
        </is>
      </c>
      <c r="K433" s="77" t="inlineStr">
        <is>
          <t>Historical</t>
        </is>
      </c>
    </row>
    <row r="434">
      <c r="A434" s="77" t="inlineStr">
        <is>
          <t>UK15-X07</t>
        </is>
      </c>
      <c r="B434" s="77" t="inlineStr">
        <is>
          <t>UK15</t>
        </is>
      </c>
      <c r="C434" s="77" t="inlineStr">
        <is>
          <t>Essex</t>
        </is>
      </c>
      <c r="D434" s="77" t="inlineStr">
        <is>
          <t>UK – additional</t>
        </is>
      </c>
      <c r="E434" s="77" t="inlineStr">
        <is>
          <t>Knowledge Transfer Partnerships</t>
        </is>
      </c>
      <c r="F434" s="77" t="inlineStr">
        <is>
          <t>No</t>
        </is>
      </c>
      <c r="G434" s="77" t="inlineStr"/>
      <c r="H434" s="77" t="inlineStr">
        <is>
          <t>Other</t>
        </is>
      </c>
      <c r="I434" s="77" t="inlineStr">
        <is>
          <t>Funded academic-business projects, not student group projects.</t>
        </is>
      </c>
      <c r="J434" s="77" t="inlineStr">
        <is>
          <t>https://www.essex.ac.uk/business/services/knowledge-transfer-partnerships</t>
        </is>
      </c>
      <c r="K434" s="77" t="inlineStr"/>
    </row>
    <row r="435">
      <c r="A435" s="77" t="inlineStr">
        <is>
          <t>UK17-X01</t>
        </is>
      </c>
      <c r="B435" s="77" t="inlineStr">
        <is>
          <t>UK17</t>
        </is>
      </c>
      <c r="C435" s="77" t="inlineStr">
        <is>
          <t>Brunel</t>
        </is>
      </c>
      <c r="D435" s="77" t="inlineStr">
        <is>
          <t>UK – additional</t>
        </is>
      </c>
      <c r="E435" s="77" t="inlineStr">
        <is>
          <t>Professional work placements</t>
        </is>
      </c>
      <c r="F435" s="77" t="inlineStr">
        <is>
          <t>Yes</t>
        </is>
      </c>
      <c r="G435" s="77" t="n">
        <v>70</v>
      </c>
      <c r="H435" s="77" t="inlineStr">
        <is>
          <t>Placement/internship</t>
        </is>
      </c>
      <c r="I435" s="77" t="inlineStr">
        <is>
          <t>Individual placements; no project/group component evidenced; programme-dependent.</t>
        </is>
      </c>
      <c r="J435" s="77" t="inlineStr">
        <is>
          <t>https://www.brunel.ac.uk/student-professional-development/work-placements</t>
        </is>
      </c>
      <c r="K435" s="77" t="inlineStr">
        <is>
          <t>Legacy row 70; undated page</t>
        </is>
      </c>
    </row>
    <row r="436">
      <c r="A436" s="77" t="inlineStr">
        <is>
          <t>UK17-X02</t>
        </is>
      </c>
      <c r="B436" s="77" t="inlineStr">
        <is>
          <t>UK17</t>
        </is>
      </c>
      <c r="C436" s="77" t="inlineStr">
        <is>
          <t>Brunel</t>
        </is>
      </c>
      <c r="D436" s="77" t="inlineStr">
        <is>
          <t>UK – additional</t>
        </is>
      </c>
      <c r="E436" s="77" t="inlineStr">
        <is>
          <t>Brunel Business School Executive Education / corporate partnerships</t>
        </is>
      </c>
      <c r="F436" s="77" t="inlineStr">
        <is>
          <t>No</t>
        </is>
      </c>
      <c r="G436" s="77" t="inlineStr"/>
      <c r="H436" s="77" t="inlineStr">
        <is>
          <t>Other</t>
        </is>
      </c>
      <c r="I436" s="77" t="inlineStr">
        <is>
          <t>Institutional partnerships (guest lectures, curriculum input, placements), not student project routes.</t>
        </is>
      </c>
      <c r="J436" s="77" t="inlineStr">
        <is>
          <t>https://www.brunel.ac.uk/about/business-school/executive-education/Existing-clients</t>
        </is>
      </c>
      <c r="K436" s="77" t="inlineStr"/>
    </row>
    <row r="437">
      <c r="A437" s="77" t="inlineStr">
        <is>
          <t>UK17-X03</t>
        </is>
      </c>
      <c r="B437" s="77" t="inlineStr">
        <is>
          <t>UK17</t>
        </is>
      </c>
      <c r="C437" s="77" t="inlineStr">
        <is>
          <t>Brunel</t>
        </is>
      </c>
      <c r="D437" s="77" t="inlineStr">
        <is>
          <t>UK – additional</t>
        </is>
      </c>
      <c r="E437" s="77" t="inlineStr">
        <is>
          <t>Brunel Consultancy (academic consultancy services)</t>
        </is>
      </c>
      <c r="F437" s="77" t="inlineStr">
        <is>
          <t>No</t>
        </is>
      </c>
      <c r="G437" s="77" t="inlineStr"/>
      <c r="H437" s="77" t="inlineStr">
        <is>
          <t>Other</t>
        </is>
      </c>
      <c r="I437" s="77" t="inlineStr">
        <is>
          <t>Staff-delivered consultancy for external companies, not student projects.</t>
        </is>
      </c>
      <c r="J437" s="77" t="inlineStr">
        <is>
          <t>https://www.brunel.ac.uk/business/consultancy</t>
        </is>
      </c>
      <c r="K437"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97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RG20-S12-R1</t>
        </is>
      </c>
      <c r="B551" s="77" t="inlineStr">
        <is>
          <t>RG20</t>
        </is>
      </c>
      <c r="C551" s="77" t="inlineStr">
        <is>
          <t>RG20-S12</t>
        </is>
      </c>
      <c r="D551" s="77" t="inlineStr">
        <is>
          <t>Mechanical Engineering MEng final-year group design project</t>
        </is>
      </c>
      <c r="E551" s="77" t="inlineStr">
        <is>
          <t>project; group; employer; credit; status</t>
        </is>
      </c>
      <c r="F551" s="77" t="inlineStr">
        <is>
          <t>https://sheffield.ac.uk/undergraduate/courses/2026/mechanical-engineering-meng</t>
        </is>
      </c>
      <c r="G551" s="77" t="inlineStr">
        <is>
          <t>Mechanical Engineering MEng (2026 entry)</t>
        </is>
      </c>
      <c r="H551" s="77" t="inlineStr">
        <is>
          <t>Final year</t>
        </is>
      </c>
      <c r="I551" s="77" t="inlineStr">
        <is>
          <t>2026</t>
        </is>
      </c>
      <c r="J551" s="77" t="inlineStr">
        <is>
          <t>2026-10-12</t>
        </is>
      </c>
      <c r="K551" s="77" t="inlineStr">
        <is>
          <t>search-summary paraphrase</t>
        </is>
      </c>
      <c r="L551"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2">
      <c r="A552" s="77" t="inlineStr">
        <is>
          <t>RG20-S13-R1</t>
        </is>
      </c>
      <c r="B552" s="77" t="inlineStr">
        <is>
          <t>RG20</t>
        </is>
      </c>
      <c r="C552" s="77" t="inlineStr">
        <is>
          <t>RG20-S13</t>
        </is>
      </c>
      <c r="D552" s="77" t="inlineStr">
        <is>
          <t>Aerospace Engineering Industrial Training Programme / MEng Group Design Project</t>
        </is>
      </c>
      <c r="E552" s="77" t="inlineStr">
        <is>
          <t>project; group; employer</t>
        </is>
      </c>
      <c r="F552" s="77" t="inlineStr">
        <is>
          <t>https://sheffield.ac.uk/mac/undergraduate/careers/aerospace</t>
        </is>
      </c>
      <c r="G552" s="77" t="inlineStr">
        <is>
          <t>Aerospace Engineering careers</t>
        </is>
      </c>
      <c r="H552" s="77" t="inlineStr">
        <is>
          <t>Industry links</t>
        </is>
      </c>
      <c r="I552" s="77" t="inlineStr">
        <is>
          <t>undated</t>
        </is>
      </c>
      <c r="J552" s="77" t="inlineStr">
        <is>
          <t>2026-10-12</t>
        </is>
      </c>
      <c r="K552" s="77" t="inlineStr">
        <is>
          <t>search-summary paraphrase</t>
        </is>
      </c>
      <c r="L552"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3">
      <c r="A553" s="77" t="inlineStr">
        <is>
          <t>RG20-S14-R1</t>
        </is>
      </c>
      <c r="B553" s="77" t="inlineStr">
        <is>
          <t>RG20</t>
        </is>
      </c>
      <c r="C553" s="77" t="inlineStr">
        <is>
          <t>RG20-S14</t>
        </is>
      </c>
      <c r="D553" s="77" t="inlineStr">
        <is>
          <t>Electrical and Electronic Engineering MEng final-year group project</t>
        </is>
      </c>
      <c r="E553" s="77" t="inlineStr">
        <is>
          <t>project; group; employer; status</t>
        </is>
      </c>
      <c r="F553" s="77" t="inlineStr">
        <is>
          <t>https://sheffield.ac.uk/undergraduate/courses/2027/electrical-and-electronic-engineering-meng</t>
        </is>
      </c>
      <c r="G553" s="77" t="inlineStr">
        <is>
          <t>Electrical and Electronic Engineering MEng (2027 entry)</t>
        </is>
      </c>
      <c r="H553" s="77" t="inlineStr">
        <is>
          <t>Final year</t>
        </is>
      </c>
      <c r="I553" s="77" t="inlineStr">
        <is>
          <t>2027</t>
        </is>
      </c>
      <c r="J553" s="77" t="inlineStr">
        <is>
          <t>2026-10-12</t>
        </is>
      </c>
      <c r="K553" s="77" t="inlineStr">
        <is>
          <t>search-summary paraphrase</t>
        </is>
      </c>
      <c r="L553" s="77" t="inlineStr">
        <is>
          <t>Final-year group project in multidisciplinary teams; brief presented by the industrialists involved (page flagged as needing updating).</t>
        </is>
      </c>
    </row>
    <row r="554">
      <c r="A554" s="77" t="inlineStr">
        <is>
          <t>RG21-S01-R1</t>
        </is>
      </c>
      <c r="B554" s="77" t="inlineStr">
        <is>
          <t>RG21</t>
        </is>
      </c>
      <c r="C554" s="77" t="inlineStr">
        <is>
          <t>RG21-S01</t>
        </is>
      </c>
      <c r="D554" s="77" t="inlineStr">
        <is>
          <t>Student Innovation Projects</t>
        </is>
      </c>
      <c r="E554" s="77" t="inlineStr">
        <is>
          <t>project; group; employer; eligibility; duration; reach</t>
        </is>
      </c>
      <c r="F554" s="77" t="inlineStr">
        <is>
          <t>https://www.southampton.ac.uk/careers/students/work-experience/student-innovation-projects.page</t>
        </is>
      </c>
      <c r="G554" s="77" t="inlineStr">
        <is>
          <t>Student Innovation Projects</t>
        </is>
      </c>
      <c r="H554" s="77" t="inlineStr">
        <is>
          <t>Programme page</t>
        </is>
      </c>
      <c r="I554" s="77" t="inlineStr">
        <is>
          <t>undated (references 2026/27 applications)</t>
        </is>
      </c>
      <c r="J554" s="77" t="inlineStr">
        <is>
          <t>2026-10-12</t>
        </is>
      </c>
      <c r="K554" s="77" t="inlineStr">
        <is>
          <t>search-summary paraphrase</t>
        </is>
      </c>
      <c r="L554"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5">
      <c r="A555" s="77" t="inlineStr">
        <is>
          <t>RG21-S01-R2</t>
        </is>
      </c>
      <c r="B555" s="77" t="inlineStr">
        <is>
          <t>RG21</t>
        </is>
      </c>
      <c r="C555" s="77" t="inlineStr">
        <is>
          <t>RG21-S01</t>
        </is>
      </c>
      <c r="D555" s="77" t="inlineStr">
        <is>
          <t>Student Innovation Projects</t>
        </is>
      </c>
      <c r="E555" s="77" t="inlineStr">
        <is>
          <t>status; group; employer</t>
        </is>
      </c>
      <c r="F555" s="77" t="inlineStr">
        <is>
          <t>https://www.southampton.ac.uk/~assets/doc/careers/CES_Guide.pdf</t>
        </is>
      </c>
      <c r="G555" s="77" t="inlineStr">
        <is>
          <t>Careers, Employability and Student Enterprise Guide 2025-2026</t>
        </is>
      </c>
      <c r="H555" s="77" t="inlineStr">
        <is>
          <t>Student Innovation Projects entry</t>
        </is>
      </c>
      <c r="I555" s="77" t="inlineStr">
        <is>
          <t>2025-26</t>
        </is>
      </c>
      <c r="J555" s="77" t="inlineStr">
        <is>
          <t>2026-10-12</t>
        </is>
      </c>
      <c r="K555" s="77" t="inlineStr">
        <is>
          <t>search-summary paraphrase</t>
        </is>
      </c>
      <c r="L555" s="77" t="inlineStr">
        <is>
          <t>Describes students working in small groups to solve business challenges for live clients through the Student Innovation Projects.</t>
        </is>
      </c>
    </row>
    <row r="556">
      <c r="A556" s="77" t="inlineStr">
        <is>
          <t>RG21-S01-R3</t>
        </is>
      </c>
      <c r="B556" s="77" t="inlineStr">
        <is>
          <t>RG21</t>
        </is>
      </c>
      <c r="C556" s="77" t="inlineStr">
        <is>
          <t>RG21-S01</t>
        </is>
      </c>
      <c r="D556" s="77" t="inlineStr">
        <is>
          <t>Student Innovation Projects</t>
        </is>
      </c>
      <c r="E556" s="77" t="inlineStr">
        <is>
          <t>employer; project</t>
        </is>
      </c>
      <c r="F556" s="77" t="inlineStr">
        <is>
          <t>https://www.southampton.ac.uk/~assets/doc/careers/Student-Innovation-Projects-Client-Handbook.pdf</t>
        </is>
      </c>
      <c r="G556" s="77" t="inlineStr">
        <is>
          <t>Student Innovation Projects Client Handbook</t>
        </is>
      </c>
      <c r="H556" s="77" t="inlineStr">
        <is>
          <t>Client handbook</t>
        </is>
      </c>
      <c r="I556" s="77" t="inlineStr">
        <is>
          <t>undated</t>
        </is>
      </c>
      <c r="J556" s="77" t="inlineStr">
        <is>
          <t>2026-10-12</t>
        </is>
      </c>
      <c r="K556" s="77" t="inlineStr">
        <is>
          <t>search-summary paraphrase</t>
        </is>
      </c>
      <c r="L556" s="77" t="inlineStr">
        <is>
          <t>Organisations submit a brief for approval; recruitment and training of students organised by the University; briefs go to the careers team.</t>
        </is>
      </c>
    </row>
    <row r="557">
      <c r="A557" s="77" t="inlineStr">
        <is>
          <t>RG21-S02-R1</t>
        </is>
      </c>
      <c r="B557" s="77" t="inlineStr">
        <is>
          <t>RG21</t>
        </is>
      </c>
      <c r="C557" s="77" t="inlineStr">
        <is>
          <t>RG21-S02</t>
        </is>
      </c>
      <c r="D557" s="77" t="inlineStr">
        <is>
          <t>Student Innovation Challenge</t>
        </is>
      </c>
      <c r="E557" s="77" t="inlineStr">
        <is>
          <t>project; group; employer; eligibility; duration</t>
        </is>
      </c>
      <c r="F557" s="77" t="inlineStr">
        <is>
          <t>https://www.southampton.ac.uk/careers/students/work-experience/summer-student-innovation-challenge.page</t>
        </is>
      </c>
      <c r="G557" s="77" t="inlineStr">
        <is>
          <t>Student Innovation Challenge</t>
        </is>
      </c>
      <c r="H557" s="77" t="inlineStr">
        <is>
          <t>Programme page</t>
        </is>
      </c>
      <c r="I557" s="77" t="inlineStr">
        <is>
          <t>undated</t>
        </is>
      </c>
      <c r="J557" s="77" t="inlineStr">
        <is>
          <t>2026-10-12</t>
        </is>
      </c>
      <c r="K557" s="77" t="inlineStr">
        <is>
          <t>search-summary paraphrase</t>
        </is>
      </c>
      <c r="L557" s="77" t="inlineStr">
        <is>
          <t>Intensive four-day project where you team up with 3-5 students to tackle a real business challenge from top employers; runs every summer and Easter; open to students from any degree.</t>
        </is>
      </c>
    </row>
    <row r="558">
      <c r="A558" s="77" t="inlineStr">
        <is>
          <t>RG21-S02-R2</t>
        </is>
      </c>
      <c r="B558" s="77" t="inlineStr">
        <is>
          <t>RG21</t>
        </is>
      </c>
      <c r="C558" s="77" t="inlineStr">
        <is>
          <t>RG21-S02</t>
        </is>
      </c>
      <c r="D558" s="77" t="inlineStr">
        <is>
          <t>Student Innovation Challenge</t>
        </is>
      </c>
      <c r="E558" s="77" t="inlineStr">
        <is>
          <t>status; group; employer</t>
        </is>
      </c>
      <c r="F558" s="77" t="inlineStr">
        <is>
          <t>https://www.southampton.ac.uk/~assets/doc/careers/CES_Guide.pdf</t>
        </is>
      </c>
      <c r="G558" s="77" t="inlineStr">
        <is>
          <t>Careers, Employability and Student Enterprise Guide 2025-2026</t>
        </is>
      </c>
      <c r="H558" s="77" t="inlineStr">
        <is>
          <t>Innovation Challenge entry</t>
        </is>
      </c>
      <c r="I558" s="77" t="inlineStr">
        <is>
          <t>2025-26</t>
        </is>
      </c>
      <c r="J558" s="77" t="inlineStr">
        <is>
          <t>2026-10-12</t>
        </is>
      </c>
      <c r="K558" s="77" t="inlineStr">
        <is>
          <t>search-summary paraphrase</t>
        </is>
      </c>
      <c r="L558" s="77" t="inlineStr">
        <is>
          <t>Intensive four-day project in which a team of four to five students solves a business challenge provided by top employers; runs during Easter and Summer vacations.</t>
        </is>
      </c>
    </row>
    <row r="559">
      <c r="A559" s="77" t="inlineStr">
        <is>
          <t>RG21-S02-R3</t>
        </is>
      </c>
      <c r="B559" s="77" t="inlineStr">
        <is>
          <t>RG21</t>
        </is>
      </c>
      <c r="C559" s="77" t="inlineStr">
        <is>
          <t>RG21-S02</t>
        </is>
      </c>
      <c r="D559" s="77" t="inlineStr">
        <is>
          <t>Student Innovation Challenge</t>
        </is>
      </c>
      <c r="E559" s="77" t="inlineStr">
        <is>
          <t>employer; project</t>
        </is>
      </c>
      <c r="F559" s="77" t="inlineStr">
        <is>
          <t>https://www.southampton.ac.uk/~assets/doc/careers/Innovation%20Challenge%20Easter%20Handbook%202122%20PDF%20.pdf</t>
        </is>
      </c>
      <c r="G559" s="77" t="inlineStr">
        <is>
          <t>Innovation Challenge Client Guide 2021/2022</t>
        </is>
      </c>
      <c r="H559" s="77" t="inlineStr">
        <is>
          <t>Client guide</t>
        </is>
      </c>
      <c r="I559" s="77" t="inlineStr">
        <is>
          <t>2021/22</t>
        </is>
      </c>
      <c r="J559" s="77" t="inlineStr">
        <is>
          <t>2026-10-12</t>
        </is>
      </c>
      <c r="K559" s="77" t="inlineStr">
        <is>
          <t>search-summary paraphrase</t>
        </is>
      </c>
      <c r="L559" s="77" t="inlineStr">
        <is>
          <t>Employers complete a Client Brief Form and Client Agreement; 4-day format with a winning-team prize (historical).</t>
        </is>
      </c>
    </row>
    <row r="560">
      <c r="A560" s="77" t="inlineStr">
        <is>
          <t>RG21-S03-R1</t>
        </is>
      </c>
      <c r="B560" s="77" t="inlineStr">
        <is>
          <t>RG21</t>
        </is>
      </c>
      <c r="C560" s="77" t="inlineStr">
        <is>
          <t>RG21-S03</t>
        </is>
      </c>
      <c r="D560" s="77" t="inlineStr">
        <is>
          <t>Leading Sustainability, Innovation and Change (MBA live consulting project)</t>
        </is>
      </c>
      <c r="E560" s="77" t="inlineStr">
        <is>
          <t>project; group; employer</t>
        </is>
      </c>
      <c r="F560" s="77" t="inlineStr">
        <is>
          <t>https://www.southampton.ac.uk/courses/master-of-business-administration-masters-mba</t>
        </is>
      </c>
      <c r="G560" s="77" t="inlineStr">
        <is>
          <t>MBA Master of Business Administration 8223 (1 year)</t>
        </is>
      </c>
      <c r="H560" s="77" t="inlineStr">
        <is>
          <t>Course page</t>
        </is>
      </c>
      <c r="I560" s="77" t="inlineStr">
        <is>
          <t>undated</t>
        </is>
      </c>
      <c r="J560" s="77" t="inlineStr">
        <is>
          <t>2026-10-12</t>
        </is>
      </c>
      <c r="K560" s="77" t="inlineStr">
        <is>
          <t>search-summary paraphrase</t>
        </is>
      </c>
      <c r="L560" s="77" t="inlineStr">
        <is>
          <t>Module includes teaching in Southampton and an international study trip with a 'live' group consulting project for a local organisation / live international consultancy project with a client company.</t>
        </is>
      </c>
    </row>
    <row r="561">
      <c r="A561" s="77" t="inlineStr">
        <is>
          <t>RG21-S03-R2</t>
        </is>
      </c>
      <c r="B561" s="77" t="inlineStr">
        <is>
          <t>RG21</t>
        </is>
      </c>
      <c r="C561" s="77" t="inlineStr">
        <is>
          <t>RG21-S03</t>
        </is>
      </c>
      <c r="D561" s="77" t="inlineStr">
        <is>
          <t>Leading Sustainability, Innovation and Change (MBA live consulting project)</t>
        </is>
      </c>
      <c r="E561" s="77" t="inlineStr">
        <is>
          <t>group; employer; status; project</t>
        </is>
      </c>
      <c r="F561" s="77" t="inlineStr">
        <is>
          <t>https://www.southampton.ac.uk/courses/global-executive-masters-mba</t>
        </is>
      </c>
      <c r="G561" s="77" t="inlineStr">
        <is>
          <t>MBA Global Executive Master of Business Administration 9453 (2 years)</t>
        </is>
      </c>
      <c r="H561" s="77" t="inlineStr">
        <is>
          <t>Course page</t>
        </is>
      </c>
      <c r="I561" s="77" t="inlineStr">
        <is>
          <t>undated; next start September 2026</t>
        </is>
      </c>
      <c r="J561" s="77" t="inlineStr">
        <is>
          <t>2026-10-12</t>
        </is>
      </c>
      <c r="K561" s="77" t="inlineStr">
        <is>
          <t>search-summary paraphrase</t>
        </is>
      </c>
      <c r="L561" s="77" t="inlineStr">
        <is>
          <t>The module's second residential trip is a group consultancy project for a local organisation, undertaken by a team of 5 to 7 students.</t>
        </is>
      </c>
    </row>
    <row r="562">
      <c r="A562" s="77" t="inlineStr">
        <is>
          <t>RG21-S03-R3</t>
        </is>
      </c>
      <c r="B562" s="77" t="inlineStr">
        <is>
          <t>RG21</t>
        </is>
      </c>
      <c r="C562" s="77" t="inlineStr">
        <is>
          <t>RG21-S03</t>
        </is>
      </c>
      <c r="D562" s="77" t="inlineStr">
        <is>
          <t>Leading Sustainability, Innovation and Change (MBA live consulting project)</t>
        </is>
      </c>
      <c r="E562" s="77" t="inlineStr">
        <is>
          <t>group; project</t>
        </is>
      </c>
      <c r="F562" s="77" t="inlineStr">
        <is>
          <t>https://www.southampton.ac.uk/~assets/doc/specs/2021-mba-8223-8224-8225.pdf</t>
        </is>
      </c>
      <c r="G562" s="77" t="inlineStr">
        <is>
          <t>Programme Specification MBA (2020-21)</t>
        </is>
      </c>
      <c r="H562" s="77" t="inlineStr">
        <is>
          <t>Module description</t>
        </is>
      </c>
      <c r="I562" s="77" t="inlineStr">
        <is>
          <t>2020-21</t>
        </is>
      </c>
      <c r="J562" s="77" t="inlineStr">
        <is>
          <t>2026-10-12</t>
        </is>
      </c>
      <c r="K562" s="77" t="inlineStr">
        <is>
          <t>search-summary paraphrase</t>
        </is>
      </c>
      <c r="L562" s="77" t="inlineStr">
        <is>
          <t>Live consultancy project in an international setting, group of between 4 and 6 students, Semester 2.</t>
        </is>
      </c>
    </row>
    <row r="563">
      <c r="A563" s="77" t="inlineStr">
        <is>
          <t>RG21-S04-R1</t>
        </is>
      </c>
      <c r="B563" s="77" t="inlineStr">
        <is>
          <t>RG21</t>
        </is>
      </c>
      <c r="C563" s="77" t="inlineStr">
        <is>
          <t>RG21-S04</t>
        </is>
      </c>
      <c r="D563" s="77" t="inlineStr">
        <is>
          <t>Online Master in Management (MiM) live consulting module</t>
        </is>
      </c>
      <c r="E563" s="77" t="inlineStr">
        <is>
          <t>project; group; employer; credit</t>
        </is>
      </c>
      <c r="F563" s="77" t="inlineStr">
        <is>
          <t>https://www.online.southampton.ac.uk/courses/mim-management</t>
        </is>
      </c>
      <c r="G563" s="77" t="inlineStr">
        <is>
          <t>Online Master in Management (MiM)</t>
        </is>
      </c>
      <c r="H563" s="77" t="inlineStr">
        <is>
          <t>Course page</t>
        </is>
      </c>
      <c r="I563" s="77" t="inlineStr">
        <is>
          <t>undated</t>
        </is>
      </c>
      <c r="J563" s="77" t="inlineStr">
        <is>
          <t>2026-10-12</t>
        </is>
      </c>
      <c r="K563" s="77" t="inlineStr">
        <is>
          <t>search-summary paraphrase</t>
        </is>
      </c>
      <c r="L563" s="77" t="inlineStr">
        <is>
          <t>Online version of the module is worth 15 credits, with a live group consulting project for an international client, ending in a group presentation and project report.</t>
        </is>
      </c>
    </row>
    <row r="564">
      <c r="A564" s="77" t="inlineStr">
        <is>
          <t>RG21-S05-R1</t>
        </is>
      </c>
      <c r="B564" s="77" t="inlineStr">
        <is>
          <t>RG21</t>
        </is>
      </c>
      <c r="C564" s="77" t="inlineStr">
        <is>
          <t>RG21-S05</t>
        </is>
      </c>
      <c r="D564" s="77" t="inlineStr">
        <is>
          <t>Interdisciplinary Group Project (FEEG6046)</t>
        </is>
      </c>
      <c r="E564" s="77" t="inlineStr">
        <is>
          <t>project; group; employer; status; credit</t>
        </is>
      </c>
      <c r="F564" s="77" t="inlineStr">
        <is>
          <t>https://www.southampton.ac.uk/courses/2026-27/modules/feeg6046</t>
        </is>
      </c>
      <c r="G564" s="77" t="inlineStr">
        <is>
          <t>2026-27 - FEEG6046 - Interdisciplinary Group Project</t>
        </is>
      </c>
      <c r="H564" s="77" t="inlineStr">
        <is>
          <t>Module overview</t>
        </is>
      </c>
      <c r="I564" s="77" t="inlineStr">
        <is>
          <t>2026-27</t>
        </is>
      </c>
      <c r="J564" s="77" t="inlineStr">
        <is>
          <t>2026-10-12</t>
        </is>
      </c>
      <c r="K564" s="77" t="inlineStr">
        <is>
          <t>search-summary paraphrase</t>
        </is>
      </c>
      <c r="L564"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5">
      <c r="A565" s="77" t="inlineStr">
        <is>
          <t>RG21-S05-R2</t>
        </is>
      </c>
      <c r="B565" s="77" t="inlineStr">
        <is>
          <t>RG21</t>
        </is>
      </c>
      <c r="C565" s="77" t="inlineStr">
        <is>
          <t>RG21-S05</t>
        </is>
      </c>
      <c r="D565" s="77" t="inlineStr">
        <is>
          <t>Interdisciplinary Group Project (FEEG6046)</t>
        </is>
      </c>
      <c r="E565" s="77" t="inlineStr">
        <is>
          <t>status; participation; eligibility</t>
        </is>
      </c>
      <c r="F565" s="77" t="inlineStr">
        <is>
          <t>https://www.southampton.ac.uk/courses/2025-26/modules/feeg6046</t>
        </is>
      </c>
      <c r="G565" s="77" t="inlineStr">
        <is>
          <t>2025-26 - FEEG6046 - Interdisciplinary Group Project</t>
        </is>
      </c>
      <c r="H565" s="77" t="inlineStr">
        <is>
          <t>Module overview</t>
        </is>
      </c>
      <c r="I565" s="77" t="inlineStr">
        <is>
          <t>2025-26</t>
        </is>
      </c>
      <c r="J565" s="77" t="inlineStr">
        <is>
          <t>2026-10-12</t>
        </is>
      </c>
      <c r="K565" s="77" t="inlineStr">
        <is>
          <t>search-summary paraphrase</t>
        </is>
      </c>
      <c r="L565" s="77" t="inlineStr">
        <is>
          <t>Same description for 2025-26; module run by the CDT in Complex Integrated Systems for Defence and Security; compulsory, no referral.</t>
        </is>
      </c>
    </row>
    <row r="566">
      <c r="A566" s="77" t="inlineStr">
        <is>
          <t>RG21-S06-R1</t>
        </is>
      </c>
      <c r="B566" s="77" t="inlineStr">
        <is>
          <t>RG21</t>
        </is>
      </c>
      <c r="C566" s="77" t="inlineStr">
        <is>
          <t>RG21-S06</t>
        </is>
      </c>
      <c r="D566" s="77" t="inlineStr">
        <is>
          <t>Interdisciplinary Team Project (SUST6003)</t>
        </is>
      </c>
      <c r="E566" s="77" t="inlineStr">
        <is>
          <t>project; group; employer; status; participation</t>
        </is>
      </c>
      <c r="F566" s="77" t="inlineStr">
        <is>
          <t>https://www.southampton.ac.uk/courses/2025-26/modules/sust6003</t>
        </is>
      </c>
      <c r="G566" s="77" t="inlineStr">
        <is>
          <t>2025-26 - SUST6003 - Interdisciplinary Team Project</t>
        </is>
      </c>
      <c r="H566" s="77" t="inlineStr">
        <is>
          <t>Module overview</t>
        </is>
      </c>
      <c r="I566" s="77" t="inlineStr">
        <is>
          <t>2025-26</t>
        </is>
      </c>
      <c r="J566" s="77" t="inlineStr">
        <is>
          <t>2026-10-12</t>
        </is>
      </c>
      <c r="K566" s="77" t="inlineStr">
        <is>
          <t>search-summary paraphrase</t>
        </is>
      </c>
      <c r="L566"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7">
      <c r="A567" s="77" t="inlineStr">
        <is>
          <t>RG21-S07-R1</t>
        </is>
      </c>
      <c r="B567" s="77" t="inlineStr">
        <is>
          <t>RG21</t>
        </is>
      </c>
      <c r="C567" s="77" t="inlineStr">
        <is>
          <t>RG21-S07</t>
        </is>
      </c>
      <c r="D567" s="77" t="inlineStr">
        <is>
          <t>Interdisciplinary Team Project (MIND6003)</t>
        </is>
      </c>
      <c r="E567" s="77" t="inlineStr">
        <is>
          <t>project; group; employer</t>
        </is>
      </c>
      <c r="F567" s="77" t="inlineStr">
        <is>
          <t>https://www.southampton.ac.uk/courses/modules/mind6003</t>
        </is>
      </c>
      <c r="G567" s="77" t="inlineStr">
        <is>
          <t>Interdisciplinary Team Project (MIND6003)</t>
        </is>
      </c>
      <c r="H567" s="77" t="inlineStr">
        <is>
          <t>Module overview</t>
        </is>
      </c>
      <c r="I567" s="77" t="inlineStr">
        <is>
          <t>undated (module lead for 2023-24)</t>
        </is>
      </c>
      <c r="J567" s="77" t="inlineStr">
        <is>
          <t>2026-10-12</t>
        </is>
      </c>
      <c r="K567" s="77" t="inlineStr">
        <is>
          <t>search-summary paraphrase</t>
        </is>
      </c>
      <c r="L567" s="77" t="inlineStr">
        <is>
          <t>Teams work on a practical problem set by outside partners; each team has an academic and an industry advisor; solution combines electronics and AI; outcomes presented at a public DemoFest.</t>
        </is>
      </c>
    </row>
    <row r="568">
      <c r="A568" s="77" t="inlineStr">
        <is>
          <t>RG21-S07-R2</t>
        </is>
      </c>
      <c r="B568" s="77" t="inlineStr">
        <is>
          <t>RG21</t>
        </is>
      </c>
      <c r="C568" s="77" t="inlineStr">
        <is>
          <t>RG21-S07</t>
        </is>
      </c>
      <c r="D568" s="77" t="inlineStr">
        <is>
          <t>Interdisciplinary Team Project (MIND6003)</t>
        </is>
      </c>
      <c r="E568" s="77" t="inlineStr">
        <is>
          <t>employer</t>
        </is>
      </c>
      <c r="F568" s="77" t="inlineStr">
        <is>
          <t>https://www.southampton.ac.uk/news/2019/02/minds-cdt-ukri.page</t>
        </is>
      </c>
      <c r="G568" s="77" t="inlineStr">
        <is>
          <t>Southampton to lead in developing and delivering AI innovators of the future</t>
        </is>
      </c>
      <c r="H568" s="77" t="inlineStr">
        <is>
          <t>CDT news</t>
        </is>
      </c>
      <c r="I568" s="77" t="inlineStr">
        <is>
          <t>2019</t>
        </is>
      </c>
      <c r="J568" s="77" t="inlineStr">
        <is>
          <t>2026-10-12</t>
        </is>
      </c>
      <c r="K568" s="77" t="inlineStr">
        <is>
          <t>search-summary paraphrase</t>
        </is>
      </c>
      <c r="L568" s="77" t="inlineStr">
        <is>
          <t>CDT collaborators include Roke Manor, Thales, Intel and NXP Semiconductors (CDT-level, not module-specific).</t>
        </is>
      </c>
    </row>
    <row r="569">
      <c r="A569" s="77" t="inlineStr">
        <is>
          <t>RG21-S08-R1</t>
        </is>
      </c>
      <c r="B569" s="77" t="inlineStr">
        <is>
          <t>RG21</t>
        </is>
      </c>
      <c r="C569" s="77" t="inlineStr">
        <is>
          <t>RG21-S08</t>
        </is>
      </c>
      <c r="D569" s="77" t="inlineStr">
        <is>
          <t>Small Scale Research Projects (PSYC8042)</t>
        </is>
      </c>
      <c r="E569" s="77" t="inlineStr">
        <is>
          <t>project; group; employer; status; participation</t>
        </is>
      </c>
      <c r="F569" s="77" t="inlineStr">
        <is>
          <t>https://www.southampton.ac.uk/courses/2026-27/modules/psyc8042</t>
        </is>
      </c>
      <c r="G569" s="77" t="inlineStr">
        <is>
          <t>2026-27 - PSYC8042 - Small Scale Research Projects (SSRP)</t>
        </is>
      </c>
      <c r="H569" s="77" t="inlineStr">
        <is>
          <t>Module overview</t>
        </is>
      </c>
      <c r="I569" s="77" t="inlineStr">
        <is>
          <t>2026-27</t>
        </is>
      </c>
      <c r="J569" s="77" t="inlineStr">
        <is>
          <t>2026-10-12</t>
        </is>
      </c>
      <c r="K569" s="77" t="inlineStr">
        <is>
          <t>search-summary paraphrase</t>
        </is>
      </c>
      <c r="L569"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0">
      <c r="A570" s="77" t="inlineStr">
        <is>
          <t>RG21-S08-R2</t>
        </is>
      </c>
      <c r="B570" s="77" t="inlineStr">
        <is>
          <t>RG21</t>
        </is>
      </c>
      <c r="C570" s="77" t="inlineStr">
        <is>
          <t>RG21-S08</t>
        </is>
      </c>
      <c r="D570" s="77" t="inlineStr">
        <is>
          <t>Small Scale Research Projects (PSYC8042)</t>
        </is>
      </c>
      <c r="E570" s="77" t="inlineStr">
        <is>
          <t>employer</t>
        </is>
      </c>
      <c r="F570" s="77" t="inlineStr">
        <is>
          <t>https://www.southampton.ac.uk/~assets/doc/Education/2022-23%20Ed_Psych_Academic%20Handbook%20v7_Angela%20Goodall.pdf</t>
        </is>
      </c>
      <c r="G570" s="77" t="inlineStr">
        <is>
          <t>Doctorate in Educational Psychology Academic Handbook 2022-23</t>
        </is>
      </c>
      <c r="H570" s="77" t="inlineStr">
        <is>
          <t>SSRP description</t>
        </is>
      </c>
      <c r="I570" s="77" t="inlineStr">
        <is>
          <t>2022-23</t>
        </is>
      </c>
      <c r="J570" s="77" t="inlineStr">
        <is>
          <t>2026-10-12</t>
        </is>
      </c>
      <c r="K570" s="77" t="inlineStr">
        <is>
          <t>search-summary paraphrase</t>
        </is>
      </c>
      <c r="L570" s="77" t="inlineStr">
        <is>
          <t>Collaborative projects set by the local authority; trainees work with a local authority EP and a University supervisor.</t>
        </is>
      </c>
    </row>
    <row r="571">
      <c r="A571" s="77" t="inlineStr">
        <is>
          <t>RG21-S09-R1</t>
        </is>
      </c>
      <c r="B571" s="77" t="inlineStr">
        <is>
          <t>RG21</t>
        </is>
      </c>
      <c r="C571" s="77" t="inlineStr">
        <is>
          <t>RG21-S09</t>
        </is>
      </c>
      <c r="D571" s="77" t="inlineStr">
        <is>
          <t>Group Design Project (FEEG6013)</t>
        </is>
      </c>
      <c r="E571" s="77" t="inlineStr">
        <is>
          <t>project; group; employer; credit</t>
        </is>
      </c>
      <c r="F571" s="77" t="inlineStr">
        <is>
          <t>https://www.southampton.ac.uk/courses/2028-29/modules/feeg6013</t>
        </is>
      </c>
      <c r="G571" s="77" t="inlineStr">
        <is>
          <t>2028-29 - FEEG6013 - Group Design Project</t>
        </is>
      </c>
      <c r="H571" s="77" t="inlineStr">
        <is>
          <t>Module overview</t>
        </is>
      </c>
      <c r="I571" s="77" t="inlineStr">
        <is>
          <t>2028-29 catalogue page</t>
        </is>
      </c>
      <c r="J571" s="77" t="inlineStr">
        <is>
          <t>2026-10-12</t>
        </is>
      </c>
      <c r="K571" s="77" t="inlineStr">
        <is>
          <t>search-summary paraphrase</t>
        </is>
      </c>
      <c r="L571"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2">
      <c r="A572" s="77" t="inlineStr">
        <is>
          <t>RG21-S09-R2</t>
        </is>
      </c>
      <c r="B572" s="77" t="inlineStr">
        <is>
          <t>RG21</t>
        </is>
      </c>
      <c r="C572" s="77" t="inlineStr">
        <is>
          <t>RG21-S09</t>
        </is>
      </c>
      <c r="D572" s="77" t="inlineStr">
        <is>
          <t>Group Design Project (FEEG6013)</t>
        </is>
      </c>
      <c r="E572" s="77" t="inlineStr">
        <is>
          <t>employer</t>
        </is>
      </c>
      <c r="F572" s="77" t="inlineStr">
        <is>
          <t>https://www.southampton.ac.uk/courses/2026-27/modules/cheg6006</t>
        </is>
      </c>
      <c r="G572" s="77" t="inlineStr">
        <is>
          <t>2026-27 - CHEG6006 - Chemical Engineering Group Design Project</t>
        </is>
      </c>
      <c r="H572" s="77" t="inlineStr">
        <is>
          <t>Module overview</t>
        </is>
      </c>
      <c r="I572" s="77" t="inlineStr">
        <is>
          <t>2026-27</t>
        </is>
      </c>
      <c r="J572" s="77" t="inlineStr">
        <is>
          <t>2026-10-12</t>
        </is>
      </c>
      <c r="K572" s="77" t="inlineStr">
        <is>
          <t>search-summary paraphrase</t>
        </is>
      </c>
      <c r="L572" s="77" t="inlineStr">
        <is>
          <t>Notes that many projects have additional sponsorship from industry.</t>
        </is>
      </c>
    </row>
    <row r="573">
      <c r="A573" s="77" t="inlineStr">
        <is>
          <t>RG21-S10-R1</t>
        </is>
      </c>
      <c r="B573" s="77" t="inlineStr">
        <is>
          <t>RG21</t>
        </is>
      </c>
      <c r="C573" s="77" t="inlineStr">
        <is>
          <t>RG21-S10</t>
        </is>
      </c>
      <c r="D573" s="77" t="inlineStr">
        <is>
          <t>Group Design Project (ECSP6000 / ELEC6200)</t>
        </is>
      </c>
      <c r="E573" s="77" t="inlineStr">
        <is>
          <t>project; group; employer; credit</t>
        </is>
      </c>
      <c r="F573" s="77" t="inlineStr">
        <is>
          <t>https://www.southampton.ac.uk/courses/2028-29/modules/ecsp6000</t>
        </is>
      </c>
      <c r="G573" s="77" t="inlineStr">
        <is>
          <t>2028-29 - ECSP6000 - Group Design Project</t>
        </is>
      </c>
      <c r="H573" s="77" t="inlineStr">
        <is>
          <t>Module overview</t>
        </is>
      </c>
      <c r="I573" s="77" t="inlineStr">
        <is>
          <t>2028-29 catalogue page</t>
        </is>
      </c>
      <c r="J573" s="77" t="inlineStr">
        <is>
          <t>2026-10-12</t>
        </is>
      </c>
      <c r="K573" s="77" t="inlineStr">
        <is>
          <t>search-summary paraphrase</t>
        </is>
      </c>
      <c r="L573" s="77" t="inlineStr">
        <is>
          <t>Introduction to intensive group project work in collaboration with an industrial or academic customer; groups of at least four people; projects typically based on an idea from an industrial partner.</t>
        </is>
      </c>
    </row>
    <row r="574">
      <c r="A574" s="77" t="inlineStr">
        <is>
          <t>RG21-S10-R2</t>
        </is>
      </c>
      <c r="B574" s="77" t="inlineStr">
        <is>
          <t>RG21</t>
        </is>
      </c>
      <c r="C574" s="77" t="inlineStr">
        <is>
          <t>RG21-S10</t>
        </is>
      </c>
      <c r="D574" s="77" t="inlineStr">
        <is>
          <t>Group Design Project (ECSP6000 / ELEC6200)</t>
        </is>
      </c>
      <c r="E574" s="77" t="inlineStr">
        <is>
          <t>reach; eligibility</t>
        </is>
      </c>
      <c r="F574" s="77" t="inlineStr">
        <is>
          <t>https://www.southampton.ac.uk/courses/electronic-engineering-with-computer-systems-degree-meng</t>
        </is>
      </c>
      <c r="G574" s="77" t="inlineStr">
        <is>
          <t>H6G4 MEng Electronic Engineering with Computer Systems</t>
        </is>
      </c>
      <c r="H574" s="77" t="inlineStr">
        <is>
          <t>Course page</t>
        </is>
      </c>
      <c r="I574" s="77" t="inlineStr">
        <is>
          <t>undated (links 2026-27 course description)</t>
        </is>
      </c>
      <c r="J574" s="77" t="inlineStr">
        <is>
          <t>2026-10-12</t>
        </is>
      </c>
      <c r="K574" s="77" t="inlineStr">
        <is>
          <t>search-summary paraphrase</t>
        </is>
      </c>
      <c r="L574" s="77" t="inlineStr">
        <is>
          <t>Students work in groups of at least four people on a project typically based on an idea from an industrial partner.</t>
        </is>
      </c>
    </row>
    <row r="575">
      <c r="A575" s="77" t="inlineStr">
        <is>
          <t>RG21-S11-R1</t>
        </is>
      </c>
      <c r="B575" s="77" t="inlineStr">
        <is>
          <t>RG21</t>
        </is>
      </c>
      <c r="C575" s="77" t="inlineStr">
        <is>
          <t>RG21-S11</t>
        </is>
      </c>
      <c r="D575" s="77" t="inlineStr">
        <is>
          <t>Design (ELEC2300)</t>
        </is>
      </c>
      <c r="E575" s="77" t="inlineStr">
        <is>
          <t>project; group; employer; status</t>
        </is>
      </c>
      <c r="F575" s="77" t="inlineStr">
        <is>
          <t>https://www.southampton.ac.uk/courses/modules/elec2300</t>
        </is>
      </c>
      <c r="G575" s="77" t="inlineStr">
        <is>
          <t>2026-27 - ELEC2300 - Design</t>
        </is>
      </c>
      <c r="H575" s="77" t="inlineStr">
        <is>
          <t>Module overview</t>
        </is>
      </c>
      <c r="I575" s="77" t="inlineStr">
        <is>
          <t>2026-27</t>
        </is>
      </c>
      <c r="J575" s="77" t="inlineStr">
        <is>
          <t>2026-10-12</t>
        </is>
      </c>
      <c r="K575" s="77" t="inlineStr">
        <is>
          <t>search-summary paraphrase</t>
        </is>
      </c>
      <c r="L575" s="77" t="inlineStr">
        <is>
          <t>Student groups take on a design, build and test project against a predefined specification; a demonstration event enables judges selected from industry to evaluate the construction, functionality and capability of the designs.</t>
        </is>
      </c>
    </row>
    <row r="576">
      <c r="A576" s="77" t="inlineStr">
        <is>
          <t>RG21-S12-R1</t>
        </is>
      </c>
      <c r="B576" s="77" t="inlineStr">
        <is>
          <t>RG21</t>
        </is>
      </c>
      <c r="C576" s="77" t="inlineStr">
        <is>
          <t>RG21-S12</t>
        </is>
      </c>
      <c r="D576" s="77" t="inlineStr">
        <is>
          <t>The Sustainability Professional (MSc) (GGES6008)</t>
        </is>
      </c>
      <c r="E576" s="77" t="inlineStr">
        <is>
          <t>project; group; employer; status</t>
        </is>
      </c>
      <c r="F576" s="77" t="inlineStr">
        <is>
          <t>https://www.southampton.ac.uk/courses/2026-27/modules/gges6008</t>
        </is>
      </c>
      <c r="G576" s="77" t="inlineStr">
        <is>
          <t>2026-27 - GGES6008 - The Sustainability Professional (MSc)</t>
        </is>
      </c>
      <c r="H576" s="77" t="inlineStr">
        <is>
          <t>Module overview</t>
        </is>
      </c>
      <c r="I576" s="77" t="inlineStr">
        <is>
          <t>2026-27</t>
        </is>
      </c>
      <c r="J576" s="77" t="inlineStr">
        <is>
          <t>2026-10-12</t>
        </is>
      </c>
      <c r="K576" s="77" t="inlineStr">
        <is>
          <t>search-summary paraphrase</t>
        </is>
      </c>
      <c r="L576" s="77" t="inlineStr">
        <is>
          <t>Run with a range of local and regional environmental and sustainability consultancies; students work in groups to submit one full consultancy report as the primary assessment.</t>
        </is>
      </c>
    </row>
    <row r="577">
      <c r="A577" s="77" t="inlineStr">
        <is>
          <t>RG21-S13-R1</t>
        </is>
      </c>
      <c r="B577" s="77" t="inlineStr">
        <is>
          <t>RG21</t>
        </is>
      </c>
      <c r="C577" s="77" t="inlineStr">
        <is>
          <t>RG21-S13</t>
        </is>
      </c>
      <c r="D577" s="77" t="inlineStr">
        <is>
          <t>Collaborate (Creative Computing) (ARTD2145)</t>
        </is>
      </c>
      <c r="E577" s="77" t="inlineStr">
        <is>
          <t>project; group; employer; status; participation</t>
        </is>
      </c>
      <c r="F577" s="77" t="inlineStr">
        <is>
          <t>https://www.southampton.ac.uk/courses/2026-27/modules/artd2145</t>
        </is>
      </c>
      <c r="G577" s="77" t="inlineStr">
        <is>
          <t>2026-27 - ARTD2145 - Collaborate (Creative Computing)</t>
        </is>
      </c>
      <c r="H577" s="77" t="inlineStr">
        <is>
          <t>Module overview</t>
        </is>
      </c>
      <c r="I577" s="77" t="inlineStr">
        <is>
          <t>2026-27</t>
        </is>
      </c>
      <c r="J577" s="77" t="inlineStr">
        <is>
          <t>2026-10-12</t>
        </is>
      </c>
      <c r="K577" s="77" t="inlineStr">
        <is>
          <t>search-summary paraphrase</t>
        </is>
      </c>
      <c r="L577" s="77" t="inlineStr">
        <is>
          <t>Students will collaborate with students and/or practitioners from other disciplines or be set briefs from professional partners in the creative and cultural industries.</t>
        </is>
      </c>
    </row>
    <row r="578">
      <c r="A578" s="77" t="inlineStr">
        <is>
          <t>RG21-S14-R1</t>
        </is>
      </c>
      <c r="B578" s="77" t="inlineStr">
        <is>
          <t>RG21</t>
        </is>
      </c>
      <c r="C578" s="77" t="inlineStr">
        <is>
          <t>RG21-S14</t>
        </is>
      </c>
      <c r="D578" s="77" t="inlineStr">
        <is>
          <t>Advertising and Branding in Action (ARTD6240)</t>
        </is>
      </c>
      <c r="E578" s="77" t="inlineStr">
        <is>
          <t>project; employer; status</t>
        </is>
      </c>
      <c r="F578" s="77" t="inlineStr">
        <is>
          <t>https://www.southampton.ac.uk/courses/2026-27/modules/artd6240</t>
        </is>
      </c>
      <c r="G578" s="77" t="inlineStr">
        <is>
          <t>2026-27 - ARTD6240 - Advertising and Branding in Action</t>
        </is>
      </c>
      <c r="H578" s="77" t="inlineStr">
        <is>
          <t>Module overview</t>
        </is>
      </c>
      <c r="I578" s="77" t="inlineStr">
        <is>
          <t>2026-27</t>
        </is>
      </c>
      <c r="J578" s="77" t="inlineStr">
        <is>
          <t>2026-10-12</t>
        </is>
      </c>
      <c r="K578" s="77" t="inlineStr">
        <is>
          <t>search-summary paraphrase</t>
        </is>
      </c>
      <c r="L578" s="77" t="inlineStr">
        <is>
          <t>Students work to live briefs, acting in agency or in-house strategic account management roles; real client briefs in a simulated agency environment.</t>
        </is>
      </c>
    </row>
    <row r="579">
      <c r="A579" s="77" t="inlineStr">
        <is>
          <t>RG21-S15-R1</t>
        </is>
      </c>
      <c r="B579" s="77" t="inlineStr">
        <is>
          <t>RG21</t>
        </is>
      </c>
      <c r="C579" s="77" t="inlineStr">
        <is>
          <t>RG21-S15</t>
        </is>
      </c>
      <c r="D579" s="77" t="inlineStr">
        <is>
          <t>Industry Consultancy Projects (Centre for Risk Research)</t>
        </is>
      </c>
      <c r="E579" s="77" t="inlineStr">
        <is>
          <t>project</t>
        </is>
      </c>
      <c r="F579" s="77" t="inlineStr">
        <is>
          <t>https://www.southampton.ac.uk/research/institutes-centres/centre-for-risk-research-crr/industry-consultancy-projects</t>
        </is>
      </c>
      <c r="G579" s="77" t="inlineStr">
        <is>
          <t>Industry Consultancy Projects (CRR)</t>
        </is>
      </c>
      <c r="H579" s="77" t="inlineStr">
        <is>
          <t>Page</t>
        </is>
      </c>
      <c r="I579" s="77" t="inlineStr">
        <is>
          <t>undated</t>
        </is>
      </c>
      <c r="J579" s="77" t="inlineStr">
        <is>
          <t>2026-10-12</t>
        </is>
      </c>
      <c r="K579" s="77" t="inlineStr">
        <is>
          <t>not retrieved (URL from legacy file)</t>
        </is>
      </c>
      <c r="L579" s="77" t="inlineStr">
        <is>
          <t>Page exists in legacy research; search tool returned only a link, no extract.</t>
        </is>
      </c>
    </row>
    <row r="580">
      <c r="A580" s="77" t="inlineStr">
        <is>
          <t>RG21-S15-R2</t>
        </is>
      </c>
      <c r="B580" s="77" t="inlineStr">
        <is>
          <t>RG21</t>
        </is>
      </c>
      <c r="C580" s="77" t="inlineStr">
        <is>
          <t>RG21-S15</t>
        </is>
      </c>
      <c r="D580" s="77" t="inlineStr">
        <is>
          <t>Industry Consultancy Projects (Centre for Risk Research)</t>
        </is>
      </c>
      <c r="E580" s="77" t="inlineStr">
        <is>
          <t>employer</t>
        </is>
      </c>
      <c r="F580" s="77" t="inlineStr">
        <is>
          <t>https://www.southampton.ac.uk/research/institutes-centres/centre-for-risk-research-crr/news-events</t>
        </is>
      </c>
      <c r="G580" s="77" t="inlineStr">
        <is>
          <t>CRR News and Events</t>
        </is>
      </c>
      <c r="H580" s="77" t="inlineStr">
        <is>
          <t>News</t>
        </is>
      </c>
      <c r="I580" s="77" t="inlineStr">
        <is>
          <t>undated</t>
        </is>
      </c>
      <c r="J580" s="77" t="inlineStr">
        <is>
          <t>2026-10-12</t>
        </is>
      </c>
      <c r="K580" s="77" t="inlineStr">
        <is>
          <t>search-summary paraphrase</t>
        </is>
      </c>
      <c r="L580" s="77" t="inlineStr">
        <is>
          <t>Headline: 'The CRR grows its industry-led dissertation projects'.</t>
        </is>
      </c>
    </row>
    <row r="581">
      <c r="A581" s="77" t="inlineStr">
        <is>
          <t>RG22-S01-R1</t>
        </is>
      </c>
      <c r="B581" s="77" t="inlineStr">
        <is>
          <t>RG22</t>
        </is>
      </c>
      <c r="C581" s="77" t="inlineStr">
        <is>
          <t>RG22-S01</t>
        </is>
      </c>
      <c r="D581" s="77" t="inlineStr">
        <is>
          <t>Systems Engineering (COMP0016) - UCL IXN team project</t>
        </is>
      </c>
      <c r="E581" s="77" t="inlineStr">
        <is>
          <t>project; group; employer; credit; eligibility</t>
        </is>
      </c>
      <c r="F581" s="77" t="inlineStr">
        <is>
          <t>https://www.ucl.ac.uk/module-catalogue/modules/systems-engineering/COMP0016</t>
        </is>
      </c>
      <c r="G581" s="77" t="inlineStr">
        <is>
          <t>Systems Engineering (COMP0016)</t>
        </is>
      </c>
      <c r="H581" s="77" t="inlineStr">
        <is>
          <t>Module catalogue entry (page updated 10 Mar 2026)</t>
        </is>
      </c>
      <c r="I581" s="77" t="inlineStr">
        <is>
          <t>2026/27 entry</t>
        </is>
      </c>
      <c r="J581" s="77" t="inlineStr">
        <is>
          <t>2026-10-12</t>
        </is>
      </c>
      <c r="K581" s="77" t="inlineStr">
        <is>
          <t>search-index extract</t>
        </is>
      </c>
      <c r="L581"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2">
      <c r="A582" s="77" t="inlineStr">
        <is>
          <t>RG22-S01-R2</t>
        </is>
      </c>
      <c r="B582" s="77" t="inlineStr">
        <is>
          <t>RG22</t>
        </is>
      </c>
      <c r="C582" s="77" t="inlineStr">
        <is>
          <t>RG22-S01</t>
        </is>
      </c>
      <c r="D582" s="77" t="inlineStr">
        <is>
          <t>Systems Engineering (COMP0016) - UCL IXN team project</t>
        </is>
      </c>
      <c r="E582" s="77" t="inlineStr">
        <is>
          <t>employer; group; participation</t>
        </is>
      </c>
      <c r="F582" s="77" t="inlineStr">
        <is>
          <t>https://www.ucl.ac.uk/study/prospective-students/undergraduate/courses/computer-science-bsc</t>
        </is>
      </c>
      <c r="G582" s="77" t="inlineStr">
        <is>
          <t>Computer Science BSc</t>
        </is>
      </c>
      <c r="H582" s="77" t="inlineStr">
        <is>
          <t>Course page</t>
        </is>
      </c>
      <c r="I582" s="77" t="inlineStr">
        <is>
          <t>undated</t>
        </is>
      </c>
      <c r="J582" s="77" t="inlineStr">
        <is>
          <t>2026-10-12</t>
        </is>
      </c>
      <c r="K582" s="77" t="inlineStr">
        <is>
          <t>search-index extract</t>
        </is>
      </c>
      <c r="L582" s="77" t="inlineStr">
        <is>
          <t>'You'll also complete a team project set by one of our industry partners as part of the Industry Exchange Network (IXN).'</t>
        </is>
      </c>
    </row>
    <row r="583">
      <c r="A583" s="77" t="inlineStr">
        <is>
          <t>RG22-S01-R3</t>
        </is>
      </c>
      <c r="B583" s="77" t="inlineStr">
        <is>
          <t>RG22</t>
        </is>
      </c>
      <c r="C583" s="77" t="inlineStr">
        <is>
          <t>RG22-S01</t>
        </is>
      </c>
      <c r="D583" s="77" t="inlineStr">
        <is>
          <t>Systems Engineering (COMP0016) - UCL IXN team project</t>
        </is>
      </c>
      <c r="E583" s="77" t="inlineStr">
        <is>
          <t>status</t>
        </is>
      </c>
      <c r="F583" s="77" t="inlineStr">
        <is>
          <t>https://www.ucl.ac.uk/engineering/news/2026/jan/ucl-computer-science-students-work-schools-tackle-recycling-challenges</t>
        </is>
      </c>
      <c r="G583" s="77" t="inlineStr">
        <is>
          <t>UCL Computer Science students work with schools to tackle recycling challenges</t>
        </is>
      </c>
      <c r="H583" s="77" t="inlineStr">
        <is>
          <t>News, Jan 2026</t>
        </is>
      </c>
      <c r="I583" s="77" t="inlineStr">
        <is>
          <t>2026</t>
        </is>
      </c>
      <c r="J583" s="77" t="inlineStr">
        <is>
          <t>2026-10-12</t>
        </is>
      </c>
      <c r="K583" s="77" t="inlineStr">
        <is>
          <t>search-index extract</t>
        </is>
      </c>
      <c r="L583" s="77" t="inlineStr">
        <is>
          <t>Second-year COMP0016 students (2025/26 cohort) worked on a project with Tower Hamlets schools / Recycling Lab partners (an outreach variant, not a standard client brief).</t>
        </is>
      </c>
    </row>
    <row r="584">
      <c r="A584" s="77" t="inlineStr">
        <is>
          <t>RG22-S01-R4</t>
        </is>
      </c>
      <c r="B584" s="77" t="inlineStr">
        <is>
          <t>RG22</t>
        </is>
      </c>
      <c r="C584" s="77" t="inlineStr">
        <is>
          <t>RG22-S01</t>
        </is>
      </c>
      <c r="D584" s="77" t="inlineStr">
        <is>
          <t>Systems Engineering (COMP0016) - UCL IXN team project</t>
        </is>
      </c>
      <c r="E584" s="77" t="inlineStr">
        <is>
          <t>group; participation</t>
        </is>
      </c>
      <c r="F584" s="77" t="inlineStr">
        <is>
          <t>https://www.ucl.ac.uk/computer-science/collaborate/ucl-industry-exchange-network-ucl-ixn/frequently-asked-questions</t>
        </is>
      </c>
      <c r="G584" s="77" t="inlineStr">
        <is>
          <t>UCL IXN FAQ</t>
        </is>
      </c>
      <c r="H584" s="77" t="inlineStr">
        <is>
          <t>FAQ</t>
        </is>
      </c>
      <c r="I584" s="77" t="inlineStr">
        <is>
          <t>undated (c. 5 years old)</t>
        </is>
      </c>
      <c r="J584" s="77" t="inlineStr">
        <is>
          <t>2026-10-12</t>
        </is>
      </c>
      <c r="K584" s="77" t="inlineStr">
        <is>
          <t>search-index extract</t>
        </is>
      </c>
      <c r="L584" s="77" t="inlineStr">
        <is>
          <t>In the second year there are IXN group projects and in the final year individual projects, each taking approximately 25% of learning time.</t>
        </is>
      </c>
    </row>
    <row r="585">
      <c r="A585" s="77" t="inlineStr">
        <is>
          <t>RG22-S02-R1</t>
        </is>
      </c>
      <c r="B585" s="77" t="inlineStr">
        <is>
          <t>RG22</t>
        </is>
      </c>
      <c r="C585" s="77" t="inlineStr">
        <is>
          <t>RG22-S02</t>
        </is>
      </c>
      <c r="D585" s="77" t="inlineStr">
        <is>
          <t>Industry supervised MSc &amp; Undergraduate projects (EEE-IXN) - final-year team projects</t>
        </is>
      </c>
      <c r="E585" s="77" t="inlineStr">
        <is>
          <t>project; group; employer; status</t>
        </is>
      </c>
      <c r="F585" s="77" t="inlineStr">
        <is>
          <t>https://www.ucl.ac.uk/electronic-electrical-engineering/collaborate/industry-supervised-msc-undergraduate-projects</t>
        </is>
      </c>
      <c r="G585" s="77" t="inlineStr">
        <is>
          <t>Industry supervised MSc &amp; Undergraduate projects</t>
        </is>
      </c>
      <c r="H585" s="77" t="inlineStr">
        <is>
          <t>Partner guidance</t>
        </is>
      </c>
      <c r="I585" s="77" t="inlineStr">
        <is>
          <t>2025/26 timeline shown</t>
        </is>
      </c>
      <c r="J585" s="77" t="inlineStr">
        <is>
          <t>2026-10-12</t>
        </is>
      </c>
      <c r="K585" s="77" t="inlineStr">
        <is>
          <t>search-index extract</t>
        </is>
      </c>
      <c r="L585"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6">
      <c r="A586" s="77" t="inlineStr">
        <is>
          <t>RG22-S02-R2</t>
        </is>
      </c>
      <c r="B586" s="77" t="inlineStr">
        <is>
          <t>RG22</t>
        </is>
      </c>
      <c r="C586" s="77" t="inlineStr">
        <is>
          <t>RG22-S02</t>
        </is>
      </c>
      <c r="D586" s="77" t="inlineStr">
        <is>
          <t>Industry supervised MSc &amp; Undergraduate projects (EEE-IXN) - final-year team projects</t>
        </is>
      </c>
      <c r="E586" s="77" t="inlineStr">
        <is>
          <t>project; group</t>
        </is>
      </c>
      <c r="F586" s="77" t="inlineStr">
        <is>
          <t>https://www.ucl.ac.uk/engineering/centre-for-engineering-education/study/integrated-engineering-programme/scenario-weeks</t>
        </is>
      </c>
      <c r="G586" s="77" t="inlineStr">
        <is>
          <t>Scenario weeks / IEP</t>
        </is>
      </c>
      <c r="H586" s="77" t="inlineStr">
        <is>
          <t>IEP pages</t>
        </is>
      </c>
      <c r="I586" s="77" t="inlineStr">
        <is>
          <t>undated</t>
        </is>
      </c>
      <c r="J586" s="77" t="inlineStr">
        <is>
          <t>2026-10-12</t>
        </is>
      </c>
      <c r="K586" s="77" t="inlineStr">
        <is>
          <t>search-summary paraphrase</t>
        </is>
      </c>
      <c r="L586" s="77" t="inlineStr">
        <is>
          <t>Summary of search result: fourth-year EEE undergraduates do a six-month part-time team project via IXN.</t>
        </is>
      </c>
    </row>
    <row r="587">
      <c r="A587" s="77" t="inlineStr">
        <is>
          <t>RG22-S03-R1</t>
        </is>
      </c>
      <c r="B587" s="77" t="inlineStr">
        <is>
          <t>RG22</t>
        </is>
      </c>
      <c r="C587" s="77" t="inlineStr">
        <is>
          <t>RG22-S03</t>
        </is>
      </c>
      <c r="D587" s="77" t="inlineStr">
        <is>
          <t>Integrated Engineering Programme (IEP)</t>
        </is>
      </c>
      <c r="E587" s="77" t="inlineStr">
        <is>
          <t>project; group</t>
        </is>
      </c>
      <c r="F587" s="77" t="inlineStr">
        <is>
          <t>https://www.ucl.ac.uk/engineering/centre-for-engineering-education/study/integrated-engineering-programme</t>
        </is>
      </c>
      <c r="G587" s="77" t="inlineStr">
        <is>
          <t>Integrated Engineering Programme</t>
        </is>
      </c>
      <c r="H587" s="77" t="inlineStr">
        <is>
          <t>IEP overview</t>
        </is>
      </c>
      <c r="I587" s="77" t="inlineStr">
        <is>
          <t>undated</t>
        </is>
      </c>
      <c r="J587" s="77" t="inlineStr">
        <is>
          <t>2026-10-12</t>
        </is>
      </c>
      <c r="K587" s="77" t="inlineStr">
        <is>
          <t>search-summary paraphrase</t>
        </is>
      </c>
      <c r="L587" s="77" t="inlineStr">
        <is>
          <t>IEP comprises Scenario weeks and How to Change the World as team-based projects.</t>
        </is>
      </c>
    </row>
    <row r="588">
      <c r="A588" s="77" t="inlineStr">
        <is>
          <t>RG22-S04-R1</t>
        </is>
      </c>
      <c r="B588" s="77" t="inlineStr">
        <is>
          <t>RG22</t>
        </is>
      </c>
      <c r="C588" s="77" t="inlineStr">
        <is>
          <t>RG22-S04</t>
        </is>
      </c>
      <c r="D588" s="77" t="inlineStr">
        <is>
          <t>IEP Scenario weeks</t>
        </is>
      </c>
      <c r="E588" s="77" t="inlineStr">
        <is>
          <t>project; group; employer</t>
        </is>
      </c>
      <c r="F588" s="77" t="inlineStr">
        <is>
          <t>https://www.ucl.ac.uk/engineering/centre-for-engineering-education/study/integrated-engineering-programme/scenario-weeks</t>
        </is>
      </c>
      <c r="G588" s="77" t="inlineStr">
        <is>
          <t>Scenario weeks</t>
        </is>
      </c>
      <c r="H588" s="77" t="inlineStr">
        <is>
          <t>IEP pages</t>
        </is>
      </c>
      <c r="I588" s="77" t="inlineStr">
        <is>
          <t>undated</t>
        </is>
      </c>
      <c r="J588" s="77" t="inlineStr">
        <is>
          <t>2026-10-12</t>
        </is>
      </c>
      <c r="K588" s="77" t="inlineStr">
        <is>
          <t>search-index extract</t>
        </is>
      </c>
      <c r="L588" s="77" t="inlineStr">
        <is>
          <t>Scenario weeks are intensive project-based learning; each department runs its own; some occasionally collaborate with industry (start-ups to established companies), third-sector professionals and/or regional communities.</t>
        </is>
      </c>
    </row>
    <row r="589">
      <c r="A589" s="77" t="inlineStr">
        <is>
          <t>RG22-S05-R1</t>
        </is>
      </c>
      <c r="B589" s="77" t="inlineStr">
        <is>
          <t>RG22</t>
        </is>
      </c>
      <c r="C589" s="77" t="inlineStr">
        <is>
          <t>RG22-S05</t>
        </is>
      </c>
      <c r="D589" s="77" t="inlineStr">
        <is>
          <t>How to Change the World (IEP)</t>
        </is>
      </c>
      <c r="E589" s="77" t="inlineStr">
        <is>
          <t>project; group; employer; eligibility</t>
        </is>
      </c>
      <c r="F589" s="77" t="inlineStr">
        <is>
          <t>https://www.ucl.ac.uk/engineering/centre-for-engineering-education/study/integrated-engineering-programme/how-change-world</t>
        </is>
      </c>
      <c r="G589" s="77" t="inlineStr">
        <is>
          <t>How to Change the World</t>
        </is>
      </c>
      <c r="H589" s="77" t="inlineStr">
        <is>
          <t>IEP page</t>
        </is>
      </c>
      <c r="I589" s="77" t="inlineStr">
        <is>
          <t>undated</t>
        </is>
      </c>
      <c r="J589" s="77" t="inlineStr">
        <is>
          <t>2026-10-12</t>
        </is>
      </c>
      <c r="K589" s="77" t="inlineStr">
        <is>
          <t>search-summary paraphrase</t>
        </is>
      </c>
      <c r="L589" s="77" t="inlineStr">
        <is>
          <t>Two-week project at end of Year 2; teams of up to six disciplines; supported by industrial partners; pitch to panel; external partners incl. DfT, ARUP, EWB UK, Motorola Solutions, Lloyds Banking Group.</t>
        </is>
      </c>
    </row>
    <row r="590">
      <c r="A590" s="77" t="inlineStr">
        <is>
          <t>RG22-S05-R2</t>
        </is>
      </c>
      <c r="B590" s="77" t="inlineStr">
        <is>
          <t>RG22</t>
        </is>
      </c>
      <c r="C590" s="77" t="inlineStr">
        <is>
          <t>RG22-S05</t>
        </is>
      </c>
      <c r="D590" s="77" t="inlineStr">
        <is>
          <t>How to Change the World (IEP)</t>
        </is>
      </c>
      <c r="E590" s="77" t="inlineStr">
        <is>
          <t>status</t>
        </is>
      </c>
      <c r="F590" s="77" t="inlineStr">
        <is>
          <t>https://www.ucl.ac.uk/engineering/news/2025/nov/ucl-chemical-engineering-students-shine-2025-cee-fes-education-awards</t>
        </is>
      </c>
      <c r="G590" s="77" t="inlineStr">
        <is>
          <t>UCL Chemical Engineering Students Shine at 2025 CEE-FES Education Awards</t>
        </is>
      </c>
      <c r="H590" s="77" t="inlineStr">
        <is>
          <t>News, Nov 2025</t>
        </is>
      </c>
      <c r="I590" s="77" t="inlineStr">
        <is>
          <t>2025</t>
        </is>
      </c>
      <c r="J590" s="77" t="inlineStr">
        <is>
          <t>2026-10-12</t>
        </is>
      </c>
      <c r="K590" s="77" t="inlineStr">
        <is>
          <t>search-summary paraphrase</t>
        </is>
      </c>
      <c r="L590" s="77" t="inlineStr">
        <is>
          <t>Chemical Engineering students were part of interdisciplinary winning teams in the How to Change the World Student Awards.</t>
        </is>
      </c>
    </row>
    <row r="591">
      <c r="A591" s="77" t="inlineStr">
        <is>
          <t>RG22-S06-R1</t>
        </is>
      </c>
      <c r="B591" s="77" t="inlineStr">
        <is>
          <t>RG22</t>
        </is>
      </c>
      <c r="C591" s="77" t="inlineStr">
        <is>
          <t>RG22-S06</t>
        </is>
      </c>
      <c r="D591" s="77" t="inlineStr">
        <is>
          <t>Building a Better Future (BABF) consultancy project</t>
        </is>
      </c>
      <c r="E591" s="77" t="inlineStr">
        <is>
          <t>project; group; employer; status; eligibility</t>
        </is>
      </c>
      <c r="F591" s="77" t="inlineStr">
        <is>
          <t>https://www.ucl.ac.uk/bartlett/news/2026/jul/bartlett-students-gain-industry-experience-through-building-better-future-consultancy-project</t>
        </is>
      </c>
      <c r="G591" s="77" t="inlineStr">
        <is>
          <t>Bartlett students gain industry experience through 'Building a Better Future' consultancy project</t>
        </is>
      </c>
      <c r="H591" s="77" t="inlineStr">
        <is>
          <t>News, Jul 2026</t>
        </is>
      </c>
      <c r="I591" s="77" t="inlineStr">
        <is>
          <t>2026</t>
        </is>
      </c>
      <c r="J591" s="77" t="inlineStr">
        <is>
          <t>2026-10-12</t>
        </is>
      </c>
      <c r="K591" s="77" t="inlineStr">
        <is>
          <t>search-index extract</t>
        </is>
      </c>
      <c r="L591"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2">
      <c r="A592" s="77" t="inlineStr">
        <is>
          <t>RG22-S06-R2</t>
        </is>
      </c>
      <c r="B592" s="77" t="inlineStr">
        <is>
          <t>RG22</t>
        </is>
      </c>
      <c r="C592" s="77" t="inlineStr">
        <is>
          <t>RG22-S06</t>
        </is>
      </c>
      <c r="D592" s="77" t="inlineStr">
        <is>
          <t>Building a Better Future (BABF) consultancy project</t>
        </is>
      </c>
      <c r="E592" s="77" t="inlineStr">
        <is>
          <t>status; eligibility; duration</t>
        </is>
      </c>
      <c r="F592" s="77" t="inlineStr">
        <is>
          <t>https://www.ucl.ac.uk/study/current-students/academic-support-and-skills/extended-learning/202526-programme/supercharge-your-career</t>
        </is>
      </c>
      <c r="G592" s="77" t="inlineStr">
        <is>
          <t>Supercharge your Career (ExtendED 2025/26)</t>
        </is>
      </c>
      <c r="H592" s="77" t="inlineStr">
        <is>
          <t>Programme listing</t>
        </is>
      </c>
      <c r="I592" s="77" t="inlineStr">
        <is>
          <t>2025/26</t>
        </is>
      </c>
      <c r="J592" s="77" t="inlineStr">
        <is>
          <t>2026-10-12</t>
        </is>
      </c>
      <c r="K592" s="77" t="inlineStr">
        <is>
          <t>search-summary paraphrase</t>
        </is>
      </c>
      <c r="L592" s="77" t="inlineStr">
        <is>
          <t>Listing gives 1-17 June 2026 and states activity open only to Bartlett students (per search summary).</t>
        </is>
      </c>
    </row>
    <row r="593">
      <c r="A593" s="77" t="inlineStr">
        <is>
          <t>RG22-S07-R1</t>
        </is>
      </c>
      <c r="B593" s="77" t="inlineStr">
        <is>
          <t>RG22</t>
        </is>
      </c>
      <c r="C593" s="77" t="inlineStr">
        <is>
          <t>RG22-S07</t>
        </is>
      </c>
      <c r="D593" s="77" t="inlineStr">
        <is>
          <t>International Industry Challenges (Practera Nano Projects) - ExtendED Learning</t>
        </is>
      </c>
      <c r="E593" s="77" t="inlineStr">
        <is>
          <t>project; group; employer; status; duration</t>
        </is>
      </c>
      <c r="F593" s="77" t="inlineStr">
        <is>
          <t>https://www.ucl.ac.uk/study/current-students/academic-support-and-skills/extended-learning/202526-programme/supercharge-your-career</t>
        </is>
      </c>
      <c r="G593" s="77" t="inlineStr">
        <is>
          <t>Supercharge your Career (ExtendED 2025/26)</t>
        </is>
      </c>
      <c r="H593" s="77" t="inlineStr">
        <is>
          <t>International Industry Challenges</t>
        </is>
      </c>
      <c r="I593" s="77" t="inlineStr">
        <is>
          <t>2025/26</t>
        </is>
      </c>
      <c r="J593" s="77" t="inlineStr">
        <is>
          <t>2026-10-12</t>
        </is>
      </c>
      <c r="K593" s="77" t="inlineStr">
        <is>
          <t>search-summary paraphrase</t>
        </is>
      </c>
      <c r="L593" s="77" t="inlineStr">
        <is>
          <t>Teams respond to a single challenge/brief provided by a real international industry partner, meet clients at a briefing session, mid-project Q&amp;A, finish with pitch and client feedback; ran 26 May-15 June 2026, 25 hours.</t>
        </is>
      </c>
    </row>
    <row r="594">
      <c r="A594" s="77" t="inlineStr">
        <is>
          <t>RG22-S07-R2</t>
        </is>
      </c>
      <c r="B594" s="77" t="inlineStr">
        <is>
          <t>RG22</t>
        </is>
      </c>
      <c r="C594" s="77" t="inlineStr">
        <is>
          <t>RG22-S07</t>
        </is>
      </c>
      <c r="D594" s="77" t="inlineStr">
        <is>
          <t>International Industry Challenges (Practera Nano Projects) - ExtendED Learning</t>
        </is>
      </c>
      <c r="E594" s="77" t="inlineStr">
        <is>
          <t>employer; eligibility</t>
        </is>
      </c>
      <c r="F594" s="77" t="inlineStr">
        <is>
          <t>https://www.ucl.ac.uk/careers/events/2025/apr/nano-projects-industry-challenge-teams-information-session</t>
        </is>
      </c>
      <c r="G594" s="77" t="inlineStr">
        <is>
          <t>Nano Projects: Industry Challenge - Teams Information Session</t>
        </is>
      </c>
      <c r="H594" s="77" t="inlineStr">
        <is>
          <t>Event page</t>
        </is>
      </c>
      <c r="I594" s="77" t="inlineStr">
        <is>
          <t>2025</t>
        </is>
      </c>
      <c r="J594" s="77" t="inlineStr">
        <is>
          <t>2026-10-12</t>
        </is>
      </c>
      <c r="K594" s="77" t="inlineStr">
        <is>
          <t>search-summary paraphrase</t>
        </is>
      </c>
      <c r="L594" s="77" t="inlineStr">
        <is>
          <t>Briefs sourced from real-world organisations by delivery partner Practera; up to 150 spots; some places reserved for Careers Extra students.</t>
        </is>
      </c>
    </row>
    <row r="595">
      <c r="A595" s="77" t="inlineStr">
        <is>
          <t>RG22-S07-R3</t>
        </is>
      </c>
      <c r="B595" s="77" t="inlineStr">
        <is>
          <t>RG22</t>
        </is>
      </c>
      <c r="C595" s="77" t="inlineStr">
        <is>
          <t>RG22-S07</t>
        </is>
      </c>
      <c r="D595" s="77" t="inlineStr">
        <is>
          <t>International Industry Challenges (Practera Nano Projects) - ExtendED Learning</t>
        </is>
      </c>
      <c r="E595" s="77" t="inlineStr">
        <is>
          <t>reach; eligibility</t>
        </is>
      </c>
      <c r="F595" s="77" t="inlineStr">
        <is>
          <t>https://www.ucl.ac.uk/news/2025/oct/register-your-interest-now-term-3-skills-development-programme</t>
        </is>
      </c>
      <c r="G595" s="77" t="inlineStr">
        <is>
          <t>Register your interest now for Term 3 skills development programme</t>
        </is>
      </c>
      <c r="H595" s="77" t="inlineStr">
        <is>
          <t>News, Oct 2025</t>
        </is>
      </c>
      <c r="I595" s="77" t="inlineStr">
        <is>
          <t>2025</t>
        </is>
      </c>
      <c r="J595" s="77" t="inlineStr">
        <is>
          <t>2026-10-12</t>
        </is>
      </c>
      <c r="K595" s="77" t="inlineStr">
        <is>
          <t>search-summary paraphrase</t>
        </is>
      </c>
      <c r="L595" s="77" t="inlineStr">
        <is>
          <t>ExtendED Learning is open to all UG and PGT students at UCL.</t>
        </is>
      </c>
    </row>
    <row r="596">
      <c r="A596" s="77" t="inlineStr">
        <is>
          <t>RG22-S08-R1</t>
        </is>
      </c>
      <c r="B596" s="77" t="inlineStr">
        <is>
          <t>RG22</t>
        </is>
      </c>
      <c r="C596" s="77" t="inlineStr">
        <is>
          <t>RG22-S08</t>
        </is>
      </c>
      <c r="D596" s="77" t="inlineStr">
        <is>
          <t>Business Project (MSIN0314), MSc Marketing Science</t>
        </is>
      </c>
      <c r="E596" s="77" t="inlineStr">
        <is>
          <t>project; group; employer; credit</t>
        </is>
      </c>
      <c r="F596" s="77" t="inlineStr">
        <is>
          <t>https://www.ucl.ac.uk/prospective-students/graduate/taught-degrees/marketing-science-msc</t>
        </is>
      </c>
      <c r="G596" s="77" t="inlineStr">
        <is>
          <t>Marketing Science MSc</t>
        </is>
      </c>
      <c r="H596" s="77" t="inlineStr">
        <is>
          <t>Programme page</t>
        </is>
      </c>
      <c r="I596" s="77" t="inlineStr">
        <is>
          <t>undated</t>
        </is>
      </c>
      <c r="J596" s="77" t="inlineStr">
        <is>
          <t>2026-10-12</t>
        </is>
      </c>
      <c r="K596" s="77" t="inlineStr">
        <is>
          <t>search-summary paraphrase</t>
        </is>
      </c>
      <c r="L596" s="77" t="inlineStr">
        <is>
          <t>Term 3 Business Project is 45 credits, team-based consultancy-style project with an external client; students in groups under faculty supervision work with real-world external organisations; assessed on individual and group components.</t>
        </is>
      </c>
    </row>
    <row r="597">
      <c r="A597" s="77" t="inlineStr">
        <is>
          <t>RG22-S08-R2</t>
        </is>
      </c>
      <c r="B597" s="77" t="inlineStr">
        <is>
          <t>RG22</t>
        </is>
      </c>
      <c r="C597" s="77" t="inlineStr">
        <is>
          <t>RG22-S08</t>
        </is>
      </c>
      <c r="D597" s="77" t="inlineStr">
        <is>
          <t>Business Project (MSIN0314), MSc Marketing Science</t>
        </is>
      </c>
      <c r="E597" s="77" t="inlineStr">
        <is>
          <t>project; duration</t>
        </is>
      </c>
      <c r="F597" s="77" t="inlineStr">
        <is>
          <t>https://www.mgmt.ucl.ac.uk/msc-marketing-science</t>
        </is>
      </c>
      <c r="G597" s="77" t="inlineStr">
        <is>
          <t>MSc Marketing Science</t>
        </is>
      </c>
      <c r="H597" s="77" t="inlineStr">
        <is>
          <t>School of Management programme page</t>
        </is>
      </c>
      <c r="I597" s="77" t="inlineStr">
        <is>
          <t>undated</t>
        </is>
      </c>
      <c r="J597" s="77" t="inlineStr">
        <is>
          <t>2026-10-12</t>
        </is>
      </c>
      <c r="K597" s="77" t="inlineStr">
        <is>
          <t>search-summary paraphrase</t>
        </is>
      </c>
      <c r="L597" s="77" t="inlineStr">
        <is>
          <t>Over approximately 10 weeks students apply analytical and strategic skills to a real marketing challenge; past projects range from product line expansion to optimising multimillion-pound campaigns.</t>
        </is>
      </c>
    </row>
    <row r="598">
      <c r="A598" s="77" t="inlineStr">
        <is>
          <t>RG22-S09-R1</t>
        </is>
      </c>
      <c r="B598" s="77" t="inlineStr">
        <is>
          <t>RG22</t>
        </is>
      </c>
      <c r="C598" s="77" t="inlineStr">
        <is>
          <t>RG22-S09</t>
        </is>
      </c>
      <c r="D598" s="77" t="inlineStr">
        <is>
          <t>Centre for Data Intensive Science and Industry (DISI) CDT group projects</t>
        </is>
      </c>
      <c r="E598" s="77" t="inlineStr">
        <is>
          <t>project; group; employer; status</t>
        </is>
      </c>
      <c r="F598" s="77" t="inlineStr">
        <is>
          <t>https://www.ucl.ac.uk/data-intensive-science-industry/group-projects-industry-placements</t>
        </is>
      </c>
      <c r="G598" s="77" t="inlineStr">
        <is>
          <t>Group Projects &amp; Industry Placements</t>
        </is>
      </c>
      <c r="H598" s="77" t="inlineStr">
        <is>
          <t>Group projects</t>
        </is>
      </c>
      <c r="I598" s="77" t="inlineStr">
        <is>
          <t>list runs 2019-2026</t>
        </is>
      </c>
      <c r="J598" s="77" t="inlineStr">
        <is>
          <t>2026-10-12</t>
        </is>
      </c>
      <c r="K598" s="77" t="inlineStr">
        <is>
          <t>search-summary paraphrase</t>
        </is>
      </c>
      <c r="L598" s="77" t="inlineStr">
        <is>
          <t>Partners bring real-world problems to small teams of first-year PhD students (3-4); January-April; past partners ASOS, The Guardian, NCC Group, UKAEA, Fathom, Peak AI; partners pitch at annual event.</t>
        </is>
      </c>
    </row>
    <row r="599">
      <c r="A599" s="77" t="inlineStr">
        <is>
          <t>RG22-S09-R2</t>
        </is>
      </c>
      <c r="B599" s="77" t="inlineStr">
        <is>
          <t>RG22</t>
        </is>
      </c>
      <c r="C599" s="77" t="inlineStr">
        <is>
          <t>RG22-S09</t>
        </is>
      </c>
      <c r="D599" s="77" t="inlineStr">
        <is>
          <t>Centre for Data Intensive Science and Industry (DISI) CDT group projects</t>
        </is>
      </c>
      <c r="E599" s="77" t="inlineStr">
        <is>
          <t>status</t>
        </is>
      </c>
      <c r="F599" s="77" t="inlineStr">
        <is>
          <t>https://www.ucl.ac.uk/mathematical-physical-sciences/high-energy-physics/9th-round-cdt-group-projects-completed</t>
        </is>
      </c>
      <c r="G599" s="77" t="inlineStr">
        <is>
          <t>9th Round of CDT Group Projects Completed</t>
        </is>
      </c>
      <c r="H599" s="77" t="inlineStr">
        <is>
          <t>News</t>
        </is>
      </c>
      <c r="I599" s="77" t="inlineStr">
        <is>
          <t>undated</t>
        </is>
      </c>
      <c r="J599" s="77" t="inlineStr">
        <is>
          <t>2026-10-12</t>
        </is>
      </c>
      <c r="K599" s="77" t="inlineStr">
        <is>
          <t>search-summary paraphrase</t>
        </is>
      </c>
      <c r="L599" s="77" t="inlineStr">
        <is>
          <t>Ninth round of CDT group projects completed.</t>
        </is>
      </c>
    </row>
    <row r="600">
      <c r="A600" s="77" t="inlineStr">
        <is>
          <t>RG22-S10-R1</t>
        </is>
      </c>
      <c r="B600" s="77" t="inlineStr">
        <is>
          <t>RG22</t>
        </is>
      </c>
      <c r="C600" s="77" t="inlineStr">
        <is>
          <t>RG22-S10</t>
        </is>
      </c>
      <c r="D600" s="77" t="inlineStr">
        <is>
          <t>MPA Group Project (STEaPP)</t>
        </is>
      </c>
      <c r="E600" s="77" t="inlineStr">
        <is>
          <t>project; group; employer; duration</t>
        </is>
      </c>
      <c r="F600" s="77" t="inlineStr">
        <is>
          <t>https://www.ucl.ac.uk/steapp/study/masters-public-administration-mpa/mpa-group-and-individual-project</t>
        </is>
      </c>
      <c r="G600" s="77" t="inlineStr">
        <is>
          <t>MPA Group and Individual Project</t>
        </is>
      </c>
      <c r="H600" s="77" t="inlineStr">
        <is>
          <t>Project page</t>
        </is>
      </c>
      <c r="I600" s="77" t="inlineStr">
        <is>
          <t>undated</t>
        </is>
      </c>
      <c r="J600" s="77" t="inlineStr">
        <is>
          <t>2026-10-12</t>
        </is>
      </c>
      <c r="K600" s="77" t="inlineStr">
        <is>
          <t>search-summary paraphrase</t>
        </is>
      </c>
      <c r="L600"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1">
      <c r="A601" s="77" t="inlineStr">
        <is>
          <t>RG22-S10-R2</t>
        </is>
      </c>
      <c r="B601" s="77" t="inlineStr">
        <is>
          <t>RG22</t>
        </is>
      </c>
      <c r="C601" s="77" t="inlineStr">
        <is>
          <t>RG22-S10</t>
        </is>
      </c>
      <c r="D601" s="77" t="inlineStr">
        <is>
          <t>MPA Group Project (STEaPP)</t>
        </is>
      </c>
      <c r="E601" s="77" t="inlineStr">
        <is>
          <t>status</t>
        </is>
      </c>
      <c r="F601" s="77" t="inlineStr">
        <is>
          <t>https://www.ucl.ac.uk/module-catalogue/modules/mpa-individual-project-STEP0036</t>
        </is>
      </c>
      <c r="G601" s="77" t="inlineStr">
        <is>
          <t>MPA Individual Project (STEP0036)</t>
        </is>
      </c>
      <c r="H601" s="77" t="inlineStr">
        <is>
          <t>Module catalogue</t>
        </is>
      </c>
      <c r="I601" s="77" t="inlineStr">
        <is>
          <t>updated 25 Aug 2026</t>
        </is>
      </c>
      <c r="J601" s="77" t="inlineStr">
        <is>
          <t>2026-10-12</t>
        </is>
      </c>
      <c r="K601" s="77" t="inlineStr">
        <is>
          <t>search-summary paraphrase</t>
        </is>
      </c>
      <c r="L601" s="77" t="inlineStr">
        <is>
          <t>Individual project module entry (80% reports, 20% viva) - evidences programme still running but is not the group route.</t>
        </is>
      </c>
    </row>
    <row r="602">
      <c r="A602" s="77" t="inlineStr">
        <is>
          <t>RG22-S11-R1</t>
        </is>
      </c>
      <c r="B602" s="77" t="inlineStr">
        <is>
          <t>RG22</t>
        </is>
      </c>
      <c r="C602" s="77" t="inlineStr">
        <is>
          <t>RG22-S11</t>
        </is>
      </c>
      <c r="D602" s="77" t="inlineStr">
        <is>
          <t>Urban Economic Development MSc - UK Practice Engagement (London Project)</t>
        </is>
      </c>
      <c r="E602" s="77" t="inlineStr">
        <is>
          <t>project; group; employer; status</t>
        </is>
      </c>
      <c r="F602" s="77" t="inlineStr">
        <is>
          <t>https://www.ucl.ac.uk/bartlett/development/study/urban-economic-development-msc/urban-economic-development-msc-uk-practice-engagement</t>
        </is>
      </c>
      <c r="G602" s="77" t="inlineStr">
        <is>
          <t>Urban Economic Development MSc UK Practice Engagement</t>
        </is>
      </c>
      <c r="H602" s="77" t="inlineStr">
        <is>
          <t>London Project page</t>
        </is>
      </c>
      <c r="I602" s="77" t="inlineStr">
        <is>
          <t>2025-26</t>
        </is>
      </c>
      <c r="J602" s="77" t="inlineStr">
        <is>
          <t>2026-10-12</t>
        </is>
      </c>
      <c r="K602" s="77" t="inlineStr">
        <is>
          <t>search-summary paraphrase</t>
        </is>
      </c>
      <c r="L602" s="77" t="inlineStr">
        <is>
          <t>London Project 2025-26 with The Fitzrovia Partnership: six applied research projects; 2024-25 partners GLA, TfL, OPDC; groups produced final policy-facing report.</t>
        </is>
      </c>
    </row>
    <row r="603">
      <c r="A603" s="77" t="inlineStr">
        <is>
          <t>RG22-S12-R1</t>
        </is>
      </c>
      <c r="B603" s="77" t="inlineStr">
        <is>
          <t>RG22</t>
        </is>
      </c>
      <c r="C603" s="77" t="inlineStr">
        <is>
          <t>RG22-S12</t>
        </is>
      </c>
      <c r="D603" s="77" t="inlineStr">
        <is>
          <t>Urban Development Planning MSc - London Project</t>
        </is>
      </c>
      <c r="E603" s="77" t="inlineStr">
        <is>
          <t>project; group; employer; status</t>
        </is>
      </c>
      <c r="F603" s="77" t="inlineStr">
        <is>
          <t>https://www.ucl.ac.uk/bartlett/development/study/masters/urban-development-planning-msc/urban-development-planning-msc-london-projects</t>
        </is>
      </c>
      <c r="G603" s="77" t="inlineStr">
        <is>
          <t>Urban Development Planning MSc London projects</t>
        </is>
      </c>
      <c r="H603" s="77" t="inlineStr">
        <is>
          <t>Project page</t>
        </is>
      </c>
      <c r="I603" s="77" t="inlineStr">
        <is>
          <t>2023-2025</t>
        </is>
      </c>
      <c r="J603" s="77" t="inlineStr">
        <is>
          <t>2026-10-12</t>
        </is>
      </c>
      <c r="K603" s="77" t="inlineStr">
        <is>
          <t>search-summary paraphrase</t>
        </is>
      </c>
      <c r="L603" s="77" t="inlineStr">
        <is>
          <t>Project runs each year Oct-Dec in the core practice module; partnership with Just Space since 2014; most recent project 2023-2025 with Just Space Fairville London lab.</t>
        </is>
      </c>
    </row>
    <row r="604">
      <c r="A604" s="77" t="inlineStr">
        <is>
          <t>RG22-S13-R1</t>
        </is>
      </c>
      <c r="B604" s="77" t="inlineStr">
        <is>
          <t>RG22</t>
        </is>
      </c>
      <c r="C604" s="77" t="inlineStr">
        <is>
          <t>RG22-S13</t>
        </is>
      </c>
      <c r="D604" s="77" t="inlineStr">
        <is>
          <t>Community-engaged Planning Projects (BPLN0033)</t>
        </is>
      </c>
      <c r="E604" s="77" t="inlineStr">
        <is>
          <t>project; group; credit; eligibility</t>
        </is>
      </c>
      <c r="F604" s="77" t="inlineStr">
        <is>
          <t>https://www.ucl.ac.uk/module-catalogue/modules/collaborative-city-planning-strategies-BPLN0033</t>
        </is>
      </c>
      <c r="G604" s="77" t="inlineStr">
        <is>
          <t>Community-engaged Planning Projects (BPLN0033)</t>
        </is>
      </c>
      <c r="H604" s="77" t="inlineStr">
        <is>
          <t>Module catalogue</t>
        </is>
      </c>
      <c r="I604" s="77" t="inlineStr">
        <is>
          <t>undated</t>
        </is>
      </c>
      <c r="J604" s="77" t="inlineStr">
        <is>
          <t>2026-10-12</t>
        </is>
      </c>
      <c r="K604" s="77" t="inlineStr">
        <is>
          <t>search-summary paraphrase</t>
        </is>
      </c>
      <c r="L604" s="77" t="inlineStr">
        <is>
          <t>15-credit Term 2 module; participatory research project; 80% group activity, 20% coursework; priority for Bartlett School of Planning students.</t>
        </is>
      </c>
    </row>
    <row r="605">
      <c r="A605" s="77" t="inlineStr">
        <is>
          <t>RG22-S13-R2</t>
        </is>
      </c>
      <c r="B605" s="77" t="inlineStr">
        <is>
          <t>RG22</t>
        </is>
      </c>
      <c r="C605" s="77" t="inlineStr">
        <is>
          <t>RG22-S13</t>
        </is>
      </c>
      <c r="D605" s="77" t="inlineStr">
        <is>
          <t>Community-engaged Planning Projects (BPLN0033)</t>
        </is>
      </c>
      <c r="E605" s="77" t="inlineStr">
        <is>
          <t>employer</t>
        </is>
      </c>
      <c r="F605" s="77" t="inlineStr">
        <is>
          <t>https://www.ucl.ac.uk/teaching-learning/teaching-resources/community-engaged-learning/cel-ucl-staff</t>
        </is>
      </c>
      <c r="G605" s="77" t="inlineStr">
        <is>
          <t>CEL for UCL Staff</t>
        </is>
      </c>
      <c r="H605" s="77" t="inlineStr">
        <is>
          <t>CEL module list</t>
        </is>
      </c>
      <c r="I605" s="77" t="inlineStr">
        <is>
          <t>undated</t>
        </is>
      </c>
      <c r="J605" s="77" t="inlineStr">
        <is>
          <t>2026-10-12</t>
        </is>
      </c>
      <c r="K605" s="77" t="inlineStr">
        <is>
          <t>search-summary paraphrase</t>
        </is>
      </c>
      <c r="L605" s="77" t="inlineStr">
        <is>
          <t>Lists BPLN0033 with CEL elements: assessment co-designed with community partners; community-based research.</t>
        </is>
      </c>
    </row>
    <row r="606">
      <c r="A606" s="77" t="inlineStr">
        <is>
          <t>RG22-S14-R1</t>
        </is>
      </c>
      <c r="B606" s="77" t="inlineStr">
        <is>
          <t>RG22</t>
        </is>
      </c>
      <c r="C606" s="77" t="inlineStr">
        <is>
          <t>RG22-S14</t>
        </is>
      </c>
      <c r="D606" s="77" t="inlineStr">
        <is>
          <t>The Collaborative Economy (BASC0070)</t>
        </is>
      </c>
      <c r="E606" s="77" t="inlineStr">
        <is>
          <t>project; group; employer; participation</t>
        </is>
      </c>
      <c r="F606" s="77" t="inlineStr">
        <is>
          <t>https://www.ucl.ac.uk/module-catalogue/modules/the-collaborative-economy-BASC0070</t>
        </is>
      </c>
      <c r="G606" s="77" t="inlineStr">
        <is>
          <t>The Collaborative Economy (BASC0070)</t>
        </is>
      </c>
      <c r="H606" s="77" t="inlineStr">
        <is>
          <t>Module catalogue</t>
        </is>
      </c>
      <c r="I606" s="77" t="inlineStr">
        <is>
          <t>undated</t>
        </is>
      </c>
      <c r="J606" s="77" t="inlineStr">
        <is>
          <t>2026-10-12</t>
        </is>
      </c>
      <c r="K606" s="77" t="inlineStr">
        <is>
          <t>search-summary paraphrase</t>
        </is>
      </c>
      <c r="L606" s="77" t="inlineStr">
        <is>
          <t>Teams work on a prompt, question or provocation set by an outside group; compulsory in year 2 of BA Creative Arts and Humanities.</t>
        </is>
      </c>
    </row>
    <row r="607">
      <c r="A607" s="77" t="inlineStr">
        <is>
          <t>RG22-S14-R2</t>
        </is>
      </c>
      <c r="B607" s="77" t="inlineStr">
        <is>
          <t>RG22</t>
        </is>
      </c>
      <c r="C607" s="77" t="inlineStr">
        <is>
          <t>RG22-S14</t>
        </is>
      </c>
      <c r="D607" s="77" t="inlineStr">
        <is>
          <t>The Collaborative Economy (BASC0070)</t>
        </is>
      </c>
      <c r="E607" s="77" t="inlineStr">
        <is>
          <t>employer; status</t>
        </is>
      </c>
      <c r="F607" s="77" t="inlineStr">
        <is>
          <t>https://www.ucl.ac.uk/creative-cultural-industries/news/2024/aug/supporting-collaborative-economy-work-ucl-solve-your-organisational-challenges</t>
        </is>
      </c>
      <c r="G607" s="77" t="inlineStr">
        <is>
          <t>Supporting a Collaborative Economy: Work with UCL to solve your organisational challenges</t>
        </is>
      </c>
      <c r="H607" s="77" t="inlineStr">
        <is>
          <t>News, Aug 2024</t>
        </is>
      </c>
      <c r="I607" s="77" t="inlineStr">
        <is>
          <t>2024</t>
        </is>
      </c>
      <c r="J607" s="77" t="inlineStr">
        <is>
          <t>2026-10-12</t>
        </is>
      </c>
      <c r="K607" s="77" t="inlineStr">
        <is>
          <t>search-summary paraphrase</t>
        </is>
      </c>
      <c r="L607" s="77" t="inlineStr">
        <is>
          <t>Timeline: January briefing, March collaborative event, evaluation by students and organisations.</t>
        </is>
      </c>
    </row>
    <row r="608">
      <c r="A608" s="77" t="inlineStr">
        <is>
          <t>RG22-S15-R1</t>
        </is>
      </c>
      <c r="B608" s="77" t="inlineStr">
        <is>
          <t>RG22</t>
        </is>
      </c>
      <c r="C608" s="77" t="inlineStr">
        <is>
          <t>RG22-S15</t>
        </is>
      </c>
      <c r="D608" s="77" t="inlineStr">
        <is>
          <t>Innovation and Group Design Project (MECH0049)</t>
        </is>
      </c>
      <c r="E608" s="77" t="inlineStr">
        <is>
          <t>project; group; employer; credit; status</t>
        </is>
      </c>
      <c r="F608" s="77" t="inlineStr">
        <is>
          <t>https://www.ucl.ac.uk/module-catalogue/modules/innovation-and-group-design-project-MECH0049</t>
        </is>
      </c>
      <c r="G608" s="77" t="inlineStr">
        <is>
          <t>Innovation and Group Design Project (MECH0049)</t>
        </is>
      </c>
      <c r="H608" s="77" t="inlineStr">
        <is>
          <t>Module catalogue</t>
        </is>
      </c>
      <c r="I608" s="77" t="inlineStr">
        <is>
          <t>2026/27</t>
        </is>
      </c>
      <c r="J608" s="77" t="inlineStr">
        <is>
          <t>2026-10-12</t>
        </is>
      </c>
      <c r="K608" s="77" t="inlineStr">
        <is>
          <t>search-summary paraphrase</t>
        </is>
      </c>
      <c r="L608" s="77" t="inlineStr">
        <is>
          <t>30 credits; groups design product/system; 100% group assessment; industry liaison 'where possible'; ~80 students previous year.</t>
        </is>
      </c>
    </row>
    <row r="609">
      <c r="A609" s="77" t="inlineStr">
        <is>
          <t>RG22-S16-R1</t>
        </is>
      </c>
      <c r="B609" s="77" t="inlineStr">
        <is>
          <t>RG22</t>
        </is>
      </c>
      <c r="C609" s="77" t="inlineStr">
        <is>
          <t>RG22-S16</t>
        </is>
      </c>
      <c r="D609" s="77" t="inlineStr">
        <is>
          <t>MBA Health consultancy project (Global Business School for Health)</t>
        </is>
      </c>
      <c r="E609" s="77" t="inlineStr">
        <is>
          <t>project; group; employer</t>
        </is>
      </c>
      <c r="F609" s="77" t="inlineStr">
        <is>
          <t>https://www.ucl.ac.uk/global-business-school-health/study/ucl-mba-health/projects</t>
        </is>
      </c>
      <c r="G609" s="77" t="inlineStr">
        <is>
          <t>MBA Health</t>
        </is>
      </c>
      <c r="H609" s="77" t="inlineStr">
        <is>
          <t>Projects</t>
        </is>
      </c>
      <c r="I609" s="77" t="inlineStr">
        <is>
          <t>undated</t>
        </is>
      </c>
      <c r="J609" s="77" t="inlineStr">
        <is>
          <t>2026-10-12</t>
        </is>
      </c>
      <c r="K609" s="77" t="inlineStr">
        <is>
          <t>search-summary paraphrase</t>
        </is>
      </c>
      <c r="L609" s="77" t="inlineStr">
        <is>
          <t>Final term includes consultancy project with a real client in the health sector; students work independently or in small teams with academic supervisor and industry mentor.</t>
        </is>
      </c>
    </row>
    <row r="610">
      <c r="A610" s="77" t="inlineStr">
        <is>
          <t>RG22-S17-R1</t>
        </is>
      </c>
      <c r="B610" s="77" t="inlineStr">
        <is>
          <t>RG22</t>
        </is>
      </c>
      <c r="C610" s="77" t="inlineStr">
        <is>
          <t>RG22-S17</t>
        </is>
      </c>
      <c r="D610" s="77" t="inlineStr">
        <is>
          <t>UCL Researcher Consultancy Challenge</t>
        </is>
      </c>
      <c r="E610" s="77" t="inlineStr">
        <is>
          <t>project; group; employer; status</t>
        </is>
      </c>
      <c r="F610" s="77" t="inlineStr">
        <is>
          <t>https://www.ucl.ac.uk/careers/work-experience-researchers</t>
        </is>
      </c>
      <c r="G610" s="77" t="inlineStr">
        <is>
          <t>Work Experience for Researchers</t>
        </is>
      </c>
      <c r="H610" s="77" t="inlineStr">
        <is>
          <t>Consultancy Challenge</t>
        </is>
      </c>
      <c r="I610" s="77" t="inlineStr">
        <is>
          <t>2026</t>
        </is>
      </c>
      <c r="J610" s="77" t="inlineStr">
        <is>
          <t>2026-10-12</t>
        </is>
      </c>
      <c r="K610" s="77" t="inlineStr">
        <is>
          <t>search-summary paraphrase</t>
        </is>
      </c>
      <c r="L610" s="77" t="inlineStr">
        <is>
          <t>Week-long programme: training day then groups of researchers work on a real industry partner's problem, presentations and feedback; 2026 training day likely 3 July 2026.</t>
        </is>
      </c>
    </row>
    <row r="611">
      <c r="A611" s="77" t="inlineStr">
        <is>
          <t>RG22-S18-R1</t>
        </is>
      </c>
      <c r="B611" s="77" t="inlineStr">
        <is>
          <t>RG22</t>
        </is>
      </c>
      <c r="C611" s="77" t="inlineStr">
        <is>
          <t>RG22-S18</t>
        </is>
      </c>
      <c r="D611" s="77" t="inlineStr">
        <is>
          <t>Grand Challenges x ChangeMakers</t>
        </is>
      </c>
      <c r="E611" s="77" t="inlineStr">
        <is>
          <t>project; group; eligibility; status</t>
        </is>
      </c>
      <c r="F611" s="77" t="inlineStr">
        <is>
          <t>https://www.ucl.ac.uk/grand-challenges/news/2025/dec/grand-challenges-x-changemakers-applications-now-open</t>
        </is>
      </c>
      <c r="G611" s="77" t="inlineStr">
        <is>
          <t>Grand Challenges x ChangeMakers: Applications Now Open</t>
        </is>
      </c>
      <c r="H611" s="77" t="inlineStr">
        <is>
          <t>News, Dec 2025</t>
        </is>
      </c>
      <c r="I611" s="77" t="inlineStr">
        <is>
          <t>2025</t>
        </is>
      </c>
      <c r="J611" s="77" t="inlineStr">
        <is>
          <t>2026-10-12</t>
        </is>
      </c>
      <c r="K611" s="77" t="inlineStr">
        <is>
          <t>search-summary paraphrase</t>
        </is>
      </c>
      <c r="L611" s="77" t="inlineStr">
        <is>
          <t>Teams at least two students and one staff member; up to GBP 1,560; ~12 weeks; four themes; deadline 23 Jan 2026.</t>
        </is>
      </c>
    </row>
    <row r="612">
      <c r="A612" s="77" t="inlineStr">
        <is>
          <t>RG22-S18-R2</t>
        </is>
      </c>
      <c r="B612" s="77" t="inlineStr">
        <is>
          <t>RG22</t>
        </is>
      </c>
      <c r="C612" s="77" t="inlineStr">
        <is>
          <t>RG22-S18</t>
        </is>
      </c>
      <c r="D612" s="77" t="inlineStr">
        <is>
          <t>Grand Challenges x ChangeMakers</t>
        </is>
      </c>
      <c r="E612" s="77" t="inlineStr">
        <is>
          <t>status; participation</t>
        </is>
      </c>
      <c r="F612" s="77" t="inlineStr">
        <is>
          <t>https://www.ucl.ac.uk/research-innovation/news/2026/sep/ideas-impact-how-ucl-students-are-driving-change-through-grand-challenges-x-changemakers</t>
        </is>
      </c>
      <c r="G612" s="77" t="inlineStr">
        <is>
          <t>From ideas to impact: how UCL students are driving change through Grand Challenges x ChangeMakers</t>
        </is>
      </c>
      <c r="H612" s="77" t="inlineStr">
        <is>
          <t>News, Sep 2026</t>
        </is>
      </c>
      <c r="I612" s="77" t="inlineStr">
        <is>
          <t>2026</t>
        </is>
      </c>
      <c r="J612" s="77" t="inlineStr">
        <is>
          <t>2026-10-12</t>
        </is>
      </c>
      <c r="K612" s="77" t="inlineStr">
        <is>
          <t>search-summary paraphrase</t>
        </is>
      </c>
      <c r="L612" s="77" t="inlineStr">
        <is>
          <t>15 funded projects, 35 student partners in 2025-26; next programme launches soon.</t>
        </is>
      </c>
    </row>
    <row r="613">
      <c r="A613" s="77" t="inlineStr">
        <is>
          <t>RG23-S01-R1</t>
        </is>
      </c>
      <c r="B613" s="77" t="inlineStr">
        <is>
          <t>RG23</t>
        </is>
      </c>
      <c r="C613" s="77" t="inlineStr">
        <is>
          <t>RG23-S01</t>
        </is>
      </c>
      <c r="D613" s="77" t="inlineStr">
        <is>
          <t>TeamWork International Experience Programme</t>
        </is>
      </c>
      <c r="E613" s="77" t="inlineStr">
        <is>
          <t>project; employer; reach; status; duration</t>
        </is>
      </c>
      <c r="F613" s="77" t="inlineStr">
        <is>
          <t>https://warwick.ac.uk/services/careers/employers/international/teamwork/</t>
        </is>
      </c>
      <c r="G613" s="77" t="inlineStr">
        <is>
          <t>TeamWork International Experience Programme</t>
        </is>
      </c>
      <c r="H613" s="77" t="inlineStr">
        <is>
          <t>Employer-facing programme page</t>
        </is>
      </c>
      <c r="I613" s="77" t="inlineStr">
        <is>
          <t>undated (states next programme March 2027)</t>
        </is>
      </c>
      <c r="J613" s="77" t="inlineStr">
        <is>
          <t>2026-10-12</t>
        </is>
      </c>
      <c r="K613" s="77" t="inlineStr">
        <is>
          <t>search-index extract (quoted)</t>
        </is>
      </c>
      <c r="L613"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t>
        </is>
      </c>
    </row>
    <row r="614">
      <c r="A614" s="77" t="inlineStr">
        <is>
          <t>RG23-S01-R2</t>
        </is>
      </c>
      <c r="B614" s="77" t="inlineStr">
        <is>
          <t>RG23</t>
        </is>
      </c>
      <c r="C614" s="77" t="inlineStr">
        <is>
          <t>RG23-S01</t>
        </is>
      </c>
      <c r="D614" s="77" t="inlineStr">
        <is>
          <t>TeamWork International Experience Programme</t>
        </is>
      </c>
      <c r="E614" s="77" t="inlineStr">
        <is>
          <t>project; group; employer; eligibility; duration</t>
        </is>
      </c>
      <c r="F614" s="77" t="inlineStr">
        <is>
          <t>https://warwick.ac.uk/services/careers/employers/international/teamwork/teamwork-questions/</t>
        </is>
      </c>
      <c r="G614" s="77" t="inlineStr">
        <is>
          <t>TeamWork FAQs</t>
        </is>
      </c>
      <c r="H614" s="77" t="inlineStr">
        <is>
          <t>FAQ</t>
        </is>
      </c>
      <c r="I614" s="77" t="inlineStr">
        <is>
          <t>undated</t>
        </is>
      </c>
      <c r="J614" s="77" t="inlineStr">
        <is>
          <t>2026-10-12</t>
        </is>
      </c>
      <c r="K614" s="77" t="inlineStr">
        <is>
          <t>search-index extract (quoted)</t>
        </is>
      </c>
      <c r="L614"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5">
      <c r="A615" s="77" t="inlineStr">
        <is>
          <t>RG23-S01-R3</t>
        </is>
      </c>
      <c r="B615" s="77" t="inlineStr">
        <is>
          <t>RG23</t>
        </is>
      </c>
      <c r="C615" s="77" t="inlineStr">
        <is>
          <t>RG23-S01</t>
        </is>
      </c>
      <c r="D615" s="77" t="inlineStr">
        <is>
          <t>TeamWork International Experience Programme</t>
        </is>
      </c>
      <c r="E615" s="77" t="inlineStr">
        <is>
          <t>status; employer</t>
        </is>
      </c>
      <c r="F615" s="77" t="inlineStr">
        <is>
          <t>https://warwick.ac.uk/services/careers/employers/international/teamwork/employer_feedback/</t>
        </is>
      </c>
      <c r="G615" s="77" t="inlineStr">
        <is>
          <t>TeamWork Employer Feedback</t>
        </is>
      </c>
      <c r="H615" s="77" t="inlineStr">
        <is>
          <t>Employer feedback</t>
        </is>
      </c>
      <c r="I615" s="77" t="inlineStr">
        <is>
          <t>2024 and 2025 rounds</t>
        </is>
      </c>
      <c r="J615" s="77" t="inlineStr">
        <is>
          <t>2026-10-12</t>
        </is>
      </c>
      <c r="K615" s="77" t="inlineStr">
        <is>
          <t>search-summary paraphrase</t>
        </is>
      </c>
      <c r="L615" s="77" t="inlineStr">
        <is>
          <t>Employer feedback from the 2024 and 2025 rounds praising team presentations.</t>
        </is>
      </c>
    </row>
    <row r="616">
      <c r="A616" s="77" t="inlineStr">
        <is>
          <t>RG23-S02-R1</t>
        </is>
      </c>
      <c r="B616" s="77" t="inlineStr">
        <is>
          <t>RG23</t>
        </is>
      </c>
      <c r="C616" s="77" t="inlineStr">
        <is>
          <t>RG23-S02</t>
        </is>
      </c>
      <c r="D616" s="77" t="inlineStr">
        <is>
          <t>Strategic Consulting Project (group SCP) - MBA</t>
        </is>
      </c>
      <c r="E616" s="77" t="inlineStr">
        <is>
          <t>project; group; employer; eligibility; status; duration</t>
        </is>
      </c>
      <c r="F616" s="77" t="inlineStr">
        <is>
          <t>https://www.wbs.ac.uk/sites/wbs2020/assets/pdf/FAQs_Student_Consultancy_Projects_2026.pdf</t>
        </is>
      </c>
      <c r="G616" s="77" t="inlineStr">
        <is>
          <t>MBA &amp; Masters Projects 2026 Frequently Asked Questions</t>
        </is>
      </c>
      <c r="H616" s="77" t="inlineStr">
        <is>
          <t>FAQ PDF</t>
        </is>
      </c>
      <c r="I616" s="77" t="inlineStr">
        <is>
          <t>2026</t>
        </is>
      </c>
      <c r="J616" s="77" t="inlineStr">
        <is>
          <t>2026-10-12</t>
        </is>
      </c>
      <c r="K616" s="77" t="inlineStr">
        <is>
          <t>search-index extract (quoted)</t>
        </is>
      </c>
      <c r="L616"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7">
      <c r="A617" s="77" t="inlineStr">
        <is>
          <t>RG23-S02-R2</t>
        </is>
      </c>
      <c r="B617" s="77" t="inlineStr">
        <is>
          <t>RG23</t>
        </is>
      </c>
      <c r="C617" s="77" t="inlineStr">
        <is>
          <t>RG23-S02</t>
        </is>
      </c>
      <c r="D617" s="77" t="inlineStr">
        <is>
          <t>Strategic Consulting Project (group SCP) - MBA</t>
        </is>
      </c>
      <c r="E617" s="77" t="inlineStr">
        <is>
          <t>project; group; employer; status</t>
        </is>
      </c>
      <c r="F617" s="77" t="inlineStr">
        <is>
          <t>https://www.wbs.ac.uk/courses/mba/global-online/january-2027-programme-structure1/</t>
        </is>
      </c>
      <c r="G617" s="77" t="inlineStr">
        <is>
          <t>January 2027 Programme Structure (Global Online MBA)</t>
        </is>
      </c>
      <c r="H617" s="77" t="inlineStr">
        <is>
          <t>Strategic Consulting Project</t>
        </is>
      </c>
      <c r="I617" s="77" t="inlineStr">
        <is>
          <t>2027 intake</t>
        </is>
      </c>
      <c r="J617" s="77" t="inlineStr">
        <is>
          <t>2026-10-12</t>
        </is>
      </c>
      <c r="K617" s="77" t="inlineStr">
        <is>
          <t>search-index extract (quoted)</t>
        </is>
      </c>
      <c r="L617" s="77" t="inlineStr">
        <is>
          <t>Strategic Consulting Project where 'as a group of three, you'll engage with an organisation, addressing at least one topic posed by the Client'.</t>
        </is>
      </c>
    </row>
    <row r="618">
      <c r="A618" s="77" t="inlineStr">
        <is>
          <t>RG23-S03-R1</t>
        </is>
      </c>
      <c r="B618" s="77" t="inlineStr">
        <is>
          <t>RG23</t>
        </is>
      </c>
      <c r="C618" s="77" t="inlineStr">
        <is>
          <t>RG23-S03</t>
        </is>
      </c>
      <c r="D618" s="77" t="inlineStr">
        <is>
          <t>LeadershipPlus group consultancy project (Full-time MBA)</t>
        </is>
      </c>
      <c r="E618" s="77" t="inlineStr">
        <is>
          <t>project; group; employer; duration</t>
        </is>
      </c>
      <c r="F618" s="77" t="inlineStr">
        <is>
          <t>https://www.wbs.ac.uk/working-with-wbs/student-consultancy-projects/</t>
        </is>
      </c>
      <c r="G618" s="77" t="inlineStr">
        <is>
          <t>Student Consultancy Projects</t>
        </is>
      </c>
      <c r="H618" s="77" t="inlineStr">
        <is>
          <t>Employer-facing page (LeadershipPlus group projects)</t>
        </is>
      </c>
      <c r="I618" s="77" t="inlineStr">
        <is>
          <t>undated</t>
        </is>
      </c>
      <c r="J618" s="77" t="inlineStr">
        <is>
          <t>2026-10-12</t>
        </is>
      </c>
      <c r="K618" s="77" t="inlineStr">
        <is>
          <t>search-summary paraphrase</t>
        </is>
      </c>
      <c r="L618" s="77" t="inlineStr">
        <is>
          <t>LeadershipPlus group projects run January to March with groups of six to eight Full-time MBA students; corporate, SME or not-for-profit clients have a current business issue investigated and receive practical recommendations.</t>
        </is>
      </c>
    </row>
    <row r="619">
      <c r="A619" s="77" t="inlineStr">
        <is>
          <t>RG23-S03-R2</t>
        </is>
      </c>
      <c r="B619" s="77" t="inlineStr">
        <is>
          <t>RG23</t>
        </is>
      </c>
      <c r="C619" s="77" t="inlineStr">
        <is>
          <t>RG23-S03</t>
        </is>
      </c>
      <c r="D619" s="77" t="inlineStr">
        <is>
          <t>LeadershipPlus group consultancy project (Full-time MBA)</t>
        </is>
      </c>
      <c r="E619" s="77" t="inlineStr">
        <is>
          <t>project; group; employer; duration</t>
        </is>
      </c>
      <c r="F619" s="77" t="inlineStr">
        <is>
          <t>https://www.wbs.ac.uk/blogs/student/mba/how-to-use-consultancy-and-group-projects-to-accelerate-your-career/</t>
        </is>
      </c>
      <c r="G619" s="77" t="inlineStr">
        <is>
          <t>How to use consultancy and group projects to accelerate your career</t>
        </is>
      </c>
      <c r="H619" s="77" t="inlineStr">
        <is>
          <t>WBS student blog</t>
        </is>
      </c>
      <c r="I619" s="77" t="inlineStr">
        <is>
          <t>undated</t>
        </is>
      </c>
      <c r="J619" s="77" t="inlineStr">
        <is>
          <t>2026-10-12</t>
        </is>
      </c>
      <c r="K619" s="77" t="inlineStr">
        <is>
          <t>search-summary paraphrase</t>
        </is>
      </c>
      <c r="L619" s="77" t="inlineStr">
        <is>
          <t>LeadershipPlus group project runs for 10 weeks, working on a consultancy project as a group and ending with findings presented to the client and staff.</t>
        </is>
      </c>
    </row>
    <row r="620">
      <c r="A620" s="77" t="inlineStr">
        <is>
          <t>RG23-S03-R3</t>
        </is>
      </c>
      <c r="B620" s="77" t="inlineStr">
        <is>
          <t>RG23</t>
        </is>
      </c>
      <c r="C620" s="77" t="inlineStr">
        <is>
          <t>RG23-S03</t>
        </is>
      </c>
      <c r="D620" s="77" t="inlineStr">
        <is>
          <t>LeadershipPlus group consultancy project (Full-time MBA)</t>
        </is>
      </c>
      <c r="E620" s="77" t="inlineStr">
        <is>
          <t>duration</t>
        </is>
      </c>
      <c r="F620" s="77" t="inlineStr">
        <is>
          <t>https://www.wbs.ac.uk/courses/mba/full-time/careers/</t>
        </is>
      </c>
      <c r="G620" s="77" t="inlineStr">
        <is>
          <t>Careers (Full-time MBA)</t>
        </is>
      </c>
      <c r="H620" s="77" t="inlineStr">
        <is>
          <t>Careers page</t>
        </is>
      </c>
      <c r="I620" s="77" t="inlineStr">
        <is>
          <t>undated</t>
        </is>
      </c>
      <c r="J620" s="77" t="inlineStr">
        <is>
          <t>2026-10-12</t>
        </is>
      </c>
      <c r="K620" s="77" t="inlineStr">
        <is>
          <t>search-summary paraphrase</t>
        </is>
      </c>
      <c r="L620" s="77" t="inlineStr">
        <is>
          <t>Describes the group project as nine weeks.</t>
        </is>
      </c>
    </row>
    <row r="621">
      <c r="A621" s="77" t="inlineStr">
        <is>
          <t>RG23-S04-R1</t>
        </is>
      </c>
      <c r="B621" s="77" t="inlineStr">
        <is>
          <t>RG23</t>
        </is>
      </c>
      <c r="C621" s="77" t="inlineStr">
        <is>
          <t>RG23-S04</t>
        </is>
      </c>
      <c r="D621" s="77" t="inlineStr">
        <is>
          <t>Business with Consulting MSc - live client consulting projects</t>
        </is>
      </c>
      <c r="E621" s="77" t="inlineStr">
        <is>
          <t>project; employer</t>
        </is>
      </c>
      <c r="F621" s="77" t="inlineStr">
        <is>
          <t>https://wbs.ac.uk/blogs/student/postgraduate/one-year-on-from-my-msc-business-with-consulting-course</t>
        </is>
      </c>
      <c r="G621" s="77" t="inlineStr">
        <is>
          <t>One year on from my MSc Business with Consulting course</t>
        </is>
      </c>
      <c r="H621" s="77" t="inlineStr">
        <is>
          <t>Student blog</t>
        </is>
      </c>
      <c r="I621" s="77" t="inlineStr">
        <is>
          <t>undated</t>
        </is>
      </c>
      <c r="J621" s="77" t="inlineStr">
        <is>
          <t>2026-10-12</t>
        </is>
      </c>
      <c r="K621" s="77" t="inlineStr">
        <is>
          <t>search-index extract (quoted)</t>
        </is>
      </c>
      <c r="L621" s="77" t="inlineStr">
        <is>
          <t>'the consulting projects in the first two terms involved real clients and we got to experience the full experience of a live project'.</t>
        </is>
      </c>
    </row>
    <row r="622">
      <c r="A622" s="77" t="inlineStr">
        <is>
          <t>RG23-S04-R2</t>
        </is>
      </c>
      <c r="B622" s="77" t="inlineStr">
        <is>
          <t>RG23</t>
        </is>
      </c>
      <c r="C622" s="77" t="inlineStr">
        <is>
          <t>RG23-S04</t>
        </is>
      </c>
      <c r="D622" s="77" t="inlineStr">
        <is>
          <t>Business with Consulting MSc - live client consulting projects</t>
        </is>
      </c>
      <c r="E622" s="77" t="inlineStr">
        <is>
          <t>project; employer</t>
        </is>
      </c>
      <c r="F622" s="77" t="inlineStr">
        <is>
          <t>https://www.wbs.ac.uk/blogs/alumni/my-consultancy-journey-since-completing-my-msc/</t>
        </is>
      </c>
      <c r="G622" s="77" t="inlineStr">
        <is>
          <t>My consultancy journey since completing my MSc</t>
        </is>
      </c>
      <c r="H622" s="77" t="inlineStr">
        <is>
          <t>Alumni blog</t>
        </is>
      </c>
      <c r="I622" s="77" t="inlineStr">
        <is>
          <t>undated</t>
        </is>
      </c>
      <c r="J622" s="77" t="inlineStr">
        <is>
          <t>2026-10-12</t>
        </is>
      </c>
      <c r="K622" s="77" t="inlineStr">
        <is>
          <t>search-index extract (quoted)</t>
        </is>
      </c>
      <c r="L622" s="77" t="inlineStr">
        <is>
          <t>Live client projects let students 'work with real clients to simulate a project proposal'.</t>
        </is>
      </c>
    </row>
    <row r="623">
      <c r="A623" s="77" t="inlineStr">
        <is>
          <t>RG23-S04-R3</t>
        </is>
      </c>
      <c r="B623" s="77" t="inlineStr">
        <is>
          <t>RG23</t>
        </is>
      </c>
      <c r="C623" s="77" t="inlineStr">
        <is>
          <t>RG23-S04</t>
        </is>
      </c>
      <c r="D623" s="77" t="inlineStr">
        <is>
          <t>Business with Consulting MSc - live client consulting projects</t>
        </is>
      </c>
      <c r="E623" s="77" t="inlineStr">
        <is>
          <t>eligibility</t>
        </is>
      </c>
      <c r="F623" s="77" t="inlineStr">
        <is>
          <t>https://warwick.ac.uk/study/postgraduate/courses/msc-business-consulting/</t>
        </is>
      </c>
      <c r="G623" s="77" t="inlineStr">
        <is>
          <t>Business with Consulting (MSc)</t>
        </is>
      </c>
      <c r="H623" s="77" t="inlineStr">
        <is>
          <t>Course page (2027 entry)</t>
        </is>
      </c>
      <c r="I623" s="77" t="inlineStr">
        <is>
          <t>2027 entry</t>
        </is>
      </c>
      <c r="J623" s="77" t="inlineStr">
        <is>
          <t>2026-10-12</t>
        </is>
      </c>
      <c r="K623" s="77" t="inlineStr">
        <is>
          <t>search-summary paraphrase</t>
        </is>
      </c>
      <c r="L623" s="77" t="inlineStr">
        <is>
          <t>Eight compulsory modules and one optional module over three terms; Professional communication module aimed at teamwork and client skills.</t>
        </is>
      </c>
    </row>
    <row r="624">
      <c r="A624" s="77" t="inlineStr">
        <is>
          <t>RG23-S05-R1</t>
        </is>
      </c>
      <c r="B624" s="77" t="inlineStr">
        <is>
          <t>RG23</t>
        </is>
      </c>
      <c r="C624" s="77" t="inlineStr">
        <is>
          <t>RG23-S05</t>
        </is>
      </c>
      <c r="D624" s="77" t="inlineStr">
        <is>
          <t>Business Consulting</t>
        </is>
      </c>
      <c r="E624" s="77" t="inlineStr">
        <is>
          <t>project; group; credit</t>
        </is>
      </c>
      <c r="F624" s="77" t="inlineStr">
        <is>
          <t>https://courses.warwick.ac.uk/modules/2024/IB013-15</t>
        </is>
      </c>
      <c r="G624" s="77" t="inlineStr">
        <is>
          <t>IB013-15 Business Consulting - Module Catalogue</t>
        </is>
      </c>
      <c r="H624" s="77" t="inlineStr">
        <is>
          <t>Module catalogue 2024</t>
        </is>
      </c>
      <c r="I624" s="77" t="inlineStr">
        <is>
          <t>2024</t>
        </is>
      </c>
      <c r="J624" s="77" t="inlineStr">
        <is>
          <t>2026-10-12</t>
        </is>
      </c>
      <c r="K624" s="77" t="inlineStr">
        <is>
          <t>search-index extract (quoted)</t>
        </is>
      </c>
      <c r="L624"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5">
      <c r="A625" s="77" t="inlineStr">
        <is>
          <t>RG23-S05-R2</t>
        </is>
      </c>
      <c r="B625" s="77" t="inlineStr">
        <is>
          <t>RG23</t>
        </is>
      </c>
      <c r="C625" s="77" t="inlineStr">
        <is>
          <t>RG23-S05</t>
        </is>
      </c>
      <c r="D625" s="77" t="inlineStr">
        <is>
          <t>Business Consulting</t>
        </is>
      </c>
      <c r="E625" s="77" t="inlineStr">
        <is>
          <t>project; employer</t>
        </is>
      </c>
      <c r="F625" s="77" t="inlineStr">
        <is>
          <t>https://warwick.ac.uk/study/undergraduate/courses/bsc-business-management-foundation-year/</t>
        </is>
      </c>
      <c r="G625" s="77" t="inlineStr">
        <is>
          <t>Business and Management with Foundation Year BSc</t>
        </is>
      </c>
      <c r="H625" s="77" t="inlineStr">
        <is>
          <t>Course page</t>
        </is>
      </c>
      <c r="I625" s="77" t="inlineStr">
        <is>
          <t>undated</t>
        </is>
      </c>
      <c r="J625" s="77" t="inlineStr">
        <is>
          <t>2026-10-12</t>
        </is>
      </c>
      <c r="K625" s="77" t="inlineStr">
        <is>
          <t>search-summary paraphrase</t>
        </is>
      </c>
      <c r="L625" s="77" t="inlineStr">
        <is>
          <t>In the third term, students will complete a project working with an organisation to identify an issue or challenge.</t>
        </is>
      </c>
    </row>
    <row r="626">
      <c r="A626" s="77" t="inlineStr">
        <is>
          <t>RG23-S06-R1</t>
        </is>
      </c>
      <c r="B626" s="77" t="inlineStr">
        <is>
          <t>RG23</t>
        </is>
      </c>
      <c r="C626" s="77" t="inlineStr">
        <is>
          <t>RG23-S06</t>
        </is>
      </c>
      <c r="D626" s="77" t="inlineStr">
        <is>
          <t>Group Project</t>
        </is>
      </c>
      <c r="E626" s="77" t="inlineStr">
        <is>
          <t>project; group; employer; credit; duration</t>
        </is>
      </c>
      <c r="F626" s="77" t="inlineStr">
        <is>
          <t>https://courses.warwick.ac.uk/modules/2022/ES410-30</t>
        </is>
      </c>
      <c r="G626" s="77" t="inlineStr">
        <is>
          <t>ES410-30 Group Project - Module Catalogue</t>
        </is>
      </c>
      <c r="H626" s="77" t="inlineStr">
        <is>
          <t>Module catalogue 2022</t>
        </is>
      </c>
      <c r="I626" s="77" t="inlineStr">
        <is>
          <t>2022</t>
        </is>
      </c>
      <c r="J626" s="77" t="inlineStr">
        <is>
          <t>2026-10-12</t>
        </is>
      </c>
      <c r="K626" s="77" t="inlineStr">
        <is>
          <t>search-summary paraphrase</t>
        </is>
      </c>
      <c r="L626"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7">
      <c r="A627" s="77" t="inlineStr">
        <is>
          <t>RG23-S06-R2</t>
        </is>
      </c>
      <c r="B627" s="77" t="inlineStr">
        <is>
          <t>RG23</t>
        </is>
      </c>
      <c r="C627" s="77" t="inlineStr">
        <is>
          <t>RG23-S06</t>
        </is>
      </c>
      <c r="D627" s="77" t="inlineStr">
        <is>
          <t>Group Project</t>
        </is>
      </c>
      <c r="E627" s="77" t="inlineStr">
        <is>
          <t>project</t>
        </is>
      </c>
      <c r="F627" s="77" t="inlineStr">
        <is>
          <t>https://warwick.ac.uk/fac/sci/eng/undergraduate/manufacturing_and_mechanical_engineering/</t>
        </is>
      </c>
      <c r="G627" s="77" t="inlineStr">
        <is>
          <t>Manufacturing and Mechanical Engineering - Undergraduate degrees</t>
        </is>
      </c>
      <c r="H627" s="77" t="inlineStr">
        <is>
          <t>Course page</t>
        </is>
      </c>
      <c r="I627" s="77" t="inlineStr">
        <is>
          <t>undated</t>
        </is>
      </c>
      <c r="J627" s="77" t="inlineStr">
        <is>
          <t>2026-10-12</t>
        </is>
      </c>
      <c r="K627" s="77" t="inlineStr">
        <is>
          <t>search-summary paraphrase</t>
        </is>
      </c>
      <c r="L627" s="77" t="inlineStr">
        <is>
          <t>Group project examples include the IMechE Formula Student racing car competition, Severn Trent reservoir design, or creating a human-powered submarine.</t>
        </is>
      </c>
    </row>
    <row r="628">
      <c r="A628" s="77" t="inlineStr">
        <is>
          <t>RG23-S07-R1</t>
        </is>
      </c>
      <c r="B628" s="77" t="inlineStr">
        <is>
          <t>RG23</t>
        </is>
      </c>
      <c r="C628" s="77" t="inlineStr">
        <is>
          <t>RG23-S07</t>
        </is>
      </c>
      <c r="D628" s="77" t="inlineStr">
        <is>
          <t>Group Project</t>
        </is>
      </c>
      <c r="E628" s="77" t="inlineStr">
        <is>
          <t>project; group; employer; credit</t>
        </is>
      </c>
      <c r="F628" s="77" t="inlineStr">
        <is>
          <t>https://courses.warwick.ac.uk/modules/2024/ES3H7-30</t>
        </is>
      </c>
      <c r="G628" s="77" t="inlineStr">
        <is>
          <t>ES3H7-30 Group Project - Module Catalogue</t>
        </is>
      </c>
      <c r="H628" s="77" t="inlineStr">
        <is>
          <t>Module catalogue 2024</t>
        </is>
      </c>
      <c r="I628" s="77" t="inlineStr">
        <is>
          <t>2024</t>
        </is>
      </c>
      <c r="J628" s="77" t="inlineStr">
        <is>
          <t>2026-10-12</t>
        </is>
      </c>
      <c r="K628" s="77" t="inlineStr">
        <is>
          <t>search-index extract (quoted)</t>
        </is>
      </c>
      <c r="L628"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29">
      <c r="A629" s="77" t="inlineStr">
        <is>
          <t>RG23-S08-R1</t>
        </is>
      </c>
      <c r="B629" s="77" t="inlineStr">
        <is>
          <t>RG23</t>
        </is>
      </c>
      <c r="C629" s="77" t="inlineStr">
        <is>
          <t>RG23-S08</t>
        </is>
      </c>
      <c r="D629" s="77" t="inlineStr">
        <is>
          <t>Group Project</t>
        </is>
      </c>
      <c r="E629" s="77" t="inlineStr">
        <is>
          <t>project; group; employer</t>
        </is>
      </c>
      <c r="F629" s="77" t="inlineStr">
        <is>
          <t>https://warwick.ac.uk/fac/sci/dcs/teaching/modules/cs407/</t>
        </is>
      </c>
      <c r="G629" s="77" t="inlineStr">
        <is>
          <t>CS407-30 Group Project</t>
        </is>
      </c>
      <c r="H629" s="77" t="inlineStr">
        <is>
          <t>Module page</t>
        </is>
      </c>
      <c r="I629" s="77" t="inlineStr">
        <is>
          <t>undated</t>
        </is>
      </c>
      <c r="J629" s="77" t="inlineStr">
        <is>
          <t>2026-10-12</t>
        </is>
      </c>
      <c r="K629" s="77" t="inlineStr">
        <is>
          <t>search-summary paraphrase</t>
        </is>
      </c>
      <c r="L629" s="77" t="inlineStr">
        <is>
          <t>Students learn to engineer complex software systems or conduct research projects 'according to the requirements of a customer'; customer may be an academic or an industrial partner; each group has between 4 and 6 students.</t>
        </is>
      </c>
    </row>
    <row r="630">
      <c r="A630" s="77" t="inlineStr">
        <is>
          <t>RG23-S08-R2</t>
        </is>
      </c>
      <c r="B630" s="77" t="inlineStr">
        <is>
          <t>RG23</t>
        </is>
      </c>
      <c r="C630" s="77" t="inlineStr">
        <is>
          <t>RG23-S08</t>
        </is>
      </c>
      <c r="D630" s="77" t="inlineStr">
        <is>
          <t>Group Project</t>
        </is>
      </c>
      <c r="E630" s="77" t="inlineStr">
        <is>
          <t>employer</t>
        </is>
      </c>
      <c r="F630" s="77" t="inlineStr">
        <is>
          <t>https://warwick.ac.uk/services/aro/dar/quality/modules/undergraduate/cs/cs407/</t>
        </is>
      </c>
      <c r="G630" s="77" t="inlineStr">
        <is>
          <t>CS407 - Group Project (archived catalogue)</t>
        </is>
      </c>
      <c r="H630" s="77" t="inlineStr">
        <is>
          <t>Archived module catalogue (pre-2019/20)</t>
        </is>
      </c>
      <c r="I630" s="77" t="inlineStr">
        <is>
          <t>pre-2019/20</t>
        </is>
      </c>
      <c r="J630" s="77" t="inlineStr">
        <is>
          <t>2026-10-12</t>
        </is>
      </c>
      <c r="K630" s="77" t="inlineStr">
        <is>
          <t>search-index extract (quoted)</t>
        </is>
      </c>
      <c r="L630" s="77" t="inlineStr">
        <is>
          <t>'the customer will normally be an industrial partner, or may alternatively be an academic'.</t>
        </is>
      </c>
    </row>
    <row r="631">
      <c r="A631" s="77" t="inlineStr">
        <is>
          <t>RG23-S09-R1</t>
        </is>
      </c>
      <c r="B631" s="77" t="inlineStr">
        <is>
          <t>RG23</t>
        </is>
      </c>
      <c r="C631" s="77" t="inlineStr">
        <is>
          <t>RG23-S09</t>
        </is>
      </c>
      <c r="D631" s="77" t="inlineStr">
        <is>
          <t>Industry Impact Projects (MSc International Trade, Strategy and Operations)</t>
        </is>
      </c>
      <c r="E631" s="77" t="inlineStr">
        <is>
          <t>project; group; employer</t>
        </is>
      </c>
      <c r="F631" s="77" t="inlineStr">
        <is>
          <t>https://warwick.ac.uk/fac/sci/wmg/study/masters-degrees/international-trade/</t>
        </is>
      </c>
      <c r="G631" s="77" t="inlineStr">
        <is>
          <t>MSc International Trade, Strategy and Operations</t>
        </is>
      </c>
      <c r="H631" s="77" t="inlineStr">
        <is>
          <t>Programme page</t>
        </is>
      </c>
      <c r="I631" s="77" t="inlineStr">
        <is>
          <t>undated</t>
        </is>
      </c>
      <c r="J631" s="77" t="inlineStr">
        <is>
          <t>2026-10-12</t>
        </is>
      </c>
      <c r="K631" s="77" t="inlineStr">
        <is>
          <t>search-summary paraphrase</t>
        </is>
      </c>
      <c r="L631"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2">
      <c r="A632" s="77" t="inlineStr">
        <is>
          <t>RG23-S10-R1</t>
        </is>
      </c>
      <c r="B632" s="77" t="inlineStr">
        <is>
          <t>RG23</t>
        </is>
      </c>
      <c r="C632" s="77" t="inlineStr">
        <is>
          <t>RG23-S10</t>
        </is>
      </c>
      <c r="D632" s="77" t="inlineStr">
        <is>
          <t>Industry Collaboration Project (MSc Innovation and Entrepreneurship)</t>
        </is>
      </c>
      <c r="E632" s="77" t="inlineStr">
        <is>
          <t>project; employer</t>
        </is>
      </c>
      <c r="F632" s="77" t="inlineStr">
        <is>
          <t>https://warwick.ac.uk/fac/sci/wmg/study/masters-degrees/entrepreneurship/</t>
        </is>
      </c>
      <c r="G632" s="77" t="inlineStr">
        <is>
          <t>MSc Innovation and Entrepreneurship</t>
        </is>
      </c>
      <c r="H632" s="77" t="inlineStr">
        <is>
          <t>Programme page</t>
        </is>
      </c>
      <c r="I632" s="77" t="inlineStr">
        <is>
          <t>undated</t>
        </is>
      </c>
      <c r="J632" s="77" t="inlineStr">
        <is>
          <t>2026-10-12</t>
        </is>
      </c>
      <c r="K632" s="77" t="inlineStr">
        <is>
          <t>search-summary paraphrase</t>
        </is>
      </c>
      <c r="L632" s="77" t="inlineStr">
        <is>
          <t>Industry Collaboration Project asks students to develop solutions to a real-world industry problem set in consultation with a WMG partner organisation; assessed by supervisor plus independent assessor.</t>
        </is>
      </c>
    </row>
    <row r="633">
      <c r="A633" s="77" t="inlineStr">
        <is>
          <t>RG23-S11-R1</t>
        </is>
      </c>
      <c r="B633" s="77" t="inlineStr">
        <is>
          <t>RG23</t>
        </is>
      </c>
      <c r="C633" s="77" t="inlineStr">
        <is>
          <t>RG23-S11</t>
        </is>
      </c>
      <c r="D633" s="77" t="inlineStr">
        <is>
          <t>Practice-based Project</t>
        </is>
      </c>
      <c r="E633" s="77" t="inlineStr">
        <is>
          <t>project; group; employer</t>
        </is>
      </c>
      <c r="F633" s="77" t="inlineStr">
        <is>
          <t>https://courses.warwick.ac.uk/modules/2021/GD903-60</t>
        </is>
      </c>
      <c r="G633" s="77" t="inlineStr">
        <is>
          <t>GD903-60 Practice-based Project - Module Catalogue</t>
        </is>
      </c>
      <c r="H633" s="77" t="inlineStr">
        <is>
          <t>Module catalogue 2021</t>
        </is>
      </c>
      <c r="I633" s="77" t="inlineStr">
        <is>
          <t>2021</t>
        </is>
      </c>
      <c r="J633" s="77" t="inlineStr">
        <is>
          <t>2026-10-12</t>
        </is>
      </c>
      <c r="K633" s="77" t="inlineStr">
        <is>
          <t>search-summary paraphrase</t>
        </is>
      </c>
      <c r="L633" s="77" t="inlineStr">
        <is>
          <t>Capstone module for Masters students: teams work on a 'client' project brief for promoting sustainable development; partner may be external organisations identified by the student or the School's Placement Officer.</t>
        </is>
      </c>
    </row>
    <row r="634">
      <c r="A634" s="77" t="inlineStr">
        <is>
          <t>RG23-S12-R1</t>
        </is>
      </c>
      <c r="B634" s="77" t="inlineStr">
        <is>
          <t>RG23</t>
        </is>
      </c>
      <c r="C634" s="77" t="inlineStr">
        <is>
          <t>RG23-S12</t>
        </is>
      </c>
      <c r="D634" s="77" t="inlineStr">
        <is>
          <t>Applied Communication Project</t>
        </is>
      </c>
      <c r="E634" s="77" t="inlineStr">
        <is>
          <t>project; group; employer</t>
        </is>
      </c>
      <c r="F634" s="77" t="inlineStr">
        <is>
          <t>https://courses.warwick.ac.uk/modules/2024/LP916-15</t>
        </is>
      </c>
      <c r="G634" s="77" t="inlineStr">
        <is>
          <t>LP916-15 Applied Communication Project - Module Catalogue</t>
        </is>
      </c>
      <c r="H634" s="77" t="inlineStr">
        <is>
          <t>Module catalogue 2024</t>
        </is>
      </c>
      <c r="I634" s="77" t="inlineStr">
        <is>
          <t>2024</t>
        </is>
      </c>
      <c r="J634" s="77" t="inlineStr">
        <is>
          <t>2026-10-12</t>
        </is>
      </c>
      <c r="K634" s="77" t="inlineStr">
        <is>
          <t>search-summary paraphrase</t>
        </is>
      </c>
      <c r="L634" s="77" t="inlineStr">
        <is>
          <t>Teams work on a live brief and present a strategic proposal to the client at the end of the module.</t>
        </is>
      </c>
    </row>
    <row r="635">
      <c r="A635" s="77" t="inlineStr">
        <is>
          <t>RG24-S01-R1</t>
        </is>
      </c>
      <c r="B635" s="77" t="inlineStr">
        <is>
          <t>RG24</t>
        </is>
      </c>
      <c r="C635" s="77" t="inlineStr">
        <is>
          <t>RG24-S01</t>
        </is>
      </c>
      <c r="D635" s="77" t="inlineStr">
        <is>
          <t>York Interdisciplinary Modules (YIMs)</t>
        </is>
      </c>
      <c r="E635" s="77" t="inlineStr">
        <is>
          <t>project; group; employer; reach; eligibility; status; credit</t>
        </is>
      </c>
      <c r="F635" s="77" t="inlineStr">
        <is>
          <t>https://www.york.ac.uk/about/sustainability/teaching-learning/york-interdisciplinary-modules/</t>
        </is>
      </c>
      <c r="G635" s="77" t="inlineStr">
        <is>
          <t>York Interdisciplinary Modules - Teaching and learning</t>
        </is>
      </c>
      <c r="H635" s="77" t="inlineStr">
        <is>
          <t>YIM overview</t>
        </is>
      </c>
      <c r="I635" s="77" t="inlineStr">
        <is>
          <t>undated (2026/27 application dates shown)</t>
        </is>
      </c>
      <c r="J635" s="77" t="inlineStr">
        <is>
          <t>2026-10-12</t>
        </is>
      </c>
      <c r="K635" s="77" t="inlineStr">
        <is>
          <t>search-summary paraphrase</t>
        </is>
      </c>
      <c r="L635" s="77" t="inlineStr">
        <is>
          <t>YIMs are elective modules worth 20 credits; students work in multi-disciplinary teams; only in some YIMs do students work with outside organisations; 2026/27 undergraduate application deadline 24 August 2026.</t>
        </is>
      </c>
    </row>
    <row r="636">
      <c r="A636" s="77" t="inlineStr">
        <is>
          <t>RG24-S01-R2</t>
        </is>
      </c>
      <c r="B636" s="77" t="inlineStr">
        <is>
          <t>RG24</t>
        </is>
      </c>
      <c r="C636" s="77" t="inlineStr">
        <is>
          <t>RG24-S01</t>
        </is>
      </c>
      <c r="D636" s="77" t="inlineStr">
        <is>
          <t>York Interdisciplinary Modules (YIMs)</t>
        </is>
      </c>
      <c r="E636" s="77" t="inlineStr">
        <is>
          <t>reach; eligibility; status</t>
        </is>
      </c>
      <c r="F636" s="77" t="inlineStr">
        <is>
          <t>https://features.york.ac.uk/york-interdisciplinary-modules/</t>
        </is>
      </c>
      <c r="G636" s="77" t="inlineStr">
        <is>
          <t>York Interdisciplinary Modules (YIMs)</t>
        </is>
      </c>
      <c r="H636" s="77" t="inlineStr">
        <is>
          <t>overview</t>
        </is>
      </c>
      <c r="I636" s="77" t="inlineStr">
        <is>
          <t>undated</t>
        </is>
      </c>
      <c r="J636" s="77" t="inlineStr">
        <is>
          <t>2026-10-12</t>
        </is>
      </c>
      <c r="K636" s="77" t="inlineStr">
        <is>
          <t>search-index extract (quoted)</t>
        </is>
      </c>
      <c r="L636" s="77" t="inlineStr">
        <is>
          <t>Sustainability Clinic available as an elective in 2026/27 to 3rd year undergraduates (semester 1, repeated semester 2) and postgraduates (semester 2), subject to timetable and department availability.</t>
        </is>
      </c>
    </row>
    <row r="637">
      <c r="A637" s="77" t="inlineStr">
        <is>
          <t>RG24-S02-R1</t>
        </is>
      </c>
      <c r="B637" s="77" t="inlineStr">
        <is>
          <t>RG24</t>
        </is>
      </c>
      <c r="C637" s="77" t="inlineStr">
        <is>
          <t>RG24-S02</t>
        </is>
      </c>
      <c r="D637" s="77" t="inlineStr">
        <is>
          <t>Sustainability Clinic</t>
        </is>
      </c>
      <c r="E637" s="77" t="inlineStr">
        <is>
          <t>project; group; employer; credit; status; reach</t>
        </is>
      </c>
      <c r="F637" s="77" t="inlineStr">
        <is>
          <t>https://www.york.ac.uk/students/studying/manage/programmes/module-catalogue/module/ESA00001H/latest</t>
        </is>
      </c>
      <c r="G637" s="77" t="inlineStr">
        <is>
          <t>Sustainability Clinic (B: Semester 2) (ESA00001H) - Module Catalogue</t>
        </is>
      </c>
      <c r="H637" s="77" t="inlineStr">
        <is>
          <t>Module summary</t>
        </is>
      </c>
      <c r="I637" s="77" t="inlineStr">
        <is>
          <t>2026-27 (latest listed; 2025-26 content)</t>
        </is>
      </c>
      <c r="J637" s="77" t="inlineStr">
        <is>
          <t>2026-10-12</t>
        </is>
      </c>
      <c r="K637" s="77" t="inlineStr">
        <is>
          <t>search-index extract (quoted)</t>
        </is>
      </c>
      <c r="L637"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38">
      <c r="A638" s="77" t="inlineStr">
        <is>
          <t>RG24-S02-R2</t>
        </is>
      </c>
      <c r="B638" s="77" t="inlineStr">
        <is>
          <t>RG24</t>
        </is>
      </c>
      <c r="C638" s="77" t="inlineStr">
        <is>
          <t>RG24-S02</t>
        </is>
      </c>
      <c r="D638" s="77" t="inlineStr">
        <is>
          <t>Sustainability Clinic</t>
        </is>
      </c>
      <c r="E638" s="77" t="inlineStr">
        <is>
          <t>employer</t>
        </is>
      </c>
      <c r="F638" s="77" t="inlineStr">
        <is>
          <t>https://www.york.ac.uk/about/sustainability/teaching-learning/sustainability-clinic/</t>
        </is>
      </c>
      <c r="G638" s="77" t="inlineStr">
        <is>
          <t>Sustainability Clinic - Teaching and learning</t>
        </is>
      </c>
      <c r="H638" s="77" t="inlineStr">
        <is>
          <t>overview</t>
        </is>
      </c>
      <c r="I638" s="77" t="inlineStr">
        <is>
          <t>undated</t>
        </is>
      </c>
      <c r="J638" s="77" t="inlineStr">
        <is>
          <t>2026-10-12</t>
        </is>
      </c>
      <c r="K638" s="77" t="inlineStr">
        <is>
          <t>search-summary paraphrase</t>
        </is>
      </c>
      <c r="L638" s="77" t="inlineStr">
        <is>
          <t>Past partners include Yorkshire Wildlife Trust, York Minster and North Yorkshire Moors Railway; over 450 students and 65 partner organisations have taken part.</t>
        </is>
      </c>
    </row>
    <row r="639">
      <c r="A639" s="77" t="inlineStr">
        <is>
          <t>RG24-S02-R3</t>
        </is>
      </c>
      <c r="B639" s="77" t="inlineStr">
        <is>
          <t>RG24</t>
        </is>
      </c>
      <c r="C639" s="77" t="inlineStr">
        <is>
          <t>RG24-S02</t>
        </is>
      </c>
      <c r="D639" s="77" t="inlineStr">
        <is>
          <t>Sustainability Clinic</t>
        </is>
      </c>
      <c r="E639" s="77" t="inlineStr">
        <is>
          <t>status; credit; eligibility</t>
        </is>
      </c>
      <c r="F639" s="77" t="inlineStr">
        <is>
          <t>https://www.york.ac.uk/students/studying/manage/programmes/module-catalogue/module/ENV00111M/latest</t>
        </is>
      </c>
      <c r="G639" s="77" t="inlineStr">
        <is>
          <t>Sustainability Clinic (Environment &amp; Geography) (ENV00111M) 2026-27</t>
        </is>
      </c>
      <c r="H639" s="77" t="inlineStr">
        <is>
          <t>Module catalogue</t>
        </is>
      </c>
      <c r="I639" s="77" t="inlineStr">
        <is>
          <t>2026-27</t>
        </is>
      </c>
      <c r="J639" s="77" t="inlineStr">
        <is>
          <t>2026-10-12</t>
        </is>
      </c>
      <c r="K639" s="77" t="inlineStr">
        <is>
          <t>search-summary paraphrase</t>
        </is>
      </c>
      <c r="L639" s="77" t="inlineStr">
        <is>
          <t>Postgraduate version, Semester 2 2026-27; 3000 word reflective report.</t>
        </is>
      </c>
    </row>
    <row r="640">
      <c r="A640" s="77" t="inlineStr">
        <is>
          <t>RG24-S02-R4</t>
        </is>
      </c>
      <c r="B640" s="77" t="inlineStr">
        <is>
          <t>RG24</t>
        </is>
      </c>
      <c r="C640" s="77" t="inlineStr">
        <is>
          <t>RG24-S02</t>
        </is>
      </c>
      <c r="D640" s="77" t="inlineStr">
        <is>
          <t>Sustainability Clinic</t>
        </is>
      </c>
      <c r="E640" s="77" t="inlineStr">
        <is>
          <t>reach; eligibility; status</t>
        </is>
      </c>
      <c r="F640" s="77" t="inlineStr">
        <is>
          <t>https://features.york.ac.uk/york-interdisciplinary-modules/</t>
        </is>
      </c>
      <c r="G640" s="77" t="inlineStr">
        <is>
          <t>York Interdisciplinary Modules (YIMs)</t>
        </is>
      </c>
      <c r="H640" s="77" t="inlineStr">
        <is>
          <t>overview</t>
        </is>
      </c>
      <c r="I640" s="77" t="inlineStr">
        <is>
          <t>undated</t>
        </is>
      </c>
      <c r="J640" s="77" t="inlineStr">
        <is>
          <t>2026-10-12</t>
        </is>
      </c>
      <c r="K640" s="77" t="inlineStr">
        <is>
          <t>search-index extract (quoted)</t>
        </is>
      </c>
      <c r="L640" s="77" t="inlineStr">
        <is>
          <t>Available as an elective in 2026/27 to 3rd year undergraduates in semester 1 (repeated in semester 2) and postgraduates in semester 2, subject to timetable and department availability.</t>
        </is>
      </c>
    </row>
    <row r="641">
      <c r="A641" s="77" t="inlineStr">
        <is>
          <t>RG24-S03-R1</t>
        </is>
      </c>
      <c r="B641" s="77" t="inlineStr">
        <is>
          <t>RG24</t>
        </is>
      </c>
      <c r="C641" s="77" t="inlineStr">
        <is>
          <t>RG24-S03</t>
        </is>
      </c>
      <c r="D641" s="77" t="inlineStr">
        <is>
          <t>Climate Crisis Action Lab (Climate Crisis: Advocacy and Action YIM)</t>
        </is>
      </c>
      <c r="E641" s="77" t="inlineStr">
        <is>
          <t>project; group; employer; credit; status</t>
        </is>
      </c>
      <c r="F641" s="77" t="inlineStr">
        <is>
          <t>https://www.york.ac.uk/students/studying/manage/programmes/module-catalogue/module/ESA00003H/latest</t>
        </is>
      </c>
      <c r="G641" s="77" t="inlineStr">
        <is>
          <t>Climate Crisis Action Lab (ESA00003H) 2025-26 - Module Catalogue</t>
        </is>
      </c>
      <c r="H641" s="77" t="inlineStr">
        <is>
          <t>Module description</t>
        </is>
      </c>
      <c r="I641" s="77" t="inlineStr">
        <is>
          <t>2025-26</t>
        </is>
      </c>
      <c r="J641" s="77" t="inlineStr">
        <is>
          <t>2026-10-12</t>
        </is>
      </c>
      <c r="K641" s="77" t="inlineStr">
        <is>
          <t>search-index extract (quoted)</t>
        </is>
      </c>
      <c r="L641" s="77" t="inlineStr">
        <is>
          <t>Teams of students from Chemistry, Environment and Geography and York Law School; an outside organisation, likely a campaign group, gives a brief each year; group output assessed; separate non-assessed client-facing output.</t>
        </is>
      </c>
    </row>
    <row r="642">
      <c r="A642" s="77" t="inlineStr">
        <is>
          <t>RG24-S03-R2</t>
        </is>
      </c>
      <c r="B642" s="77" t="inlineStr">
        <is>
          <t>RG24</t>
        </is>
      </c>
      <c r="C642" s="77" t="inlineStr">
        <is>
          <t>RG24-S03</t>
        </is>
      </c>
      <c r="D642" s="77" t="inlineStr">
        <is>
          <t>Climate Crisis Action Lab (Climate Crisis: Advocacy and Action YIM)</t>
        </is>
      </c>
      <c r="E642" s="77" t="inlineStr">
        <is>
          <t>status</t>
        </is>
      </c>
      <c r="F642" s="77" t="inlineStr">
        <is>
          <t>https://www.york.ac.uk/about/sustainability/teaching-learning/york-interdisciplinary-modules/</t>
        </is>
      </c>
      <c r="G642" s="77" t="inlineStr">
        <is>
          <t>York Interdisciplinary Modules - Teaching and learning</t>
        </is>
      </c>
      <c r="H642" s="77" t="inlineStr">
        <is>
          <t>Current offering</t>
        </is>
      </c>
      <c r="I642" s="77" t="inlineStr">
        <is>
          <t>undated (refers to 2026/27)</t>
        </is>
      </c>
      <c r="J642" s="77" t="inlineStr">
        <is>
          <t>2026-10-12</t>
        </is>
      </c>
      <c r="K642" s="77" t="inlineStr">
        <is>
          <t>search-summary paraphrase</t>
        </is>
      </c>
      <c r="L642" s="77" t="inlineStr">
        <is>
          <t>Climate Crisis: Advocacy and Action YIM will not be running in 2026/27.</t>
        </is>
      </c>
    </row>
    <row r="643">
      <c r="A643" s="77" t="inlineStr">
        <is>
          <t>RG24-S04-R1</t>
        </is>
      </c>
      <c r="B643" s="77" t="inlineStr">
        <is>
          <t>RG24</t>
        </is>
      </c>
      <c r="C643" s="77" t="inlineStr">
        <is>
          <t>RG24-S04</t>
        </is>
      </c>
      <c r="D643" s="77" t="inlineStr">
        <is>
          <t>Community Engaged Learning (CEL)</t>
        </is>
      </c>
      <c r="E643" s="77" t="inlineStr">
        <is>
          <t>project; group; employer; status</t>
        </is>
      </c>
      <c r="F643" s="77" t="inlineStr">
        <is>
          <t>https://www.york.ac.uk/staff/teaching/community-engaged-learning/our-projects/</t>
        </is>
      </c>
      <c r="G643" s="77" t="inlineStr">
        <is>
          <t>Our projects - Community Engaged Learning</t>
        </is>
      </c>
      <c r="H643" s="77" t="inlineStr">
        <is>
          <t>overview</t>
        </is>
      </c>
      <c r="I643" s="77" t="inlineStr">
        <is>
          <t>undated (2024/25 figures)</t>
        </is>
      </c>
      <c r="J643" s="77" t="inlineStr">
        <is>
          <t>2026-10-12</t>
        </is>
      </c>
      <c r="K643" s="77" t="inlineStr">
        <is>
          <t>search-summary paraphrase</t>
        </is>
      </c>
      <c r="L643" s="77" t="inlineStr">
        <is>
          <t>CEL integrates experiential learning into the curriculum, enabling students to collaborate with external partners on real-world challenges; 2024/25: 158 community partners, 1,424 students and 61 projects.</t>
        </is>
      </c>
    </row>
    <row r="644">
      <c r="A644" s="77" t="inlineStr">
        <is>
          <t>RG24-S05-R1</t>
        </is>
      </c>
      <c r="B644" s="77" t="inlineStr">
        <is>
          <t>RG24</t>
        </is>
      </c>
      <c r="C644" s="77" t="inlineStr">
        <is>
          <t>RG24-S05</t>
        </is>
      </c>
      <c r="D644" s="77" t="inlineStr">
        <is>
          <t>Public History Project</t>
        </is>
      </c>
      <c r="E644" s="77" t="inlineStr">
        <is>
          <t>project; group; employer; credit; status</t>
        </is>
      </c>
      <c r="F644" s="77" t="inlineStr">
        <is>
          <t>https://www.york.ac.uk/students/studying/manage/programmes/module-catalogue/module/HIS00130I/latest</t>
        </is>
      </c>
      <c r="G644" s="77" t="inlineStr">
        <is>
          <t>Public History Project (HIS00130I) 2025-26 - Module Catalogue</t>
        </is>
      </c>
      <c r="H644" s="77" t="inlineStr">
        <is>
          <t>Module description</t>
        </is>
      </c>
      <c r="I644" s="77" t="inlineStr">
        <is>
          <t>2025-26</t>
        </is>
      </c>
      <c r="J644" s="77" t="inlineStr">
        <is>
          <t>2026-10-12</t>
        </is>
      </c>
      <c r="K644" s="77" t="inlineStr">
        <is>
          <t>search-index extract (quoted)</t>
        </is>
      </c>
      <c r="L644" s="77" t="inlineStr">
        <is>
          <t>Students work in small teams on a public history project to a brief from an external partner organisation such as a museum or community group; Semester 1 2025-26; 20 credits; group presentation plus 1,500-word reflection.</t>
        </is>
      </c>
    </row>
    <row r="645">
      <c r="A645" s="77" t="inlineStr">
        <is>
          <t>RG24-S05-R2</t>
        </is>
      </c>
      <c r="B645" s="77" t="inlineStr">
        <is>
          <t>RG24</t>
        </is>
      </c>
      <c r="C645" s="77" t="inlineStr">
        <is>
          <t>RG24-S05</t>
        </is>
      </c>
      <c r="D645" s="77" t="inlineStr">
        <is>
          <t>Public History Project</t>
        </is>
      </c>
      <c r="E645" s="77" t="inlineStr">
        <is>
          <t>reach; participation</t>
        </is>
      </c>
      <c r="F645" s="77" t="inlineStr">
        <is>
          <t>https://www.york.ac.uk/study/undergraduate/courses/ba-history/</t>
        </is>
      </c>
      <c r="G645" s="77" t="inlineStr">
        <is>
          <t>History (BA) - Undergraduate</t>
        </is>
      </c>
      <c r="H645" s="77" t="inlineStr">
        <is>
          <t>Course structure</t>
        </is>
      </c>
      <c r="I645" s="77" t="inlineStr">
        <is>
          <t>undated</t>
        </is>
      </c>
      <c r="J645" s="77" t="inlineStr">
        <is>
          <t>2026-10-12</t>
        </is>
      </c>
      <c r="K645" s="77" t="inlineStr">
        <is>
          <t>search-summary paraphrase</t>
        </is>
      </c>
      <c r="L645" s="77" t="inlineStr">
        <is>
          <t>Public History Project listed as one of two Year 2 core modules; students work on a brief from an organisation.</t>
        </is>
      </c>
    </row>
    <row r="646">
      <c r="A646" s="77" t="inlineStr">
        <is>
          <t>RG24-S06-R1</t>
        </is>
      </c>
      <c r="B646" s="77" t="inlineStr">
        <is>
          <t>RG24</t>
        </is>
      </c>
      <c r="C646" s="77" t="inlineStr">
        <is>
          <t>RG24-S06</t>
        </is>
      </c>
      <c r="D646" s="77" t="inlineStr">
        <is>
          <t>Community Action Project</t>
        </is>
      </c>
      <c r="E646" s="77" t="inlineStr">
        <is>
          <t>project; group; employer; status; credit</t>
        </is>
      </c>
      <c r="F646" s="77" t="inlineStr">
        <is>
          <t>https://www.york.ac.uk/students/studying/manage/programmes/module-catalogue/module/PSY00075H/2025-26</t>
        </is>
      </c>
      <c r="G646" s="77" t="inlineStr">
        <is>
          <t>Community Action Project (PSY00075H) 2025-26 - Module Catalogue</t>
        </is>
      </c>
      <c r="H646" s="77" t="inlineStr">
        <is>
          <t>Module description</t>
        </is>
      </c>
      <c r="I646" s="77" t="inlineStr">
        <is>
          <t>2025-26</t>
        </is>
      </c>
      <c r="J646" s="77" t="inlineStr">
        <is>
          <t>2026-10-12</t>
        </is>
      </c>
      <c r="K646" s="77" t="inlineStr">
        <is>
          <t>search-index extract (quoted)</t>
        </is>
      </c>
      <c r="L646" s="77" t="inlineStr">
        <is>
          <t>Students will work in small teams to a brief provided by an external partner organisation; projects typically on mental health or wellbeing; project facilitators support teams.</t>
        </is>
      </c>
    </row>
    <row r="647">
      <c r="A647" s="77" t="inlineStr">
        <is>
          <t>RG24-S06-R2</t>
        </is>
      </c>
      <c r="B647" s="77" t="inlineStr">
        <is>
          <t>RG24</t>
        </is>
      </c>
      <c r="C647" s="77" t="inlineStr">
        <is>
          <t>RG24-S06</t>
        </is>
      </c>
      <c r="D647" s="77" t="inlineStr">
        <is>
          <t>Community Action Project</t>
        </is>
      </c>
      <c r="E647" s="77" t="inlineStr">
        <is>
          <t>employer</t>
        </is>
      </c>
      <c r="F647" s="77" t="inlineStr">
        <is>
          <t>https://www.york.ac.uk/staff/teaching/community-engaged-learning/our-projects/</t>
        </is>
      </c>
      <c r="G647" s="77" t="inlineStr">
        <is>
          <t>Our projects - Community Engaged Learning</t>
        </is>
      </c>
      <c r="H647" s="77" t="inlineStr">
        <is>
          <t>Psychology</t>
        </is>
      </c>
      <c r="I647" s="77" t="inlineStr">
        <is>
          <t>undated</t>
        </is>
      </c>
      <c r="J647" s="77" t="inlineStr">
        <is>
          <t>2026-10-12</t>
        </is>
      </c>
      <c r="K647" s="77" t="inlineStr">
        <is>
          <t>search-summary paraphrase</t>
        </is>
      </c>
      <c r="L647" s="77" t="inlineStr">
        <is>
          <t>Student teams in Psychology's Community Action Projects work with local charities to help them capture and analyse evidence of their impact.</t>
        </is>
      </c>
    </row>
    <row r="648">
      <c r="A648" s="77" t="inlineStr">
        <is>
          <t>RG24-S07-R1</t>
        </is>
      </c>
      <c r="B648" s="77" t="inlineStr">
        <is>
          <t>RG24</t>
        </is>
      </c>
      <c r="C648" s="77" t="inlineStr">
        <is>
          <t>RG24-S07</t>
        </is>
      </c>
      <c r="D648" s="77" t="inlineStr">
        <is>
          <t>Beyond the Book: Community Projects - Semester 1</t>
        </is>
      </c>
      <c r="E648" s="77" t="inlineStr">
        <is>
          <t>project; group; employer; status</t>
        </is>
      </c>
      <c r="F648" s="77" t="inlineStr">
        <is>
          <t>https://www.york.ac.uk/students/studying/manage/programmes/module-catalogue/module/ENG00175I/latest</t>
        </is>
      </c>
      <c r="G648" s="77" t="inlineStr">
        <is>
          <t>Beyond the Book: Community Projects -- Semester 1 (ENG00175I) 2026-27 - Module Catalogue</t>
        </is>
      </c>
      <c r="H648" s="77" t="inlineStr">
        <is>
          <t>Module description</t>
        </is>
      </c>
      <c r="I648" s="77" t="inlineStr">
        <is>
          <t>2026-27</t>
        </is>
      </c>
      <c r="J648" s="77" t="inlineStr">
        <is>
          <t>2026-10-12</t>
        </is>
      </c>
      <c r="K648" s="77" t="inlineStr">
        <is>
          <t>search-summary paraphrase</t>
        </is>
      </c>
      <c r="L648" s="77" t="inlineStr">
        <is>
          <t>CEL team works with partner organisations each semester; students rank projects and are allocated to teams; pilot projects with Borthwick Institute, York City of Sanctuary, York Festival of Ideas, York Mystery Plays.</t>
        </is>
      </c>
    </row>
    <row r="649">
      <c r="A649" s="77" t="inlineStr">
        <is>
          <t>RG24-S08-R1</t>
        </is>
      </c>
      <c r="B649" s="77" t="inlineStr">
        <is>
          <t>RG24</t>
        </is>
      </c>
      <c r="C649" s="77" t="inlineStr">
        <is>
          <t>RG24-S08</t>
        </is>
      </c>
      <c r="D649" s="77" t="inlineStr">
        <is>
          <t>Student consultancy projects / Business Consultancy Project</t>
        </is>
      </c>
      <c r="E649" s="77" t="inlineStr">
        <is>
          <t>project; group; credit; status</t>
        </is>
      </c>
      <c r="F649" s="77" t="inlineStr">
        <is>
          <t>https://www.york.ac.uk/students/studying/manage/programmes/module-catalogue/module/MAN00019H/latest</t>
        </is>
      </c>
      <c r="G649" s="77" t="inlineStr">
        <is>
          <t>Business Consultancy Project (MAN00019H) 2026-27 - Module Catalogue</t>
        </is>
      </c>
      <c r="H649" s="77" t="inlineStr">
        <is>
          <t>Module description</t>
        </is>
      </c>
      <c r="I649" s="77" t="inlineStr">
        <is>
          <t>2026-27</t>
        </is>
      </c>
      <c r="J649" s="77" t="inlineStr">
        <is>
          <t>2026-10-12</t>
        </is>
      </c>
      <c r="K649" s="77" t="inlineStr">
        <is>
          <t>search-summary paraphrase</t>
        </is>
      </c>
      <c r="L649" s="77" t="inlineStr">
        <is>
          <t>20-credit Level H module in Semester 2 2026-27; syllabus includes managing client relations and presenting conclusions; 60% coursework, 40% groupwork.</t>
        </is>
      </c>
    </row>
    <row r="650">
      <c r="A650" s="77" t="inlineStr">
        <is>
          <t>RG24-S08-R2</t>
        </is>
      </c>
      <c r="B650" s="77" t="inlineStr">
        <is>
          <t>RG24</t>
        </is>
      </c>
      <c r="C650" s="77" t="inlineStr">
        <is>
          <t>RG24-S08</t>
        </is>
      </c>
      <c r="D650" s="77" t="inlineStr">
        <is>
          <t>Student consultancy projects / Business Consultancy Project</t>
        </is>
      </c>
      <c r="E650" s="77" t="inlineStr">
        <is>
          <t>project; group; employer</t>
        </is>
      </c>
      <c r="F650" s="77" t="inlineStr">
        <is>
          <t>https://www.york.ac.uk/business-society/external-engagement/consultancy/</t>
        </is>
      </c>
      <c r="G650" s="77" t="inlineStr">
        <is>
          <t>Student consultancy projects - School for Business and Society</t>
        </is>
      </c>
      <c r="H650" s="77" t="inlineStr">
        <is>
          <t>Undergraduate consultancy</t>
        </is>
      </c>
      <c r="I650" s="77" t="inlineStr">
        <is>
          <t>undated</t>
        </is>
      </c>
      <c r="J650" s="77" t="inlineStr">
        <is>
          <t>2026-10-12</t>
        </is>
      </c>
      <c r="K650" s="77" t="inlineStr">
        <is>
          <t>search-summary paraphrase</t>
        </is>
      </c>
      <c r="L650" s="77" t="inlineStr">
        <is>
          <t>Six-week part-time consultancy assignment in groups for individual clients; businesses, charities and public sector organisations; set-up Nov-Dec, start January, delivery March.</t>
        </is>
      </c>
    </row>
    <row r="651">
      <c r="A651" s="77" t="inlineStr">
        <is>
          <t>RG24-S08-R3</t>
        </is>
      </c>
      <c r="B651" s="77" t="inlineStr">
        <is>
          <t>RG24</t>
        </is>
      </c>
      <c r="C651" s="77" t="inlineStr">
        <is>
          <t>RG24-S08</t>
        </is>
      </c>
      <c r="D651" s="77" t="inlineStr">
        <is>
          <t>Student consultancy projects / Business Consultancy Project</t>
        </is>
      </c>
      <c r="E651" s="77" t="inlineStr">
        <is>
          <t>eligibility; participation</t>
        </is>
      </c>
      <c r="F651" s="77" t="inlineStr">
        <is>
          <t>https://www.york.ac.uk/study/undergraduate/courses/ba-business-society/</t>
        </is>
      </c>
      <c r="G651" s="77" t="inlineStr">
        <is>
          <t>Business and Society (BA)</t>
        </is>
      </c>
      <c r="H651" s="77" t="inlineStr">
        <is>
          <t>Year 3 options</t>
        </is>
      </c>
      <c r="I651" s="77" t="inlineStr">
        <is>
          <t>undated</t>
        </is>
      </c>
      <c r="J651" s="77" t="inlineStr">
        <is>
          <t>2026-10-12</t>
        </is>
      </c>
      <c r="K651" s="77" t="inlineStr">
        <is>
          <t>search-summary paraphrase</t>
        </is>
      </c>
      <c r="L651" s="77" t="inlineStr">
        <is>
          <t>Business Consultancy Project listed among option modules.</t>
        </is>
      </c>
    </row>
    <row r="652">
      <c r="A652" s="77" t="inlineStr">
        <is>
          <t>RG24-S09-R1</t>
        </is>
      </c>
      <c r="B652" s="77" t="inlineStr">
        <is>
          <t>RG24</t>
        </is>
      </c>
      <c r="C652" s="77" t="inlineStr">
        <is>
          <t>RG24-S09</t>
        </is>
      </c>
      <c r="D652" s="77" t="inlineStr">
        <is>
          <t>MSc Management applied (work-based) dissertation with live business projects</t>
        </is>
      </c>
      <c r="E652" s="77" t="inlineStr">
        <is>
          <t>project; group; employer; status</t>
        </is>
      </c>
      <c r="F652" s="77" t="inlineStr">
        <is>
          <t>https://www.york.ac.uk/study/postgraduate-taught/courses/msc-management/</t>
        </is>
      </c>
      <c r="G652" s="77" t="inlineStr">
        <is>
          <t>Management (MSc) - Postgraduate taught</t>
        </is>
      </c>
      <c r="H652" s="77" t="inlineStr">
        <is>
          <t>Dissertation options</t>
        </is>
      </c>
      <c r="I652" s="77" t="inlineStr">
        <is>
          <t>undated</t>
        </is>
      </c>
      <c r="J652" s="77" t="inlineStr">
        <is>
          <t>2026-10-12</t>
        </is>
      </c>
      <c r="K652" s="77" t="inlineStr">
        <is>
          <t>search-summary paraphrase</t>
        </is>
      </c>
      <c r="L652" s="77" t="inlineStr">
        <is>
          <t>Applied route places students with employers; actual, live challenges set by businesses; working in small groups with a single company; project coordinator; past partners Optio Group, Think Consulting Solutions, Gong Cha Global.</t>
        </is>
      </c>
    </row>
    <row r="653">
      <c r="A653" s="77" t="inlineStr">
        <is>
          <t>RG24-S10-R1</t>
        </is>
      </c>
      <c r="B653" s="77" t="inlineStr">
        <is>
          <t>RG24</t>
        </is>
      </c>
      <c r="C653" s="77" t="inlineStr">
        <is>
          <t>RG24-S10</t>
        </is>
      </c>
      <c r="D653" s="77" t="inlineStr">
        <is>
          <t>Group Sustainable Business Project</t>
        </is>
      </c>
      <c r="E653" s="77" t="inlineStr">
        <is>
          <t>project; group; employer; status; credit</t>
        </is>
      </c>
      <c r="F653" s="77" t="inlineStr">
        <is>
          <t>https://www.york.ac.uk/students/studying/manage/programmes/module-catalogue/module/ENV00120M/2025-26</t>
        </is>
      </c>
      <c r="G653" s="77" t="inlineStr">
        <is>
          <t>Group Sustainable Business Project (ENV00120M) 2025-26 - Module Catalogue</t>
        </is>
      </c>
      <c r="H653" s="77" t="inlineStr">
        <is>
          <t>Module description</t>
        </is>
      </c>
      <c r="I653" s="77" t="inlineStr">
        <is>
          <t>2025-26</t>
        </is>
      </c>
      <c r="J653" s="77" t="inlineStr">
        <is>
          <t>2026-10-12</t>
        </is>
      </c>
      <c r="K653" s="77" t="inlineStr">
        <is>
          <t>search-summary paraphrase</t>
        </is>
      </c>
      <c r="L653" s="77" t="inlineStr">
        <is>
          <t>Developed and implemented by student groups from broad project ideas defined by business partners; weekly one-hour meetings with business partners; seminars where staff and industry partners review the report; Semester 2.</t>
        </is>
      </c>
    </row>
    <row r="654">
      <c r="A654" s="77" t="inlineStr">
        <is>
          <t>RG24-S10-R2</t>
        </is>
      </c>
      <c r="B654" s="77" t="inlineStr">
        <is>
          <t>RG24</t>
        </is>
      </c>
      <c r="C654" s="77" t="inlineStr">
        <is>
          <t>RG24-S10</t>
        </is>
      </c>
      <c r="D654" s="77" t="inlineStr">
        <is>
          <t>Group Sustainable Business Project</t>
        </is>
      </c>
      <c r="E654" s="77" t="inlineStr">
        <is>
          <t>employer; participation</t>
        </is>
      </c>
      <c r="F654" s="77" t="inlineStr">
        <is>
          <t>https://www.york.ac.uk/study/postgraduate-taught/courses/msc-sustainable-business/</t>
        </is>
      </c>
      <c r="G654" s="77" t="inlineStr">
        <is>
          <t>Sustainable Business: Leadership, Innovation and Management (MSc)</t>
        </is>
      </c>
      <c r="H654" s="77" t="inlineStr">
        <is>
          <t>Course overview</t>
        </is>
      </c>
      <c r="I654" s="77" t="inlineStr">
        <is>
          <t>undated</t>
        </is>
      </c>
      <c r="J654" s="77" t="inlineStr">
        <is>
          <t>2026-10-12</t>
        </is>
      </c>
      <c r="K654" s="77" t="inlineStr">
        <is>
          <t>search-summary paraphrase</t>
        </is>
      </c>
      <c r="L654" s="77" t="inlineStr">
        <is>
          <t>Group project gives experience of collaborating with an external organisation committed to sustainable business.</t>
        </is>
      </c>
    </row>
    <row r="655">
      <c r="A655" s="77" t="inlineStr">
        <is>
          <t>RG24-S11-R1</t>
        </is>
      </c>
      <c r="B655" s="77" t="inlineStr">
        <is>
          <t>RG24</t>
        </is>
      </c>
      <c r="C655" s="77" t="inlineStr">
        <is>
          <t>RG24-S11</t>
        </is>
      </c>
      <c r="D655" s="77" t="inlineStr">
        <is>
          <t>Migrants' Rights: Law and Policy Clinic</t>
        </is>
      </c>
      <c r="E655" s="77" t="inlineStr">
        <is>
          <t>project; group; employer; status</t>
        </is>
      </c>
      <c r="F655" s="77" t="inlineStr">
        <is>
          <t>https://www.york.ac.uk/students/studying/manage/programmes/module-catalogue/module/LAW00093H/2024-25</t>
        </is>
      </c>
      <c r="G655" s="77" t="inlineStr">
        <is>
          <t>Migrants' Rights: Law and Policy Clinic (LAW00093H) 2024-25 - Module Catalogue</t>
        </is>
      </c>
      <c r="H655" s="77" t="inlineStr">
        <is>
          <t>Module description</t>
        </is>
      </c>
      <c r="I655" s="77" t="inlineStr">
        <is>
          <t>2024-25</t>
        </is>
      </c>
      <c r="J655" s="77" t="inlineStr">
        <is>
          <t>2026-10-12</t>
        </is>
      </c>
      <c r="K655" s="77" t="inlineStr">
        <is>
          <t>search-index extract (quoted)</t>
        </is>
      </c>
      <c r="L655" s="77" t="inlineStr">
        <is>
          <t>Cases likely from charities and organisations working with migrants, treated as clients; each group advises on two cases; written advice letters; briefing on potential change to law or policy.</t>
        </is>
      </c>
    </row>
    <row r="656">
      <c r="A656" s="77" t="inlineStr">
        <is>
          <t>RG24-S11-R2</t>
        </is>
      </c>
      <c r="B656" s="77" t="inlineStr">
        <is>
          <t>RG24</t>
        </is>
      </c>
      <c r="C656" s="77" t="inlineStr">
        <is>
          <t>RG24-S11</t>
        </is>
      </c>
      <c r="D656" s="77" t="inlineStr">
        <is>
          <t>Migrants' Rights: Law and Policy Clinic</t>
        </is>
      </c>
      <c r="E656" s="77" t="inlineStr">
        <is>
          <t>project</t>
        </is>
      </c>
      <c r="F656" s="77" t="inlineStr">
        <is>
          <t>https://www.york.ac.uk/law/legal-clinic/migrants-rights-law-policy-clinic/</t>
        </is>
      </c>
      <c r="G656" s="77" t="inlineStr">
        <is>
          <t>Migrants' Rights: Law and Policy Clinic - York Law School</t>
        </is>
      </c>
      <c r="H656" s="77" t="inlineStr">
        <is>
          <t>Clinic page</t>
        </is>
      </c>
      <c r="I656" s="77" t="inlineStr">
        <is>
          <t>undated</t>
        </is>
      </c>
      <c r="J656" s="77" t="inlineStr">
        <is>
          <t>2026-10-12</t>
        </is>
      </c>
      <c r="K656" s="77" t="inlineStr">
        <is>
          <t>search-summary paraphrase</t>
        </is>
      </c>
      <c r="L656" s="77" t="inlineStr">
        <is>
          <t>Clinic provides written advice only; does not provide immigration advice.</t>
        </is>
      </c>
    </row>
    <row r="657">
      <c r="A657" s="77" t="inlineStr">
        <is>
          <t>RG24-S12-R1</t>
        </is>
      </c>
      <c r="B657" s="77" t="inlineStr">
        <is>
          <t>RG24</t>
        </is>
      </c>
      <c r="C657" s="77" t="inlineStr">
        <is>
          <t>RG24-S12</t>
        </is>
      </c>
      <c r="D657" s="77" t="inlineStr">
        <is>
          <t>Education STEP 1 programme</t>
        </is>
      </c>
      <c r="E657" s="77" t="inlineStr">
        <is>
          <t>project; group; employer; eligibility</t>
        </is>
      </c>
      <c r="F657" s="77" t="inlineStr">
        <is>
          <t>https://www.york.ac.uk/education/undergraduate/careers/developing/</t>
        </is>
      </c>
      <c r="G657" s="77" t="inlineStr">
        <is>
          <t>Developing your skills - Education</t>
        </is>
      </c>
      <c r="H657" s="77" t="inlineStr">
        <is>
          <t>STEP 1</t>
        </is>
      </c>
      <c r="I657" s="77" t="inlineStr">
        <is>
          <t>undated</t>
        </is>
      </c>
      <c r="J657" s="77" t="inlineStr">
        <is>
          <t>2026-10-12</t>
        </is>
      </c>
      <c r="K657" s="77" t="inlineStr">
        <is>
          <t>search-summary paraphrase</t>
        </is>
      </c>
      <c r="L657" s="77" t="inlineStr">
        <is>
          <t>First year students solve a real-world educational problem in teams with the assistance of an industry employer; students research and present a solution to the partner.</t>
        </is>
      </c>
    </row>
    <row r="658">
      <c r="A658" s="77" t="inlineStr">
        <is>
          <t>RG24-S13-R1</t>
        </is>
      </c>
      <c r="B658" s="77" t="inlineStr">
        <is>
          <t>RG24</t>
        </is>
      </c>
      <c r="C658" s="77" t="inlineStr">
        <is>
          <t>RG24-S13</t>
        </is>
      </c>
      <c r="D658" s="77" t="inlineStr">
        <is>
          <t>Group Project (Integrated Masters) - Computer Science</t>
        </is>
      </c>
      <c r="E658" s="77" t="inlineStr">
        <is>
          <t>project; group; employer; credit; status</t>
        </is>
      </c>
      <c r="F658" s="77" t="inlineStr">
        <is>
          <t>https://www.york.ac.uk/students/studying/manage/programmes/module-catalogue/module/COM00138M/latest</t>
        </is>
      </c>
      <c r="G658" s="77" t="inlineStr">
        <is>
          <t>Group Project (Integrated Masters) (COM00138M) 2026-27 - Module Catalogue</t>
        </is>
      </c>
      <c r="H658" s="77" t="inlineStr">
        <is>
          <t>Aims / feedback</t>
        </is>
      </c>
      <c r="I658" s="77" t="inlineStr">
        <is>
          <t>2026-27</t>
        </is>
      </c>
      <c r="J658" s="77" t="inlineStr">
        <is>
          <t>2026-10-12</t>
        </is>
      </c>
      <c r="K658" s="77" t="inlineStr">
        <is>
          <t>search-summary paraphrase</t>
        </is>
      </c>
      <c r="L658" s="77" t="inlineStr">
        <is>
          <t>Participate in a software engineering project under conditions that simulate real-world industrial projects; teams meet module leader or external customer or both; Groupwork 20% and 70%.</t>
        </is>
      </c>
    </row>
    <row r="659">
      <c r="A659" s="77" t="inlineStr">
        <is>
          <t>AU02-S01-R1</t>
        </is>
      </c>
      <c r="B659" s="77" t="inlineStr">
        <is>
          <t>AU02</t>
        </is>
      </c>
      <c r="C659" s="77" t="inlineStr">
        <is>
          <t>AU02-S01</t>
        </is>
      </c>
      <c r="D659" s="77" t="inlineStr">
        <is>
          <t>Industry Project</t>
        </is>
      </c>
      <c r="E659" s="77" t="inlineStr">
        <is>
          <t>project; group; employer; eligibility</t>
        </is>
      </c>
      <c r="F659" s="77" t="inlineStr">
        <is>
          <t>https://arts.unimelb.edu.au/students/experiential-learning/industry-project</t>
        </is>
      </c>
      <c r="G659" s="77" t="inlineStr">
        <is>
          <t>Industry Project (ARTS30001) - Faculty of Arts</t>
        </is>
      </c>
      <c r="H659" s="77" t="inlineStr">
        <is>
          <t>Student page</t>
        </is>
      </c>
      <c r="I659" s="77" t="inlineStr">
        <is>
          <t>undated</t>
        </is>
      </c>
      <c r="J659" s="77" t="inlineStr">
        <is>
          <t>2026-10-12</t>
        </is>
      </c>
      <c r="K659" s="77" t="inlineStr">
        <is>
          <t>search-index extract</t>
        </is>
      </c>
      <c r="L659" s="77" t="inlineStr">
        <is>
          <t>In this subject you will collaborate on a real project for an actual industry partner as part of a small consulting team. ... available to Bachelor of Arts students and is eligible as a breadth option for approved courses.</t>
        </is>
      </c>
    </row>
    <row r="660">
      <c r="A660" s="77" t="inlineStr">
        <is>
          <t>AU02-S01-R2</t>
        </is>
      </c>
      <c r="B660" s="77" t="inlineStr">
        <is>
          <t>AU02</t>
        </is>
      </c>
      <c r="C660" s="77" t="inlineStr">
        <is>
          <t>AU02-S01</t>
        </is>
      </c>
      <c r="D660" s="77" t="inlineStr">
        <is>
          <t>Industry Project</t>
        </is>
      </c>
      <c r="E660" s="77" t="inlineStr">
        <is>
          <t>project; group; employer</t>
        </is>
      </c>
      <c r="F660" s="77" t="inlineStr">
        <is>
          <t>https://arts.unimelb.edu.au/engage/partner-with-us/work-with-our-students/industry-projects</t>
        </is>
      </c>
      <c r="G660" s="77" t="inlineStr">
        <is>
          <t>Industry projects - Faculty of Arts</t>
        </is>
      </c>
      <c r="H660" s="77" t="inlineStr">
        <is>
          <t>Partner-facing page</t>
        </is>
      </c>
      <c r="I660" s="77" t="inlineStr">
        <is>
          <t>undated</t>
        </is>
      </c>
      <c r="J660" s="77" t="inlineStr">
        <is>
          <t>2026-10-12</t>
        </is>
      </c>
      <c r="K660" s="77" t="inlineStr">
        <is>
          <t>search-index extract</t>
        </is>
      </c>
      <c r="L660"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1">
      <c r="A661" s="77" t="inlineStr">
        <is>
          <t>AU02-S01-R3</t>
        </is>
      </c>
      <c r="B661" s="77" t="inlineStr">
        <is>
          <t>AU02</t>
        </is>
      </c>
      <c r="C661" s="77" t="inlineStr">
        <is>
          <t>AU02-S01</t>
        </is>
      </c>
      <c r="D661" s="77" t="inlineStr">
        <is>
          <t>Industry Project</t>
        </is>
      </c>
      <c r="E661" s="77" t="inlineStr">
        <is>
          <t>status; credit</t>
        </is>
      </c>
      <c r="F661" s="77" t="inlineStr">
        <is>
          <t>https://handbook.unimelb.edu.au/2026/courses/b-arts/course-structure</t>
        </is>
      </c>
      <c r="G661" s="77" t="inlineStr">
        <is>
          <t>Course structure: Bachelor of Arts (B-ARTS) 2026</t>
        </is>
      </c>
      <c r="H661" s="77" t="inlineStr">
        <is>
          <t>Course structure</t>
        </is>
      </c>
      <c r="I661" s="77" t="inlineStr">
        <is>
          <t>2026</t>
        </is>
      </c>
      <c r="J661" s="77" t="inlineStr">
        <is>
          <t>2026-10-12</t>
        </is>
      </c>
      <c r="K661" s="77" t="inlineStr">
        <is>
          <t>search-index extract</t>
        </is>
      </c>
      <c r="L661" s="77" t="inlineStr">
        <is>
          <t>Lists ARTS30001 as a 12.5-point Semester 2 subject at Parkville (paraphrase of search extract).</t>
        </is>
      </c>
    </row>
    <row r="662">
      <c r="A662" s="77" t="inlineStr">
        <is>
          <t>AU02-S01-R4</t>
        </is>
      </c>
      <c r="B662" s="77" t="inlineStr">
        <is>
          <t>AU02</t>
        </is>
      </c>
      <c r="C662" s="77" t="inlineStr">
        <is>
          <t>AU02-S01</t>
        </is>
      </c>
      <c r="D662" s="77" t="inlineStr">
        <is>
          <t>Industry Project</t>
        </is>
      </c>
      <c r="E662" s="77" t="inlineStr">
        <is>
          <t>credit</t>
        </is>
      </c>
      <c r="F662" s="77" t="inlineStr">
        <is>
          <t>https://handbook.unimelb.edu.au/2020/subjects/arts30001/assessment</t>
        </is>
      </c>
      <c r="G662" s="77" t="inlineStr">
        <is>
          <t>Assessment: Industry Project (ARTS30001) 2020</t>
        </is>
      </c>
      <c r="H662" s="77" t="inlineStr">
        <is>
          <t>Assessment</t>
        </is>
      </c>
      <c r="I662" s="77" t="inlineStr">
        <is>
          <t>2020</t>
        </is>
      </c>
      <c r="J662" s="77" t="inlineStr">
        <is>
          <t>2026-10-12</t>
        </is>
      </c>
      <c r="K662" s="77" t="inlineStr">
        <is>
          <t>search-index extract</t>
        </is>
      </c>
      <c r="L662" s="77" t="inlineStr">
        <is>
          <t>10-minute presentation (20%), 1,500-word project summary (40%), 1,500-word project proposal (40%); students must attend a minimum of 80% of seminars in order to pass.</t>
        </is>
      </c>
    </row>
    <row r="663">
      <c r="A663" s="77" t="inlineStr">
        <is>
          <t>AU02-S01-R5</t>
        </is>
      </c>
      <c r="B663" s="77" t="inlineStr">
        <is>
          <t>AU02</t>
        </is>
      </c>
      <c r="C663" s="77" t="inlineStr">
        <is>
          <t>AU02-S01</t>
        </is>
      </c>
      <c r="D663" s="77" t="inlineStr">
        <is>
          <t>Industry Project</t>
        </is>
      </c>
      <c r="E663" s="77" t="inlineStr">
        <is>
          <t>eligibility</t>
        </is>
      </c>
      <c r="F663" s="77" t="inlineStr">
        <is>
          <t>https://handbook.unimelb.edu.au/2018/subjects/arts30001/eligibility-and-requirements</t>
        </is>
      </c>
      <c r="G663" s="77" t="inlineStr">
        <is>
          <t>Eligibility and requirements: ARTS30001 2018</t>
        </is>
      </c>
      <c r="H663" s="77" t="inlineStr">
        <is>
          <t>Eligibility</t>
        </is>
      </c>
      <c r="I663" s="77" t="inlineStr">
        <is>
          <t>2018</t>
        </is>
      </c>
      <c r="J663" s="77" t="inlineStr">
        <is>
          <t>2026-10-12</t>
        </is>
      </c>
      <c r="K663" s="77" t="inlineStr">
        <is>
          <t>search-index extract</t>
        </is>
      </c>
      <c r="L663" s="77" t="inlineStr">
        <is>
          <t>Prerequisite: completion of 150 points of the Bachelor of Arts.</t>
        </is>
      </c>
    </row>
    <row r="664">
      <c r="A664" s="77" t="inlineStr">
        <is>
          <t>AU02-S02-R1</t>
        </is>
      </c>
      <c r="B664" s="77" t="inlineStr">
        <is>
          <t>AU02</t>
        </is>
      </c>
      <c r="C664" s="77" t="inlineStr">
        <is>
          <t>AU02-S02</t>
        </is>
      </c>
      <c r="D664" s="77" t="inlineStr">
        <is>
          <t>Interdisciplinary Industry Project 2 (and Interdisciplinary Industry Project 1)</t>
        </is>
      </c>
      <c r="E664" s="77" t="inlineStr">
        <is>
          <t>project; group; employer; credit</t>
        </is>
      </c>
      <c r="F664" s="77" t="inlineStr">
        <is>
          <t>https://handbook.unimelb.edu.au/2021/subjects/arts90027</t>
        </is>
      </c>
      <c r="G664" s="77" t="inlineStr">
        <is>
          <t>Interdisciplinary Industry Project 2 (ARTS90027) 2021</t>
        </is>
      </c>
      <c r="H664" s="77" t="inlineStr">
        <is>
          <t>Overview</t>
        </is>
      </c>
      <c r="I664" s="77" t="inlineStr">
        <is>
          <t>2021</t>
        </is>
      </c>
      <c r="J664" s="77" t="inlineStr">
        <is>
          <t>2026-10-12</t>
        </is>
      </c>
      <c r="K664" s="77" t="inlineStr">
        <is>
          <t>search-index extract</t>
        </is>
      </c>
      <c r="L664" s="77" t="inlineStr">
        <is>
          <t>students work individually, in smaller teams or a combination of the two modes of project management, whilst under academic and industry supervision. Graduate coursework Points: 25</t>
        </is>
      </c>
    </row>
    <row r="665">
      <c r="A665" s="77" t="inlineStr">
        <is>
          <t>AU02-S02-R2</t>
        </is>
      </c>
      <c r="B665" s="77" t="inlineStr">
        <is>
          <t>AU02</t>
        </is>
      </c>
      <c r="C665" s="77" t="inlineStr">
        <is>
          <t>AU02-S02</t>
        </is>
      </c>
      <c r="D665" s="77" t="inlineStr">
        <is>
          <t>Interdisciplinary Industry Project 2 (and Interdisciplinary Industry Project 1)</t>
        </is>
      </c>
      <c r="E665" s="77" t="inlineStr">
        <is>
          <t>eligibility; employer</t>
        </is>
      </c>
      <c r="F665" s="77" t="inlineStr">
        <is>
          <t>https://handbook.unimelb.edu.au/2024/subjects/arts90027/eligibility-and-requirements</t>
        </is>
      </c>
      <c r="G665" s="77" t="inlineStr">
        <is>
          <t>Eligibility and requirements: ARTS90027 2024</t>
        </is>
      </c>
      <c r="H665" s="77" t="inlineStr">
        <is>
          <t>Eligibility</t>
        </is>
      </c>
      <c r="I665" s="77" t="inlineStr">
        <is>
          <t>2024</t>
        </is>
      </c>
      <c r="J665" s="77" t="inlineStr">
        <is>
          <t>2026-10-12</t>
        </is>
      </c>
      <c r="K665" s="77" t="inlineStr">
        <is>
          <t>search-index extract</t>
        </is>
      </c>
      <c r="L665" s="77" t="inlineStr">
        <is>
          <t>selection process by subject coordinator(s) and application process which will be tailored to industry prerequisites, prior knowledge/ skills and compliance.</t>
        </is>
      </c>
    </row>
    <row r="666">
      <c r="A666" s="77" t="inlineStr">
        <is>
          <t>AU02-S02-R3</t>
        </is>
      </c>
      <c r="B666" s="77" t="inlineStr">
        <is>
          <t>AU02</t>
        </is>
      </c>
      <c r="C666" s="77" t="inlineStr">
        <is>
          <t>AU02-S02</t>
        </is>
      </c>
      <c r="D666" s="77" t="inlineStr">
        <is>
          <t>Interdisciplinary Industry Project 2 (and Interdisciplinary Industry Project 1)</t>
        </is>
      </c>
      <c r="E666" s="77" t="inlineStr">
        <is>
          <t>status</t>
        </is>
      </c>
      <c r="F666" s="77" t="inlineStr">
        <is>
          <t>https://handbook.unimelb.edu.au/2026/subjects?page=154&amp;sid=l3ldj%27</t>
        </is>
      </c>
      <c r="G666" s="77" t="inlineStr">
        <is>
          <t>Subjects - UniMelb Handbook 2026 (listing)</t>
        </is>
      </c>
      <c r="H666" s="77" t="inlineStr">
        <is>
          <t>Subject listing</t>
        </is>
      </c>
      <c r="I666" s="77" t="inlineStr">
        <is>
          <t>2026</t>
        </is>
      </c>
      <c r="J666" s="77" t="inlineStr">
        <is>
          <t>2026-10-12</t>
        </is>
      </c>
      <c r="K666" s="77" t="inlineStr">
        <is>
          <t>search-index extract</t>
        </is>
      </c>
      <c r="L666" s="77" t="inlineStr">
        <is>
          <t>ARTS90027 offered Semester 2 2026, teaching period 27 July-25 October 2026, coordinator Kristian Camilleri, On Campus (Parkville); ARTS90026 not available in 2026 (search summary; exact attribution uncertain).</t>
        </is>
      </c>
    </row>
    <row r="667">
      <c r="A667" s="77" t="inlineStr">
        <is>
          <t>AU02-S02-R4</t>
        </is>
      </c>
      <c r="B667" s="77" t="inlineStr">
        <is>
          <t>AU02</t>
        </is>
      </c>
      <c r="C667" s="77" t="inlineStr">
        <is>
          <t>AU02-S02</t>
        </is>
      </c>
      <c r="D667" s="77" t="inlineStr">
        <is>
          <t>Interdisciplinary Industry Project 2 (and Interdisciplinary Industry Project 1)</t>
        </is>
      </c>
      <c r="E667" s="77" t="inlineStr">
        <is>
          <t>status; eligibility</t>
        </is>
      </c>
      <c r="F667" s="77" t="inlineStr">
        <is>
          <t>https://handbook.unimelb.edu.au/subjects/arts90026</t>
        </is>
      </c>
      <c r="G667" s="77" t="inlineStr">
        <is>
          <t>Interdisciplinary Industry Project 1 (ARTS90026)</t>
        </is>
      </c>
      <c r="H667" s="77" t="inlineStr">
        <is>
          <t>Overview</t>
        </is>
      </c>
      <c r="I667" s="77" t="inlineStr">
        <is>
          <t>2026 (current page)</t>
        </is>
      </c>
      <c r="J667" s="77" t="inlineStr">
        <is>
          <t>2026-10-12</t>
        </is>
      </c>
      <c r="K667" s="77" t="inlineStr">
        <is>
          <t>search-index extract</t>
        </is>
      </c>
      <c r="L667" s="77" t="inlineStr">
        <is>
          <t>Not available in 2026; there may be further eligibility criteria as requested by the industry partner.</t>
        </is>
      </c>
    </row>
    <row r="668">
      <c r="A668" s="77" t="inlineStr">
        <is>
          <t>AU02-S03-R1</t>
        </is>
      </c>
      <c r="B668" s="77" t="inlineStr">
        <is>
          <t>AU02</t>
        </is>
      </c>
      <c r="C668" s="77" t="inlineStr">
        <is>
          <t>AU02-S03</t>
        </is>
      </c>
      <c r="D668" s="77" t="inlineStr">
        <is>
          <t>Capstone Projects (School of Computing and Information Systems industry projects)</t>
        </is>
      </c>
      <c r="E668" s="77" t="inlineStr">
        <is>
          <t>project; employer; reach</t>
        </is>
      </c>
      <c r="F668" s="77" t="inlineStr">
        <is>
          <t>https://cis.unimelb.edu.au/engage/industry-projects/capstone-projects</t>
        </is>
      </c>
      <c r="G668" s="77" t="inlineStr">
        <is>
          <t>Capstone Projects - CIS</t>
        </is>
      </c>
      <c r="H668" s="77" t="inlineStr">
        <is>
          <t>Partner page</t>
        </is>
      </c>
      <c r="I668" s="77" t="inlineStr">
        <is>
          <t>undated</t>
        </is>
      </c>
      <c r="J668" s="77" t="inlineStr">
        <is>
          <t>2026-10-12</t>
        </is>
      </c>
      <c r="K668" s="77" t="inlineStr">
        <is>
          <t>search-index extract</t>
        </is>
      </c>
      <c r="L668"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69">
      <c r="A669" s="77" t="inlineStr">
        <is>
          <t>AU02-S04-R1</t>
        </is>
      </c>
      <c r="B669" s="77" t="inlineStr">
        <is>
          <t>AU02</t>
        </is>
      </c>
      <c r="C669" s="77" t="inlineStr">
        <is>
          <t>AU02-S04</t>
        </is>
      </c>
      <c r="D669" s="77" t="inlineStr">
        <is>
          <t>Software Project</t>
        </is>
      </c>
      <c r="E669" s="77" t="inlineStr">
        <is>
          <t>project; employer</t>
        </is>
      </c>
      <c r="F669" s="77" t="inlineStr">
        <is>
          <t>https://cis.unimelb.edu.au/engage/industry-projects/capstone-projects</t>
        </is>
      </c>
      <c r="G669" s="77" t="inlineStr">
        <is>
          <t>Capstone Projects - CIS</t>
        </is>
      </c>
      <c r="H669" s="77" t="inlineStr">
        <is>
          <t>Software Project (COMP90082)</t>
        </is>
      </c>
      <c r="I669" s="77" t="inlineStr">
        <is>
          <t>undated</t>
        </is>
      </c>
      <c r="J669" s="77" t="inlineStr">
        <is>
          <t>2026-10-12</t>
        </is>
      </c>
      <c r="K669" s="77" t="inlineStr">
        <is>
          <t>search-index extract</t>
        </is>
      </c>
      <c r="L669"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0">
      <c r="A670" s="77" t="inlineStr">
        <is>
          <t>AU02-S04-R2</t>
        </is>
      </c>
      <c r="B670" s="77" t="inlineStr">
        <is>
          <t>AU02</t>
        </is>
      </c>
      <c r="C670" s="77" t="inlineStr">
        <is>
          <t>AU02-S04</t>
        </is>
      </c>
      <c r="D670" s="77" t="inlineStr">
        <is>
          <t>Software Project</t>
        </is>
      </c>
      <c r="E670" s="77" t="inlineStr">
        <is>
          <t>project; group; status; credit; eligibility</t>
        </is>
      </c>
      <c r="F670" s="77" t="inlineStr">
        <is>
          <t>https://handbook.unimelb.edu.au/2026/subjects/comp90082</t>
        </is>
      </c>
      <c r="G670" s="77" t="inlineStr">
        <is>
          <t>Software Project (COMP90082) 2026</t>
        </is>
      </c>
      <c r="H670" s="77" t="inlineStr">
        <is>
          <t>Overview/Eligibility/Assessment</t>
        </is>
      </c>
      <c r="I670" s="77" t="inlineStr">
        <is>
          <t>2026</t>
        </is>
      </c>
      <c r="J670" s="77" t="inlineStr">
        <is>
          <t>2026-10-12</t>
        </is>
      </c>
      <c r="K670" s="77" t="inlineStr">
        <is>
          <t>search-index extract</t>
        </is>
      </c>
      <c r="L670"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1">
      <c r="A671" s="77" t="inlineStr">
        <is>
          <t>AU02-S05-R1</t>
        </is>
      </c>
      <c r="B671" s="77" t="inlineStr">
        <is>
          <t>AU02</t>
        </is>
      </c>
      <c r="C671" s="77" t="inlineStr">
        <is>
          <t>AU02-S05</t>
        </is>
      </c>
      <c r="D671" s="77" t="inlineStr">
        <is>
          <t>Masters Advanced Software Project Part 1 / Part 2</t>
        </is>
      </c>
      <c r="E671" s="77" t="inlineStr">
        <is>
          <t>project; group; employer; status</t>
        </is>
      </c>
      <c r="F671" s="77" t="inlineStr">
        <is>
          <t>https://handbook.unimelb.edu.au/2026/subjects/swen90017</t>
        </is>
      </c>
      <c r="G671" s="77" t="inlineStr">
        <is>
          <t>Masters Advanced Software Project Part 1 (SWEN90017) 2026</t>
        </is>
      </c>
      <c r="H671" s="77" t="inlineStr">
        <is>
          <t>Overview</t>
        </is>
      </c>
      <c r="I671" s="77" t="inlineStr">
        <is>
          <t>2026</t>
        </is>
      </c>
      <c r="J671" s="77" t="inlineStr">
        <is>
          <t>2026-10-12</t>
        </is>
      </c>
      <c r="K671" s="77" t="inlineStr">
        <is>
          <t>search-index extract</t>
        </is>
      </c>
      <c r="L671" s="77" t="inlineStr">
        <is>
          <t>Students will work in large teams to develop a non-trivial software system for an external client using agile software engineering methods.</t>
        </is>
      </c>
    </row>
    <row r="672">
      <c r="A672" s="77" t="inlineStr">
        <is>
          <t>AU02-S05-R2</t>
        </is>
      </c>
      <c r="B672" s="77" t="inlineStr">
        <is>
          <t>AU02</t>
        </is>
      </c>
      <c r="C672" s="77" t="inlineStr">
        <is>
          <t>AU02-S05</t>
        </is>
      </c>
      <c r="D672" s="77" t="inlineStr">
        <is>
          <t>Masters Advanced Software Project Part 1 / Part 2</t>
        </is>
      </c>
      <c r="E672" s="77" t="inlineStr">
        <is>
          <t>employer; reach</t>
        </is>
      </c>
      <c r="F672" s="77" t="inlineStr">
        <is>
          <t>https://cis.unimelb.edu.au/engage/industry-projects/capstone-projects</t>
        </is>
      </c>
      <c r="G672" s="77" t="inlineStr">
        <is>
          <t>Capstone Projects - CIS</t>
        </is>
      </c>
      <c r="H672" s="77" t="inlineStr">
        <is>
          <t>Software engineering</t>
        </is>
      </c>
      <c r="I672" s="77" t="inlineStr">
        <is>
          <t>undated</t>
        </is>
      </c>
      <c r="J672" s="77" t="inlineStr">
        <is>
          <t>2026-10-12</t>
        </is>
      </c>
      <c r="K672" s="77" t="inlineStr">
        <is>
          <t>search-index extract</t>
        </is>
      </c>
      <c r="L672" s="77" t="inlineStr">
        <is>
          <t>Masters Advanced Software Project (SWEN90017 &amp; SWEN90018) for year-long projects with Master of Software Engineering students; industry partners can submit a project proposal.</t>
        </is>
      </c>
    </row>
    <row r="673">
      <c r="A673" s="77" t="inlineStr">
        <is>
          <t>AU02-S05-R3</t>
        </is>
      </c>
      <c r="B673" s="77" t="inlineStr">
        <is>
          <t>AU02</t>
        </is>
      </c>
      <c r="C673" s="77" t="inlineStr">
        <is>
          <t>AU02-S05</t>
        </is>
      </c>
      <c r="D673" s="77" t="inlineStr">
        <is>
          <t>Masters Advanced Software Project Part 1 / Part 2</t>
        </is>
      </c>
      <c r="E673" s="77" t="inlineStr">
        <is>
          <t>eligibility</t>
        </is>
      </c>
      <c r="F673" s="77" t="inlineStr">
        <is>
          <t>https://handbook.unimelb.edu.au/2026/subjects/swen90017/eligibility-and-requirements</t>
        </is>
      </c>
      <c r="G673" s="77" t="inlineStr">
        <is>
          <t>Eligibility: SWEN90017 2026</t>
        </is>
      </c>
      <c r="H673" s="77" t="inlineStr">
        <is>
          <t>Eligibility</t>
        </is>
      </c>
      <c r="I673" s="77" t="inlineStr">
        <is>
          <t>2026</t>
        </is>
      </c>
      <c r="J673" s="77" t="inlineStr">
        <is>
          <t>2026-10-12</t>
        </is>
      </c>
      <c r="K673" s="77" t="inlineStr">
        <is>
          <t>search-index extract</t>
        </is>
      </c>
      <c r="L673" s="77" t="inlineStr">
        <is>
          <t>Prerequisites SWEN90006, SWEN90014, SWEN90009 and ENGR90051.</t>
        </is>
      </c>
    </row>
    <row r="674">
      <c r="A674" s="77" t="inlineStr">
        <is>
          <t>AU02-S05-R4</t>
        </is>
      </c>
      <c r="B674" s="77" t="inlineStr">
        <is>
          <t>AU02</t>
        </is>
      </c>
      <c r="C674" s="77" t="inlineStr">
        <is>
          <t>AU02-S05</t>
        </is>
      </c>
      <c r="D674" s="77" t="inlineStr">
        <is>
          <t>Masters Advanced Software Project Part 1 / Part 2</t>
        </is>
      </c>
      <c r="E674" s="77" t="inlineStr">
        <is>
          <t>employer</t>
        </is>
      </c>
      <c r="F674" s="77" t="inlineStr">
        <is>
          <t>https://cis-projects.carrd.co/</t>
        </is>
      </c>
      <c r="G674" s="77" t="inlineStr">
        <is>
          <t>CIS Projects (unofficial)</t>
        </is>
      </c>
      <c r="H674" s="77" t="inlineStr"/>
      <c r="I674" s="77" t="inlineStr">
        <is>
          <t>undated</t>
        </is>
      </c>
      <c r="J674" s="77" t="inlineStr">
        <is>
          <t>2026-10-12</t>
        </is>
      </c>
      <c r="K674" s="77" t="inlineStr">
        <is>
          <t>search-index extract</t>
        </is>
      </c>
      <c r="L674" s="77" t="inlineStr">
        <is>
          <t>Subject has run with industry partners since 2016; partners include Royal Melbourne Hospital, Big Issue, NDIS and Grok Learning.</t>
        </is>
      </c>
    </row>
    <row r="675">
      <c r="A675" s="77" t="inlineStr">
        <is>
          <t>AU02-S06-R1</t>
        </is>
      </c>
      <c r="B675" s="77" t="inlineStr">
        <is>
          <t>AU02</t>
        </is>
      </c>
      <c r="C675" s="77" t="inlineStr">
        <is>
          <t>AU02-S06</t>
        </is>
      </c>
      <c r="D675" s="77" t="inlineStr">
        <is>
          <t>IT Project</t>
        </is>
      </c>
      <c r="E675" s="77" t="inlineStr">
        <is>
          <t>project; group; status; reach</t>
        </is>
      </c>
      <c r="F675" s="77" t="inlineStr">
        <is>
          <t>https://handbook.unimelb.edu.au/2026/subjects/comp30022</t>
        </is>
      </c>
      <c r="G675" s="77" t="inlineStr">
        <is>
          <t>IT Project (COMP30022) 2026</t>
        </is>
      </c>
      <c r="H675" s="77" t="inlineStr">
        <is>
          <t>Overview</t>
        </is>
      </c>
      <c r="I675" s="77" t="inlineStr">
        <is>
          <t>2026</t>
        </is>
      </c>
      <c r="J675" s="77" t="inlineStr">
        <is>
          <t>2026-10-12</t>
        </is>
      </c>
      <c r="K675" s="77" t="inlineStr">
        <is>
          <t>search-index extract</t>
        </is>
      </c>
      <c r="L675" s="77" t="inlineStr">
        <is>
          <t>Capstone project for the Informatics major and the Computing and Software Systems major; small teams; communicate with stakeholders including clients and team members to build a system that meets client needs; Semester 2 2026, 27 July-25 October.</t>
        </is>
      </c>
    </row>
    <row r="676">
      <c r="A676" s="77" t="inlineStr">
        <is>
          <t>AU02-S06-R2</t>
        </is>
      </c>
      <c r="B676" s="77" t="inlineStr">
        <is>
          <t>AU02</t>
        </is>
      </c>
      <c r="C676" s="77" t="inlineStr">
        <is>
          <t>AU02-S06</t>
        </is>
      </c>
      <c r="D676" s="77" t="inlineStr">
        <is>
          <t>IT Project</t>
        </is>
      </c>
      <c r="E676" s="77" t="inlineStr">
        <is>
          <t>credit; group</t>
        </is>
      </c>
      <c r="F676" s="77" t="inlineStr">
        <is>
          <t>https://handbook.unimelb.edu.au/2024/subjects/comp30022/assessment</t>
        </is>
      </c>
      <c r="G676" s="77" t="inlineStr">
        <is>
          <t>Assessment: COMP30022 2024</t>
        </is>
      </c>
      <c r="H676" s="77" t="inlineStr">
        <is>
          <t>Assessment</t>
        </is>
      </c>
      <c r="I676" s="77" t="inlineStr">
        <is>
          <t>2024</t>
        </is>
      </c>
      <c r="J676" s="77" t="inlineStr">
        <is>
          <t>2026-10-12</t>
        </is>
      </c>
      <c r="K676" s="77" t="inlineStr">
        <is>
          <t>search-index extract</t>
        </is>
      </c>
      <c r="L676" s="77" t="inlineStr">
        <is>
          <t>Team project management (50%), final product release in week 12 (30%), individual contribution (20%).</t>
        </is>
      </c>
    </row>
    <row r="677">
      <c r="A677" s="77" t="inlineStr">
        <is>
          <t>AU02-S07-R1</t>
        </is>
      </c>
      <c r="B677" s="77" t="inlineStr">
        <is>
          <t>AU02</t>
        </is>
      </c>
      <c r="C677" s="77" t="inlineStr">
        <is>
          <t>AU02-S07</t>
        </is>
      </c>
      <c r="D677" s="77" t="inlineStr">
        <is>
          <t>Engineering Capstone Project Part 1 / Part 2</t>
        </is>
      </c>
      <c r="E677" s="77" t="inlineStr">
        <is>
          <t>project; group; employer; credit</t>
        </is>
      </c>
      <c r="F677" s="77" t="inlineStr">
        <is>
          <t>https://handbook.unimelb.edu.au/subjects/engr90037</t>
        </is>
      </c>
      <c r="G677" s="77" t="inlineStr">
        <is>
          <t>Engineering Capstone Project Part 1 (ENGR90037)</t>
        </is>
      </c>
      <c r="H677" s="77" t="inlineStr">
        <is>
          <t>Overview</t>
        </is>
      </c>
      <c r="I677" s="77" t="inlineStr">
        <is>
          <t>2026 (current page)</t>
        </is>
      </c>
      <c r="J677" s="77" t="inlineStr">
        <is>
          <t>2026-10-12</t>
        </is>
      </c>
      <c r="K677" s="77" t="inlineStr">
        <is>
          <t>search-index extract</t>
        </is>
      </c>
      <c r="L677" s="77" t="inlineStr">
        <is>
          <t>Projects are group-based, and each project is supervised by a member of academic staff and, where appropriate, an industry partner. 12.5 points; 200-hour time commitment, or 400 hours across Parts 1 and 2.</t>
        </is>
      </c>
    </row>
    <row r="678">
      <c r="A678" s="77" t="inlineStr">
        <is>
          <t>AU02-S07-R2</t>
        </is>
      </c>
      <c r="B678" s="77" t="inlineStr">
        <is>
          <t>AU02</t>
        </is>
      </c>
      <c r="C678" s="77" t="inlineStr">
        <is>
          <t>AU02-S07</t>
        </is>
      </c>
      <c r="D678" s="77" t="inlineStr">
        <is>
          <t>Engineering Capstone Project Part 1 / Part 2</t>
        </is>
      </c>
      <c r="E678" s="77" t="inlineStr">
        <is>
          <t>status</t>
        </is>
      </c>
      <c r="F678" s="77" t="inlineStr">
        <is>
          <t>https://handbook.unimelb.edu.au/2026/subjects/engr90037/dates-times</t>
        </is>
      </c>
      <c r="G678" s="77" t="inlineStr">
        <is>
          <t>Dates and times: ENGR90037 2026</t>
        </is>
      </c>
      <c r="H678" s="77" t="inlineStr">
        <is>
          <t>Dates</t>
        </is>
      </c>
      <c r="I678" s="77" t="inlineStr">
        <is>
          <t>2026</t>
        </is>
      </c>
      <c r="J678" s="77" t="inlineStr">
        <is>
          <t>2026-10-12</t>
        </is>
      </c>
      <c r="K678" s="77" t="inlineStr">
        <is>
          <t>search-index extract</t>
        </is>
      </c>
      <c r="L678" s="77" t="inlineStr">
        <is>
          <t>Semester 1 runs 2 March to 30 June 2026; Semester 2 runs 27 July to 24 December 2026.</t>
        </is>
      </c>
    </row>
    <row r="679">
      <c r="A679" s="77" t="inlineStr">
        <is>
          <t>AU02-S08-R1</t>
        </is>
      </c>
      <c r="B679" s="77" t="inlineStr">
        <is>
          <t>AU02</t>
        </is>
      </c>
      <c r="C679" s="77" t="inlineStr">
        <is>
          <t>AU02-S08</t>
        </is>
      </c>
      <c r="D679" s="77" t="inlineStr">
        <is>
          <t>Electrical and Electronic Engineering industry-based capstone projects</t>
        </is>
      </c>
      <c r="E679" s="77" t="inlineStr">
        <is>
          <t>project; group; employer</t>
        </is>
      </c>
      <c r="F679" s="77" t="inlineStr">
        <is>
          <t>https://electrical.eng.unimelb.edu.au/industry/student-projects</t>
        </is>
      </c>
      <c r="G679" s="77" t="inlineStr">
        <is>
          <t>Student industry projects - Electrical and Electronic Engineering</t>
        </is>
      </c>
      <c r="H679" s="77" t="inlineStr">
        <is>
          <t>Introduction</t>
        </is>
      </c>
      <c r="I679" s="77" t="inlineStr">
        <is>
          <t>undated</t>
        </is>
      </c>
      <c r="J679" s="77" t="inlineStr">
        <is>
          <t>2026-10-12</t>
        </is>
      </c>
      <c r="K679" s="77" t="inlineStr">
        <is>
          <t>search-index extract</t>
        </is>
      </c>
      <c r="L679" s="77" t="inlineStr">
        <is>
          <t>industry-based projects are run in small teams under the supervision of an industry supervisor and a member of academic staff; an agreement at the start of the project assigns all project IP to the industry partner.</t>
        </is>
      </c>
    </row>
    <row r="680">
      <c r="A680" s="77" t="inlineStr">
        <is>
          <t>AU02-S09-R1</t>
        </is>
      </c>
      <c r="B680" s="77" t="inlineStr">
        <is>
          <t>AU02</t>
        </is>
      </c>
      <c r="C680" s="77" t="inlineStr">
        <is>
          <t>AU02-S09</t>
        </is>
      </c>
      <c r="D680" s="77" t="inlineStr">
        <is>
          <t>Industry projects for graduate students (Faculty of Science)</t>
        </is>
      </c>
      <c r="E680" s="77" t="inlineStr">
        <is>
          <t>project; group; employer; reach</t>
        </is>
      </c>
      <c r="F680" s="77" t="inlineStr">
        <is>
          <t>https://science.unimelb.edu.au/students/enrich-your-studies/industry-projects</t>
        </is>
      </c>
      <c r="G680" s="77" t="inlineStr">
        <is>
          <t>Industry projects for graduate students - Faculty of Science</t>
        </is>
      </c>
      <c r="H680" s="77" t="inlineStr">
        <is>
          <t>Main page</t>
        </is>
      </c>
      <c r="I680" s="77" t="inlineStr">
        <is>
          <t>undated</t>
        </is>
      </c>
      <c r="J680" s="77" t="inlineStr">
        <is>
          <t>2026-10-12</t>
        </is>
      </c>
      <c r="K680" s="77" t="inlineStr">
        <is>
          <t>search-index extract</t>
        </is>
      </c>
      <c r="L680"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1">
      <c r="A681" s="77" t="inlineStr">
        <is>
          <t>AU02-S10-R1</t>
        </is>
      </c>
      <c r="B681" s="77" t="inlineStr">
        <is>
          <t>AU02</t>
        </is>
      </c>
      <c r="C681" s="77" t="inlineStr">
        <is>
          <t>AU02-S10</t>
        </is>
      </c>
      <c r="D681" s="77" t="inlineStr">
        <is>
          <t>Industry Project in Biotechnology</t>
        </is>
      </c>
      <c r="E681" s="77" t="inlineStr">
        <is>
          <t>project; group; employer; credit</t>
        </is>
      </c>
      <c r="F681" s="77" t="inlineStr">
        <is>
          <t>https://handbook.unimelb.edu.au/subjects/scie90015</t>
        </is>
      </c>
      <c r="G681" s="77" t="inlineStr">
        <is>
          <t>Industry Project in Biotechnology (SCIE90015)</t>
        </is>
      </c>
      <c r="H681" s="77" t="inlineStr">
        <is>
          <t>Overview</t>
        </is>
      </c>
      <c r="I681" s="77" t="inlineStr">
        <is>
          <t>undated (current URL)</t>
        </is>
      </c>
      <c r="J681" s="77" t="inlineStr">
        <is>
          <t>2026-10-12</t>
        </is>
      </c>
      <c r="K681" s="77" t="inlineStr">
        <is>
          <t>search-index extract</t>
        </is>
      </c>
      <c r="L681" s="77" t="inlineStr">
        <is>
          <t>Students will be assigned to syndicate groups to address a practical industry challenge/issue which has been identified by industry. Year Long (On Campus - Parkville), 25 credit points.</t>
        </is>
      </c>
    </row>
    <row r="682">
      <c r="A682" s="77" t="inlineStr">
        <is>
          <t>AU02-S10-R2</t>
        </is>
      </c>
      <c r="B682" s="77" t="inlineStr">
        <is>
          <t>AU02</t>
        </is>
      </c>
      <c r="C682" s="77" t="inlineStr">
        <is>
          <t>AU02-S10</t>
        </is>
      </c>
      <c r="D682" s="77" t="inlineStr">
        <is>
          <t>Industry Project in Biotechnology</t>
        </is>
      </c>
      <c r="E682" s="77" t="inlineStr">
        <is>
          <t>group; employer</t>
        </is>
      </c>
      <c r="F682" s="77" t="inlineStr">
        <is>
          <t>https://science.unimelb.edu.au/students/enrich-your-studies/industry-projects</t>
        </is>
      </c>
      <c r="G682" s="77" t="inlineStr">
        <is>
          <t>Industry projects for graduate students</t>
        </is>
      </c>
      <c r="H682" s="77" t="inlineStr"/>
      <c r="I682" s="77" t="inlineStr">
        <is>
          <t>undated</t>
        </is>
      </c>
      <c r="J682" s="77" t="inlineStr">
        <is>
          <t>2026-10-12</t>
        </is>
      </c>
      <c r="K682" s="77" t="inlineStr">
        <is>
          <t>search-index extract</t>
        </is>
      </c>
      <c r="L682" s="77" t="inlineStr">
        <is>
          <t>a dedicated team of 3-5 students are assigned to each project ... Our partners submit a project brief ... New biomaterials for a medical device; Determine regulatory landscapes for new drugs.</t>
        </is>
      </c>
    </row>
    <row r="683">
      <c r="A683" s="77" t="inlineStr">
        <is>
          <t>AU02-S11-R1</t>
        </is>
      </c>
      <c r="B683" s="77" t="inlineStr">
        <is>
          <t>AU02</t>
        </is>
      </c>
      <c r="C683" s="77" t="inlineStr">
        <is>
          <t>AU02-S11</t>
        </is>
      </c>
      <c r="D683" s="77" t="inlineStr">
        <is>
          <t>Data Science Project Part 1 / Part 2</t>
        </is>
      </c>
      <c r="E683" s="77" t="inlineStr">
        <is>
          <t>group; status</t>
        </is>
      </c>
      <c r="F683" s="77" t="inlineStr">
        <is>
          <t>https://handbook.unimelb.edu.au/2026/subjects/mast90106</t>
        </is>
      </c>
      <c r="G683" s="77" t="inlineStr">
        <is>
          <t>Data Science Project Pt1 (MAST90106) 2026</t>
        </is>
      </c>
      <c r="H683" s="77" t="inlineStr">
        <is>
          <t>Overview</t>
        </is>
      </c>
      <c r="I683" s="77" t="inlineStr">
        <is>
          <t>2026</t>
        </is>
      </c>
      <c r="J683" s="77" t="inlineStr">
        <is>
          <t>2026-10-12</t>
        </is>
      </c>
      <c r="K683" s="77" t="inlineStr">
        <is>
          <t>search-index extract</t>
        </is>
      </c>
      <c r="L683" s="77" t="inlineStr">
        <is>
          <t>students work in teams under only general guidance from staff members.</t>
        </is>
      </c>
    </row>
    <row r="684">
      <c r="A684" s="77" t="inlineStr">
        <is>
          <t>AU02-S11-R2</t>
        </is>
      </c>
      <c r="B684" s="77" t="inlineStr">
        <is>
          <t>AU02</t>
        </is>
      </c>
      <c r="C684" s="77" t="inlineStr">
        <is>
          <t>AU02-S11</t>
        </is>
      </c>
      <c r="D684" s="77" t="inlineStr">
        <is>
          <t>Data Science Project Part 1 / Part 2</t>
        </is>
      </c>
      <c r="E684" s="77" t="inlineStr">
        <is>
          <t>project; group; employer</t>
        </is>
      </c>
      <c r="F684" s="77" t="inlineStr">
        <is>
          <t>https://science.unimelb.edu.au/students/enrich-your-studies/industry-projects</t>
        </is>
      </c>
      <c r="G684" s="77" t="inlineStr">
        <is>
          <t>Industry projects for graduate students</t>
        </is>
      </c>
      <c r="H684" s="77" t="inlineStr"/>
      <c r="I684" s="77" t="inlineStr">
        <is>
          <t>undated</t>
        </is>
      </c>
      <c r="J684" s="77" t="inlineStr">
        <is>
          <t>2026-10-12</t>
        </is>
      </c>
      <c r="K684" s="77" t="inlineStr">
        <is>
          <t>search-index extract</t>
        </is>
      </c>
      <c r="L684" s="77" t="inlineStr">
        <is>
          <t>capstone Industry Project subject for Master of Data Science students ... students collaboratively work in teams to deliver solutions to participating organisations' real-world challenges.</t>
        </is>
      </c>
    </row>
    <row r="685">
      <c r="A685" s="77" t="inlineStr">
        <is>
          <t>AU02-S11-R3</t>
        </is>
      </c>
      <c r="B685" s="77" t="inlineStr">
        <is>
          <t>AU02</t>
        </is>
      </c>
      <c r="C685" s="77" t="inlineStr">
        <is>
          <t>AU02-S11</t>
        </is>
      </c>
      <c r="D685" s="77" t="inlineStr">
        <is>
          <t>Data Science Project Part 1 / Part 2</t>
        </is>
      </c>
      <c r="E685" s="77" t="inlineStr">
        <is>
          <t>employer; credit</t>
        </is>
      </c>
      <c r="F685" s="77" t="inlineStr">
        <is>
          <t>https://cis.unimelb.edu.au/engage/industry-projects/capstone-projects</t>
        </is>
      </c>
      <c r="G685" s="77" t="inlineStr">
        <is>
          <t>Capstone Projects - CIS</t>
        </is>
      </c>
      <c r="H685" s="77" t="inlineStr">
        <is>
          <t>Data Science</t>
        </is>
      </c>
      <c r="I685" s="77" t="inlineStr">
        <is>
          <t>undated</t>
        </is>
      </c>
      <c r="J685" s="77" t="inlineStr">
        <is>
          <t>2026-10-12</t>
        </is>
      </c>
      <c r="K685" s="77" t="inlineStr">
        <is>
          <t>search-index extract</t>
        </is>
      </c>
      <c r="L685" s="77" t="inlineStr">
        <is>
          <t>Data Science entry for MAST90106 and MAST90107, year-long project, commencing in Semester 1 only.</t>
        </is>
      </c>
    </row>
    <row r="686">
      <c r="A686" s="77" t="inlineStr">
        <is>
          <t>AU02-S11-R4</t>
        </is>
      </c>
      <c r="B686" s="77" t="inlineStr">
        <is>
          <t>AU02</t>
        </is>
      </c>
      <c r="C686" s="77" t="inlineStr">
        <is>
          <t>AU02-S11</t>
        </is>
      </c>
      <c r="D686" s="77" t="inlineStr">
        <is>
          <t>Data Science Project Part 1 / Part 2</t>
        </is>
      </c>
      <c r="E686" s="77" t="inlineStr">
        <is>
          <t>group; credit</t>
        </is>
      </c>
      <c r="F686" s="77" t="inlineStr">
        <is>
          <t>https://handbook.unimelb.edu.au/2024/subjects/mast90107</t>
        </is>
      </c>
      <c r="G686" s="77" t="inlineStr">
        <is>
          <t>Data Science Project Pt2 (MAST90107) 2024</t>
        </is>
      </c>
      <c r="H686" s="77" t="inlineStr">
        <is>
          <t>Overview</t>
        </is>
      </c>
      <c r="I686" s="77" t="inlineStr">
        <is>
          <t>2024</t>
        </is>
      </c>
      <c r="J686" s="77" t="inlineStr">
        <is>
          <t>2026-10-12</t>
        </is>
      </c>
      <c r="K686" s="77" t="inlineStr">
        <is>
          <t>search-index extract</t>
        </is>
      </c>
      <c r="L686" s="77" t="inlineStr">
        <is>
          <t>Teams continue from Part 1; students present a group project report and oral presentation; individual contribution logged via diaries.</t>
        </is>
      </c>
    </row>
    <row r="687">
      <c r="A687" s="77" t="inlineStr">
        <is>
          <t>AU02-S12-R1</t>
        </is>
      </c>
      <c r="B687" s="77" t="inlineStr">
        <is>
          <t>AU02</t>
        </is>
      </c>
      <c r="C687" s="77" t="inlineStr">
        <is>
          <t>AU02-S12</t>
        </is>
      </c>
      <c r="D687" s="77" t="inlineStr">
        <is>
          <t>Industry Project in Environmental Science Pt1 &amp; Pt2</t>
        </is>
      </c>
      <c r="E687" s="77" t="inlineStr">
        <is>
          <t>status; project; participation</t>
        </is>
      </c>
      <c r="F687" s="77" t="inlineStr">
        <is>
          <t>https://handbook.unimelb.edu.au/2026/courses/mc-envsc/course-structure</t>
        </is>
      </c>
      <c r="G687" s="77" t="inlineStr">
        <is>
          <t>Course structure: Master of Environmental Science (MC-ENVSC) 2026</t>
        </is>
      </c>
      <c r="H687" s="77" t="inlineStr">
        <is>
          <t>Course structure</t>
        </is>
      </c>
      <c r="I687" s="77" t="inlineStr">
        <is>
          <t>2026</t>
        </is>
      </c>
      <c r="J687" s="77" t="inlineStr">
        <is>
          <t>2026-10-12</t>
        </is>
      </c>
      <c r="K687" s="77" t="inlineStr">
        <is>
          <t>search-index extract</t>
        </is>
      </c>
      <c r="L687" s="77" t="inlineStr">
        <is>
          <t>EVSC90019 Graduate Seminar: Environmental Science and Industry Project in EnvironmentalSci Pt1 &amp; Pt2 will be taken in the second year of study ... Outstanding students may replace the Industry Project with EVSC90034 ... and EVSC90035.</t>
        </is>
      </c>
    </row>
    <row r="688">
      <c r="A688" s="77" t="inlineStr">
        <is>
          <t>AU02-S12-R2</t>
        </is>
      </c>
      <c r="B688" s="77" t="inlineStr">
        <is>
          <t>AU02</t>
        </is>
      </c>
      <c r="C688" s="77" t="inlineStr">
        <is>
          <t>AU02-S12</t>
        </is>
      </c>
      <c r="D688" s="77" t="inlineStr">
        <is>
          <t>Industry Project in Environmental Science Pt1 &amp; Pt2</t>
        </is>
      </c>
      <c r="E688" s="77" t="inlineStr">
        <is>
          <t>employer</t>
        </is>
      </c>
      <c r="F688" s="77" t="inlineStr">
        <is>
          <t>https://study.unimelb.edu.au/find/courses/graduate/master-of-environmental-science/structure/</t>
        </is>
      </c>
      <c r="G688" s="77" t="inlineStr">
        <is>
          <t>Master of Environmental Science: Course structure</t>
        </is>
      </c>
      <c r="H688" s="77" t="inlineStr"/>
      <c r="I688" s="77" t="inlineStr">
        <is>
          <t>undated</t>
        </is>
      </c>
      <c r="J688" s="77" t="inlineStr">
        <is>
          <t>2026-10-12</t>
        </is>
      </c>
      <c r="K688" s="77" t="inlineStr">
        <is>
          <t>search-index extract</t>
        </is>
      </c>
      <c r="L688" s="77" t="inlineStr">
        <is>
          <t>year-long industry project where students spend time at the workplace of their assigned industry client.</t>
        </is>
      </c>
    </row>
    <row r="689">
      <c r="A689" s="77" t="inlineStr">
        <is>
          <t>AU02-S13-R1</t>
        </is>
      </c>
      <c r="B689" s="77" t="inlineStr">
        <is>
          <t>AU02</t>
        </is>
      </c>
      <c r="C689" s="77" t="inlineStr">
        <is>
          <t>AU02-S13</t>
        </is>
      </c>
      <c r="D689" s="77" t="inlineStr">
        <is>
          <t>Management Consulting</t>
        </is>
      </c>
      <c r="E689" s="77" t="inlineStr">
        <is>
          <t>project; group; employer; credit</t>
        </is>
      </c>
      <c r="F689" s="77" t="inlineStr">
        <is>
          <t>https://handbook.unimelb.edu.au/subjects/mgmt30012</t>
        </is>
      </c>
      <c r="G689" s="77" t="inlineStr">
        <is>
          <t>Management Consulting (MGMT30012)</t>
        </is>
      </c>
      <c r="H689" s="77" t="inlineStr">
        <is>
          <t>Overview</t>
        </is>
      </c>
      <c r="I689" s="77" t="inlineStr">
        <is>
          <t>2026 (current page)</t>
        </is>
      </c>
      <c r="J689" s="77" t="inlineStr">
        <is>
          <t>2026-10-12</t>
        </is>
      </c>
      <c r="K689" s="77" t="inlineStr">
        <is>
          <t>search-index extract</t>
        </is>
      </c>
      <c r="L689" s="77" t="inlineStr">
        <is>
          <t>Working in cross-disciplinary teams, students will be assigned to a client organisation ... Undergraduate level 3 Points: 12.5 On Campus (Parkville); Semester 1 and Semester 2.</t>
        </is>
      </c>
    </row>
    <row r="690">
      <c r="A690" s="77" t="inlineStr">
        <is>
          <t>AU02-S13-R2</t>
        </is>
      </c>
      <c r="B690" s="77" t="inlineStr">
        <is>
          <t>AU02</t>
        </is>
      </c>
      <c r="C690" s="77" t="inlineStr">
        <is>
          <t>AU02-S13</t>
        </is>
      </c>
      <c r="D690" s="77" t="inlineStr">
        <is>
          <t>Management Consulting</t>
        </is>
      </c>
      <c r="E690" s="77" t="inlineStr">
        <is>
          <t>credit; group</t>
        </is>
      </c>
      <c r="F690" s="77" t="inlineStr">
        <is>
          <t>https://handbook.unimelb.edu.au/2023/subjects/mgmt30012/assessment</t>
        </is>
      </c>
      <c r="G690" s="77" t="inlineStr">
        <is>
          <t>Assessment: MGMT30012 2023</t>
        </is>
      </c>
      <c r="H690" s="77" t="inlineStr">
        <is>
          <t>Assessment</t>
        </is>
      </c>
      <c r="I690" s="77" t="inlineStr">
        <is>
          <t>2023</t>
        </is>
      </c>
      <c r="J690" s="77" t="inlineStr">
        <is>
          <t>2026-10-12</t>
        </is>
      </c>
      <c r="K690" s="77" t="inlineStr">
        <is>
          <t>search-index extract</t>
        </is>
      </c>
      <c r="L690" s="77" t="inlineStr">
        <is>
          <t>workshop participation hurdle, team progress notes, team presentation, team report, reflective essay, peer evaluation.</t>
        </is>
      </c>
    </row>
    <row r="691">
      <c r="A691" s="77" t="inlineStr">
        <is>
          <t>AU02-S13-R3</t>
        </is>
      </c>
      <c r="B691" s="77" t="inlineStr">
        <is>
          <t>AU02</t>
        </is>
      </c>
      <c r="C691" s="77" t="inlineStr">
        <is>
          <t>AU02-S13</t>
        </is>
      </c>
      <c r="D691" s="77" t="inlineStr">
        <is>
          <t>Management Consulting</t>
        </is>
      </c>
      <c r="E691" s="77" t="inlineStr">
        <is>
          <t>eligibility; participation</t>
        </is>
      </c>
      <c r="F691" s="77" t="inlineStr">
        <is>
          <t>https://handbook.unimelb.edu.au/2024/subjects/mgmt30012/eligibility-and-requirements</t>
        </is>
      </c>
      <c r="G691" s="77" t="inlineStr">
        <is>
          <t>Eligibility: MGMT30012 2024</t>
        </is>
      </c>
      <c r="H691" s="77" t="inlineStr">
        <is>
          <t>Eligibility</t>
        </is>
      </c>
      <c r="I691" s="77" t="inlineStr">
        <is>
          <t>2024</t>
        </is>
      </c>
      <c r="J691" s="77" t="inlineStr">
        <is>
          <t>2026-10-12</t>
        </is>
      </c>
      <c r="K691" s="77" t="inlineStr">
        <is>
          <t>search-index extract</t>
        </is>
      </c>
      <c r="L691" s="77" t="inlineStr">
        <is>
          <t>quota of 60 students, selection by application; from Semester 2 2024 at least 150 credit points and permission of the Subject Coordinator.</t>
        </is>
      </c>
    </row>
    <row r="692">
      <c r="A692" s="77" t="inlineStr">
        <is>
          <t>AU02-S13-R4</t>
        </is>
      </c>
      <c r="B692" s="77" t="inlineStr">
        <is>
          <t>AU02</t>
        </is>
      </c>
      <c r="C692" s="77" t="inlineStr">
        <is>
          <t>AU02-S13</t>
        </is>
      </c>
      <c r="D692" s="77" t="inlineStr">
        <is>
          <t>Management Consulting</t>
        </is>
      </c>
      <c r="E692" s="77" t="inlineStr">
        <is>
          <t>status</t>
        </is>
      </c>
      <c r="F692" s="77" t="inlineStr">
        <is>
          <t>https://handbook.unimelb.edu.au/2026/components/b-com-major-6/course-structure</t>
        </is>
      </c>
      <c r="G692" s="77" t="inlineStr">
        <is>
          <t>Structure: Management (BCom major) 2026</t>
        </is>
      </c>
      <c r="H692" s="77" t="inlineStr">
        <is>
          <t>Course structure</t>
        </is>
      </c>
      <c r="I692" s="77" t="inlineStr">
        <is>
          <t>2026</t>
        </is>
      </c>
      <c r="J692" s="77" t="inlineStr">
        <is>
          <t>2026-10-12</t>
        </is>
      </c>
      <c r="K692" s="77" t="inlineStr">
        <is>
          <t>search-index extract</t>
        </is>
      </c>
      <c r="L692" s="77" t="inlineStr">
        <is>
          <t>Appeared in results for MGMT30012 in 2026 Management major; no verbatim extract obtained.</t>
        </is>
      </c>
    </row>
    <row r="693">
      <c r="A693" s="77" t="inlineStr">
        <is>
          <t>AU02-S14-R1</t>
        </is>
      </c>
      <c r="B693" s="77" t="inlineStr">
        <is>
          <t>AU02</t>
        </is>
      </c>
      <c r="C693" s="77" t="inlineStr">
        <is>
          <t>AU02-S14</t>
        </is>
      </c>
      <c r="D693" s="77" t="inlineStr">
        <is>
          <t>Industry Projects (FBE partner offer)</t>
        </is>
      </c>
      <c r="E693" s="77" t="inlineStr">
        <is>
          <t>project; group; employer; credit</t>
        </is>
      </c>
      <c r="F693" s="77" t="inlineStr">
        <is>
          <t>https://fbe.unimelb.edu.au/engage/partnerships/opportunities/industry-projects</t>
        </is>
      </c>
      <c r="G693" s="77" t="inlineStr">
        <is>
          <t>Industry Projects - Faculty of Business and Economics</t>
        </is>
      </c>
      <c r="H693" s="77" t="inlineStr">
        <is>
          <t>Partner page</t>
        </is>
      </c>
      <c r="I693" s="77" t="inlineStr">
        <is>
          <t>undated</t>
        </is>
      </c>
      <c r="J693" s="77" t="inlineStr">
        <is>
          <t>2026-10-12</t>
        </is>
      </c>
      <c r="K693" s="77" t="inlineStr">
        <is>
          <t>search-index extract</t>
        </is>
      </c>
      <c r="L693"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694">
      <c r="A694" s="77" t="inlineStr">
        <is>
          <t>AU02-S15-R1</t>
        </is>
      </c>
      <c r="B694" s="77" t="inlineStr">
        <is>
          <t>AU02</t>
        </is>
      </c>
      <c r="C694" s="77" t="inlineStr">
        <is>
          <t>AU02-S15</t>
        </is>
      </c>
      <c r="D694" s="77" t="inlineStr">
        <is>
          <t>Business Innovation Challenge</t>
        </is>
      </c>
      <c r="E694" s="77" t="inlineStr">
        <is>
          <t>project; group; employer; eligibility; status</t>
        </is>
      </c>
      <c r="F694" s="77" t="inlineStr">
        <is>
          <t>https://mbs.unimelb.edu.au/career/expertise/business-innovation-challenge</t>
        </is>
      </c>
      <c r="G694" s="77" t="inlineStr">
        <is>
          <t>Business Innovation Challenge - Melbourne Business School</t>
        </is>
      </c>
      <c r="H694" s="77" t="inlineStr">
        <is>
          <t>Program page</t>
        </is>
      </c>
      <c r="I694" s="77" t="inlineStr">
        <is>
          <t>2026</t>
        </is>
      </c>
      <c r="J694" s="77" t="inlineStr">
        <is>
          <t>2026-10-12</t>
        </is>
      </c>
      <c r="K694" s="77" t="inlineStr">
        <is>
          <t>search-index extract</t>
        </is>
      </c>
      <c r="L694"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695">
      <c r="A695" s="77" t="inlineStr">
        <is>
          <t>AU02-S15-R2</t>
        </is>
      </c>
      <c r="B695" s="77" t="inlineStr">
        <is>
          <t>AU02</t>
        </is>
      </c>
      <c r="C695" s="77" t="inlineStr">
        <is>
          <t>AU02-S15</t>
        </is>
      </c>
      <c r="D695" s="77" t="inlineStr">
        <is>
          <t>Business Innovation Challenge</t>
        </is>
      </c>
      <c r="E695" s="77" t="inlineStr">
        <is>
          <t>status</t>
        </is>
      </c>
      <c r="F695" s="77" t="inlineStr">
        <is>
          <t>https://fbe.unimelb.edu.au/bcom/career/fbe-student-calendar/sep/semester-2-business-innovation-challenge-applications-open</t>
        </is>
      </c>
      <c r="G695" s="77" t="inlineStr">
        <is>
          <t>Semester 2 Business Innovation Challenge Applications Open</t>
        </is>
      </c>
      <c r="H695" s="77" t="inlineStr">
        <is>
          <t>Calendar</t>
        </is>
      </c>
      <c r="I695" s="77" t="inlineStr">
        <is>
          <t>2026</t>
        </is>
      </c>
      <c r="J695" s="77" t="inlineStr">
        <is>
          <t>2026-10-12</t>
        </is>
      </c>
      <c r="K695" s="77" t="inlineStr">
        <is>
          <t>search-index extract</t>
        </is>
      </c>
      <c r="L695" s="77" t="inlineStr">
        <is>
          <t>Applications for the semester 2 Business Innovation Challenge open 17 Aug 2026.</t>
        </is>
      </c>
    </row>
    <row r="696">
      <c r="A696" s="77" t="inlineStr">
        <is>
          <t>AU02-S16-R1</t>
        </is>
      </c>
      <c r="B696" s="77" t="inlineStr">
        <is>
          <t>AU02</t>
        </is>
      </c>
      <c r="C696" s="77" t="inlineStr">
        <is>
          <t>AU02-S16</t>
        </is>
      </c>
      <c r="D696" s="77" t="inlineStr">
        <is>
          <t>Virtual Industry Projects</t>
        </is>
      </c>
      <c r="E696" s="77" t="inlineStr">
        <is>
          <t>project; group; employer; eligibility; status</t>
        </is>
      </c>
      <c r="F696" s="77" t="inlineStr">
        <is>
          <t>https://mbs.unimelb.edu.au/career/expertise/virtual-industry-projects</t>
        </is>
      </c>
      <c r="G696" s="77" t="inlineStr">
        <is>
          <t>Virtual Industry Projects - Melbourne Business School</t>
        </is>
      </c>
      <c r="H696" s="77" t="inlineStr">
        <is>
          <t>Program page</t>
        </is>
      </c>
      <c r="I696" s="77" t="inlineStr">
        <is>
          <t>2026</t>
        </is>
      </c>
      <c r="J696" s="77" t="inlineStr">
        <is>
          <t>2026-10-12</t>
        </is>
      </c>
      <c r="K696" s="77" t="inlineStr">
        <is>
          <t>search-index extract</t>
        </is>
      </c>
      <c r="L696"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697">
      <c r="A697" s="77" t="inlineStr">
        <is>
          <t>AU02-S16-R2</t>
        </is>
      </c>
      <c r="B697" s="77" t="inlineStr">
        <is>
          <t>AU02</t>
        </is>
      </c>
      <c r="C697" s="77" t="inlineStr">
        <is>
          <t>AU02-S16</t>
        </is>
      </c>
      <c r="D697" s="77" t="inlineStr">
        <is>
          <t>Virtual Industry Projects</t>
        </is>
      </c>
      <c r="E697" s="77" t="inlineStr">
        <is>
          <t>status</t>
        </is>
      </c>
      <c r="F697" s="77" t="inlineStr">
        <is>
          <t>https://fbe.unimelb.edu.au/bcom/career/fbe-student-calendar/oct/virtual-industry-projects-summer-applications-open</t>
        </is>
      </c>
      <c r="G697" s="77" t="inlineStr">
        <is>
          <t>Virtual Industry Projects Summer Applications Open</t>
        </is>
      </c>
      <c r="H697" s="77" t="inlineStr">
        <is>
          <t>Calendar</t>
        </is>
      </c>
      <c r="I697" s="77" t="inlineStr">
        <is>
          <t>2026</t>
        </is>
      </c>
      <c r="J697" s="77" t="inlineStr">
        <is>
          <t>2026-10-12</t>
        </is>
      </c>
      <c r="K697" s="77" t="inlineStr">
        <is>
          <t>search-index extract</t>
        </is>
      </c>
      <c r="L697" s="77" t="inlineStr">
        <is>
          <t>Summer 2026 applications open 5-25 October 2026.</t>
        </is>
      </c>
    </row>
    <row r="698">
      <c r="A698" s="77" t="inlineStr">
        <is>
          <t>AU02-S17-R1</t>
        </is>
      </c>
      <c r="B698" s="77" t="inlineStr">
        <is>
          <t>AU02</t>
        </is>
      </c>
      <c r="C698" s="77" t="inlineStr">
        <is>
          <t>AU02-S17</t>
        </is>
      </c>
      <c r="D698" s="77" t="inlineStr">
        <is>
          <t>Group Project</t>
        </is>
      </c>
      <c r="E698" s="77" t="inlineStr">
        <is>
          <t>project; group; employer; credit</t>
        </is>
      </c>
      <c r="F698" s="77" t="inlineStr">
        <is>
          <t>https://handbook.unimelb.edu.au/subjects/mgmt90129/</t>
        </is>
      </c>
      <c r="G698" s="77" t="inlineStr">
        <is>
          <t>Group Project (MGMT90129)</t>
        </is>
      </c>
      <c r="H698" s="77" t="inlineStr">
        <is>
          <t>Overview/Assessment (2024 data)</t>
        </is>
      </c>
      <c r="I698" s="77" t="inlineStr">
        <is>
          <t>2024</t>
        </is>
      </c>
      <c r="J698" s="77" t="inlineStr">
        <is>
          <t>2026-10-12</t>
        </is>
      </c>
      <c r="K698" s="77" t="inlineStr">
        <is>
          <t>search-index extract</t>
        </is>
      </c>
      <c r="L698" s="77" t="inlineStr">
        <is>
          <t>The Group Project is a group research project, undertaken for an external organisation. ... group presentation worth 15% ... Each student in the group is awarded the same result.</t>
        </is>
      </c>
    </row>
    <row r="699">
      <c r="A699" s="77" t="inlineStr">
        <is>
          <t>AU02-S18-R1</t>
        </is>
      </c>
      <c r="B699" s="77" t="inlineStr">
        <is>
          <t>AU02</t>
        </is>
      </c>
      <c r="C699" s="77" t="inlineStr">
        <is>
          <t>AU02-S18</t>
        </is>
      </c>
      <c r="D699" s="77" t="inlineStr">
        <is>
          <t>Analytics Lab (Master of Business Analytics)</t>
        </is>
      </c>
      <c r="E699" s="77" t="inlineStr">
        <is>
          <t>project; employer</t>
        </is>
      </c>
      <c r="F699" s="77" t="inlineStr">
        <is>
          <t>https://mbs.edu/centres/centre-for-business-analytics/about-us</t>
        </is>
      </c>
      <c r="G699" s="77" t="inlineStr">
        <is>
          <t>About Us - Centre for Business Analytics</t>
        </is>
      </c>
      <c r="H699" s="77" t="inlineStr"/>
      <c r="I699" s="77" t="inlineStr">
        <is>
          <t>undated</t>
        </is>
      </c>
      <c r="J699" s="77" t="inlineStr">
        <is>
          <t>2026-10-12</t>
        </is>
      </c>
      <c r="K699" s="77" t="inlineStr">
        <is>
          <t>search-index extract</t>
        </is>
      </c>
      <c r="L699"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0">
      <c r="A700" s="77" t="inlineStr">
        <is>
          <t>AU02-S18-R2</t>
        </is>
      </c>
      <c r="B700" s="77" t="inlineStr">
        <is>
          <t>AU02</t>
        </is>
      </c>
      <c r="C700" s="77" t="inlineStr">
        <is>
          <t>AU02-S18</t>
        </is>
      </c>
      <c r="D700" s="77" t="inlineStr">
        <is>
          <t>Analytics Lab (Master of Business Analytics)</t>
        </is>
      </c>
      <c r="E700" s="77" t="inlineStr">
        <is>
          <t>employer</t>
        </is>
      </c>
      <c r="F700" s="77" t="inlineStr">
        <is>
          <t>https://mbs.edu/-/media/PDF/Brochures/Degree-Programs/Master-of-Business-Analytics-Brochure---Melbourne-Business-School.ashx</t>
        </is>
      </c>
      <c r="G700" s="77" t="inlineStr">
        <is>
          <t>Master of Business Analytics brochure</t>
        </is>
      </c>
      <c r="H700" s="77" t="inlineStr">
        <is>
          <t>Analytics Lab</t>
        </is>
      </c>
      <c r="I700" s="77" t="inlineStr">
        <is>
          <t>undated</t>
        </is>
      </c>
      <c r="J700" s="77" t="inlineStr">
        <is>
          <t>2026-10-12</t>
        </is>
      </c>
      <c r="K700" s="77" t="inlineStr">
        <is>
          <t>search-index extract</t>
        </is>
      </c>
      <c r="L700" s="77" t="inlineStr">
        <is>
          <t>students work within an organisation to help solve pressing business challenges in that five-week lab; snapshots for EY, Suncorp, Downer and L'Oreal Australia.</t>
        </is>
      </c>
    </row>
    <row r="701">
      <c r="A701" s="77" t="inlineStr">
        <is>
          <t>AU02-S19-R1</t>
        </is>
      </c>
      <c r="B701" s="77" t="inlineStr">
        <is>
          <t>AU02</t>
        </is>
      </c>
      <c r="C701" s="77" t="inlineStr">
        <is>
          <t>AU02-S19</t>
        </is>
      </c>
      <c r="D701" s="77" t="inlineStr">
        <is>
          <t>Creating Innovative Professionals (IPP Spark)</t>
        </is>
      </c>
      <c r="E701" s="77" t="inlineStr">
        <is>
          <t>project; group; employer; status; credit</t>
        </is>
      </c>
      <c r="F701" s="77" t="inlineStr">
        <is>
          <t>https://handbook.unimelb.edu.au/subjects/engr90039</t>
        </is>
      </c>
      <c r="G701" s="77" t="inlineStr">
        <is>
          <t>Creating Innovative Professionals (ENGR90039)</t>
        </is>
      </c>
      <c r="H701" s="77" t="inlineStr">
        <is>
          <t>Overview</t>
        </is>
      </c>
      <c r="I701" s="77" t="inlineStr">
        <is>
          <t>2026</t>
        </is>
      </c>
      <c r="J701" s="77" t="inlineStr">
        <is>
          <t>2026-10-12</t>
        </is>
      </c>
      <c r="K701" s="77" t="inlineStr">
        <is>
          <t>search-index extract</t>
        </is>
      </c>
      <c r="L701"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02">
      <c r="A702" s="77" t="inlineStr">
        <is>
          <t>AU02-S19-R2</t>
        </is>
      </c>
      <c r="B702" s="77" t="inlineStr">
        <is>
          <t>AU02</t>
        </is>
      </c>
      <c r="C702" s="77" t="inlineStr">
        <is>
          <t>AU02-S19</t>
        </is>
      </c>
      <c r="D702" s="77" t="inlineStr">
        <is>
          <t>Creating Innovative Professionals (IPP Spark)</t>
        </is>
      </c>
      <c r="E702" s="77" t="inlineStr">
        <is>
          <t>eligibility; reach</t>
        </is>
      </c>
      <c r="F702" s="77" t="inlineStr">
        <is>
          <t>https://handbook.unimelb.edu.au/2026/subjects/engr90039/eligibility-and-requirements</t>
        </is>
      </c>
      <c r="G702" s="77" t="inlineStr">
        <is>
          <t>Eligibility: ENGR90039 2026</t>
        </is>
      </c>
      <c r="H702" s="77" t="inlineStr">
        <is>
          <t>Eligibility</t>
        </is>
      </c>
      <c r="I702" s="77" t="inlineStr">
        <is>
          <t>2026</t>
        </is>
      </c>
      <c r="J702" s="77" t="inlineStr">
        <is>
          <t>2026-10-12</t>
        </is>
      </c>
      <c r="K702" s="77" t="inlineStr">
        <is>
          <t>search-index extract</t>
        </is>
      </c>
      <c r="L702" s="77" t="inlineStr">
        <is>
          <t>Lists specified masters programs plus approved programs in FBE and the School of Design; it is not possible to self-enrol in CIP. All enrolments are by application and are subject to a variable quota.</t>
        </is>
      </c>
    </row>
    <row r="703">
      <c r="A703" s="77" t="inlineStr">
        <is>
          <t>AU02-S19-R3</t>
        </is>
      </c>
      <c r="B703" s="77" t="inlineStr">
        <is>
          <t>AU02</t>
        </is>
      </c>
      <c r="C703" s="77" t="inlineStr">
        <is>
          <t>AU02-S19</t>
        </is>
      </c>
      <c r="D703" s="77" t="inlineStr">
        <is>
          <t>Creating Innovative Professionals (IPP Spark)</t>
        </is>
      </c>
      <c r="E703" s="77" t="inlineStr">
        <is>
          <t>participation</t>
        </is>
      </c>
      <c r="F703" s="77" t="inlineStr">
        <is>
          <t>https://ipp.eng.unimelb.edu.au/home/ipp-wins-feit-excellence-award</t>
        </is>
      </c>
      <c r="G703" s="77" t="inlineStr">
        <is>
          <t>IPP wins FEIT Excellence Award</t>
        </is>
      </c>
      <c r="H703" s="77" t="inlineStr"/>
      <c r="I703" s="77" t="inlineStr">
        <is>
          <t>undated</t>
        </is>
      </c>
      <c r="J703" s="77" t="inlineStr">
        <is>
          <t>2026-10-12</t>
        </is>
      </c>
      <c r="K703" s="77" t="inlineStr">
        <is>
          <t>search-index extract</t>
        </is>
      </c>
      <c r="L703" s="77" t="inlineStr">
        <is>
          <t>delivered more than 300 innovation projects with over 130 industry sponsors in six years.</t>
        </is>
      </c>
    </row>
    <row r="704">
      <c r="A704" s="77" t="inlineStr">
        <is>
          <t>AU02-S19-R4</t>
        </is>
      </c>
      <c r="B704" s="77" t="inlineStr">
        <is>
          <t>AU02</t>
        </is>
      </c>
      <c r="C704" s="77" t="inlineStr">
        <is>
          <t>AU02-S19</t>
        </is>
      </c>
      <c r="D704" s="77" t="inlineStr">
        <is>
          <t>Creating Innovative Professionals (IPP Spark)</t>
        </is>
      </c>
      <c r="E704" s="77" t="inlineStr">
        <is>
          <t>status</t>
        </is>
      </c>
      <c r="F704" s="77" t="inlineStr">
        <is>
          <t>https://mbs.unimelb.edu.au/career/apply-your-learning/creating-innovative-professionals</t>
        </is>
      </c>
      <c r="G704" s="77" t="inlineStr">
        <is>
          <t>Creating Innovative Professionals - MBS</t>
        </is>
      </c>
      <c r="H704" s="77" t="inlineStr"/>
      <c r="I704" s="77" t="inlineStr">
        <is>
          <t>2026</t>
        </is>
      </c>
      <c r="J704" s="77" t="inlineStr">
        <is>
          <t>2026-10-12</t>
        </is>
      </c>
      <c r="K704" s="77" t="inlineStr">
        <is>
          <t>search-index extract</t>
        </is>
      </c>
      <c r="L704" s="77" t="inlineStr">
        <is>
          <t>States CIP is not running in 2026 and limits eligibility to Master of International Business and Master of Management (conflicts with handbook).</t>
        </is>
      </c>
    </row>
    <row r="705">
      <c r="A705" s="77" t="inlineStr">
        <is>
          <t>AU02-S20-R1</t>
        </is>
      </c>
      <c r="B705" s="77" t="inlineStr">
        <is>
          <t>AU02</t>
        </is>
      </c>
      <c r="C705" s="77" t="inlineStr">
        <is>
          <t>AU02-S20</t>
        </is>
      </c>
      <c r="D705" s="77" t="inlineStr">
        <is>
          <t>Ignite (Opportunity Lab / O-Lab)</t>
        </is>
      </c>
      <c r="E705" s="77" t="inlineStr">
        <is>
          <t>project; group; employer; participation</t>
        </is>
      </c>
      <c r="F705" s="77" t="inlineStr">
        <is>
          <t>https://ipp.eng.unimelb.edu.au/for-industry/o-lab</t>
        </is>
      </c>
      <c r="G705" s="77" t="inlineStr">
        <is>
          <t>Ignite - Innovation Practice Program</t>
        </is>
      </c>
      <c r="H705" s="77" t="inlineStr">
        <is>
          <t>For industry</t>
        </is>
      </c>
      <c r="I705" s="77" t="inlineStr">
        <is>
          <t>undated (refers to 2021-2022)</t>
        </is>
      </c>
      <c r="J705" s="77" t="inlineStr">
        <is>
          <t>2026-10-12</t>
        </is>
      </c>
      <c r="K705" s="77" t="inlineStr">
        <is>
          <t>search-index extract</t>
        </is>
      </c>
      <c r="L705"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06">
      <c r="A706" s="77" t="inlineStr">
        <is>
          <t>AU02-S20-R2</t>
        </is>
      </c>
      <c r="B706" s="77" t="inlineStr">
        <is>
          <t>AU02</t>
        </is>
      </c>
      <c r="C706" s="77" t="inlineStr">
        <is>
          <t>AU02-S20</t>
        </is>
      </c>
      <c r="D706" s="77" t="inlineStr">
        <is>
          <t>Ignite (Opportunity Lab / O-Lab)</t>
        </is>
      </c>
      <c r="E706" s="77" t="inlineStr">
        <is>
          <t>reach; eligibility</t>
        </is>
      </c>
      <c r="F706" s="77" t="inlineStr">
        <is>
          <t>https://ipp.eng.unimelb.edu.au/for-students/o-lab</t>
        </is>
      </c>
      <c r="G706" s="77" t="inlineStr">
        <is>
          <t>Ignite (O-Lab) for Students</t>
        </is>
      </c>
      <c r="H706" s="77" t="inlineStr"/>
      <c r="I706" s="77" t="inlineStr">
        <is>
          <t>undated</t>
        </is>
      </c>
      <c r="J706" s="77" t="inlineStr">
        <is>
          <t>2026-10-12</t>
        </is>
      </c>
      <c r="K706" s="77" t="inlineStr">
        <is>
          <t>search-index extract</t>
        </is>
      </c>
      <c r="L706" s="77" t="inlineStr">
        <is>
          <t>O-Lab is open to postgraduate students across the University of Melbourne.</t>
        </is>
      </c>
    </row>
    <row r="707">
      <c r="A707" s="77" t="inlineStr">
        <is>
          <t>AU02-S21-R1</t>
        </is>
      </c>
      <c r="B707" s="77" t="inlineStr">
        <is>
          <t>AU02</t>
        </is>
      </c>
      <c r="C707" s="77" t="inlineStr">
        <is>
          <t>AU02-S21</t>
        </is>
      </c>
      <c r="D707" s="77" t="inlineStr">
        <is>
          <t>SCOUT (Students Consulting on University Translation)</t>
        </is>
      </c>
      <c r="E707" s="77" t="inlineStr">
        <is>
          <t>project; group; employer; status</t>
        </is>
      </c>
      <c r="F707" s="77" t="inlineStr">
        <is>
          <t>https://about.unimelb.edu.au/education-melbourne/our-people-in-action/university-students-lead-greenhouse-project-and-gain-industry-experience</t>
        </is>
      </c>
      <c r="G707" s="77" t="inlineStr">
        <is>
          <t>University students lead greenhouse project and gain industry experience</t>
        </is>
      </c>
      <c r="H707" s="77" t="inlineStr">
        <is>
          <t>News</t>
        </is>
      </c>
      <c r="I707" s="77" t="inlineStr">
        <is>
          <t>2026</t>
        </is>
      </c>
      <c r="J707" s="77" t="inlineStr">
        <is>
          <t>2026-10-12</t>
        </is>
      </c>
      <c r="K707" s="77" t="inlineStr">
        <is>
          <t>search-index extract</t>
        </is>
      </c>
      <c r="L707"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08">
      <c r="A708" s="77" t="inlineStr">
        <is>
          <t>AU02-S21-R2</t>
        </is>
      </c>
      <c r="B708" s="77" t="inlineStr">
        <is>
          <t>AU02</t>
        </is>
      </c>
      <c r="C708" s="77" t="inlineStr">
        <is>
          <t>AU02-S21</t>
        </is>
      </c>
      <c r="D708" s="77" t="inlineStr">
        <is>
          <t>SCOUT (Students Consulting on University Translation)</t>
        </is>
      </c>
      <c r="E708" s="77" t="inlineStr">
        <is>
          <t>group; reach; eligibility</t>
        </is>
      </c>
      <c r="F708" s="77" t="inlineStr">
        <is>
          <t>https://www.tagcaustralia.com/blog/scout-internship-program-provides-students-with-diverse-real-world-insight</t>
        </is>
      </c>
      <c r="G708" s="77" t="inlineStr">
        <is>
          <t>SCOUT internship program provides students with diverse real-world insight</t>
        </is>
      </c>
      <c r="H708" s="77" t="inlineStr">
        <is>
          <t>Blog</t>
        </is>
      </c>
      <c r="I708" s="77" t="inlineStr">
        <is>
          <t>2025 (approx.)</t>
        </is>
      </c>
      <c r="J708" s="77" t="inlineStr">
        <is>
          <t>2026-10-12</t>
        </is>
      </c>
      <c r="K708" s="77" t="inlineStr">
        <is>
          <t>search-index extract</t>
        </is>
      </c>
      <c r="L708"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09">
      <c r="A709" s="77" t="inlineStr">
        <is>
          <t>AU02-S22-R1</t>
        </is>
      </c>
      <c r="B709" s="77" t="inlineStr">
        <is>
          <t>AU02</t>
        </is>
      </c>
      <c r="C709" s="77" t="inlineStr">
        <is>
          <t>AU02-S22</t>
        </is>
      </c>
      <c r="D709" s="77" t="inlineStr">
        <is>
          <t>Indigenous Legal Advocacy Clinic</t>
        </is>
      </c>
      <c r="E709" s="77" t="inlineStr">
        <is>
          <t>project; group; employer</t>
        </is>
      </c>
      <c r="F709" s="77" t="inlineStr">
        <is>
          <t>https://law.unimelb.edu.au/students/jd/enrichment/mls-clinics/subjects/indigenous-legal-advocacy-clinic</t>
        </is>
      </c>
      <c r="G709" s="77" t="inlineStr">
        <is>
          <t>Indigenous Legal Advocacy Clinic - Melbourne Law School</t>
        </is>
      </c>
      <c r="H709" s="77" t="inlineStr">
        <is>
          <t>Subject page</t>
        </is>
      </c>
      <c r="I709" s="77" t="inlineStr">
        <is>
          <t>undated (repeats 2023 description)</t>
        </is>
      </c>
      <c r="J709" s="77" t="inlineStr">
        <is>
          <t>2026-10-12</t>
        </is>
      </c>
      <c r="K709" s="77" t="inlineStr">
        <is>
          <t>search-index extract</t>
        </is>
      </c>
      <c r="L709"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0">
      <c r="A710" s="77" t="inlineStr">
        <is>
          <t>AU02-S22-R2</t>
        </is>
      </c>
      <c r="B710" s="77" t="inlineStr">
        <is>
          <t>AU02</t>
        </is>
      </c>
      <c r="C710" s="77" t="inlineStr">
        <is>
          <t>AU02-S22</t>
        </is>
      </c>
      <c r="D710" s="77" t="inlineStr">
        <is>
          <t>Indigenous Legal Advocacy Clinic</t>
        </is>
      </c>
      <c r="E710" s="77" t="inlineStr">
        <is>
          <t>project; employer; status</t>
        </is>
      </c>
      <c r="F710" s="77" t="inlineStr">
        <is>
          <t>https://handbook.unimelb.edu.au/2025/subjects/laws90209</t>
        </is>
      </c>
      <c r="G710" s="77" t="inlineStr">
        <is>
          <t>Indigenous Legal Advocacy Clinic (LAWS90209) 2025</t>
        </is>
      </c>
      <c r="H710" s="77" t="inlineStr">
        <is>
          <t>Overview</t>
        </is>
      </c>
      <c r="I710" s="77" t="inlineStr">
        <is>
          <t>2025</t>
        </is>
      </c>
      <c r="J710" s="77" t="inlineStr">
        <is>
          <t>2026-10-12</t>
        </is>
      </c>
      <c r="K710" s="77" t="inlineStr">
        <is>
          <t>search-index extract</t>
        </is>
      </c>
      <c r="L710" s="77" t="inlineStr">
        <is>
          <t>On campus (Parkville), Semester 1; students work with an Indigenous organisation or campaign and produce a major project from a research brief the partner supplies (paraphrase; small-group wording absent).</t>
        </is>
      </c>
    </row>
    <row r="711">
      <c r="A711" s="77" t="inlineStr">
        <is>
          <t>AU02-S23-R1</t>
        </is>
      </c>
      <c r="B711" s="77" t="inlineStr">
        <is>
          <t>AU02</t>
        </is>
      </c>
      <c r="C711" s="77" t="inlineStr">
        <is>
          <t>AU02-S23</t>
        </is>
      </c>
      <c r="D711" s="77" t="inlineStr">
        <is>
          <t>Industry Partner project Studio</t>
        </is>
      </c>
      <c r="E711" s="77" t="inlineStr">
        <is>
          <t>project; group; credit</t>
        </is>
      </c>
      <c r="F711" s="77" t="inlineStr">
        <is>
          <t>https://handbook.unimelb.edu.au/2019/subjects/abpl30044</t>
        </is>
      </c>
      <c r="G711" s="77" t="inlineStr">
        <is>
          <t>Industry Partner project Studio (ABPL30044) 2019</t>
        </is>
      </c>
      <c r="H711" s="77" t="inlineStr">
        <is>
          <t>Overview</t>
        </is>
      </c>
      <c r="I711" s="77" t="inlineStr">
        <is>
          <t>2019</t>
        </is>
      </c>
      <c r="J711" s="77" t="inlineStr">
        <is>
          <t>2026-10-12</t>
        </is>
      </c>
      <c r="K711" s="77" t="inlineStr">
        <is>
          <t>search-index extract</t>
        </is>
      </c>
      <c r="L711"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12">
      <c r="A712" s="77" t="inlineStr">
        <is>
          <t>AU02-S23-R2</t>
        </is>
      </c>
      <c r="B712" s="77" t="inlineStr">
        <is>
          <t>AU02</t>
        </is>
      </c>
      <c r="C712" s="77" t="inlineStr">
        <is>
          <t>AU02-S23</t>
        </is>
      </c>
      <c r="D712" s="77" t="inlineStr">
        <is>
          <t>Industry Partner project Studio</t>
        </is>
      </c>
      <c r="E712" s="77" t="inlineStr">
        <is>
          <t>status</t>
        </is>
      </c>
      <c r="F712" s="77" t="inlineStr">
        <is>
          <t>https://students.unimelb.edu.au/__data/assets/pdf_file/0005/5407196/Course-based-fees_AF-and-OF_20260305.pdf</t>
        </is>
      </c>
      <c r="G712" s="77" t="inlineStr">
        <is>
          <t>UoM Fees, EFTSL values and Census (2026)</t>
        </is>
      </c>
      <c r="H712" s="77" t="inlineStr">
        <is>
          <t>Fee list</t>
        </is>
      </c>
      <c r="I712" s="77" t="inlineStr">
        <is>
          <t>2026</t>
        </is>
      </c>
      <c r="J712" s="77" t="inlineStr">
        <is>
          <t>2026-10-12</t>
        </is>
      </c>
      <c r="K712" s="77" t="inlineStr">
        <is>
          <t>search-index extract</t>
        </is>
      </c>
      <c r="L712" s="77" t="inlineStr">
        <is>
          <t>ABPL30044 listed at 0.125 EFTSL.</t>
        </is>
      </c>
    </row>
    <row r="713">
      <c r="A713" s="77" t="inlineStr">
        <is>
          <t>AU03-S01-R1</t>
        </is>
      </c>
      <c r="B713" s="77" t="inlineStr">
        <is>
          <t>AU03</t>
        </is>
      </c>
      <c r="C713" s="77" t="inlineStr">
        <is>
          <t>AU03-S01</t>
        </is>
      </c>
      <c r="D713" s="77" t="inlineStr">
        <is>
          <t>Industry and Community Project Units (ICPUs)</t>
        </is>
      </c>
      <c r="E713" s="77" t="inlineStr">
        <is>
          <t>employer; status</t>
        </is>
      </c>
      <c r="F713" s="77" t="inlineStr">
        <is>
          <t>https://www.sydney.edu.au/students/industry-and-community-projects.html</t>
        </is>
      </c>
      <c r="G713" s="77" t="inlineStr">
        <is>
          <t>Industry and community projects - The University of Sydney</t>
        </is>
      </c>
      <c r="H713" s="77" t="inlineStr">
        <is>
          <t>Overview</t>
        </is>
      </c>
      <c r="I713" s="77" t="inlineStr">
        <is>
          <t>undated</t>
        </is>
      </c>
      <c r="J713" s="77" t="inlineStr">
        <is>
          <t>2026-10-12</t>
        </is>
      </c>
      <c r="K713" s="77" t="inlineStr">
        <is>
          <t>search-index extract (quoted)</t>
        </is>
      </c>
      <c r="L713" s="77" t="inlineStr">
        <is>
          <t>Industry and community projects are run in collaboration with partners outside of the University; project partner and topic details are subject to change prior to the start of teaching.</t>
        </is>
      </c>
    </row>
    <row r="714">
      <c r="A714" s="77" t="inlineStr">
        <is>
          <t>AU03-S01-R2</t>
        </is>
      </c>
      <c r="B714" s="77" t="inlineStr">
        <is>
          <t>AU03</t>
        </is>
      </c>
      <c r="C714" s="77" t="inlineStr">
        <is>
          <t>AU03-S01</t>
        </is>
      </c>
      <c r="D714" s="77" t="inlineStr">
        <is>
          <t>Industry and Community Project Units (ICPUs)</t>
        </is>
      </c>
      <c r="E714" s="77" t="inlineStr">
        <is>
          <t>project; group; employer; reach</t>
        </is>
      </c>
      <c r="F714" s="77" t="inlineStr">
        <is>
          <t>https://educational-innovation.sydney.edu.au/teaching@sydney/industry-and-community-project-units-preparing-our-students-for-the-real-world/</t>
        </is>
      </c>
      <c r="G714" s="77" t="inlineStr">
        <is>
          <t>Industry and Community Project Units - teaching@sydney</t>
        </is>
      </c>
      <c r="H714" s="77" t="inlineStr">
        <is>
          <t>Article</t>
        </is>
      </c>
      <c r="I714" s="77" t="inlineStr">
        <is>
          <t>undated</t>
        </is>
      </c>
      <c r="J714" s="77" t="inlineStr">
        <is>
          <t>2026-10-12</t>
        </is>
      </c>
      <c r="K714" s="77" t="inlineStr">
        <is>
          <t>search-index extract (quoted)</t>
        </is>
      </c>
      <c r="L714"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15">
      <c r="A715" s="77" t="inlineStr">
        <is>
          <t>AU03-S01-R3</t>
        </is>
      </c>
      <c r="B715" s="77" t="inlineStr">
        <is>
          <t>AU03</t>
        </is>
      </c>
      <c r="C715" s="77" t="inlineStr">
        <is>
          <t>AU03-S01</t>
        </is>
      </c>
      <c r="D715" s="77" t="inlineStr">
        <is>
          <t>Industry and Community Project Units (ICPUs)</t>
        </is>
      </c>
      <c r="E715" s="77" t="inlineStr">
        <is>
          <t>group; employer</t>
        </is>
      </c>
      <c r="F715" s="77" t="inlineStr">
        <is>
          <t>https://www.sydney.edu.au/students/industry-and-community-projects/types-of-project-units.html</t>
        </is>
      </c>
      <c r="G715" s="77" t="inlineStr">
        <is>
          <t>3000 level - types of project units</t>
        </is>
      </c>
      <c r="H715" s="77" t="inlineStr">
        <is>
          <t>Types of project units</t>
        </is>
      </c>
      <c r="I715" s="77" t="inlineStr">
        <is>
          <t>undated</t>
        </is>
      </c>
      <c r="J715" s="77" t="inlineStr">
        <is>
          <t>2026-10-12</t>
        </is>
      </c>
      <c r="K715" s="77" t="inlineStr">
        <is>
          <t>search-summary paraphrase</t>
        </is>
      </c>
      <c r="L715" s="77" t="inlineStr">
        <is>
          <t>Partners set a real business challenge; 'Project supervisors will allocate the groups to ensure an interdisciplinary mix of students.'</t>
        </is>
      </c>
    </row>
    <row r="716">
      <c r="A716" s="77" t="inlineStr">
        <is>
          <t>AU03-S01-R4</t>
        </is>
      </c>
      <c r="B716" s="77" t="inlineStr">
        <is>
          <t>AU03</t>
        </is>
      </c>
      <c r="C716" s="77" t="inlineStr">
        <is>
          <t>AU03-S01</t>
        </is>
      </c>
      <c r="D716" s="77" t="inlineStr">
        <is>
          <t>Industry and Community Project Units (ICPUs)</t>
        </is>
      </c>
      <c r="E716" s="77" t="inlineStr">
        <is>
          <t>employer; group; participation</t>
        </is>
      </c>
      <c r="F716" s="77" t="inlineStr">
        <is>
          <t>https://www.sydney.edu.au/engage/industry-business-partnerships/work-with-our-students/real-world-projects.html</t>
        </is>
      </c>
      <c r="G716" s="77" t="inlineStr">
        <is>
          <t>Collaborate on real-world projects - The University of Sydney</t>
        </is>
      </c>
      <c r="H716" s="77" t="inlineStr">
        <is>
          <t>Partner-facing page</t>
        </is>
      </c>
      <c r="I716" s="77" t="inlineStr">
        <is>
          <t>undated</t>
        </is>
      </c>
      <c r="J716" s="77" t="inlineStr">
        <is>
          <t>2026-10-12</t>
        </is>
      </c>
      <c r="K716" s="77" t="inlineStr">
        <is>
          <t>search-summary paraphrase</t>
        </is>
      </c>
      <c r="L716"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17">
      <c r="A717" s="77" t="inlineStr">
        <is>
          <t>AU03-S02-R1</t>
        </is>
      </c>
      <c r="B717" s="77" t="inlineStr">
        <is>
          <t>AU03</t>
        </is>
      </c>
      <c r="C717" s="77" t="inlineStr">
        <is>
          <t>AU03-S02</t>
        </is>
      </c>
      <c r="D717" s="77" t="inlineStr">
        <is>
          <t>Industry and Community Project (3000 level ICPU)</t>
        </is>
      </c>
      <c r="E717" s="77" t="inlineStr">
        <is>
          <t>employer</t>
        </is>
      </c>
      <c r="F717" s="77" t="inlineStr">
        <is>
          <t>https://www.sydney.edu.au/students/industry-and-community-projects.html</t>
        </is>
      </c>
      <c r="G717" s="77" t="inlineStr">
        <is>
          <t>Industry and community projects</t>
        </is>
      </c>
      <c r="H717" s="77" t="inlineStr">
        <is>
          <t>Overview</t>
        </is>
      </c>
      <c r="I717" s="77" t="inlineStr">
        <is>
          <t>undated</t>
        </is>
      </c>
      <c r="J717" s="77" t="inlineStr">
        <is>
          <t>2026-10-12</t>
        </is>
      </c>
      <c r="K717" s="77" t="inlineStr">
        <is>
          <t>search-index extract (quoted)</t>
        </is>
      </c>
      <c r="L717" s="77" t="inlineStr">
        <is>
          <t>Projects are run in collaboration with partners outside of the University.</t>
        </is>
      </c>
    </row>
    <row r="718">
      <c r="A718" s="77" t="inlineStr">
        <is>
          <t>AU03-S02-R2</t>
        </is>
      </c>
      <c r="B718" s="77" t="inlineStr">
        <is>
          <t>AU03</t>
        </is>
      </c>
      <c r="C718" s="77" t="inlineStr">
        <is>
          <t>AU03-S02</t>
        </is>
      </c>
      <c r="D718" s="77" t="inlineStr">
        <is>
          <t>Industry and Community Project (3000 level ICPU)</t>
        </is>
      </c>
      <c r="E718" s="77" t="inlineStr">
        <is>
          <t>eligibility; reach; status</t>
        </is>
      </c>
      <c r="F718" s="77" t="inlineStr">
        <is>
          <t>https://www.sydney.edu.au/students/industry-and-community-projects/enrol-icpu.html</t>
        </is>
      </c>
      <c r="G718" s="77" t="inlineStr">
        <is>
          <t>3000 level - eligibility and how to enrol</t>
        </is>
      </c>
      <c r="H718" s="77" t="inlineStr">
        <is>
          <t>Eligibility; registration dates</t>
        </is>
      </c>
      <c r="I718" s="77" t="inlineStr">
        <is>
          <t>2026/27</t>
        </is>
      </c>
      <c r="J718" s="77" t="inlineStr">
        <is>
          <t>2026-10-12</t>
        </is>
      </c>
      <c r="K718" s="77" t="inlineStr">
        <is>
          <t>search-index extract (quoted)</t>
        </is>
      </c>
      <c r="L718"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19">
      <c r="A719" s="77" t="inlineStr">
        <is>
          <t>AU03-S02-R3</t>
        </is>
      </c>
      <c r="B719" s="77" t="inlineStr">
        <is>
          <t>AU03</t>
        </is>
      </c>
      <c r="C719" s="77" t="inlineStr">
        <is>
          <t>AU03-S02</t>
        </is>
      </c>
      <c r="D719" s="77" t="inlineStr">
        <is>
          <t>Industry and Community Project (3000 level ICPU)</t>
        </is>
      </c>
      <c r="E719" s="77" t="inlineStr">
        <is>
          <t>project; group; employer</t>
        </is>
      </c>
      <c r="F719" s="77" t="inlineStr">
        <is>
          <t>https://www.sydney.edu.au/students/industry-and-community-projects/types-of-project-units.html</t>
        </is>
      </c>
      <c r="G719" s="77" t="inlineStr">
        <is>
          <t>3000 level - types of project units</t>
        </is>
      </c>
      <c r="H719" s="77" t="inlineStr">
        <is>
          <t>Types</t>
        </is>
      </c>
      <c r="I719" s="77" t="inlineStr">
        <is>
          <t>undated</t>
        </is>
      </c>
      <c r="J719" s="77" t="inlineStr">
        <is>
          <t>2026-10-12</t>
        </is>
      </c>
      <c r="K719" s="77" t="inlineStr">
        <is>
          <t>search-summary paraphrase</t>
        </is>
      </c>
      <c r="L719" s="77" t="inlineStr">
        <is>
          <t>Partners set a real business challenge; 'Project supervisors will allocate the groups to ensure an interdisciplinary mix of students.'</t>
        </is>
      </c>
    </row>
    <row r="720">
      <c r="A720" s="77" t="inlineStr">
        <is>
          <t>AU03-S02-R4</t>
        </is>
      </c>
      <c r="B720" s="77" t="inlineStr">
        <is>
          <t>AU03</t>
        </is>
      </c>
      <c r="C720" s="77" t="inlineStr">
        <is>
          <t>AU03-S02</t>
        </is>
      </c>
      <c r="D720" s="77" t="inlineStr">
        <is>
          <t>Industry and Community Project (3000 level ICPU)</t>
        </is>
      </c>
      <c r="E720" s="77" t="inlineStr">
        <is>
          <t>group; employer</t>
        </is>
      </c>
      <c r="F720" s="77" t="inlineStr">
        <is>
          <t>https://www.sydney.edu.au/engage/industry-business-partnerships/work-with-our-students/real-world-projects.html</t>
        </is>
      </c>
      <c r="G720" s="77" t="inlineStr">
        <is>
          <t>Collaborate on real-world projects</t>
        </is>
      </c>
      <c r="H720" s="77" t="inlineStr">
        <is>
          <t>Partner-facing page</t>
        </is>
      </c>
      <c r="I720" s="77" t="inlineStr">
        <is>
          <t>undated</t>
        </is>
      </c>
      <c r="J720" s="77" t="inlineStr">
        <is>
          <t>2026-10-12</t>
        </is>
      </c>
      <c r="K720" s="77" t="inlineStr">
        <is>
          <t>search-summary paraphrase</t>
        </is>
      </c>
      <c r="L720" s="77" t="inlineStr">
        <is>
          <t>Teams vary by project; one listing describes smaller groups of five within a larger cohort of 45 to 60 students; partners can give feedback.</t>
        </is>
      </c>
    </row>
    <row r="721">
      <c r="A721" s="77" t="inlineStr">
        <is>
          <t>AU03-S02-R5</t>
        </is>
      </c>
      <c r="B721" s="77" t="inlineStr">
        <is>
          <t>AU03</t>
        </is>
      </c>
      <c r="C721" s="77" t="inlineStr">
        <is>
          <t>AU03-S02</t>
        </is>
      </c>
      <c r="D721" s="77" t="inlineStr">
        <is>
          <t>Industry and Community Project (3000 level ICPU)</t>
        </is>
      </c>
      <c r="E721" s="77" t="inlineStr">
        <is>
          <t>project; employer; status; duration</t>
        </is>
      </c>
      <c r="F721" s="77" t="inlineStr">
        <is>
          <t>https://www.sydney.edu.au/units/FASS3333</t>
        </is>
      </c>
      <c r="G721" s="77" t="inlineStr">
        <is>
          <t>FASS3333: Industry and Community Project</t>
        </is>
      </c>
      <c r="H721" s="77" t="inlineStr">
        <is>
          <t>Unit page</t>
        </is>
      </c>
      <c r="I721" s="77" t="inlineStr">
        <is>
          <t>2026 (Semester 2 2026 offering listed)</t>
        </is>
      </c>
      <c r="J721" s="77" t="inlineStr">
        <is>
          <t>2026-10-12</t>
        </is>
      </c>
      <c r="K721" s="77" t="inlineStr">
        <is>
          <t>search-summary paraphrase</t>
        </is>
      </c>
      <c r="L721" s="77" t="inlineStr">
        <is>
          <t>Students present their ideas and solutions to the industry partner; Semester 2 2026 offering listed; 120-150 hours effort for the intensive unit and 90% attendance requirement (as summarised).</t>
        </is>
      </c>
    </row>
    <row r="722">
      <c r="A722" s="77" t="inlineStr">
        <is>
          <t>AU03-S03-R1</t>
        </is>
      </c>
      <c r="B722" s="77" t="inlineStr">
        <is>
          <t>AU03</t>
        </is>
      </c>
      <c r="C722" s="77" t="inlineStr">
        <is>
          <t>AU03-S03</t>
        </is>
      </c>
      <c r="D722" s="77" t="inlineStr">
        <is>
          <t>Advanced Industry and Community Project A and B (4000 level ICPU)</t>
        </is>
      </c>
      <c r="E722" s="77" t="inlineStr">
        <is>
          <t>project; employer; status; credit; duration</t>
        </is>
      </c>
      <c r="F722" s="77" t="inlineStr">
        <is>
          <t>https://www.sydney.edu.au/students/industry-and-community-projects/4000-level-projects.html</t>
        </is>
      </c>
      <c r="G722" s="77" t="inlineStr">
        <is>
          <t>4000 level - projects and how to enrol</t>
        </is>
      </c>
      <c r="H722" s="77" t="inlineStr">
        <is>
          <t>Projects; dates</t>
        </is>
      </c>
      <c r="I722" s="77" t="inlineStr">
        <is>
          <t>2026</t>
        </is>
      </c>
      <c r="J722" s="77" t="inlineStr">
        <is>
          <t>2026-10-12</t>
        </is>
      </c>
      <c r="K722" s="77" t="inlineStr">
        <is>
          <t>search-index extract (quoted)</t>
        </is>
      </c>
      <c r="L722"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23">
      <c r="A723" s="77" t="inlineStr">
        <is>
          <t>AU03-S03-R2</t>
        </is>
      </c>
      <c r="B723" s="77" t="inlineStr">
        <is>
          <t>AU03</t>
        </is>
      </c>
      <c r="C723" s="77" t="inlineStr">
        <is>
          <t>AU03-S03</t>
        </is>
      </c>
      <c r="D723" s="77" t="inlineStr">
        <is>
          <t>Advanced Industry and Community Project A and B (4000 level ICPU)</t>
        </is>
      </c>
      <c r="E723" s="77" t="inlineStr">
        <is>
          <t>project; group; employer</t>
        </is>
      </c>
      <c r="F723" s="77" t="inlineStr">
        <is>
          <t>https://www.sydney.edu.au/units/ARCH4108</t>
        </is>
      </c>
      <c r="G723" s="77" t="inlineStr">
        <is>
          <t>ARCH4108: Industry and Community Project Unit A</t>
        </is>
      </c>
      <c r="H723" s="77" t="inlineStr">
        <is>
          <t>Unit page</t>
        </is>
      </c>
      <c r="I723" s="77" t="inlineStr">
        <is>
          <t>undated</t>
        </is>
      </c>
      <c r="J723" s="77" t="inlineStr">
        <is>
          <t>2026-10-12</t>
        </is>
      </c>
      <c r="K723" s="77" t="inlineStr">
        <is>
          <t>search-summary paraphrase</t>
        </is>
      </c>
      <c r="L723" s="77" t="inlineStr">
        <is>
          <t>Teams work on a complex real-world problem identified by industry, community and government organisations.</t>
        </is>
      </c>
    </row>
    <row r="724">
      <c r="A724" s="77" t="inlineStr">
        <is>
          <t>AU03-S03-R3</t>
        </is>
      </c>
      <c r="B724" s="77" t="inlineStr">
        <is>
          <t>AU03</t>
        </is>
      </c>
      <c r="C724" s="77" t="inlineStr">
        <is>
          <t>AU03-S03</t>
        </is>
      </c>
      <c r="D724" s="77" t="inlineStr">
        <is>
          <t>Advanced Industry and Community Project A and B (4000 level ICPU)</t>
        </is>
      </c>
      <c r="E724" s="77" t="inlineStr">
        <is>
          <t>group; employer</t>
        </is>
      </c>
      <c r="F724" s="77" t="inlineStr">
        <is>
          <t>https://www.sydney.edu.au/units/SCPU4001</t>
        </is>
      </c>
      <c r="G724" s="77" t="inlineStr">
        <is>
          <t>SCPU4001: Industry and Community Science Project A</t>
        </is>
      </c>
      <c r="H724" s="77" t="inlineStr">
        <is>
          <t>Unit page</t>
        </is>
      </c>
      <c r="I724" s="77" t="inlineStr">
        <is>
          <t>undated</t>
        </is>
      </c>
      <c r="J724" s="77" t="inlineStr">
        <is>
          <t>2026-10-12</t>
        </is>
      </c>
      <c r="K724" s="77" t="inlineStr">
        <is>
          <t>search-index extract (quoted)</t>
        </is>
      </c>
      <c r="L724" s="77" t="inlineStr">
        <is>
          <t>'In collaboration with a major industry partner and an academic lead, students integrate their academic skills and knowledge by working in teams.'</t>
        </is>
      </c>
    </row>
    <row r="725">
      <c r="A725" s="77" t="inlineStr">
        <is>
          <t>AU03-S03-R4</t>
        </is>
      </c>
      <c r="B725" s="77" t="inlineStr">
        <is>
          <t>AU03</t>
        </is>
      </c>
      <c r="C725" s="77" t="inlineStr">
        <is>
          <t>AU03-S03</t>
        </is>
      </c>
      <c r="D725" s="77" t="inlineStr">
        <is>
          <t>Advanced Industry and Community Project A and B (4000 level ICPU)</t>
        </is>
      </c>
      <c r="E725" s="77" t="inlineStr">
        <is>
          <t>status</t>
        </is>
      </c>
      <c r="F725" s="77" t="inlineStr">
        <is>
          <t>https://www.sydney.edu.au/units/FASS4902</t>
        </is>
      </c>
      <c r="G725" s="77" t="inlineStr">
        <is>
          <t>FASS4902: Advanced Industry and Community Project B</t>
        </is>
      </c>
      <c r="H725" s="77" t="inlineStr">
        <is>
          <t>Unit page</t>
        </is>
      </c>
      <c r="I725" s="77" t="inlineStr">
        <is>
          <t>2026</t>
        </is>
      </c>
      <c r="J725" s="77" t="inlineStr">
        <is>
          <t>2026-10-12</t>
        </is>
      </c>
      <c r="K725" s="77" t="inlineStr">
        <is>
          <t>search-summary paraphrase</t>
        </is>
      </c>
      <c r="L725" s="77" t="inlineStr">
        <is>
          <t>Semester 2 2026 offering listed.</t>
        </is>
      </c>
    </row>
    <row r="726">
      <c r="A726" s="77" t="inlineStr">
        <is>
          <t>AU03-S04-R1</t>
        </is>
      </c>
      <c r="B726" s="77" t="inlineStr">
        <is>
          <t>AU03</t>
        </is>
      </c>
      <c r="C726" s="77" t="inlineStr">
        <is>
          <t>AU03-S04</t>
        </is>
      </c>
      <c r="D726" s="77" t="inlineStr">
        <is>
          <t>Business Consulting Practicum (Undergraduate)</t>
        </is>
      </c>
      <c r="E726" s="77" t="inlineStr">
        <is>
          <t>group; project; eligibility; reach</t>
        </is>
      </c>
      <c r="F726" s="77" t="inlineStr">
        <is>
          <t>https://www.sydney.edu.au/students/business-placements/business-consulting-practicum.html</t>
        </is>
      </c>
      <c r="G726" s="77" t="inlineStr">
        <is>
          <t>Business Consulting Practicum - The University of Sydney</t>
        </is>
      </c>
      <c r="H726" s="77" t="inlineStr">
        <is>
          <t>Programme page; eligibility</t>
        </is>
      </c>
      <c r="I726" s="77" t="inlineStr">
        <is>
          <t>undated</t>
        </is>
      </c>
      <c r="J726" s="77" t="inlineStr">
        <is>
          <t>2026-10-12</t>
        </is>
      </c>
      <c r="K726" s="77" t="inlineStr">
        <is>
          <t>search-index extract (quoted)</t>
        </is>
      </c>
      <c r="L72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27">
      <c r="A727" s="77" t="inlineStr">
        <is>
          <t>AU03-S04-R2</t>
        </is>
      </c>
      <c r="B727" s="77" t="inlineStr">
        <is>
          <t>AU03</t>
        </is>
      </c>
      <c r="C727" s="77" t="inlineStr">
        <is>
          <t>AU03-S04</t>
        </is>
      </c>
      <c r="D727" s="77" t="inlineStr">
        <is>
          <t>Business Consulting Practicum (Undergraduate)</t>
        </is>
      </c>
      <c r="E727" s="77" t="inlineStr">
        <is>
          <t>project; employer</t>
        </is>
      </c>
      <c r="F727" s="77" t="inlineStr">
        <is>
          <t>https://www.sydney.edu.au/units/BWIL6300</t>
        </is>
      </c>
      <c r="G727" s="77" t="inlineStr">
        <is>
          <t>BWIL6300: Business Consulting Practicum</t>
        </is>
      </c>
      <c r="H727" s="77" t="inlineStr">
        <is>
          <t>Unit description</t>
        </is>
      </c>
      <c r="I727" s="77" t="inlineStr">
        <is>
          <t>2026</t>
        </is>
      </c>
      <c r="J727" s="77" t="inlineStr">
        <is>
          <t>2026-10-12</t>
        </is>
      </c>
      <c r="K727" s="77" t="inlineStr">
        <is>
          <t>search-summary paraphrase</t>
        </is>
      </c>
      <c r="L72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28">
      <c r="A728" s="77" t="inlineStr">
        <is>
          <t>AU03-S04-R3</t>
        </is>
      </c>
      <c r="B728" s="77" t="inlineStr">
        <is>
          <t>AU03</t>
        </is>
      </c>
      <c r="C728" s="77" t="inlineStr">
        <is>
          <t>AU03-S04</t>
        </is>
      </c>
      <c r="D728" s="77" t="inlineStr">
        <is>
          <t>Business Consulting Practicum (Undergraduate)</t>
        </is>
      </c>
      <c r="E728" s="77" t="inlineStr">
        <is>
          <t>status</t>
        </is>
      </c>
      <c r="F728" s="77" t="inlineStr">
        <is>
          <t>https://www.sydney.edu.au/units/BWIL1300</t>
        </is>
      </c>
      <c r="G728" s="77" t="inlineStr">
        <is>
          <t>BWIL1300: Business Consulting Practicum</t>
        </is>
      </c>
      <c r="H728" s="77" t="inlineStr">
        <is>
          <t>Unit page</t>
        </is>
      </c>
      <c r="I728" s="77" t="inlineStr">
        <is>
          <t>2026</t>
        </is>
      </c>
      <c r="J728" s="77" t="inlineStr">
        <is>
          <t>2026-10-12</t>
        </is>
      </c>
      <c r="K728" s="77" t="inlineStr">
        <is>
          <t>search-summary paraphrase</t>
        </is>
      </c>
      <c r="L728" s="77" t="inlineStr">
        <is>
          <t>Undergraduate equivalent; 2026 listing shows Semester 2 2026.</t>
        </is>
      </c>
    </row>
    <row r="729">
      <c r="A729" s="77" t="inlineStr">
        <is>
          <t>AU03-S05-R1</t>
        </is>
      </c>
      <c r="B729" s="77" t="inlineStr">
        <is>
          <t>AU03</t>
        </is>
      </c>
      <c r="C729" s="77" t="inlineStr">
        <is>
          <t>AU03-S05</t>
        </is>
      </c>
      <c r="D729" s="77" t="inlineStr">
        <is>
          <t>Business Consulting Practicum (Postgraduate)</t>
        </is>
      </c>
      <c r="E729" s="77" t="inlineStr">
        <is>
          <t>project; employer; status</t>
        </is>
      </c>
      <c r="F729" s="77" t="inlineStr">
        <is>
          <t>https://www.sydney.edu.au/units/BWIL6300</t>
        </is>
      </c>
      <c r="G729" s="77" t="inlineStr">
        <is>
          <t>BWIL6300: Business Consulting Practicum</t>
        </is>
      </c>
      <c r="H729" s="77" t="inlineStr">
        <is>
          <t>Unit description; sessions</t>
        </is>
      </c>
      <c r="I729" s="77" t="inlineStr">
        <is>
          <t>2026</t>
        </is>
      </c>
      <c r="J729" s="77" t="inlineStr">
        <is>
          <t>2026-10-12</t>
        </is>
      </c>
      <c r="K729" s="77" t="inlineStr">
        <is>
          <t>search-summary paraphrase</t>
        </is>
      </c>
      <c r="L72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30">
      <c r="A730" s="77" t="inlineStr">
        <is>
          <t>AU03-S05-R2</t>
        </is>
      </c>
      <c r="B730" s="77" t="inlineStr">
        <is>
          <t>AU03</t>
        </is>
      </c>
      <c r="C730" s="77" t="inlineStr">
        <is>
          <t>AU03-S05</t>
        </is>
      </c>
      <c r="D730" s="77" t="inlineStr">
        <is>
          <t>Business Consulting Practicum (Postgraduate)</t>
        </is>
      </c>
      <c r="E730" s="77" t="inlineStr">
        <is>
          <t>group; eligibility</t>
        </is>
      </c>
      <c r="F730" s="77" t="inlineStr">
        <is>
          <t>https://www.sydney.edu.au/students/business-placements/business-consulting-practicum.html</t>
        </is>
      </c>
      <c r="G730" s="77" t="inlineStr">
        <is>
          <t>Business Consulting Practicum - The University of Sydney</t>
        </is>
      </c>
      <c r="H730" s="77" t="inlineStr">
        <is>
          <t>Programme page</t>
        </is>
      </c>
      <c r="I730" s="77" t="inlineStr">
        <is>
          <t>undated</t>
        </is>
      </c>
      <c r="J730" s="77" t="inlineStr">
        <is>
          <t>2026-10-12</t>
        </is>
      </c>
      <c r="K730" s="77" t="inlineStr">
        <is>
          <t>search-index extract (quoted)</t>
        </is>
      </c>
      <c r="L73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1">
      <c r="A731" s="77" t="inlineStr">
        <is>
          <t>AU03-S06-R1</t>
        </is>
      </c>
      <c r="B731" s="77" t="inlineStr">
        <is>
          <t>AU03</t>
        </is>
      </c>
      <c r="C731" s="77" t="inlineStr">
        <is>
          <t>AU03-S06</t>
        </is>
      </c>
      <c r="D731" s="77" t="inlineStr">
        <is>
          <t>MMGT Business Project</t>
        </is>
      </c>
      <c r="E731" s="77" t="inlineStr">
        <is>
          <t>project; group; employer; credit; duration</t>
        </is>
      </c>
      <c r="F731" s="77" t="inlineStr">
        <is>
          <t>https://www.sydney.edu.au/units/MMGT6101</t>
        </is>
      </c>
      <c r="G731" s="77" t="inlineStr">
        <is>
          <t>MMGT6101: MMGT Business Project</t>
        </is>
      </c>
      <c r="H731" s="77" t="inlineStr">
        <is>
          <t>Unit page / handbook description</t>
        </is>
      </c>
      <c r="I731" s="77" t="inlineStr">
        <is>
          <t>undated</t>
        </is>
      </c>
      <c r="J731" s="77" t="inlineStr">
        <is>
          <t>2026-10-12</t>
        </is>
      </c>
      <c r="K731" s="77" t="inlineStr">
        <is>
          <t>search-summary paraphrase</t>
        </is>
      </c>
      <c r="L73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32">
      <c r="A732" s="77" t="inlineStr">
        <is>
          <t>AU03-S06-R2</t>
        </is>
      </c>
      <c r="B732" s="77" t="inlineStr">
        <is>
          <t>AU03</t>
        </is>
      </c>
      <c r="C732" s="77" t="inlineStr">
        <is>
          <t>AU03-S06</t>
        </is>
      </c>
      <c r="D732" s="77" t="inlineStr">
        <is>
          <t>MMGT Business Project</t>
        </is>
      </c>
      <c r="E732" s="77" t="inlineStr">
        <is>
          <t>project; group</t>
        </is>
      </c>
      <c r="F732" s="77" t="inlineStr">
        <is>
          <t>https://www.sydney.edu.au/handbooks/business_school_PG/coursework/management/management_descriptions.shtml</t>
        </is>
      </c>
      <c r="G732" s="77" t="inlineStr">
        <is>
          <t>Master of Management - Business School Postgraduate</t>
        </is>
      </c>
      <c r="H732" s="77" t="inlineStr">
        <is>
          <t>Unit descriptions</t>
        </is>
      </c>
      <c r="I732" s="77" t="inlineStr">
        <is>
          <t>undated (legacy handbook format)</t>
        </is>
      </c>
      <c r="J732" s="77" t="inlineStr">
        <is>
          <t>2026-10-12</t>
        </is>
      </c>
      <c r="K732" s="77" t="inlineStr">
        <is>
          <t>search-summary paraphrase</t>
        </is>
      </c>
      <c r="L732" s="77" t="inlineStr">
        <is>
          <t>MMGT6101 described as a business project with a real organisation in groups.</t>
        </is>
      </c>
    </row>
    <row r="733">
      <c r="A733" s="77" t="inlineStr">
        <is>
          <t>AU03-S06-R3</t>
        </is>
      </c>
      <c r="B733" s="77" t="inlineStr">
        <is>
          <t>AU03</t>
        </is>
      </c>
      <c r="C733" s="77" t="inlineStr">
        <is>
          <t>AU03-S06</t>
        </is>
      </c>
      <c r="D733" s="77" t="inlineStr">
        <is>
          <t>MMGT Business Project</t>
        </is>
      </c>
      <c r="E733" s="77" t="inlineStr">
        <is>
          <t>eligibility</t>
        </is>
      </c>
      <c r="F733" s="77" t="inlineStr">
        <is>
          <t>https://rp-handbooks.sydney.edu.au/handbooks/archive/2016/business_school_PG/coursework/management/management_units.shtml.html</t>
        </is>
      </c>
      <c r="G733" s="77" t="inlineStr">
        <is>
          <t>Units of study for the Master of Management (2016 archive)</t>
        </is>
      </c>
      <c r="H733" s="77" t="inlineStr">
        <is>
          <t>Units</t>
        </is>
      </c>
      <c r="I733" s="77" t="inlineStr">
        <is>
          <t>2016</t>
        </is>
      </c>
      <c r="J733" s="77" t="inlineStr">
        <is>
          <t>2026-10-12</t>
        </is>
      </c>
      <c r="K733" s="77" t="inlineStr">
        <is>
          <t>search-summary paraphrase</t>
        </is>
      </c>
      <c r="L733" s="77" t="inlineStr">
        <is>
          <t>Students must complete 24 credit points of core units before enrolling; department permission required.</t>
        </is>
      </c>
    </row>
    <row r="734">
      <c r="A734" s="77" t="inlineStr">
        <is>
          <t>AU03-S07-R1</t>
        </is>
      </c>
      <c r="B734" s="77" t="inlineStr">
        <is>
          <t>AU03</t>
        </is>
      </c>
      <c r="C734" s="77" t="inlineStr">
        <is>
          <t>AU03-S07</t>
        </is>
      </c>
      <c r="D734" s="77" t="inlineStr">
        <is>
          <t>Strategy, Innovation and Management Capstone</t>
        </is>
      </c>
      <c r="E734" s="77" t="inlineStr">
        <is>
          <t>project; employer; status; credit</t>
        </is>
      </c>
      <c r="F734" s="77" t="inlineStr">
        <is>
          <t>https://www.sydney.edu.au/units/SIEN6600</t>
        </is>
      </c>
      <c r="G734" s="77" t="inlineStr">
        <is>
          <t>SIEN6600: Strategy, Innovation and Management Capstone</t>
        </is>
      </c>
      <c r="H734" s="77" t="inlineStr">
        <is>
          <t>Unit page</t>
        </is>
      </c>
      <c r="I734" s="77" t="inlineStr">
        <is>
          <t>2026</t>
        </is>
      </c>
      <c r="J734" s="77" t="inlineStr">
        <is>
          <t>2026-10-12</t>
        </is>
      </c>
      <c r="K734" s="77" t="inlineStr">
        <is>
          <t>search-summary paraphrase</t>
        </is>
      </c>
      <c r="L734" s="77" t="inlineStr">
        <is>
          <t>Theories and concepts are tested in real-life business projects offered by participating partner organisations; offered Semester 1 2026 and Semester 2 2026 at Camperdown/Darlington.</t>
        </is>
      </c>
    </row>
    <row r="735">
      <c r="A735" s="77" t="inlineStr">
        <is>
          <t>AU03-S08-R1</t>
        </is>
      </c>
      <c r="B735" s="77" t="inlineStr">
        <is>
          <t>AU03</t>
        </is>
      </c>
      <c r="C735" s="77" t="inlineStr">
        <is>
          <t>AU03-S08</t>
        </is>
      </c>
      <c r="D735" s="77" t="inlineStr">
        <is>
          <t>Master of Commerce Business Information Systems (BIS) capstone</t>
        </is>
      </c>
      <c r="E735" s="77" t="inlineStr">
        <is>
          <t>project; employer; status</t>
        </is>
      </c>
      <c r="F735" s="77" t="inlineStr">
        <is>
          <t>https://www.sydney.edu.au/business/news-and-events/news/2024/07/17/-master-of-commerce-students-navigate-real-world-projects-with-p.html</t>
        </is>
      </c>
      <c r="G735" s="77" t="inlineStr">
        <is>
          <t>BIS Capstone Unit Students Navigate Real-World Projects with Prezzee</t>
        </is>
      </c>
      <c r="H735" s="77" t="inlineStr">
        <is>
          <t>News</t>
        </is>
      </c>
      <c r="I735" s="77" t="inlineStr">
        <is>
          <t>2024</t>
        </is>
      </c>
      <c r="J735" s="77" t="inlineStr">
        <is>
          <t>2026-10-12</t>
        </is>
      </c>
      <c r="K735" s="77" t="inlineStr">
        <is>
          <t>search-summary paraphrase</t>
        </is>
      </c>
      <c r="L735" s="77" t="inlineStr">
        <is>
          <t>Students work with industry partners such as Prezzee on real business cases over 13 weeks with mid-term deliverables and a final report and presentation; a student valued working with a real client.</t>
        </is>
      </c>
    </row>
    <row r="736">
      <c r="A736" s="77" t="inlineStr">
        <is>
          <t>AU03-S09-R1</t>
        </is>
      </c>
      <c r="B736" s="77" t="inlineStr">
        <is>
          <t>AU03</t>
        </is>
      </c>
      <c r="C736" s="77" t="inlineStr">
        <is>
          <t>AU03-S09</t>
        </is>
      </c>
      <c r="D736" s="77" t="inlineStr">
        <is>
          <t>Computer Science Project</t>
        </is>
      </c>
      <c r="E736" s="77" t="inlineStr">
        <is>
          <t>project; group; employer; status; participation</t>
        </is>
      </c>
      <c r="F736" s="77" t="inlineStr">
        <is>
          <t>https://www.sydney.edu.au/units/COMP3888</t>
        </is>
      </c>
      <c r="G736" s="77" t="inlineStr">
        <is>
          <t>COMP3888: Computer Science Project</t>
        </is>
      </c>
      <c r="H736" s="77" t="inlineStr">
        <is>
          <t>Unit page</t>
        </is>
      </c>
      <c r="I736" s="77" t="inlineStr">
        <is>
          <t>2026</t>
        </is>
      </c>
      <c r="J736" s="77" t="inlineStr">
        <is>
          <t>2026-10-12</t>
        </is>
      </c>
      <c r="K736" s="77" t="inlineStr">
        <is>
          <t>search-summary paraphrase</t>
        </is>
      </c>
      <c r="L736"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37">
      <c r="A737" s="77" t="inlineStr">
        <is>
          <t>AU03-S09-R2</t>
        </is>
      </c>
      <c r="B737" s="77" t="inlineStr">
        <is>
          <t>AU03</t>
        </is>
      </c>
      <c r="C737" s="77" t="inlineStr">
        <is>
          <t>AU03-S09</t>
        </is>
      </c>
      <c r="D737" s="77" t="inlineStr">
        <is>
          <t>Computer Science Project</t>
        </is>
      </c>
      <c r="E737" s="77" t="inlineStr">
        <is>
          <t>employer</t>
        </is>
      </c>
      <c r="F737" s="77" t="inlineStr">
        <is>
          <t>https://www.sydney.edu.au/engage/industry-business-partnerships/work-with-our-students/real-world-projects.html</t>
        </is>
      </c>
      <c r="G737" s="77" t="inlineStr">
        <is>
          <t>Collaborate on real-world projects</t>
        </is>
      </c>
      <c r="H737" s="77" t="inlineStr">
        <is>
          <t>Computer science capstone</t>
        </is>
      </c>
      <c r="I737" s="77" t="inlineStr">
        <is>
          <t>undated</t>
        </is>
      </c>
      <c r="J737" s="77" t="inlineStr">
        <is>
          <t>2026-10-12</t>
        </is>
      </c>
      <c r="K737" s="77" t="inlineStr">
        <is>
          <t>search-summary paraphrase</t>
        </is>
      </c>
      <c r="L737" s="77" t="inlineStr">
        <is>
          <t>In computer science, a partner can provide a project scope describing a real-world problem and expected deliverables for a twelve-week capstone.</t>
        </is>
      </c>
    </row>
    <row r="738">
      <c r="A738" s="77" t="inlineStr">
        <is>
          <t>AU03-S10-R1</t>
        </is>
      </c>
      <c r="B738" s="77" t="inlineStr">
        <is>
          <t>AU03</t>
        </is>
      </c>
      <c r="C738" s="77" t="inlineStr">
        <is>
          <t>AU03-S10</t>
        </is>
      </c>
      <c r="D738" s="77" t="inlineStr">
        <is>
          <t>Jacaranda Flame Consulting (JFC)</t>
        </is>
      </c>
      <c r="E738" s="77" t="inlineStr">
        <is>
          <t>project; group; employer; eligibility; duration</t>
        </is>
      </c>
      <c r="F738" s="77" t="inlineStr">
        <is>
          <t>https://www.sydney.edu.au/engineering/study/student-experience/industry-placements-and-internships/jacaranda-flame-consulting.html</t>
        </is>
      </c>
      <c r="G738" s="77" t="inlineStr">
        <is>
          <t>Jacaranda Flame Consulting - The University of Sydney</t>
        </is>
      </c>
      <c r="H738" s="77" t="inlineStr">
        <is>
          <t>Programme page</t>
        </is>
      </c>
      <c r="I738" s="77" t="inlineStr">
        <is>
          <t>undated</t>
        </is>
      </c>
      <c r="J738" s="77" t="inlineStr">
        <is>
          <t>2026-10-12</t>
        </is>
      </c>
      <c r="K738" s="77" t="inlineStr">
        <is>
          <t>search-summary paraphrase</t>
        </is>
      </c>
      <c r="L738"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39">
      <c r="A739" s="77" t="inlineStr">
        <is>
          <t>AU03-S10-R2</t>
        </is>
      </c>
      <c r="B739" s="77" t="inlineStr">
        <is>
          <t>AU03</t>
        </is>
      </c>
      <c r="C739" s="77" t="inlineStr">
        <is>
          <t>AU03-S10</t>
        </is>
      </c>
      <c r="D739" s="77" t="inlineStr">
        <is>
          <t>Jacaranda Flame Consulting (JFC)</t>
        </is>
      </c>
      <c r="E739" s="77" t="inlineStr">
        <is>
          <t>status</t>
        </is>
      </c>
      <c r="F739" s="77" t="inlineStr">
        <is>
          <t>https://www.sydney.edu.au/news-opinion/news/2023/12/01/university-of-sydney-and-uts-collaborate-on-digital-central.html</t>
        </is>
      </c>
      <c r="G739" s="77" t="inlineStr">
        <is>
          <t>University of Sydney and UTS collaborate on Digital Central</t>
        </is>
      </c>
      <c r="H739" s="77" t="inlineStr">
        <is>
          <t>News</t>
        </is>
      </c>
      <c r="I739" s="77" t="inlineStr">
        <is>
          <t>2023</t>
        </is>
      </c>
      <c r="J739" s="77" t="inlineStr">
        <is>
          <t>2026-10-12</t>
        </is>
      </c>
      <c r="K739" s="77" t="inlineStr">
        <is>
          <t>search-summary paraphrase</t>
        </is>
      </c>
      <c r="L739" s="77" t="inlineStr">
        <is>
          <t>JFC and UTS Optik: high-performing students from both faculties of engineering form consulting teams for industry clients; first project Green Gate Consulting.</t>
        </is>
      </c>
    </row>
    <row r="740">
      <c r="A740" s="77" t="inlineStr">
        <is>
          <t>AU06-S01-R1</t>
        </is>
      </c>
      <c r="B740" s="77" t="inlineStr">
        <is>
          <t>AU06</t>
        </is>
      </c>
      <c r="C740" s="77" t="inlineStr">
        <is>
          <t>AU06-S01</t>
        </is>
      </c>
      <c r="D740" s="77" t="inlineStr">
        <is>
          <t>Ventures Industry Challenge</t>
        </is>
      </c>
      <c r="E740" s="77" t="inlineStr">
        <is>
          <t>project; group; employer; reach; eligibility; status; participation</t>
        </is>
      </c>
      <c r="F740" s="77" t="inlineStr">
        <is>
          <t>https://ventures.uq.edu.au/industry-challenge</t>
        </is>
      </c>
      <c r="G740" s="77" t="inlineStr">
        <is>
          <t>Ventures Industry Challenge</t>
        </is>
      </c>
      <c r="H740" s="77" t="inlineStr">
        <is>
          <t>Main page</t>
        </is>
      </c>
      <c r="I740" s="77" t="inlineStr">
        <is>
          <t>2026 (page describes 2026 edition)</t>
        </is>
      </c>
      <c r="J740" s="77" t="inlineStr">
        <is>
          <t>2026-10-12</t>
        </is>
      </c>
      <c r="K740" s="77" t="inlineStr">
        <is>
          <t>search-summary paraphrase</t>
        </is>
      </c>
      <c r="L740"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41">
      <c r="A741" s="77" t="inlineStr">
        <is>
          <t>AU06-S01-R2</t>
        </is>
      </c>
      <c r="B741" s="77" t="inlineStr">
        <is>
          <t>AU06</t>
        </is>
      </c>
      <c r="C741" s="77" t="inlineStr">
        <is>
          <t>AU06-S01</t>
        </is>
      </c>
      <c r="D741" s="77" t="inlineStr">
        <is>
          <t>Ventures Industry Challenge</t>
        </is>
      </c>
      <c r="E741" s="77" t="inlineStr">
        <is>
          <t>employer; status</t>
        </is>
      </c>
      <c r="F741" s="77" t="inlineStr">
        <is>
          <t>https://ventures.uq.edu.au/article/2024/10/ventures-industry-challenge-hooks-finalist-status-2024-excellence-awards</t>
        </is>
      </c>
      <c r="G741" s="77" t="inlineStr">
        <is>
          <t>Ventures Industry Challenge hooks finalist status in 2024 Excellence Awards</t>
        </is>
      </c>
      <c r="H741" s="77" t="inlineStr">
        <is>
          <t>News article</t>
        </is>
      </c>
      <c r="I741" s="77" t="inlineStr">
        <is>
          <t>2024</t>
        </is>
      </c>
      <c r="J741" s="77" t="inlineStr">
        <is>
          <t>2026-10-12</t>
        </is>
      </c>
      <c r="K741" s="77" t="inlineStr">
        <is>
          <t>search-summary paraphrase</t>
        </is>
      </c>
      <c r="L741" s="77" t="inlineStr">
        <is>
          <t>2024 edition used an Ocean Innovation theme with the Port of Brisbane; programme a Finalist in the Engagement Australia 2024 Excellence Awards.</t>
        </is>
      </c>
    </row>
    <row r="742">
      <c r="A742" s="77" t="inlineStr">
        <is>
          <t>AU06-S01-R3</t>
        </is>
      </c>
      <c r="B742" s="77" t="inlineStr">
        <is>
          <t>AU06</t>
        </is>
      </c>
      <c r="C742" s="77" t="inlineStr">
        <is>
          <t>AU06-S01</t>
        </is>
      </c>
      <c r="D742" s="77" t="inlineStr">
        <is>
          <t>Ventures Industry Challenge</t>
        </is>
      </c>
      <c r="E742" s="77" t="inlineStr">
        <is>
          <t>group; eligibility; duration; status</t>
        </is>
      </c>
      <c r="F742" s="77" t="inlineStr">
        <is>
          <t>https://ventures.uq.edu.au/industry-challenge</t>
        </is>
      </c>
      <c r="G742" s="77" t="inlineStr">
        <is>
          <t>Ventures Industry Challenge</t>
        </is>
      </c>
      <c r="H742" s="77" t="inlineStr">
        <is>
          <t>2026 details</t>
        </is>
      </c>
      <c r="I742" s="77" t="inlineStr">
        <is>
          <t>2026</t>
        </is>
      </c>
      <c r="J742" s="77" t="inlineStr">
        <is>
          <t>2026-10-12</t>
        </is>
      </c>
      <c r="K742" s="77" t="inlineStr">
        <is>
          <t>search-summary paraphrase</t>
        </is>
      </c>
      <c r="L742" s="77" t="inlineStr">
        <is>
          <t>Across September, student teams explore challenges related to sexual health and wellbeing; teams encouraged to be cross-disciplinary, 'no matter your discipline or year level'; 'Judging Criteria and Terms and Conditions apply to the pitch competition'.</t>
        </is>
      </c>
    </row>
    <row r="743">
      <c r="A743" s="77" t="inlineStr">
        <is>
          <t>AU06-S02-R1</t>
        </is>
      </c>
      <c r="B743" s="77" t="inlineStr">
        <is>
          <t>AU06</t>
        </is>
      </c>
      <c r="C743" s="77" t="inlineStr">
        <is>
          <t>AU06-S02</t>
        </is>
      </c>
      <c r="D743" s="77" t="inlineStr">
        <is>
          <t>Practera SAIEP - Industry Experience Projects</t>
        </is>
      </c>
      <c r="E743" s="77" t="inlineStr">
        <is>
          <t>project; group; employer; reach; eligibility; duration; status</t>
        </is>
      </c>
      <c r="F743" s="77" t="inlineStr">
        <is>
          <t>https://employability.uq.edu.au/practera-saiep-industry-experience-projects</t>
        </is>
      </c>
      <c r="G743" s="77" t="inlineStr">
        <is>
          <t>Practera SAIEP - Industry Experience Projects</t>
        </is>
      </c>
      <c r="H743" s="77" t="inlineStr">
        <is>
          <t>Main page</t>
        </is>
      </c>
      <c r="I743" s="77" t="inlineStr">
        <is>
          <t>2026/27 (Summer 2026/2027 orientation dates listed)</t>
        </is>
      </c>
      <c r="J743" s="77" t="inlineStr">
        <is>
          <t>2026-10-12</t>
        </is>
      </c>
      <c r="K743" s="77" t="inlineStr">
        <is>
          <t>search-summary paraphrase</t>
        </is>
      </c>
      <c r="L743"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44">
      <c r="A744" s="77" t="inlineStr">
        <is>
          <t>AU06-S03-R1</t>
        </is>
      </c>
      <c r="B744" s="77" t="inlineStr">
        <is>
          <t>AU06</t>
        </is>
      </c>
      <c r="C744" s="77" t="inlineStr">
        <is>
          <t>AU06-S03</t>
        </is>
      </c>
      <c r="D744" s="77" t="inlineStr">
        <is>
          <t>Industry Consulting Project (Business Industry Consultancy Project)</t>
        </is>
      </c>
      <c r="E744" s="77" t="inlineStr">
        <is>
          <t>project; group; employer; eligibility; status; duration</t>
        </is>
      </c>
      <c r="F744" s="77" t="inlineStr">
        <is>
          <t>https://bel.uq.edu.au/for-students/careers/wil/industry-project</t>
        </is>
      </c>
      <c r="G744" s="77" t="inlineStr">
        <is>
          <t>Industry consulting project - Faculty of Business, Economics &amp; Law</t>
        </is>
      </c>
      <c r="H744" s="77" t="inlineStr">
        <is>
          <t>Student page</t>
        </is>
      </c>
      <c r="I744" s="77" t="inlineStr">
        <is>
          <t>2026 (application deadlines for Summer 2026-27 and Semester 1 2027)</t>
        </is>
      </c>
      <c r="J744" s="77" t="inlineStr">
        <is>
          <t>2026-10-12</t>
        </is>
      </c>
      <c r="K744" s="77" t="inlineStr">
        <is>
          <t>search-summary paraphrase</t>
        </is>
      </c>
      <c r="L744"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45">
      <c r="A745" s="77" t="inlineStr">
        <is>
          <t>AU06-S03-R2</t>
        </is>
      </c>
      <c r="B745" s="77" t="inlineStr">
        <is>
          <t>AU06</t>
        </is>
      </c>
      <c r="C745" s="77" t="inlineStr">
        <is>
          <t>AU06-S03</t>
        </is>
      </c>
      <c r="D745" s="77" t="inlineStr">
        <is>
          <t>Industry Consulting Project (Business Industry Consultancy Project)</t>
        </is>
      </c>
      <c r="E745" s="77" t="inlineStr">
        <is>
          <t>group; employer</t>
        </is>
      </c>
      <c r="F745" s="77" t="inlineStr">
        <is>
          <t>https://about.uq.edu.au/faculties-institutes/bel/partners-community/partnerships/work-with-students</t>
        </is>
      </c>
      <c r="G745" s="77" t="inlineStr">
        <is>
          <t>Work with our students (BEL)</t>
        </is>
      </c>
      <c r="H745" s="77" t="inlineStr">
        <is>
          <t>Partner-facing page</t>
        </is>
      </c>
      <c r="I745" s="77" t="inlineStr">
        <is>
          <t>undated</t>
        </is>
      </c>
      <c r="J745" s="77" t="inlineStr">
        <is>
          <t>2026-10-12</t>
        </is>
      </c>
      <c r="K745" s="77" t="inlineStr">
        <is>
          <t>search-summary paraphrase</t>
        </is>
      </c>
      <c r="L745" s="77" t="inlineStr">
        <is>
          <t>Consultancy projects in which students 'work in teams to develop a tailored response to your project brief with the support of a UQ mentor'.</t>
        </is>
      </c>
    </row>
    <row r="746">
      <c r="A746" s="77" t="inlineStr">
        <is>
          <t>AU06-S03-R3</t>
        </is>
      </c>
      <c r="B746" s="77" t="inlineStr">
        <is>
          <t>AU06</t>
        </is>
      </c>
      <c r="C746" s="77" t="inlineStr">
        <is>
          <t>AU06-S03</t>
        </is>
      </c>
      <c r="D746" s="77" t="inlineStr">
        <is>
          <t>Industry Consulting Project (Business Industry Consultancy Project)</t>
        </is>
      </c>
      <c r="E746" s="77" t="inlineStr">
        <is>
          <t>eligibility; credit</t>
        </is>
      </c>
      <c r="F746" s="77" t="inlineStr">
        <is>
          <t>https://programs-courses.uq.edu.au/course.html?course_code=RBUS3888</t>
        </is>
      </c>
      <c r="G746" s="77" t="inlineStr">
        <is>
          <t>Business Industry Consultancy Project (RBUS3888)</t>
        </is>
      </c>
      <c r="H746" s="77" t="inlineStr">
        <is>
          <t>Course page</t>
        </is>
      </c>
      <c r="I746" s="77" t="inlineStr">
        <is>
          <t>undated</t>
        </is>
      </c>
      <c r="J746" s="77" t="inlineStr">
        <is>
          <t>2026-10-12</t>
        </is>
      </c>
      <c r="K746" s="77" t="inlineStr">
        <is>
          <t>search-summary paraphrase</t>
        </is>
      </c>
      <c r="L746" s="77" t="inlineStr">
        <is>
          <t>Prerequisite GPA of 4.0 or higher and approval from Head of School via BEL Student Administration Team.</t>
        </is>
      </c>
    </row>
    <row r="747">
      <c r="A747" s="77" t="inlineStr">
        <is>
          <t>AU06-S04-R1</t>
        </is>
      </c>
      <c r="B747" s="77" t="inlineStr">
        <is>
          <t>AU06</t>
        </is>
      </c>
      <c r="C747" s="77" t="inlineStr">
        <is>
          <t>AU06-S04</t>
        </is>
      </c>
      <c r="D747" s="77" t="inlineStr">
        <is>
          <t>Learning by Doing in a Disruptive World</t>
        </is>
      </c>
      <c r="E747" s="77" t="inlineStr">
        <is>
          <t>project; group; employer; reach; status; credit</t>
        </is>
      </c>
      <c r="F747" s="77" t="inlineStr">
        <is>
          <t>https://programs-courses.uq.edu.au/course.html?course_code=PBEL3000</t>
        </is>
      </c>
      <c r="G747" s="77" t="inlineStr">
        <is>
          <t>Learning by Doing in a Disruptive World (PBEL3000)</t>
        </is>
      </c>
      <c r="H747" s="77" t="inlineStr">
        <is>
          <t>Course description</t>
        </is>
      </c>
      <c r="I747" s="77" t="inlineStr">
        <is>
          <t>Summer Semester 2025 offering listed</t>
        </is>
      </c>
      <c r="J747" s="77" t="inlineStr">
        <is>
          <t>2026-10-12</t>
        </is>
      </c>
      <c r="K747" s="77" t="inlineStr">
        <is>
          <t>search-index extract (quoted)</t>
        </is>
      </c>
      <c r="L747"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48">
      <c r="A748" s="77" t="inlineStr">
        <is>
          <t>AU06-S04-R2</t>
        </is>
      </c>
      <c r="B748" s="77" t="inlineStr">
        <is>
          <t>AU06</t>
        </is>
      </c>
      <c r="C748" s="77" t="inlineStr">
        <is>
          <t>AU06-S04</t>
        </is>
      </c>
      <c r="D748" s="77" t="inlineStr">
        <is>
          <t>Learning by Doing in a Disruptive World</t>
        </is>
      </c>
      <c r="E748" s="77" t="inlineStr">
        <is>
          <t>group; project; employer; credit</t>
        </is>
      </c>
      <c r="F748" s="77" t="inlineStr">
        <is>
          <t>https://course-profiles.uq.edu.au/course-profiles/PBEL3000-80098-7480</t>
        </is>
      </c>
      <c r="G748" s="77" t="inlineStr">
        <is>
          <t>PBEL3000 course profile</t>
        </is>
      </c>
      <c r="H748" s="77" t="inlineStr">
        <is>
          <t>Assessment</t>
        </is>
      </c>
      <c r="I748" s="77" t="inlineStr">
        <is>
          <t>2024</t>
        </is>
      </c>
      <c r="J748" s="77" t="inlineStr">
        <is>
          <t>2026-10-12</t>
        </is>
      </c>
      <c r="K748" s="77" t="inlineStr">
        <is>
          <t>search-summary paraphrase</t>
        </is>
      </c>
      <c r="L748" s="77" t="inlineStr">
        <is>
          <t>Teams of 3-5; team presentation (30%) pitches solution to partner, who questions team and gives feedback; final industry report (40%) 2,000-3,000 words.</t>
        </is>
      </c>
    </row>
    <row r="749">
      <c r="A749" s="77" t="inlineStr">
        <is>
          <t>AU06-S04-R3</t>
        </is>
      </c>
      <c r="B749" s="77" t="inlineStr">
        <is>
          <t>AU06</t>
        </is>
      </c>
      <c r="C749" s="77" t="inlineStr">
        <is>
          <t>AU06-S04</t>
        </is>
      </c>
      <c r="D749" s="77" t="inlineStr">
        <is>
          <t>Learning by Doing in a Disruptive World</t>
        </is>
      </c>
      <c r="E749" s="77" t="inlineStr">
        <is>
          <t>employer; status</t>
        </is>
      </c>
      <c r="F749" s="77" t="inlineStr">
        <is>
          <t>https://bel.uq.edu.au/blog/2022/11/staff-take-centre-stage-2022-bel-employee-excellence-awards</t>
        </is>
      </c>
      <c r="G749" s="77" t="inlineStr">
        <is>
          <t>2022 BEL Awards for Excellence</t>
        </is>
      </c>
      <c r="H749" s="77" t="inlineStr">
        <is>
          <t>Award notice</t>
        </is>
      </c>
      <c r="I749" s="77" t="inlineStr">
        <is>
          <t>2022</t>
        </is>
      </c>
      <c r="J749" s="77" t="inlineStr">
        <is>
          <t>2026-10-12</t>
        </is>
      </c>
      <c r="K749" s="77" t="inlineStr">
        <is>
          <t>search-summary paraphrase</t>
        </is>
      </c>
      <c r="L749" s="77" t="inlineStr">
        <is>
          <t>Course developed by Dr Frederik von Briel; first delivered Summer Semester 2021 as BEL Employability Capstone; helped four industry partners with innovative solutions.</t>
        </is>
      </c>
    </row>
    <row r="750">
      <c r="A750" s="77" t="inlineStr">
        <is>
          <t>AU06-S05-R1</t>
        </is>
      </c>
      <c r="B750" s="77" t="inlineStr">
        <is>
          <t>AU06</t>
        </is>
      </c>
      <c r="C750" s="77" t="inlineStr">
        <is>
          <t>AU06-S05</t>
        </is>
      </c>
      <c r="D750" s="77" t="inlineStr">
        <is>
          <t>Impact Academy 1: Discovering New Solutions for Complex Problems</t>
        </is>
      </c>
      <c r="E750" s="77" t="inlineStr">
        <is>
          <t>project; group; employer; status; credit</t>
        </is>
      </c>
      <c r="F750" s="77" t="inlineStr">
        <is>
          <t>https://programs-courses.uq.edu.au/course.html?course_code=MGTS7820</t>
        </is>
      </c>
      <c r="G750" s="77" t="inlineStr">
        <is>
          <t>Impact Academy 1: Discovering New Solutions for Complex Problems (MGTS7820)</t>
        </is>
      </c>
      <c r="H750" s="77" t="inlineStr">
        <is>
          <t>Course page / 2026 course profile (MGTS7820-60075-7560)</t>
        </is>
      </c>
      <c r="I750" s="77" t="inlineStr">
        <is>
          <t>2026 (Semester 1, 2026 offering)</t>
        </is>
      </c>
      <c r="J750" s="77" t="inlineStr">
        <is>
          <t>2026-10-12</t>
        </is>
      </c>
      <c r="K750" s="77" t="inlineStr">
        <is>
          <t>search-summary paraphrase</t>
        </is>
      </c>
      <c r="L750"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51">
      <c r="A751" s="77" t="inlineStr">
        <is>
          <t>AU06-S05-R2</t>
        </is>
      </c>
      <c r="B751" s="77" t="inlineStr">
        <is>
          <t>AU06</t>
        </is>
      </c>
      <c r="C751" s="77" t="inlineStr">
        <is>
          <t>AU06-S05</t>
        </is>
      </c>
      <c r="D751" s="77" t="inlineStr">
        <is>
          <t>Impact Academy 1: Discovering New Solutions for Complex Problems</t>
        </is>
      </c>
      <c r="E751" s="77" t="inlineStr">
        <is>
          <t>employer; duration</t>
        </is>
      </c>
      <c r="F751" s="77" t="inlineStr">
        <is>
          <t>https://business.uq.edu.au/current-students/mba-industry-projects</t>
        </is>
      </c>
      <c r="G751" s="77" t="inlineStr">
        <is>
          <t>MBA Industry Projects - UQ Business School</t>
        </is>
      </c>
      <c r="H751" s="77" t="inlineStr">
        <is>
          <t>Main page</t>
        </is>
      </c>
      <c r="I751" s="77" t="inlineStr">
        <is>
          <t>undated</t>
        </is>
      </c>
      <c r="J751" s="77" t="inlineStr">
        <is>
          <t>2026-10-12</t>
        </is>
      </c>
      <c r="K751" s="77" t="inlineStr">
        <is>
          <t>search-summary paraphrase</t>
        </is>
      </c>
      <c r="L751" s="77" t="inlineStr">
        <is>
          <t>Consulting projects free to partner organisations; teams work with client for three to four months; projects best address a genuine business problem.</t>
        </is>
      </c>
    </row>
    <row r="752">
      <c r="A752" s="77" t="inlineStr">
        <is>
          <t>AU06-S05-R3</t>
        </is>
      </c>
      <c r="B752" s="77" t="inlineStr">
        <is>
          <t>AU06</t>
        </is>
      </c>
      <c r="C752" s="77" t="inlineStr">
        <is>
          <t>AU06-S05</t>
        </is>
      </c>
      <c r="D752" s="77" t="inlineStr">
        <is>
          <t>Impact Academy 1: Discovering New Solutions for Complex Problems</t>
        </is>
      </c>
      <c r="E752" s="77" t="inlineStr">
        <is>
          <t>employer; participation</t>
        </is>
      </c>
      <c r="F752" s="77" t="inlineStr">
        <is>
          <t>https://study.uq.edu.au/stories/mba-capstone-projects-industry-experience</t>
        </is>
      </c>
      <c r="G752" s="77" t="inlineStr">
        <is>
          <t>UQ MBA Impact Academy</t>
        </is>
      </c>
      <c r="H752" s="77" t="inlineStr">
        <is>
          <t>Story</t>
        </is>
      </c>
      <c r="I752" s="77" t="inlineStr">
        <is>
          <t>undated</t>
        </is>
      </c>
      <c r="J752" s="77" t="inlineStr">
        <is>
          <t>2026-10-12</t>
        </is>
      </c>
      <c r="K752" s="77" t="inlineStr">
        <is>
          <t>search-summary paraphrase</t>
        </is>
      </c>
      <c r="L752"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53">
      <c r="A753" s="77" t="inlineStr">
        <is>
          <t>AU06-S06-R1</t>
        </is>
      </c>
      <c r="B753" s="77" t="inlineStr">
        <is>
          <t>AU06</t>
        </is>
      </c>
      <c r="C753" s="77" t="inlineStr">
        <is>
          <t>AU06-S06</t>
        </is>
      </c>
      <c r="D753" s="77" t="inlineStr">
        <is>
          <t>Industry Engagement Capstone</t>
        </is>
      </c>
      <c r="E753" s="77" t="inlineStr">
        <is>
          <t>project; group; employer; credit; status</t>
        </is>
      </c>
      <c r="F753" s="77" t="inlineStr">
        <is>
          <t>https://course-profiles.uq.edu.au/course-profiles/MGTS7818-60293-7460</t>
        </is>
      </c>
      <c r="G753" s="77" t="inlineStr">
        <is>
          <t>MGTS7818 course profile</t>
        </is>
      </c>
      <c r="H753" s="77" t="inlineStr">
        <is>
          <t>Course description and assessment</t>
        </is>
      </c>
      <c r="I753" s="77" t="inlineStr">
        <is>
          <t>2024</t>
        </is>
      </c>
      <c r="J753" s="77" t="inlineStr">
        <is>
          <t>2026-10-12</t>
        </is>
      </c>
      <c r="K753" s="77" t="inlineStr">
        <is>
          <t>search-summary paraphrase</t>
        </is>
      </c>
      <c r="L753"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54">
      <c r="A754" s="77" t="inlineStr">
        <is>
          <t>AU06-S06-R2</t>
        </is>
      </c>
      <c r="B754" s="77" t="inlineStr">
        <is>
          <t>AU06</t>
        </is>
      </c>
      <c r="C754" s="77" t="inlineStr">
        <is>
          <t>AU06-S06</t>
        </is>
      </c>
      <c r="D754" s="77" t="inlineStr">
        <is>
          <t>Industry Engagement Capstone</t>
        </is>
      </c>
      <c r="E754" s="77" t="inlineStr">
        <is>
          <t>status</t>
        </is>
      </c>
      <c r="F754" s="77" t="inlineStr">
        <is>
          <t>https://my.uq.edu.au/programs-courses/course.html?course_code=MGTS7818</t>
        </is>
      </c>
      <c r="G754" s="77" t="inlineStr">
        <is>
          <t>Industry Engagement Capstone (MGTS7818)</t>
        </is>
      </c>
      <c r="H754" s="77" t="inlineStr">
        <is>
          <t>Course page</t>
        </is>
      </c>
      <c r="I754" s="77" t="inlineStr">
        <is>
          <t>undated</t>
        </is>
      </c>
      <c r="J754" s="77" t="inlineStr">
        <is>
          <t>2026-10-12</t>
        </is>
      </c>
      <c r="K754" s="77" t="inlineStr">
        <is>
          <t>search-summary paraphrase</t>
        </is>
      </c>
      <c r="L754" s="77" t="inlineStr">
        <is>
          <t>Most recent listed offerings Semester 1 and Semester 2 2024.</t>
        </is>
      </c>
    </row>
    <row r="755">
      <c r="A755" s="77" t="inlineStr">
        <is>
          <t>AU09-S01-R1</t>
        </is>
      </c>
      <c r="B755" s="77" t="inlineStr">
        <is>
          <t>AU09</t>
        </is>
      </c>
      <c r="C755" s="77" t="inlineStr">
        <is>
          <t>AU09-S01</t>
        </is>
      </c>
      <c r="D755" s="77" t="inlineStr">
        <is>
          <t>Transdisciplinary (TD) Electives</t>
        </is>
      </c>
      <c r="E755" s="77" t="inlineStr">
        <is>
          <t>project; group; employer; reach; eligibility</t>
        </is>
      </c>
      <c r="F755" s="77" t="inlineStr">
        <is>
          <t>https://www.uts.edu.au/for-students/transdisciplinary-innovation/transdisciplinary-electives</t>
        </is>
      </c>
      <c r="G755" s="77" t="inlineStr">
        <is>
          <t>Transdisciplinary Electives at UTS</t>
        </is>
      </c>
      <c r="H755" s="77" t="inlineStr">
        <is>
          <t>Student page</t>
        </is>
      </c>
      <c r="I755" s="77" t="inlineStr">
        <is>
          <t>undated</t>
        </is>
      </c>
      <c r="J755" s="77" t="inlineStr">
        <is>
          <t>2026-10-12</t>
        </is>
      </c>
      <c r="K755" s="77" t="inlineStr">
        <is>
          <t>search-summary paraphrase</t>
        </is>
      </c>
      <c r="L755" s="77" t="inlineStr">
        <is>
          <t>Each TD elective subject involves a real-world challenge presented by an industry partner organisation; students from across all faculties collaborate in teams; BCII students choose a different elective.</t>
        </is>
      </c>
    </row>
    <row r="756">
      <c r="A756" s="77" t="inlineStr">
        <is>
          <t>AU09-S01-R2</t>
        </is>
      </c>
      <c r="B756" s="77" t="inlineStr">
        <is>
          <t>AU09</t>
        </is>
      </c>
      <c r="C756" s="77" t="inlineStr">
        <is>
          <t>AU09-S01</t>
        </is>
      </c>
      <c r="D756" s="77" t="inlineStr">
        <is>
          <t>Transdisciplinary (TD) Electives</t>
        </is>
      </c>
      <c r="E756" s="77" t="inlineStr">
        <is>
          <t>project; employer</t>
        </is>
      </c>
      <c r="F756" s="77" t="inlineStr">
        <is>
          <t>https://www.uts.edu.au/about/faculties/transdisciplinary-school/partnerships/how-get-involved/project-based-engagements/td-electives</t>
        </is>
      </c>
      <c r="G756" s="77" t="inlineStr">
        <is>
          <t>TD electives (partner page)</t>
        </is>
      </c>
      <c r="H756" s="77" t="inlineStr">
        <is>
          <t>Partnerships &gt; Project-based engagements</t>
        </is>
      </c>
      <c r="I756" s="77" t="inlineStr">
        <is>
          <t>undated</t>
        </is>
      </c>
      <c r="J756" s="77" t="inlineStr">
        <is>
          <t>2026-10-12</t>
        </is>
      </c>
      <c r="K756" s="77" t="inlineStr">
        <is>
          <t>search-index extract (quoted)</t>
        </is>
      </c>
      <c r="L75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57">
      <c r="A757" s="77" t="inlineStr">
        <is>
          <t>AU09-S01-R3</t>
        </is>
      </c>
      <c r="B757" s="77" t="inlineStr">
        <is>
          <t>AU09</t>
        </is>
      </c>
      <c r="C757" s="77" t="inlineStr">
        <is>
          <t>AU09-S01</t>
        </is>
      </c>
      <c r="D757" s="77" t="inlineStr">
        <is>
          <t>Transdisciplinary (TD) Electives</t>
        </is>
      </c>
      <c r="E757" s="77" t="inlineStr">
        <is>
          <t>project; employer; status</t>
        </is>
      </c>
      <c r="F757" s="77" t="inlineStr">
        <is>
          <t>https://www.uts.edu.au/globalassets/sites/default/files/article/downloads/td-electives-2026-brochure.pdf</t>
        </is>
      </c>
      <c r="G757" s="77" t="inlineStr">
        <is>
          <t>TD Electives Program (2026 brochure)</t>
        </is>
      </c>
      <c r="H757" s="77" t="inlineStr">
        <is>
          <t>Partner brochure</t>
        </is>
      </c>
      <c r="I757" s="77" t="inlineStr">
        <is>
          <t>2026</t>
        </is>
      </c>
      <c r="J757" s="77" t="inlineStr">
        <is>
          <t>2026-10-12</t>
        </is>
      </c>
      <c r="K757" s="77" t="inlineStr">
        <is>
          <t>search-index extract (quoted)</t>
        </is>
      </c>
      <c r="L75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58">
      <c r="A758" s="77" t="inlineStr">
        <is>
          <t>AU09-S01-R4</t>
        </is>
      </c>
      <c r="B758" s="77" t="inlineStr">
        <is>
          <t>AU09</t>
        </is>
      </c>
      <c r="C758" s="77" t="inlineStr">
        <is>
          <t>AU09-S01</t>
        </is>
      </c>
      <c r="D758" s="77" t="inlineStr">
        <is>
          <t>Transdisciplinary (TD) Electives</t>
        </is>
      </c>
      <c r="E758" s="77" t="inlineStr">
        <is>
          <t>project; credit</t>
        </is>
      </c>
      <c r="F758" s="77" t="inlineStr">
        <is>
          <t>https://handbookpre2025.uts.edu.au/2024_1/subjects/details/95009.html</t>
        </is>
      </c>
      <c r="G758" s="77" t="inlineStr">
        <is>
          <t>UTS: 95009 TD: Change-making for social impact</t>
        </is>
      </c>
      <c r="H758" s="77" t="inlineStr">
        <is>
          <t>Assessment</t>
        </is>
      </c>
      <c r="I758" s="77" t="inlineStr">
        <is>
          <t>2024</t>
        </is>
      </c>
      <c r="J758" s="77" t="inlineStr">
        <is>
          <t>2026-10-12</t>
        </is>
      </c>
      <c r="K758" s="77" t="inlineStr">
        <is>
          <t>search-summary paraphrase</t>
        </is>
      </c>
      <c r="L758" s="77" t="inlineStr">
        <is>
          <t>Major task worth 40% includes a 10 minute presentation, a poster and a Miro board.</t>
        </is>
      </c>
    </row>
    <row r="759">
      <c r="A759" s="77" t="inlineStr">
        <is>
          <t>AU09-S01-R5</t>
        </is>
      </c>
      <c r="B759" s="77" t="inlineStr">
        <is>
          <t>AU09</t>
        </is>
      </c>
      <c r="C759" s="77" t="inlineStr">
        <is>
          <t>AU09-S01</t>
        </is>
      </c>
      <c r="D759" s="77" t="inlineStr">
        <is>
          <t>Transdisciplinary (TD) Electives</t>
        </is>
      </c>
      <c r="E759" s="77" t="inlineStr">
        <is>
          <t>status; credit</t>
        </is>
      </c>
      <c r="F759" s="77" t="inlineStr">
        <is>
          <t>https://coursehandbook.uts.edu.au/subject/2026/95010</t>
        </is>
      </c>
      <c r="G759" s="77" t="inlineStr">
        <is>
          <t>TD: Reframing, remixing, reimagining society +</t>
        </is>
      </c>
      <c r="H759" s="77" t="inlineStr">
        <is>
          <t>2026 handbook subject entry</t>
        </is>
      </c>
      <c r="I759" s="77" t="inlineStr">
        <is>
          <t>2026</t>
        </is>
      </c>
      <c r="J759" s="77" t="inlineStr">
        <is>
          <t>2026-10-12</t>
        </is>
      </c>
      <c r="K759" s="77" t="inlineStr">
        <is>
          <t>search-summary paraphrase</t>
        </is>
      </c>
      <c r="L759" s="77" t="inlineStr">
        <is>
          <t>95010, 8 credit points, listed in the 2026 handbook (assessment details not returned).</t>
        </is>
      </c>
    </row>
    <row r="760">
      <c r="A760" s="77" t="inlineStr">
        <is>
          <t>AU09-S02-R1</t>
        </is>
      </c>
      <c r="B760" s="77" t="inlineStr">
        <is>
          <t>AU09</t>
        </is>
      </c>
      <c r="C760" s="77" t="inlineStr">
        <is>
          <t>AU09-S02</t>
        </is>
      </c>
      <c r="D760" s="77" t="inlineStr">
        <is>
          <t>Industry Innovation Project</t>
        </is>
      </c>
      <c r="E760" s="77" t="inlineStr">
        <is>
          <t>project; group; employer</t>
        </is>
      </c>
      <c r="F760" s="77" t="inlineStr">
        <is>
          <t>https://www.uts.edu.au/about/faculties/transdisciplinary-school/partnerships/how-get-involved/project-based-engagements/industry-innovation-project</t>
        </is>
      </c>
      <c r="G760" s="77" t="inlineStr">
        <is>
          <t>Industry Innovation Project (partner page)</t>
        </is>
      </c>
      <c r="H760" s="77" t="inlineStr">
        <is>
          <t>Partnerships &gt; Project-based engagements</t>
        </is>
      </c>
      <c r="I760" s="77" t="inlineStr">
        <is>
          <t>undated (timeframes from 2022)</t>
        </is>
      </c>
      <c r="J760" s="77" t="inlineStr">
        <is>
          <t>2026-10-12</t>
        </is>
      </c>
      <c r="K760" s="77" t="inlineStr">
        <is>
          <t>search-summary paraphrase</t>
        </is>
      </c>
      <c r="L760"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761">
      <c r="A761" s="77" t="inlineStr">
        <is>
          <t>AU09-S02-R2</t>
        </is>
      </c>
      <c r="B761" s="77" t="inlineStr">
        <is>
          <t>AU09</t>
        </is>
      </c>
      <c r="C761" s="77" t="inlineStr">
        <is>
          <t>AU09-S02</t>
        </is>
      </c>
      <c r="D761" s="77" t="inlineStr">
        <is>
          <t>Industry Innovation Project</t>
        </is>
      </c>
      <c r="E761" s="77" t="inlineStr">
        <is>
          <t>project; employer; status; duration; eligibility</t>
        </is>
      </c>
      <c r="F761" s="77" t="inlineStr">
        <is>
          <t>https://www.uts.edu.au/globalassets/shared-media/documents/td-school/td-industry-innovation-project-2026-bcii-brochure.pdf</t>
        </is>
      </c>
      <c r="G761" s="77" t="inlineStr">
        <is>
          <t>Industry Innovation Project 2026 (BCII brochure)</t>
        </is>
      </c>
      <c r="H761" s="77" t="inlineStr">
        <is>
          <t>Partner brochure</t>
        </is>
      </c>
      <c r="I761" s="77" t="inlineStr">
        <is>
          <t>2026</t>
        </is>
      </c>
      <c r="J761" s="77" t="inlineStr">
        <is>
          <t>2026-10-12</t>
        </is>
      </c>
      <c r="K761" s="77" t="inlineStr">
        <is>
          <t>search-summary paraphrase</t>
        </is>
      </c>
      <c r="L761" s="77" t="inlineStr">
        <is>
          <t>Final-year BCII students; runs over a 13-week period from March to June 2026; competitive process with projects ultimately selected by student vote; students present initiatives, insights and prototypes in a final presentation with a report.</t>
        </is>
      </c>
    </row>
    <row r="762">
      <c r="A762" s="77" t="inlineStr">
        <is>
          <t>AU09-S03-R1</t>
        </is>
      </c>
      <c r="B762" s="77" t="inlineStr">
        <is>
          <t>AU09</t>
        </is>
      </c>
      <c r="C762" s="77" t="inlineStr">
        <is>
          <t>AU09-S03</t>
        </is>
      </c>
      <c r="D762" s="77" t="inlineStr">
        <is>
          <t>UTS Shopfront Community Program – community projects in coursework</t>
        </is>
      </c>
      <c r="E762" s="77" t="inlineStr">
        <is>
          <t>project; group; employer; eligibility; credit</t>
        </is>
      </c>
      <c r="F762" s="77" t="inlineStr">
        <is>
          <t>https://www.uts.edu.au/current-students/opportunities/community-and-leadership-programs/uts-shopfront/community-projects</t>
        </is>
      </c>
      <c r="G762" s="77" t="inlineStr">
        <is>
          <t>Community projects in coursework</t>
        </is>
      </c>
      <c r="H762" s="77" t="inlineStr">
        <is>
          <t>Student page</t>
        </is>
      </c>
      <c r="I762" s="77" t="inlineStr">
        <is>
          <t>undated</t>
        </is>
      </c>
      <c r="J762" s="77" t="inlineStr">
        <is>
          <t>2026-10-12</t>
        </is>
      </c>
      <c r="K762" s="77" t="inlineStr">
        <is>
          <t>search-summary paraphrase</t>
        </is>
      </c>
      <c r="L762" s="77" t="inlineStr">
        <is>
          <t>Community organisations identify the projects that matter to them; students work in teams as external consultants, usually in their final year or as postgraduates, and receive course credit; sessions Autumn (March–June) and Spring (August–November).</t>
        </is>
      </c>
    </row>
    <row r="763">
      <c r="A763" s="77" t="inlineStr">
        <is>
          <t>AU09-S03-R2</t>
        </is>
      </c>
      <c r="B763" s="77" t="inlineStr">
        <is>
          <t>AU09</t>
        </is>
      </c>
      <c r="C763" s="77" t="inlineStr">
        <is>
          <t>AU09-S03</t>
        </is>
      </c>
      <c r="D763" s="77" t="inlineStr">
        <is>
          <t>UTS Shopfront Community Program – community projects in coursework</t>
        </is>
      </c>
      <c r="E763" s="77" t="inlineStr">
        <is>
          <t>employer</t>
        </is>
      </c>
      <c r="F763" s="77" t="inlineStr">
        <is>
          <t>https://www.uts.edu.au/about/uts-vision/initiatives/social-justice-uts/uts-shopfront-community-program/community-groups/submit-shopfront-project</t>
        </is>
      </c>
      <c r="G763" s="77" t="inlineStr">
        <is>
          <t>Submit a Shopfront project</t>
        </is>
      </c>
      <c r="H763" s="77" t="inlineStr">
        <is>
          <t>Community groups</t>
        </is>
      </c>
      <c r="I763" s="77" t="inlineStr">
        <is>
          <t>undated</t>
        </is>
      </c>
      <c r="J763" s="77" t="inlineStr">
        <is>
          <t>2026-10-12</t>
        </is>
      </c>
      <c r="K763" s="77" t="inlineStr">
        <is>
          <t>search-summary paraphrase</t>
        </is>
      </c>
      <c r="L763" s="77" t="inlineStr">
        <is>
          <t>Pro bono program with no fee for community organisations; each organisation nominates a key contact able to dedicate up to two hours per week.</t>
        </is>
      </c>
    </row>
    <row r="764">
      <c r="A764" s="77" t="inlineStr">
        <is>
          <t>AU09-S03-R3</t>
        </is>
      </c>
      <c r="B764" s="77" t="inlineStr">
        <is>
          <t>AU09</t>
        </is>
      </c>
      <c r="C764" s="77" t="inlineStr">
        <is>
          <t>AU09-S03</t>
        </is>
      </c>
      <c r="D764" s="77" t="inlineStr">
        <is>
          <t>UTS Shopfront Community Program – community projects in coursework</t>
        </is>
      </c>
      <c r="E764" s="77" t="inlineStr">
        <is>
          <t>employer; status</t>
        </is>
      </c>
      <c r="F764" s="77" t="inlineStr">
        <is>
          <t>https://educationexpress.uts.edu.au/blog/2024/08/22/uts-shopfront-connects-students-and-community/</t>
        </is>
      </c>
      <c r="G764" s="77" t="inlineStr">
        <is>
          <t>UTS Shopfront connects students and community</t>
        </is>
      </c>
      <c r="H764" s="77" t="inlineStr">
        <is>
          <t>Blog</t>
        </is>
      </c>
      <c r="I764" s="77" t="inlineStr">
        <is>
          <t>2024</t>
        </is>
      </c>
      <c r="J764" s="77" t="inlineStr">
        <is>
          <t>2026-10-12</t>
        </is>
      </c>
      <c r="K764" s="77" t="inlineStr">
        <is>
          <t>search-summary paraphrase</t>
        </is>
      </c>
      <c r="L764" s="77" t="inlineStr">
        <is>
          <t>Examples of past work include research for the HIV/AIDS Legal Centre (NSW) and a music program with Glebe Youth Service.</t>
        </is>
      </c>
    </row>
    <row r="765">
      <c r="A765" s="77" t="inlineStr">
        <is>
          <t>UK02-S01-R1</t>
        </is>
      </c>
      <c r="B765" s="77" t="inlineStr">
        <is>
          <t>UK02</t>
        </is>
      </c>
      <c r="C765" s="77" t="inlineStr">
        <is>
          <t>UK02-S01</t>
        </is>
      </c>
      <c r="D765" s="77" t="inlineStr">
        <is>
          <t>Vertically Integrated Projects (VIP)</t>
        </is>
      </c>
      <c r="E765" s="77" t="inlineStr">
        <is>
          <t>status</t>
        </is>
      </c>
      <c r="F765" s="77" t="inlineStr">
        <is>
          <t>https://memos.wp.st-andrews.ac.uk/2026/04/15/applications-for-2026-2027-vip-modules-open-now/</t>
        </is>
      </c>
      <c r="G765" s="77" t="inlineStr">
        <is>
          <t>Applications for 2026-2027 VIP modules open now !</t>
        </is>
      </c>
      <c r="H765" s="77" t="inlineStr">
        <is>
          <t>Memo, April 2026</t>
        </is>
      </c>
      <c r="I765" s="77" t="inlineStr">
        <is>
          <t>2026</t>
        </is>
      </c>
      <c r="J765" s="77" t="inlineStr">
        <is>
          <t>2026-10-12</t>
        </is>
      </c>
      <c r="K765" s="77" t="inlineStr">
        <is>
          <t>search-summary paraphrase</t>
        </is>
      </c>
      <c r="L765" s="77" t="inlineStr">
        <is>
          <t>Applications for 2026-27 VIP modules open; deadline 9am, Monday 11th of May.</t>
        </is>
      </c>
    </row>
    <row r="766">
      <c r="A766" s="77" t="inlineStr">
        <is>
          <t>UK02-S01-R2</t>
        </is>
      </c>
      <c r="B766" s="77" t="inlineStr">
        <is>
          <t>UK02</t>
        </is>
      </c>
      <c r="C766" s="77" t="inlineStr">
        <is>
          <t>UK02-S01</t>
        </is>
      </c>
      <c r="D766" s="77" t="inlineStr">
        <is>
          <t>Vertically Integrated Projects (VIP)</t>
        </is>
      </c>
      <c r="E766" s="77" t="inlineStr">
        <is>
          <t>project; group; credit; participation</t>
        </is>
      </c>
      <c r="F766" s="77" t="inlineStr">
        <is>
          <t>https://www.st-andrews.ac.uk/education/vip/students/</t>
        </is>
      </c>
      <c r="G766" s="77" t="inlineStr">
        <is>
          <t>Information for students - Education - University of St Andrews</t>
        </is>
      </c>
      <c r="H766" s="77" t="inlineStr">
        <is>
          <t>Students page</t>
        </is>
      </c>
      <c r="I766" s="77" t="inlineStr">
        <is>
          <t>undated</t>
        </is>
      </c>
      <c r="J766" s="77" t="inlineStr">
        <is>
          <t>2026-10-12</t>
        </is>
      </c>
      <c r="K766" s="77" t="inlineStr">
        <is>
          <t>search-index extract (quoted)</t>
        </is>
      </c>
      <c r="L766"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767">
      <c r="A767" s="77" t="inlineStr">
        <is>
          <t>UK02-S01-R3</t>
        </is>
      </c>
      <c r="B767" s="77" t="inlineStr">
        <is>
          <t>UK02</t>
        </is>
      </c>
      <c r="C767" s="77" t="inlineStr">
        <is>
          <t>UK02-S01</t>
        </is>
      </c>
      <c r="D767" s="77" t="inlineStr">
        <is>
          <t>Vertically Integrated Projects (VIP)</t>
        </is>
      </c>
      <c r="E767" s="77" t="inlineStr">
        <is>
          <t>group; project</t>
        </is>
      </c>
      <c r="F767" s="77" t="inlineStr">
        <is>
          <t>https://education.wp.st-andrews.ac.uk/2021/02/23/vertically-integrated-projects-at-st-andrews/</t>
        </is>
      </c>
      <c r="G767" s="77" t="inlineStr">
        <is>
          <t>Vertically Integrated Projects at St Andrews</t>
        </is>
      </c>
      <c r="H767" s="77" t="inlineStr">
        <is>
          <t>Education blog</t>
        </is>
      </c>
      <c r="I767" s="77" t="inlineStr">
        <is>
          <t>2021</t>
        </is>
      </c>
      <c r="J767" s="77" t="inlineStr">
        <is>
          <t>2026-10-12</t>
        </is>
      </c>
      <c r="K767" s="77" t="inlineStr">
        <is>
          <t>search-index extract (quoted)</t>
        </is>
      </c>
      <c r="L767" s="77" t="inlineStr">
        <is>
          <t>'A VIP brings together a student team formed from different disciplines and levels of study to contribute to an ongoing research project for credit and grades.'</t>
        </is>
      </c>
    </row>
    <row r="768">
      <c r="A768" s="77" t="inlineStr">
        <is>
          <t>UK02-S01-R4</t>
        </is>
      </c>
      <c r="B768" s="77" t="inlineStr">
        <is>
          <t>UK02</t>
        </is>
      </c>
      <c r="C768" s="77" t="inlineStr">
        <is>
          <t>UK02-S01</t>
        </is>
      </c>
      <c r="D768" s="77" t="inlineStr">
        <is>
          <t>Vertically Integrated Projects (VIP)</t>
        </is>
      </c>
      <c r="E768" s="77" t="inlineStr">
        <is>
          <t>project; employer</t>
        </is>
      </c>
      <c r="F768" s="77" t="inlineStr">
        <is>
          <t>https://vip.wp.st-andrews.ac.uk/projectoverviews/st-andrews-forest/</t>
        </is>
      </c>
      <c r="G768" s="77" t="inlineStr">
        <is>
          <t>St Andrews Forest</t>
        </is>
      </c>
      <c r="H768" s="77" t="inlineStr">
        <is>
          <t>VIP project overview</t>
        </is>
      </c>
      <c r="I768" s="77" t="inlineStr">
        <is>
          <t>undated</t>
        </is>
      </c>
      <c r="J768" s="77" t="inlineStr">
        <is>
          <t>2026-10-12</t>
        </is>
      </c>
      <c r="K768" s="77" t="inlineStr">
        <is>
          <t>search-summary paraphrase</t>
        </is>
      </c>
      <c r="L768" s="77" t="inlineStr">
        <is>
          <t>Aims to join 'academics, practitioners and our neighbours to plan, implement and monitor the forest'; output is a commissioned report (and group presentation) to the University's Environmental Sustainability Board.</t>
        </is>
      </c>
    </row>
    <row r="769">
      <c r="A769" s="77" t="inlineStr">
        <is>
          <t>UK02-S01-R5</t>
        </is>
      </c>
      <c r="B769" s="77" t="inlineStr">
        <is>
          <t>UK02</t>
        </is>
      </c>
      <c r="C769" s="77" t="inlineStr">
        <is>
          <t>UK02-S01</t>
        </is>
      </c>
      <c r="D769" s="77" t="inlineStr">
        <is>
          <t>Vertically Integrated Projects (VIP)</t>
        </is>
      </c>
      <c r="E769" s="77" t="inlineStr">
        <is>
          <t>eligibility</t>
        </is>
      </c>
      <c r="F769" s="77" t="inlineStr">
        <is>
          <t>https://www.st-andrews.ac.uk/education/vip/projects/</t>
        </is>
      </c>
      <c r="G769" s="77" t="inlineStr">
        <is>
          <t>Projects - Education - University of St Andrews</t>
        </is>
      </c>
      <c r="H769" s="77" t="inlineStr">
        <is>
          <t>Projects list</t>
        </is>
      </c>
      <c r="I769" s="77" t="inlineStr">
        <is>
          <t>undated</t>
        </is>
      </c>
      <c r="J769" s="77" t="inlineStr">
        <is>
          <t>2026-10-12</t>
        </is>
      </c>
      <c r="K769" s="77" t="inlineStr">
        <is>
          <t>search-summary paraphrase</t>
        </is>
      </c>
      <c r="L769" s="77" t="inlineStr">
        <is>
          <t>Projects accept applications on a rolling basis and may close once desired numbers are reached.</t>
        </is>
      </c>
    </row>
    <row r="770">
      <c r="A770" s="77" t="inlineStr">
        <is>
          <t>UK02-S02-R1</t>
        </is>
      </c>
      <c r="B770" s="77" t="inlineStr">
        <is>
          <t>UK02</t>
        </is>
      </c>
      <c r="C770" s="77" t="inlineStr">
        <is>
          <t>UK02-S02</t>
        </is>
      </c>
      <c r="D770" s="77" t="inlineStr">
        <is>
          <t>Summer Team Enterprise Programme (STEP)</t>
        </is>
      </c>
      <c r="E770" s="77" t="inlineStr">
        <is>
          <t>project; group; employer; status; duration; credit</t>
        </is>
      </c>
      <c r="F770" s="77" t="inlineStr">
        <is>
          <t>https://www.st-andrews.ac.uk/education/handbook/step/</t>
        </is>
      </c>
      <c r="G770" s="77" t="inlineStr">
        <is>
          <t>Summer Team Enterprise Programme - Education - University of St Andrews</t>
        </is>
      </c>
      <c r="H770" s="77" t="inlineStr">
        <is>
          <t>Handbook page incl. 2026 timetable</t>
        </is>
      </c>
      <c r="I770" s="77" t="inlineStr">
        <is>
          <t>2026</t>
        </is>
      </c>
      <c r="J770" s="77" t="inlineStr">
        <is>
          <t>2026-10-12</t>
        </is>
      </c>
      <c r="K770" s="77" t="inlineStr">
        <is>
          <t>search-index extract (quoted)</t>
        </is>
      </c>
      <c r="L770"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771">
      <c r="A771" s="77" t="inlineStr">
        <is>
          <t>UK02-S02-R2</t>
        </is>
      </c>
      <c r="B771" s="77" t="inlineStr">
        <is>
          <t>UK02</t>
        </is>
      </c>
      <c r="C771" s="77" t="inlineStr">
        <is>
          <t>UK02-S02</t>
        </is>
      </c>
      <c r="D771" s="77" t="inlineStr">
        <is>
          <t>Summer Team Enterprise Programme (STEP)</t>
        </is>
      </c>
      <c r="E771" s="77" t="inlineStr">
        <is>
          <t>project; employer; reach</t>
        </is>
      </c>
      <c r="F771" s="77" t="inlineStr">
        <is>
          <t>https://www.st-andrews.ac.uk/careers/career-options/sectors/business/</t>
        </is>
      </c>
      <c r="G771" s="77" t="inlineStr">
        <is>
          <t>Business, consulting and management - Careers - University of St Andrews</t>
        </is>
      </c>
      <c r="H771" s="77" t="inlineStr">
        <is>
          <t>Gaining experience</t>
        </is>
      </c>
      <c r="I771" s="77" t="inlineStr">
        <is>
          <t>undated</t>
        </is>
      </c>
      <c r="J771" s="77" t="inlineStr">
        <is>
          <t>2026-10-12</t>
        </is>
      </c>
      <c r="K771" s="77" t="inlineStr">
        <is>
          <t>search-index extract (quoted)</t>
        </is>
      </c>
      <c r="L771"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772">
      <c r="A772" s="77" t="inlineStr">
        <is>
          <t>UK02-S03-R1</t>
        </is>
      </c>
      <c r="B772" s="77" t="inlineStr">
        <is>
          <t>UK02</t>
        </is>
      </c>
      <c r="C772" s="77" t="inlineStr">
        <is>
          <t>UK02-S03</t>
        </is>
      </c>
      <c r="D772" s="77" t="inlineStr">
        <is>
          <t>CS3099 Software Engineering Team Project</t>
        </is>
      </c>
      <c r="E772" s="77" t="inlineStr">
        <is>
          <t>project; group; credit; eligibility</t>
        </is>
      </c>
      <c r="F772" s="77" t="inlineStr">
        <is>
          <t>https://www.st-andrews.ac.uk/subjects/modules/catalogue/?code=CS3099</t>
        </is>
      </c>
      <c r="G772" s="77" t="inlineStr">
        <is>
          <t>CS3099 Software Engineering Team Project</t>
        </is>
      </c>
      <c r="H772" s="77" t="inlineStr">
        <is>
          <t>Module catalogue</t>
        </is>
      </c>
      <c r="I772" s="77" t="inlineStr">
        <is>
          <t>undated</t>
        </is>
      </c>
      <c r="J772" s="77" t="inlineStr">
        <is>
          <t>2026-10-12</t>
        </is>
      </c>
      <c r="K772" s="77" t="inlineStr">
        <is>
          <t>search-index extract (quoted)</t>
        </is>
      </c>
      <c r="L772" s="77" t="inlineStr">
        <is>
          <t>30 SCOTCAT / 15 ECTS; coursework 100%, no reassessment; prerequisites CS2002 and (CS2101 or CS2001); teams 'specify, plan, design, implement, test and document a medium-sized software system, under the guidance of a member of staff'.</t>
        </is>
      </c>
    </row>
    <row r="773">
      <c r="A773" s="77" t="inlineStr">
        <is>
          <t>UK02-S03-R2</t>
        </is>
      </c>
      <c r="B773" s="77" t="inlineStr">
        <is>
          <t>UK02</t>
        </is>
      </c>
      <c r="C773" s="77" t="inlineStr">
        <is>
          <t>UK02-S03</t>
        </is>
      </c>
      <c r="D773" s="77" t="inlineStr">
        <is>
          <t>CS3099 Software Engineering Team Project</t>
        </is>
      </c>
      <c r="E773" s="77" t="inlineStr">
        <is>
          <t>group; employer</t>
        </is>
      </c>
      <c r="F773" s="77" t="inlineStr">
        <is>
          <t>https://blogs.cs.st-andrews.ac.uk/csblog/2025/04/25/keeping-doors-open-connection-collaboration-and-opportunities/</t>
        </is>
      </c>
      <c r="G773" s="77" t="inlineStr">
        <is>
          <t>Keeping Doors Open: Connection, Collaboration and Opportunities</t>
        </is>
      </c>
      <c r="H773" s="77" t="inlineStr">
        <is>
          <t>School of Computer Science blog</t>
        </is>
      </c>
      <c r="I773" s="77" t="inlineStr">
        <is>
          <t>2025</t>
        </is>
      </c>
      <c r="J773" s="77" t="inlineStr">
        <is>
          <t>2026-10-12</t>
        </is>
      </c>
      <c r="K773" s="77" t="inlineStr">
        <is>
          <t>search-index extract (quoted)</t>
        </is>
      </c>
      <c r="L773"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774">
      <c r="A774" s="77" t="inlineStr">
        <is>
          <t>UK02-S03-R3</t>
        </is>
      </c>
      <c r="B774" s="77" t="inlineStr">
        <is>
          <t>UK02</t>
        </is>
      </c>
      <c r="C774" s="77" t="inlineStr">
        <is>
          <t>UK02-S03</t>
        </is>
      </c>
      <c r="D774" s="77" t="inlineStr">
        <is>
          <t>CS3099 Software Engineering Team Project</t>
        </is>
      </c>
      <c r="E774" s="77" t="inlineStr">
        <is>
          <t>status</t>
        </is>
      </c>
      <c r="F774" s="77" t="inlineStr">
        <is>
          <t>https://info.cs.st-andrews.ac.uk/student-handbook/modules/</t>
        </is>
      </c>
      <c r="G774" s="77" t="inlineStr">
        <is>
          <t>Modules in the School of Computer Science for 2026-27</t>
        </is>
      </c>
      <c r="H774" s="77" t="inlineStr">
        <is>
          <t>Student handbook module list</t>
        </is>
      </c>
      <c r="I774" s="77" t="inlineStr">
        <is>
          <t>2026/27</t>
        </is>
      </c>
      <c r="J774" s="77" t="inlineStr">
        <is>
          <t>2026-10-12</t>
        </is>
      </c>
      <c r="K774" s="77" t="inlineStr">
        <is>
          <t>search-summary paraphrase</t>
        </is>
      </c>
      <c r="L774" s="77" t="inlineStr">
        <is>
          <t>CS3099 listed among School of Computer Science modules for 2026-27.</t>
        </is>
      </c>
    </row>
    <row r="775">
      <c r="A775" s="77" t="inlineStr">
        <is>
          <t>UK02-S04-R1</t>
        </is>
      </c>
      <c r="B775" s="77" t="inlineStr">
        <is>
          <t>UK02</t>
        </is>
      </c>
      <c r="C775" s="77" t="inlineStr">
        <is>
          <t>UK02-S04</t>
        </is>
      </c>
      <c r="D775" s="77" t="inlineStr">
        <is>
          <t>Management MSc - consultancy projects with local organisations</t>
        </is>
      </c>
      <c r="E775" s="77" t="inlineStr">
        <is>
          <t>project; employer</t>
        </is>
      </c>
      <c r="F775" s="77" t="inlineStr">
        <is>
          <t>https://www.st-andrews.ac.uk/subjects/management/management-msc/</t>
        </is>
      </c>
      <c r="G775" s="77" t="inlineStr">
        <is>
          <t>Management MSc - Subjects - University of St Andrews</t>
        </is>
      </c>
      <c r="H775" s="77" t="inlineStr">
        <is>
          <t>Course overview (2027 entry)</t>
        </is>
      </c>
      <c r="I775" s="77" t="inlineStr">
        <is>
          <t>2027 entry</t>
        </is>
      </c>
      <c r="J775" s="77" t="inlineStr">
        <is>
          <t>2026-10-12</t>
        </is>
      </c>
      <c r="K775" s="77" t="inlineStr">
        <is>
          <t>search-index extract (quoted)</t>
        </is>
      </c>
      <c r="L775" s="77" t="inlineStr">
        <is>
          <t>Includes practical elements where students apply theory to real organisations, and 'the opportunity to work on consultancy projects with local organisations'.</t>
        </is>
      </c>
    </row>
    <row r="776">
      <c r="A776" s="77" t="inlineStr">
        <is>
          <t>UK02-S04-R2</t>
        </is>
      </c>
      <c r="B776" s="77" t="inlineStr">
        <is>
          <t>UK02</t>
        </is>
      </c>
      <c r="C776" s="77" t="inlineStr">
        <is>
          <t>UK02-S04</t>
        </is>
      </c>
      <c r="D776" s="77" t="inlineStr">
        <is>
          <t>Management MSc - consultancy projects with local organisations</t>
        </is>
      </c>
      <c r="E776" s="77" t="inlineStr">
        <is>
          <t>project</t>
        </is>
      </c>
      <c r="F776" s="77" t="inlineStr">
        <is>
          <t>https://archive.st-andrews.ac.uk/courses/2025-2026/pg/management-mlitt/</t>
        </is>
      </c>
      <c r="G776" s="77" t="inlineStr">
        <is>
          <t>Management MLitt - Courses archive - University of St Andrews</t>
        </is>
      </c>
      <c r="H776" s="77" t="inlineStr">
        <is>
          <t>Course overview</t>
        </is>
      </c>
      <c r="I776" s="77" t="inlineStr">
        <is>
          <t>2025/26</t>
        </is>
      </c>
      <c r="J776" s="77" t="inlineStr">
        <is>
          <t>2026-10-12</t>
        </is>
      </c>
      <c r="K776" s="77" t="inlineStr">
        <is>
          <t>search-index extract (quoted)</t>
        </is>
      </c>
      <c r="L776" s="77" t="inlineStr">
        <is>
          <t>Lists 'opportunities to take part in consultancy projects, and team activities'.</t>
        </is>
      </c>
    </row>
    <row r="777">
      <c r="A777" s="77" t="inlineStr">
        <is>
          <t>UK03-S01-R1</t>
        </is>
      </c>
      <c r="B777" s="77" t="inlineStr">
        <is>
          <t>UK03</t>
        </is>
      </c>
      <c r="C777" s="77" t="inlineStr">
        <is>
          <t>UK03-S01</t>
        </is>
      </c>
      <c r="D777" s="77" t="inlineStr">
        <is>
          <t>LUMS Company Projects / Consultancy Projects (Management School consultancy project modules)</t>
        </is>
      </c>
      <c r="E777" s="77" t="inlineStr">
        <is>
          <t>project; group; employer; eligibility; participation</t>
        </is>
      </c>
      <c r="F777" s="77" t="inlineStr">
        <is>
          <t>https://www.lancaster.ac.uk/lums/careers/students/consultancy-projects/</t>
        </is>
      </c>
      <c r="G777" s="77" t="inlineStr">
        <is>
          <t>Consultancy projects</t>
        </is>
      </c>
      <c r="H777" s="77" t="inlineStr">
        <is>
          <t>student page</t>
        </is>
      </c>
      <c r="I777" s="77" t="inlineStr">
        <is>
          <t>undated</t>
        </is>
      </c>
      <c r="J777" s="77" t="inlineStr">
        <is>
          <t>2026-10-12</t>
        </is>
      </c>
      <c r="K777" s="77" t="inlineStr">
        <is>
          <t>search-summary paraphrase</t>
        </is>
      </c>
      <c r="L777" s="77" t="inlineStr">
        <is>
          <t>Students work in small teams with partner companies on a real-world challenge; teams negotiate the scope of the brief with the client, collect/analyse data and make recommendations; compulsory in some degrees, optional in others.</t>
        </is>
      </c>
    </row>
    <row r="778">
      <c r="A778" s="77" t="inlineStr">
        <is>
          <t>UK03-S01-R2</t>
        </is>
      </c>
      <c r="B778" s="77" t="inlineStr">
        <is>
          <t>UK03</t>
        </is>
      </c>
      <c r="C778" s="77" t="inlineStr">
        <is>
          <t>UK03-S01</t>
        </is>
      </c>
      <c r="D778" s="77" t="inlineStr">
        <is>
          <t>LUMS Company Projects / Consultancy Projects (Management School consultancy project modules)</t>
        </is>
      </c>
      <c r="E778" s="77" t="inlineStr">
        <is>
          <t>employer; project</t>
        </is>
      </c>
      <c r="F778" s="77" t="inlineStr">
        <is>
          <t>https://www.lancaster.ac.uk/lums/careers/employers/company-projects/</t>
        </is>
      </c>
      <c r="G778" s="77" t="inlineStr">
        <is>
          <t>Company projects</t>
        </is>
      </c>
      <c r="H778" s="77" t="inlineStr">
        <is>
          <t>employer page</t>
        </is>
      </c>
      <c r="I778" s="77" t="inlineStr">
        <is>
          <t>undated</t>
        </is>
      </c>
      <c r="J778" s="77" t="inlineStr">
        <is>
          <t>2026-10-12</t>
        </is>
      </c>
      <c r="K778" s="77" t="inlineStr">
        <is>
          <t>search-summary paraphrase</t>
        </is>
      </c>
      <c r="L778" s="77" t="inlineStr">
        <is>
          <t>Company Projects team sources and scopes real-world projects for undergraduate and postgraduate consultancy project modules; hosts must be registered on Companies House for 1+ year and commit roughly 5-10 hours.</t>
        </is>
      </c>
    </row>
    <row r="779">
      <c r="A779" s="77" t="inlineStr">
        <is>
          <t>UK03-S01-R3</t>
        </is>
      </c>
      <c r="B779" s="77" t="inlineStr">
        <is>
          <t>UK03</t>
        </is>
      </c>
      <c r="C779" s="77" t="inlineStr">
        <is>
          <t>UK03-S01</t>
        </is>
      </c>
      <c r="D779" s="77" t="inlineStr">
        <is>
          <t>LUMS Company Projects / Consultancy Projects (Management School consultancy project modules)</t>
        </is>
      </c>
      <c r="E779" s="77" t="inlineStr">
        <is>
          <t>employer; status</t>
        </is>
      </c>
      <c r="F779" s="77" t="inlineStr">
        <is>
          <t>https://www.lancaster.ac.uk/lums/news/management-school-careers-service-recognised-for-excellence-in-work-related-learning</t>
        </is>
      </c>
      <c r="G779" s="77" t="inlineStr">
        <is>
          <t>Management School Careers Service recognised for excellence in work-related learning</t>
        </is>
      </c>
      <c r="H779" s="77" t="inlineStr">
        <is>
          <t>news</t>
        </is>
      </c>
      <c r="I779" s="77" t="inlineStr">
        <is>
          <t>c.2025</t>
        </is>
      </c>
      <c r="J779" s="77" t="inlineStr">
        <is>
          <t>2026-10-12</t>
        </is>
      </c>
      <c r="K779" s="77" t="inlineStr">
        <is>
          <t>search-summary paraphrase</t>
        </is>
      </c>
      <c r="L779" s="77" t="inlineStr">
        <is>
          <t>Careers Projects Team delivered &gt;150 bespoke projects; since 2023, 668 students and &gt;160 employer partners have taken part.</t>
        </is>
      </c>
    </row>
    <row r="780">
      <c r="A780" s="77" t="inlineStr">
        <is>
          <t>UK03-S02-R1</t>
        </is>
      </c>
      <c r="B780" s="77" t="inlineStr">
        <is>
          <t>UK03</t>
        </is>
      </c>
      <c r="C780" s="77" t="inlineStr">
        <is>
          <t>UK03-S02</t>
        </is>
      </c>
      <c r="D780" s="77" t="inlineStr">
        <is>
          <t>Research Consultancy Project (BSc Marketing and related Marketing degrees)</t>
        </is>
      </c>
      <c r="E780" s="77" t="inlineStr">
        <is>
          <t>project; group; employer; status</t>
        </is>
      </c>
      <c r="F780" s="77" t="inlineStr">
        <is>
          <t>https://www.lancaster.ac.uk/study/undergraduate/courses/marketing-bsc-hons-n500/2026/</t>
        </is>
      </c>
      <c r="G780" s="77" t="inlineStr">
        <is>
          <t>Marketing BSc Hons (N500)</t>
        </is>
      </c>
      <c r="H780" s="77" t="inlineStr">
        <is>
          <t>Core modules</t>
        </is>
      </c>
      <c r="I780" s="77" t="inlineStr">
        <is>
          <t>2026 entry</t>
        </is>
      </c>
      <c r="J780" s="77" t="inlineStr">
        <is>
          <t>2026-10-12</t>
        </is>
      </c>
      <c r="K780" s="77" t="inlineStr">
        <is>
          <t>search-summary paraphrase</t>
        </is>
      </c>
      <c r="L780" s="77" t="inlineStr">
        <is>
          <t>Core module Research Consultancy Project: consultancy-style research project, small team, live client project.</t>
        </is>
      </c>
    </row>
    <row r="781">
      <c r="A781" s="77" t="inlineStr">
        <is>
          <t>UK03-S02-R2</t>
        </is>
      </c>
      <c r="B781" s="77" t="inlineStr">
        <is>
          <t>UK03</t>
        </is>
      </c>
      <c r="C781" s="77" t="inlineStr">
        <is>
          <t>UK03-S02</t>
        </is>
      </c>
      <c r="D781" s="77" t="inlineStr">
        <is>
          <t>Research Consultancy Project (BSc Marketing and related Marketing degrees)</t>
        </is>
      </c>
      <c r="E781" s="77" t="inlineStr">
        <is>
          <t>employer; project</t>
        </is>
      </c>
      <c r="F781" s="77" t="inlineStr">
        <is>
          <t>https://www.lancaster.ac.uk/lums/careers/students/consultancy-projects/</t>
        </is>
      </c>
      <c r="G781" s="77" t="inlineStr">
        <is>
          <t>Consultancy projects</t>
        </is>
      </c>
      <c r="H781" s="77" t="inlineStr">
        <is>
          <t>student page</t>
        </is>
      </c>
      <c r="I781" s="77" t="inlineStr">
        <is>
          <t>undated</t>
        </is>
      </c>
      <c r="J781" s="77" t="inlineStr">
        <is>
          <t>2026-10-12</t>
        </is>
      </c>
      <c r="K781" s="77" t="inlineStr">
        <is>
          <t>search-summary paraphrase</t>
        </is>
      </c>
      <c r="L781" s="77" t="inlineStr">
        <is>
          <t>Groups negotiate scope of the brief with client; marketing research/analytics themes.</t>
        </is>
      </c>
    </row>
    <row r="782">
      <c r="A782" s="77" t="inlineStr">
        <is>
          <t>UK03-S02-R3</t>
        </is>
      </c>
      <c r="B782" s="77" t="inlineStr">
        <is>
          <t>UK03</t>
        </is>
      </c>
      <c r="C782" s="77" t="inlineStr">
        <is>
          <t>UK03-S02</t>
        </is>
      </c>
      <c r="D782" s="77" t="inlineStr">
        <is>
          <t>Research Consultancy Project (BSc Marketing and related Marketing degrees)</t>
        </is>
      </c>
      <c r="E782" s="77" t="inlineStr">
        <is>
          <t>employer</t>
        </is>
      </c>
      <c r="F782" s="77" t="inlineStr">
        <is>
          <t>https://www.lancaster.ac.uk/study/undergraduate/courses/marketing-with-psychology-industry-bsc-hons-n5c9/2027/</t>
        </is>
      </c>
      <c r="G782" s="77" t="inlineStr">
        <is>
          <t>Marketing with Psychology (Industry) BSc Hons (N5C9)</t>
        </is>
      </c>
      <c r="H782" s="77" t="inlineStr">
        <is>
          <t>course page</t>
        </is>
      </c>
      <c r="I782" s="77" t="inlineStr">
        <is>
          <t>2027 entry</t>
        </is>
      </c>
      <c r="J782" s="77" t="inlineStr">
        <is>
          <t>2026-10-12</t>
        </is>
      </c>
      <c r="K782" s="77" t="inlineStr">
        <is>
          <t>search-summary paraphrase</t>
        </is>
      </c>
      <c r="L782" s="77" t="inlineStr">
        <is>
          <t>Past clients include MOBO Awards, Saatchi &amp; Saatchi, Tesco, Lake District Tourism, SMEs and charities.</t>
        </is>
      </c>
    </row>
    <row r="783">
      <c r="A783" s="77" t="inlineStr">
        <is>
          <t>UK03-S03-R1</t>
        </is>
      </c>
      <c r="B783" s="77" t="inlineStr">
        <is>
          <t>UK03</t>
        </is>
      </c>
      <c r="C783" s="77" t="inlineStr">
        <is>
          <t>UK03-S03</t>
        </is>
      </c>
      <c r="D783" s="77" t="inlineStr">
        <is>
          <t>Design Consultancy (BA Design; Marketing and Design BSc)</t>
        </is>
      </c>
      <c r="E783" s="77" t="inlineStr">
        <is>
          <t>project; group; employer; status</t>
        </is>
      </c>
      <c r="F783" s="77" t="inlineStr">
        <is>
          <t>https://www.lancaster.ac.uk/study/undergraduate/courses/design-ba-hons-w281/2026/</t>
        </is>
      </c>
      <c r="G783" s="77" t="inlineStr">
        <is>
          <t>Design BA Hons (W281)</t>
        </is>
      </c>
      <c r="H783" s="77" t="inlineStr">
        <is>
          <t>Core modules</t>
        </is>
      </c>
      <c r="I783" s="77" t="inlineStr">
        <is>
          <t>2026 entry</t>
        </is>
      </c>
      <c r="J783" s="77" t="inlineStr">
        <is>
          <t>2026-10-12</t>
        </is>
      </c>
      <c r="K783" s="77" t="inlineStr">
        <is>
          <t>search-summary paraphrase</t>
        </is>
      </c>
      <c r="L783" s="77" t="inlineStr">
        <is>
          <t>Design Consultancy: live project with a real client; in a team tackle real business challenges; briefs shaped collaboratively with client.</t>
        </is>
      </c>
    </row>
    <row r="784">
      <c r="A784" s="77" t="inlineStr">
        <is>
          <t>UK03-S03-R2</t>
        </is>
      </c>
      <c r="B784" s="77" t="inlineStr">
        <is>
          <t>UK03</t>
        </is>
      </c>
      <c r="C784" s="77" t="inlineStr">
        <is>
          <t>UK03-S03</t>
        </is>
      </c>
      <c r="D784" s="77" t="inlineStr">
        <is>
          <t>Design Consultancy (BA Design; Marketing and Design BSc)</t>
        </is>
      </c>
      <c r="E784" s="77" t="inlineStr">
        <is>
          <t>duration; employer</t>
        </is>
      </c>
      <c r="F784" s="77" t="inlineStr">
        <is>
          <t>https://www.lancaster.ac.uk/study/undergraduate/courses/design-study-abroad-ba-hons-w283/2026/</t>
        </is>
      </c>
      <c r="G784" s="77" t="inlineStr">
        <is>
          <t>Design (Study Abroad) BA Hons (W283)</t>
        </is>
      </c>
      <c r="H784" s="77" t="inlineStr">
        <is>
          <t>course page</t>
        </is>
      </c>
      <c r="I784" s="77" t="inlineStr">
        <is>
          <t>2026 entry</t>
        </is>
      </c>
      <c r="J784" s="77" t="inlineStr">
        <is>
          <t>2026-10-12</t>
        </is>
      </c>
      <c r="K784" s="77" t="inlineStr">
        <is>
          <t>search-summary paraphrase</t>
        </is>
      </c>
      <c r="L784" s="77" t="inlineStr">
        <is>
          <t>In your final year, our Design Consultancy module enables you to work with a real client for the entire year.</t>
        </is>
      </c>
    </row>
    <row r="785">
      <c r="A785" s="77" t="inlineStr">
        <is>
          <t>UK03-S03-R3</t>
        </is>
      </c>
      <c r="B785" s="77" t="inlineStr">
        <is>
          <t>UK03</t>
        </is>
      </c>
      <c r="C785" s="77" t="inlineStr">
        <is>
          <t>UK03-S03</t>
        </is>
      </c>
      <c r="D785" s="77" t="inlineStr">
        <is>
          <t>Design Consultancy (BA Design; Marketing and Design BSc)</t>
        </is>
      </c>
      <c r="E785" s="77" t="inlineStr">
        <is>
          <t>project; group</t>
        </is>
      </c>
      <c r="F785" s="77" t="inlineStr">
        <is>
          <t>https://www.lancaster.ac.uk/study/undergraduate/courses/marketing-and-design-bsc-hons-nw52/2027/</t>
        </is>
      </c>
      <c r="G785" s="77" t="inlineStr">
        <is>
          <t>Marketing and Design BSc Hons (NW52)</t>
        </is>
      </c>
      <c r="H785" s="77" t="inlineStr">
        <is>
          <t>course page</t>
        </is>
      </c>
      <c r="I785" s="77" t="inlineStr">
        <is>
          <t>2027 entry</t>
        </is>
      </c>
      <c r="J785" s="77" t="inlineStr">
        <is>
          <t>2026-10-12</t>
        </is>
      </c>
      <c r="K785" s="77" t="inlineStr">
        <is>
          <t>search-summary paraphrase</t>
        </is>
      </c>
      <c r="L785" s="77" t="inlineStr">
        <is>
          <t>Final-year consultancy module in a design team conducting research using design methods.</t>
        </is>
      </c>
    </row>
    <row r="786">
      <c r="A786" s="77" t="inlineStr">
        <is>
          <t>UK03-S04-R1</t>
        </is>
      </c>
      <c r="B786" s="77" t="inlineStr">
        <is>
          <t>UK03</t>
        </is>
      </c>
      <c r="C786" s="77" t="inlineStr">
        <is>
          <t>UK03-S04</t>
        </is>
      </c>
      <c r="D786" s="77" t="inlineStr">
        <is>
          <t>MBA Consultancy Challenge and Corporate Challenge (Lancaster MBA)</t>
        </is>
      </c>
      <c r="E786" s="77" t="inlineStr">
        <is>
          <t>project; group; employer</t>
        </is>
      </c>
      <c r="F786" s="77" t="inlineStr">
        <is>
          <t>https://www.lancaster.ac.uk/lums/news/mba-consultancy-challenge</t>
        </is>
      </c>
      <c r="G786" s="77" t="inlineStr">
        <is>
          <t>MBA Consultancy Challenge</t>
        </is>
      </c>
      <c r="H786" s="77" t="inlineStr">
        <is>
          <t>news/programme</t>
        </is>
      </c>
      <c r="I786" s="77" t="inlineStr">
        <is>
          <t>undated</t>
        </is>
      </c>
      <c r="J786" s="77" t="inlineStr">
        <is>
          <t>2026-10-12</t>
        </is>
      </c>
      <c r="K786" s="77" t="inlineStr">
        <is>
          <t>search-summary paraphrase</t>
        </is>
      </c>
      <c r="L786" s="77" t="inlineStr">
        <is>
          <t>Third action-learning challenge; teams of consultants analyse a problem for a client organisation and develop implementable recommendations.</t>
        </is>
      </c>
    </row>
    <row r="787">
      <c r="A787" s="77" t="inlineStr">
        <is>
          <t>UK03-S04-R2</t>
        </is>
      </c>
      <c r="B787" s="77" t="inlineStr">
        <is>
          <t>UK03</t>
        </is>
      </c>
      <c r="C787" s="77" t="inlineStr">
        <is>
          <t>UK03-S04</t>
        </is>
      </c>
      <c r="D787" s="77" t="inlineStr">
        <is>
          <t>MBA Consultancy Challenge and Corporate Challenge (Lancaster MBA)</t>
        </is>
      </c>
      <c r="E787" s="77" t="inlineStr">
        <is>
          <t>employer</t>
        </is>
      </c>
      <c r="F787" s="77" t="inlineStr">
        <is>
          <t>https://www.lancaster.ac.uk/lums/business/</t>
        </is>
      </c>
      <c r="G787" s="77" t="inlineStr">
        <is>
          <t>LUMS for business</t>
        </is>
      </c>
      <c r="H787" s="77" t="inlineStr">
        <is>
          <t>testimonial</t>
        </is>
      </c>
      <c r="I787" s="77" t="inlineStr">
        <is>
          <t>undated</t>
        </is>
      </c>
      <c r="J787" s="77" t="inlineStr">
        <is>
          <t>2026-10-12</t>
        </is>
      </c>
      <c r="K787" s="77" t="inlineStr">
        <is>
          <t>search-summary paraphrase</t>
        </is>
      </c>
      <c r="L787" s="77" t="inlineStr">
        <is>
          <t>RSPCA testimonial praising an MBA student team as professional and well structured.</t>
        </is>
      </c>
    </row>
    <row r="788">
      <c r="A788" s="77" t="inlineStr">
        <is>
          <t>UK03-S05-R1</t>
        </is>
      </c>
      <c r="B788" s="77" t="inlineStr">
        <is>
          <t>UK03</t>
        </is>
      </c>
      <c r="C788" s="77" t="inlineStr">
        <is>
          <t>UK03-S05</t>
        </is>
      </c>
      <c r="D788" s="77" t="inlineStr">
        <is>
          <t>Company-based group project (MSc Advanced Management, Consulting and Change)</t>
        </is>
      </c>
      <c r="E788" s="77" t="inlineStr">
        <is>
          <t>project; group; employer; status; eligibility</t>
        </is>
      </c>
      <c r="F788" s="77" t="inlineStr">
        <is>
          <t>https://www.lancaster.ac.uk/study/postgraduate/postgraduate-courses/advanced-management-consulting-and-change-msc/2026/</t>
        </is>
      </c>
      <c r="G788" s="77" t="inlineStr">
        <is>
          <t>Advanced Management, Consulting and Change MSc</t>
        </is>
      </c>
      <c r="H788" s="77" t="inlineStr">
        <is>
          <t>Dissertation options</t>
        </is>
      </c>
      <c r="I788" s="77" t="inlineStr">
        <is>
          <t>2026 entry</t>
        </is>
      </c>
      <c r="J788" s="77" t="inlineStr">
        <is>
          <t>2026-10-12</t>
        </is>
      </c>
      <c r="K788" s="77" t="inlineStr">
        <is>
          <t>search-summary paraphrase</t>
        </is>
      </c>
      <c r="L788" s="77" t="inlineStr">
        <is>
          <t>Two options: company-based project, working in groups and in collaboration with an industry partner; or individual literature-review dissertation.</t>
        </is>
      </c>
    </row>
    <row r="789">
      <c r="A789" s="77" t="inlineStr">
        <is>
          <t>UK03-S06-R1</t>
        </is>
      </c>
      <c r="B789" s="77" t="inlineStr">
        <is>
          <t>UK03</t>
        </is>
      </c>
      <c r="C789" s="77" t="inlineStr">
        <is>
          <t>UK03-S06</t>
        </is>
      </c>
      <c r="D789" s="77" t="inlineStr">
        <is>
          <t>Organisational Diagnosis and Consulting live project (MA Human Resources and Consulting)</t>
        </is>
      </c>
      <c r="E789" s="77" t="inlineStr">
        <is>
          <t>project; group; employer; status</t>
        </is>
      </c>
      <c r="F789" s="77" t="inlineStr">
        <is>
          <t>https://www.lancaster.ac.uk/study/postgraduate/postgraduate-courses/human-resources-and-consulting-ma/2025/</t>
        </is>
      </c>
      <c r="G789" s="77" t="inlineStr">
        <is>
          <t>Human Resources and Consulting MA</t>
        </is>
      </c>
      <c r="H789" s="77" t="inlineStr">
        <is>
          <t>Project</t>
        </is>
      </c>
      <c r="I789" s="77" t="inlineStr">
        <is>
          <t>2025 entry</t>
        </is>
      </c>
      <c r="J789" s="77" t="inlineStr">
        <is>
          <t>2026-10-12</t>
        </is>
      </c>
      <c r="K789" s="77" t="inlineStr">
        <is>
          <t>search-summary paraphrase</t>
        </is>
      </c>
      <c r="L789" s="77" t="inlineStr">
        <is>
          <t>Eight-week Term 2 project, teams of six-eight, live consultancy brief for a client; client relationship managed by the student group.</t>
        </is>
      </c>
    </row>
    <row r="790">
      <c r="A790" s="77" t="inlineStr">
        <is>
          <t>UK03-S06-R2</t>
        </is>
      </c>
      <c r="B790" s="77" t="inlineStr">
        <is>
          <t>UK03</t>
        </is>
      </c>
      <c r="C790" s="77" t="inlineStr">
        <is>
          <t>UK03-S06</t>
        </is>
      </c>
      <c r="D790" s="77" t="inlineStr">
        <is>
          <t>Organisational Diagnosis and Consulting live project (MA Human Resources and Consulting)</t>
        </is>
      </c>
      <c r="E790" s="77" t="inlineStr">
        <is>
          <t>employer</t>
        </is>
      </c>
      <c r="F790" s="77" t="inlineStr">
        <is>
          <t>https://www.lancaster.ac.uk/lums/our-departments/organisation-work-and-technology/masters/ma-human-resources-and-consulting/</t>
        </is>
      </c>
      <c r="G790" s="77" t="inlineStr">
        <is>
          <t>MA Human Resources and Consulting</t>
        </is>
      </c>
      <c r="H790" s="77" t="inlineStr">
        <is>
          <t>department page</t>
        </is>
      </c>
      <c r="I790" s="77" t="inlineStr">
        <is>
          <t>undated</t>
        </is>
      </c>
      <c r="J790" s="77" t="inlineStr">
        <is>
          <t>2026-10-12</t>
        </is>
      </c>
      <c r="K790" s="77" t="inlineStr">
        <is>
          <t>search-summary paraphrase</t>
        </is>
      </c>
      <c r="L790" s="77" t="inlineStr">
        <is>
          <t>Clients typically from private and public sectors, large and small.</t>
        </is>
      </c>
    </row>
    <row r="791">
      <c r="A791" s="77" t="inlineStr">
        <is>
          <t>UK03-S07-R1</t>
        </is>
      </c>
      <c r="B791" s="77" t="inlineStr">
        <is>
          <t>UK03</t>
        </is>
      </c>
      <c r="C791" s="77" t="inlineStr">
        <is>
          <t>UK03-S07</t>
        </is>
      </c>
      <c r="D791" s="77" t="inlineStr">
        <is>
          <t>Company-based project (MSc Management)</t>
        </is>
      </c>
      <c r="E791" s="77" t="inlineStr">
        <is>
          <t>project; group; employer</t>
        </is>
      </c>
      <c r="F791" s="77" t="inlineStr">
        <is>
          <t>https://www.lancaster.ac.uk/lums/postgraduate/msc-management/</t>
        </is>
      </c>
      <c r="G791" s="77" t="inlineStr">
        <is>
          <t>MSc Management (MiM)</t>
        </is>
      </c>
      <c r="H791" s="77" t="inlineStr">
        <is>
          <t>company project</t>
        </is>
      </c>
      <c r="I791" s="77" t="inlineStr">
        <is>
          <t>undated</t>
        </is>
      </c>
      <c r="J791" s="77" t="inlineStr">
        <is>
          <t>2026-10-12</t>
        </is>
      </c>
      <c r="K791" s="77" t="inlineStr">
        <is>
          <t>search-summary paraphrase</t>
        </is>
      </c>
      <c r="L791" s="77" t="inlineStr">
        <is>
          <t>Company project is a team of four students solving a live business issue for a local firm with an assessed company report; alternative is independent research project.</t>
        </is>
      </c>
    </row>
    <row r="792">
      <c r="A792" s="77" t="inlineStr">
        <is>
          <t>UK03-S07-R2</t>
        </is>
      </c>
      <c r="B792" s="77" t="inlineStr">
        <is>
          <t>UK03</t>
        </is>
      </c>
      <c r="C792" s="77" t="inlineStr">
        <is>
          <t>UK03-S07</t>
        </is>
      </c>
      <c r="D792" s="77" t="inlineStr">
        <is>
          <t>Company-based project (MSc Management)</t>
        </is>
      </c>
      <c r="E792" s="77" t="inlineStr">
        <is>
          <t>group; employer</t>
        </is>
      </c>
      <c r="F792" s="77" t="inlineStr">
        <is>
          <t>https://www.lancaster.ac.uk/lums/blogs/my-experience-of-msc-managements-company-based-project</t>
        </is>
      </c>
      <c r="G792" s="77" t="inlineStr">
        <is>
          <t>My experience of MSc Management's company-based project</t>
        </is>
      </c>
      <c r="H792" s="77" t="inlineStr">
        <is>
          <t>blog</t>
        </is>
      </c>
      <c r="I792" s="77" t="inlineStr">
        <is>
          <t>undated</t>
        </is>
      </c>
      <c r="J792" s="77" t="inlineStr">
        <is>
          <t>2026-10-12</t>
        </is>
      </c>
      <c r="K792" s="77" t="inlineStr">
        <is>
          <t>search-summary paraphrase</t>
        </is>
      </c>
      <c r="L792" s="77" t="inlineStr">
        <is>
          <t>Students choose teammates, are interviewed, submit company preferences; clients assigned by department.</t>
        </is>
      </c>
    </row>
    <row r="793">
      <c r="A793" s="77" t="inlineStr">
        <is>
          <t>UK03-S08-R1</t>
        </is>
      </c>
      <c r="B793" s="77" t="inlineStr">
        <is>
          <t>UK03</t>
        </is>
      </c>
      <c r="C793" s="77" t="inlineStr">
        <is>
          <t>UK03-S08</t>
        </is>
      </c>
      <c r="D793" s="77" t="inlineStr">
        <is>
          <t>Action project / consultancy project (MSc Project Management)</t>
        </is>
      </c>
      <c r="E793" s="77" t="inlineStr">
        <is>
          <t>project; group; employer; status</t>
        </is>
      </c>
      <c r="F793" s="77" t="inlineStr">
        <is>
          <t>https://www.lancaster.ac.uk/study/postgraduate/postgraduate-courses/project-management-msc/2026/</t>
        </is>
      </c>
      <c r="G793" s="77" t="inlineStr">
        <is>
          <t>Project Management MSc</t>
        </is>
      </c>
      <c r="H793" s="77" t="inlineStr">
        <is>
          <t>dissertation options</t>
        </is>
      </c>
      <c r="I793" s="77" t="inlineStr">
        <is>
          <t>2026 entry</t>
        </is>
      </c>
      <c r="J793" s="77" t="inlineStr">
        <is>
          <t>2026-10-12</t>
        </is>
      </c>
      <c r="K793" s="77" t="inlineStr">
        <is>
          <t>search-summary paraphrase</t>
        </is>
      </c>
      <c r="L793" s="77" t="inlineStr">
        <is>
          <t>Choose desk-based dissertation or consultancy project with SMEs; action project usually in groups of two to three.</t>
        </is>
      </c>
    </row>
    <row r="794">
      <c r="A794" s="77" t="inlineStr">
        <is>
          <t>UK03-S08-R2</t>
        </is>
      </c>
      <c r="B794" s="77" t="inlineStr">
        <is>
          <t>UK03</t>
        </is>
      </c>
      <c r="C794" s="77" t="inlineStr">
        <is>
          <t>UK03-S08</t>
        </is>
      </c>
      <c r="D794" s="77" t="inlineStr">
        <is>
          <t>Action project / consultancy project (MSc Project Management)</t>
        </is>
      </c>
      <c r="E794" s="77" t="inlineStr">
        <is>
          <t>group; employer</t>
        </is>
      </c>
      <c r="F794" s="77" t="inlineStr">
        <is>
          <t>https://www.lancaster.ac.uk/study/postgraduate/postgraduate-courses/project-management-msc/2027/</t>
        </is>
      </c>
      <c r="G794" s="77" t="inlineStr">
        <is>
          <t>Project Management MSc</t>
        </is>
      </c>
      <c r="H794" s="77" t="inlineStr">
        <is>
          <t>course page</t>
        </is>
      </c>
      <c r="I794" s="77" t="inlineStr">
        <is>
          <t>2027 entry</t>
        </is>
      </c>
      <c r="J794" s="77" t="inlineStr">
        <is>
          <t>2026-10-12</t>
        </is>
      </c>
      <c r="K794" s="77" t="inlineStr">
        <is>
          <t>search-summary paraphrase</t>
        </is>
      </c>
      <c r="L794" s="77" t="inlineStr">
        <is>
          <t>Optional module: small student team delivers real-world project with an industry partner.</t>
        </is>
      </c>
    </row>
    <row r="795">
      <c r="A795" s="77" t="inlineStr">
        <is>
          <t>UK03-S09-R1</t>
        </is>
      </c>
      <c r="B795" s="77" t="inlineStr">
        <is>
          <t>UK03</t>
        </is>
      </c>
      <c r="C795" s="77" t="inlineStr">
        <is>
          <t>UK03-S09</t>
        </is>
      </c>
      <c r="D795" s="77" t="inlineStr">
        <is>
          <t>Company Commissioned Dissertation (MSc Digital and Social Media Marketing)</t>
        </is>
      </c>
      <c r="E795" s="77" t="inlineStr">
        <is>
          <t>project; group; employer; status</t>
        </is>
      </c>
      <c r="F795" s="77" t="inlineStr">
        <is>
          <t>https://www.lancaster.ac.uk/study/postgraduate/postgraduate-courses/digital-and-social-media-marketing-msc/2026/</t>
        </is>
      </c>
      <c r="G795" s="77" t="inlineStr">
        <is>
          <t>Digital and Social Media Marketing MSc</t>
        </is>
      </c>
      <c r="H795" s="77" t="inlineStr">
        <is>
          <t>final project</t>
        </is>
      </c>
      <c r="I795" s="77" t="inlineStr">
        <is>
          <t>2026 entry</t>
        </is>
      </c>
      <c r="J795" s="77" t="inlineStr">
        <is>
          <t>2026-10-12</t>
        </is>
      </c>
      <c r="K795" s="77" t="inlineStr">
        <is>
          <t>search-summary paraphrase</t>
        </is>
      </c>
      <c r="L795" s="77" t="inlineStr">
        <is>
          <t>Company Commissioned Dissertation: self-selected team with a company client; live client consultancy as final assessment.</t>
        </is>
      </c>
    </row>
    <row r="796">
      <c r="A796" s="77" t="inlineStr">
        <is>
          <t>UK03-S10-R1</t>
        </is>
      </c>
      <c r="B796" s="77" t="inlineStr">
        <is>
          <t>UK03</t>
        </is>
      </c>
      <c r="C796" s="77" t="inlineStr">
        <is>
          <t>UK03-S10</t>
        </is>
      </c>
      <c r="D796" s="77" t="inlineStr">
        <is>
          <t>LUMS annual hackathon (MSc Digital Business, Innovation and Management) with Fujitsu/Heathrow</t>
        </is>
      </c>
      <c r="E796" s="77" t="inlineStr">
        <is>
          <t>project; group; employer; status; duration</t>
        </is>
      </c>
      <c r="F796" s="77" t="inlineStr">
        <is>
          <t>https://www.lancaster.ac.uk/lums/news/lancaster-students-work-with-fujitsu-and-heathrow-airport-on-hackathon-event</t>
        </is>
      </c>
      <c r="G796" s="77" t="inlineStr">
        <is>
          <t>Lancaster students work with Fujitsu and Heathrow Airport on Hackathon event</t>
        </is>
      </c>
      <c r="H796" s="77" t="inlineStr">
        <is>
          <t>news</t>
        </is>
      </c>
      <c r="I796" s="77" t="inlineStr">
        <is>
          <t>22 April 2026</t>
        </is>
      </c>
      <c r="J796" s="77" t="inlineStr">
        <is>
          <t>2026-10-12</t>
        </is>
      </c>
      <c r="K796" s="77" t="inlineStr">
        <is>
          <t>search-summary paraphrase</t>
        </is>
      </c>
      <c r="L796" s="77" t="inlineStr">
        <is>
          <t>Two-day hackathon, 32 students from MSc PM, DBIM and Cyber Security; challenge involving AI and cybersecurity with Heathrow as client; talks from Fujitsu and Heathrow.</t>
        </is>
      </c>
    </row>
    <row r="797">
      <c r="A797" s="77" t="inlineStr">
        <is>
          <t>UK03-S11-R1</t>
        </is>
      </c>
      <c r="B797" s="77" t="inlineStr">
        <is>
          <t>UK03</t>
        </is>
      </c>
      <c r="C797" s="77" t="inlineStr">
        <is>
          <t>UK03-S11</t>
        </is>
      </c>
      <c r="D797" s="77" t="inlineStr">
        <is>
          <t>Industrial Group Projects (Physics)</t>
        </is>
      </c>
      <c r="E797" s="77" t="inlineStr">
        <is>
          <t>project; group; employer; credit; eligibility</t>
        </is>
      </c>
      <c r="F797" s="77" t="inlineStr">
        <is>
          <t>https://www.lancaster.ac.uk/physics/business/student-engagement/industrial-group-projects/</t>
        </is>
      </c>
      <c r="G797" s="77" t="inlineStr">
        <is>
          <t>Industrial Group Projects</t>
        </is>
      </c>
      <c r="H797" s="77" t="inlineStr">
        <is>
          <t>scheme page</t>
        </is>
      </c>
      <c r="I797" s="77" t="inlineStr">
        <is>
          <t>undated</t>
        </is>
      </c>
      <c r="J797" s="77" t="inlineStr">
        <is>
          <t>2026-10-12</t>
        </is>
      </c>
      <c r="K797" s="77" t="inlineStr">
        <is>
          <t>search-summary paraphrase</t>
        </is>
      </c>
      <c r="L797" s="77" t="inlineStr">
        <is>
          <t>Students work in small groups of 3-6, projects account for 25% of marks; companies provide briefing, meet students, receive reports.</t>
        </is>
      </c>
    </row>
    <row r="798">
      <c r="A798" s="77" t="inlineStr">
        <is>
          <t>UK03-S11-R2</t>
        </is>
      </c>
      <c r="B798" s="77" t="inlineStr">
        <is>
          <t>UK03</t>
        </is>
      </c>
      <c r="C798" s="77" t="inlineStr">
        <is>
          <t>UK03-S11</t>
        </is>
      </c>
      <c r="D798" s="77" t="inlineStr">
        <is>
          <t>Industrial Group Projects (Physics)</t>
        </is>
      </c>
      <c r="E798" s="77" t="inlineStr">
        <is>
          <t>employer; status</t>
        </is>
      </c>
      <c r="F798" s="77" t="inlineStr">
        <is>
          <t>https://www.lancaster.ac.uk/study/undergraduate/courses/physics-bsc-hons-f300/2026/</t>
        </is>
      </c>
      <c r="G798" s="77" t="inlineStr">
        <is>
          <t>Physics BSc Hons (F300)</t>
        </is>
      </c>
      <c r="H798" s="77" t="inlineStr">
        <is>
          <t>course page</t>
        </is>
      </c>
      <c r="I798" s="77" t="inlineStr">
        <is>
          <t>2026 entry</t>
        </is>
      </c>
      <c r="J798" s="77" t="inlineStr">
        <is>
          <t>2026-10-12</t>
        </is>
      </c>
      <c r="K798" s="77" t="inlineStr">
        <is>
          <t>search-summary paraphrase</t>
        </is>
      </c>
      <c r="L798" s="77" t="inlineStr">
        <is>
          <t>Describes recent Siemens Energy project on recycling a high-performance plastic.</t>
        </is>
      </c>
    </row>
    <row r="799">
      <c r="A799" s="77" t="inlineStr">
        <is>
          <t>UK03-S12-R1</t>
        </is>
      </c>
      <c r="B799" s="77" t="inlineStr">
        <is>
          <t>UK03</t>
        </is>
      </c>
      <c r="C799" s="77" t="inlineStr">
        <is>
          <t>UK03-S12</t>
        </is>
      </c>
      <c r="D799" s="77" t="inlineStr">
        <is>
          <t>Industry-based group projects (ENGR 445 and short team projects), School of Engineering</t>
        </is>
      </c>
      <c r="E799" s="77" t="inlineStr">
        <is>
          <t>project; group; employer; eligibility; participation</t>
        </is>
      </c>
      <c r="F799" s="77" t="inlineStr">
        <is>
          <t>https://www.lancaster.ac.uk/engineering/business/collaborating-with-our-students/</t>
        </is>
      </c>
      <c r="G799" s="77" t="inlineStr">
        <is>
          <t>Collaborating with our Students</t>
        </is>
      </c>
      <c r="H799" s="77" t="inlineStr">
        <is>
          <t>scheme page</t>
        </is>
      </c>
      <c r="I799" s="77" t="inlineStr">
        <is>
          <t>undated</t>
        </is>
      </c>
      <c r="J799" s="77" t="inlineStr">
        <is>
          <t>2026-10-12</t>
        </is>
      </c>
      <c r="K799" s="77" t="inlineStr">
        <is>
          <t>search-summary paraphrase</t>
        </is>
      </c>
      <c r="L799" s="77" t="inlineStr">
        <is>
          <t>Team projects typically four to six students; two weeks in March; nine-month fourth-year project; ENGR 445 core for integrated MEng; real-life company problems.</t>
        </is>
      </c>
    </row>
    <row r="800">
      <c r="A800" s="77" t="inlineStr">
        <is>
          <t>UK03-S12-R2</t>
        </is>
      </c>
      <c r="B800" s="77" t="inlineStr">
        <is>
          <t>UK03</t>
        </is>
      </c>
      <c r="C800" s="77" t="inlineStr">
        <is>
          <t>UK03-S12</t>
        </is>
      </c>
      <c r="D800" s="77" t="inlineStr">
        <is>
          <t>Industry-based group projects (ENGR 445 and short team projects), School of Engineering</t>
        </is>
      </c>
      <c r="E800" s="77" t="inlineStr">
        <is>
          <t>employer; project</t>
        </is>
      </c>
      <c r="F800" s="77" t="inlineStr">
        <is>
          <t>https://www.lancaster.ac.uk/engineering/study/industrial-projects/</t>
        </is>
      </c>
      <c r="G800" s="77" t="inlineStr">
        <is>
          <t>Industrial Projects</t>
        </is>
      </c>
      <c r="H800" s="77" t="inlineStr">
        <is>
          <t>scheme page</t>
        </is>
      </c>
      <c r="I800" s="77" t="inlineStr">
        <is>
          <t>undated</t>
        </is>
      </c>
      <c r="J800" s="77" t="inlineStr">
        <is>
          <t>2026-10-12</t>
        </is>
      </c>
      <c r="K800" s="77" t="inlineStr">
        <is>
          <t>search-summary paraphrase</t>
        </is>
      </c>
      <c r="L800" s="77" t="inlineStr">
        <is>
          <t>MEng industrial projects with external organisations.</t>
        </is>
      </c>
    </row>
    <row r="801">
      <c r="A801" s="77" t="inlineStr">
        <is>
          <t>UK03-S12-R3</t>
        </is>
      </c>
      <c r="B801" s="77" t="inlineStr">
        <is>
          <t>UK03</t>
        </is>
      </c>
      <c r="C801" s="77" t="inlineStr">
        <is>
          <t>UK03-S12</t>
        </is>
      </c>
      <c r="D801" s="77" t="inlineStr">
        <is>
          <t>Industry-based group projects (ENGR 445 and short team projects), School of Engineering</t>
        </is>
      </c>
      <c r="E801" s="77" t="inlineStr">
        <is>
          <t>employer; group</t>
        </is>
      </c>
      <c r="F801" s="77" t="inlineStr">
        <is>
          <t>https://www.lancaster.ac.uk/engineering/business/case-studies/wasp-ltd/</t>
        </is>
      </c>
      <c r="G801" s="77" t="inlineStr">
        <is>
          <t>WASP Ltd</t>
        </is>
      </c>
      <c r="H801" s="77" t="inlineStr">
        <is>
          <t>case study</t>
        </is>
      </c>
      <c r="I801" s="77" t="inlineStr">
        <is>
          <t>undated</t>
        </is>
      </c>
      <c r="J801" s="77" t="inlineStr">
        <is>
          <t>2026-10-12</t>
        </is>
      </c>
      <c r="K801" s="77" t="inlineStr">
        <is>
          <t>search-summary paraphrase</t>
        </is>
      </c>
      <c r="L801" s="77" t="inlineStr">
        <is>
          <t>Group of eight MEng students developed and tested prototype tidal turbine for Wasp (Cumbria) Ltd.</t>
        </is>
      </c>
    </row>
    <row r="802">
      <c r="A802" s="77" t="inlineStr">
        <is>
          <t>UK03-S13-R1</t>
        </is>
      </c>
      <c r="B802" s="77" t="inlineStr">
        <is>
          <t>UK03</t>
        </is>
      </c>
      <c r="C802" s="77" t="inlineStr">
        <is>
          <t>UK03-S13</t>
        </is>
      </c>
      <c r="D802" s="77" t="inlineStr">
        <is>
          <t>Group project with industry-set briefs (MSc Data Science, Term 1)</t>
        </is>
      </c>
      <c r="E802" s="77" t="inlineStr">
        <is>
          <t>group; employer; project</t>
        </is>
      </c>
      <c r="F802" s="77" t="inlineStr">
        <is>
          <t>https://www.lancaster.ac.uk/sci-tech/msc-data-science-apply-now/</t>
        </is>
      </c>
      <c r="G802" s="77" t="inlineStr">
        <is>
          <t>MSc Data Science apply now</t>
        </is>
      </c>
      <c r="H802" s="77" t="inlineStr">
        <is>
          <t>Term 1</t>
        </is>
      </c>
      <c r="I802" s="77" t="inlineStr">
        <is>
          <t>undated</t>
        </is>
      </c>
      <c r="J802" s="77" t="inlineStr">
        <is>
          <t>2026-10-12</t>
        </is>
      </c>
      <c r="K802" s="77" t="inlineStr">
        <is>
          <t>search-summary paraphrase</t>
        </is>
      </c>
      <c r="L802" s="77" t="inlineStr">
        <is>
          <t>Group project work on project briefs from industrial speakers in multi-skilled teams.</t>
        </is>
      </c>
    </row>
    <row r="803">
      <c r="A803" s="77" t="inlineStr">
        <is>
          <t>UK03-S13-R2</t>
        </is>
      </c>
      <c r="B803" s="77" t="inlineStr">
        <is>
          <t>UK03</t>
        </is>
      </c>
      <c r="C803" s="77" t="inlineStr">
        <is>
          <t>UK03-S13</t>
        </is>
      </c>
      <c r="D803" s="77" t="inlineStr">
        <is>
          <t>Group project with industry-set briefs (MSc Data Science, Term 1)</t>
        </is>
      </c>
      <c r="E803" s="77" t="inlineStr">
        <is>
          <t>project; group</t>
        </is>
      </c>
      <c r="F803" s="77" t="inlineStr">
        <is>
          <t>https://www.lancaster.ac.uk/scc/study/masters/data-science-msc-term-one/</t>
        </is>
      </c>
      <c r="G803" s="77" t="inlineStr">
        <is>
          <t>Data Science MSc - Term 1</t>
        </is>
      </c>
      <c r="H803" s="77" t="inlineStr">
        <is>
          <t>Term 1</t>
        </is>
      </c>
      <c r="I803" s="77" t="inlineStr">
        <is>
          <t>undated</t>
        </is>
      </c>
      <c r="J803" s="77" t="inlineStr">
        <is>
          <t>2026-10-12</t>
        </is>
      </c>
      <c r="K803" s="77" t="inlineStr">
        <is>
          <t>search-summary paraphrase</t>
        </is>
      </c>
      <c r="L803" s="77" t="inlineStr">
        <is>
          <t>Introduction to AI and Data Science promotes teamwork through hands-on projects supported by industry talks.</t>
        </is>
      </c>
    </row>
    <row r="804">
      <c r="A804" s="77" t="inlineStr">
        <is>
          <t>UK03-S14-R1</t>
        </is>
      </c>
      <c r="B804" s="77" t="inlineStr">
        <is>
          <t>UK03</t>
        </is>
      </c>
      <c r="C804" s="77" t="inlineStr">
        <is>
          <t>UK03-S14</t>
        </is>
      </c>
      <c r="D804" s="77" t="inlineStr">
        <is>
          <t>Applied Learning Studios 1 and 2 (MA Sustainability and Global Environmental Futures)</t>
        </is>
      </c>
      <c r="E804" s="77" t="inlineStr">
        <is>
          <t>project; group; employer; status</t>
        </is>
      </c>
      <c r="F804" s="77" t="inlineStr">
        <is>
          <t>https://www.lancaster.ac.uk/study/postgraduate/postgraduate-courses/sustainability-and-global-environmental-futures-ma/2026/</t>
        </is>
      </c>
      <c r="G804" s="77" t="inlineStr">
        <is>
          <t>Sustainability and Global Environmental Futures MA</t>
        </is>
      </c>
      <c r="H804" s="77" t="inlineStr">
        <is>
          <t>studio modules</t>
        </is>
      </c>
      <c r="I804" s="77" t="inlineStr">
        <is>
          <t>2026 entry</t>
        </is>
      </c>
      <c r="J804" s="77" t="inlineStr">
        <is>
          <t>2026-10-12</t>
        </is>
      </c>
      <c r="K804" s="77" t="inlineStr">
        <is>
          <t>search-summary paraphrase</t>
        </is>
      </c>
      <c r="L804" s="77" t="inlineStr">
        <is>
          <t>You will be given a live brief ... work with others in a group project; may be linked to 'real world' issues and external clients.</t>
        </is>
      </c>
    </row>
    <row r="805">
      <c r="A805" s="77" t="inlineStr">
        <is>
          <t>UK03-S15-R1</t>
        </is>
      </c>
      <c r="B805" s="77" t="inlineStr">
        <is>
          <t>UK03</t>
        </is>
      </c>
      <c r="C805" s="77" t="inlineStr">
        <is>
          <t>UK03-S15</t>
        </is>
      </c>
      <c r="D805" s="77" t="inlineStr">
        <is>
          <t>Second-year live client project (BA Architecture)</t>
        </is>
      </c>
      <c r="E805" s="77" t="inlineStr">
        <is>
          <t>project; employer; status</t>
        </is>
      </c>
      <c r="F805" s="77" t="inlineStr">
        <is>
          <t>https://www.lancaster.ac.uk/study/undergraduate/courses/architecture-ba-hons-k100/2026/</t>
        </is>
      </c>
      <c r="G805" s="77" t="inlineStr">
        <is>
          <t>Architecture BA Hons (K100)</t>
        </is>
      </c>
      <c r="H805" s="77" t="inlineStr">
        <is>
          <t>Year 2</t>
        </is>
      </c>
      <c r="I805" s="77" t="inlineStr">
        <is>
          <t>2026 entry</t>
        </is>
      </c>
      <c r="J805" s="77" t="inlineStr">
        <is>
          <t>2026-10-12</t>
        </is>
      </c>
      <c r="K805" s="77" t="inlineStr">
        <is>
          <t>search-summary paraphrase</t>
        </is>
      </c>
      <c r="L805" s="77" t="inlineStr">
        <is>
          <t>Second year: design a retrofit live project and work directly with a client such as Lancaster Music Co Op or Queen's Market Morecambe.</t>
        </is>
      </c>
    </row>
    <row r="806">
      <c r="A806" s="77" t="inlineStr">
        <is>
          <t>UK03-S16-R1</t>
        </is>
      </c>
      <c r="B806" s="77" t="inlineStr">
        <is>
          <t>UK03</t>
        </is>
      </c>
      <c r="C806" s="77" t="inlineStr">
        <is>
          <t>UK03-S16</t>
        </is>
      </c>
      <c r="D806" s="77" t="inlineStr">
        <is>
          <t>Software Engineering Studio III / Software Design Studio Project III (Live Studio)</t>
        </is>
      </c>
      <c r="E806" s="77" t="inlineStr">
        <is>
          <t>project; group; employer</t>
        </is>
      </c>
      <c r="F806" s="77" t="inlineStr">
        <is>
          <t>https://www.lancaster.ac.uk/study/undergraduate/courses/software-engineering-bsc-hons-g602/2027/</t>
        </is>
      </c>
      <c r="G806" s="77" t="inlineStr">
        <is>
          <t>Software Engineering BSc Hons (G602)</t>
        </is>
      </c>
      <c r="H806" s="77" t="inlineStr">
        <is>
          <t>Year 3</t>
        </is>
      </c>
      <c r="I806" s="77" t="inlineStr">
        <is>
          <t>2027 entry</t>
        </is>
      </c>
      <c r="J806" s="77" t="inlineStr">
        <is>
          <t>2026-10-12</t>
        </is>
      </c>
      <c r="K806" s="77" t="inlineStr">
        <is>
          <t>search-summary paraphrase</t>
        </is>
      </c>
      <c r="L806" s="77" t="inlineStr">
        <is>
          <t>Software Engineering Studio III: groups build system that goes live with real users; industry involvement; working closely with clients.</t>
        </is>
      </c>
    </row>
    <row r="807">
      <c r="A807" s="77" t="inlineStr">
        <is>
          <t>UK03-S16-R2</t>
        </is>
      </c>
      <c r="B807" s="77" t="inlineStr">
        <is>
          <t>UK03</t>
        </is>
      </c>
      <c r="C807" s="77" t="inlineStr">
        <is>
          <t>UK03-S16</t>
        </is>
      </c>
      <c r="D807" s="77" t="inlineStr">
        <is>
          <t>Software Engineering Studio III / Software Design Studio Project III (Live Studio)</t>
        </is>
      </c>
      <c r="E807" s="77" t="inlineStr">
        <is>
          <t>credit; group; employer</t>
        </is>
      </c>
      <c r="F807" s="77" t="inlineStr">
        <is>
          <t>https://www.lancaster.ac.uk/study/course-information/modules/016901/</t>
        </is>
      </c>
      <c r="G807" s="77" t="inlineStr">
        <is>
          <t>Software Design Studio Project III (Live Studio)</t>
        </is>
      </c>
      <c r="H807" s="77" t="inlineStr">
        <is>
          <t>module page</t>
        </is>
      </c>
      <c r="I807" s="77" t="inlineStr">
        <is>
          <t>2016 handbook</t>
        </is>
      </c>
      <c r="J807" s="77" t="inlineStr">
        <is>
          <t>2026-10-12</t>
        </is>
      </c>
      <c r="K807" s="77" t="inlineStr">
        <is>
          <t>search-summary paraphrase</t>
        </is>
      </c>
      <c r="L807" s="77" t="inlineStr">
        <is>
          <t>30-credit module; working closely with clients; teams submit weekly progress reports.</t>
        </is>
      </c>
    </row>
    <row r="808">
      <c r="A808" s="77" t="inlineStr">
        <is>
          <t>UK04-S01-R1</t>
        </is>
      </c>
      <c r="B808" s="77" t="inlineStr">
        <is>
          <t>UK04</t>
        </is>
      </c>
      <c r="C808" s="77" t="inlineStr">
        <is>
          <t>UK04-S01</t>
        </is>
      </c>
      <c r="D808" s="77" t="inlineStr">
        <is>
          <t>Collaborative Project (Loughborough University London)</t>
        </is>
      </c>
      <c r="E808" s="77" t="inlineStr">
        <is>
          <t>project; group; employer; status; participation</t>
        </is>
      </c>
      <c r="F808" s="77" t="inlineStr">
        <is>
          <t>https://www.lboro.ac.uk/news-events/news/2026/july/collaborative-project-show-london/</t>
        </is>
      </c>
      <c r="G808" s="77" t="inlineStr">
        <is>
          <t>10th Anniversary Collaborative Project Show celebrates 10 years and over 200 collaborations</t>
        </is>
      </c>
      <c r="H808" s="77" t="inlineStr">
        <is>
          <t>News article</t>
        </is>
      </c>
      <c r="I808" s="77" t="inlineStr">
        <is>
          <t>2026 (July)</t>
        </is>
      </c>
      <c r="J808" s="77" t="inlineStr">
        <is>
          <t>2026-10-12</t>
        </is>
      </c>
      <c r="K808" s="77" t="inlineStr">
        <is>
          <t>search-index extract</t>
        </is>
      </c>
      <c r="L808"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09">
      <c r="A809" s="77" t="inlineStr">
        <is>
          <t>UK04-S01-R2</t>
        </is>
      </c>
      <c r="B809" s="77" t="inlineStr">
        <is>
          <t>UK04</t>
        </is>
      </c>
      <c r="C809" s="77" t="inlineStr">
        <is>
          <t>UK04-S01</t>
        </is>
      </c>
      <c r="D809" s="77" t="inlineStr">
        <is>
          <t>Collaborative Project (Loughborough University London)</t>
        </is>
      </c>
      <c r="E809" s="77" t="inlineStr">
        <is>
          <t>group; employer; eligibility; reach</t>
        </is>
      </c>
      <c r="F809" s="77" t="inlineStr">
        <is>
          <t>https://www.lboro.ac.uk/news-events/news/2019/april/london-collaborative-project-success/</t>
        </is>
      </c>
      <c r="G809" s="77" t="inlineStr">
        <is>
          <t>Students celebrated by renowned national and international organisations for their solutions to real business challenges</t>
        </is>
      </c>
      <c r="H809" s="77" t="inlineStr">
        <is>
          <t>News article</t>
        </is>
      </c>
      <c r="I809" s="77" t="inlineStr">
        <is>
          <t>2019</t>
        </is>
      </c>
      <c r="J809" s="77" t="inlineStr">
        <is>
          <t>2026-10-12</t>
        </is>
      </c>
      <c r="K809" s="77" t="inlineStr">
        <is>
          <t>search-summary paraphrase</t>
        </is>
      </c>
      <c r="L809" s="77" t="inlineStr">
        <is>
          <t>'The Collaborative Project is open to all full-time and part-time students at Loughborough University London'; students from across the University form interdisciplinary teams to solve a real business problem provided by a corporate partner.</t>
        </is>
      </c>
    </row>
    <row r="810">
      <c r="A810" s="77" t="inlineStr">
        <is>
          <t>UK04-S01-R3</t>
        </is>
      </c>
      <c r="B810" s="77" t="inlineStr">
        <is>
          <t>UK04</t>
        </is>
      </c>
      <c r="C810" s="77" t="inlineStr">
        <is>
          <t>UK04-S01</t>
        </is>
      </c>
      <c r="D810" s="77" t="inlineStr">
        <is>
          <t>Collaborative Project (Loughborough University London)</t>
        </is>
      </c>
      <c r="E810" s="77" t="inlineStr">
        <is>
          <t>project; group; employer; credit; participation</t>
        </is>
      </c>
      <c r="F810" s="77" t="inlineStr">
        <is>
          <t>https://www.lboro.ac.uk/study/postgraduate/masters-degrees/computer-science-london/</t>
        </is>
      </c>
      <c r="G810" s="77" t="inlineStr">
        <is>
          <t>Computer Science (London) Degree</t>
        </is>
      </c>
      <c r="H810" s="77" t="inlineStr">
        <is>
          <t>What you'll study</t>
        </is>
      </c>
      <c r="I810" s="77" t="inlineStr">
        <is>
          <t>undated</t>
        </is>
      </c>
      <c r="J810" s="77" t="inlineStr">
        <is>
          <t>2026-10-12</t>
        </is>
      </c>
      <c r="K810" s="77" t="inlineStr">
        <is>
          <t>search-index extract</t>
        </is>
      </c>
      <c r="L810" s="77" t="inlineStr">
        <is>
          <t>Collaborative Project (15 credits): students work in a multidisciplinary team to tackle a real-world challenge set by an industry partner.</t>
        </is>
      </c>
    </row>
    <row r="811">
      <c r="A811" s="77" t="inlineStr">
        <is>
          <t>UK04-S01-R4</t>
        </is>
      </c>
      <c r="B811" s="77" t="inlineStr">
        <is>
          <t>UK04</t>
        </is>
      </c>
      <c r="C811" s="77" t="inlineStr">
        <is>
          <t>UK04-S01</t>
        </is>
      </c>
      <c r="D811" s="77" t="inlineStr">
        <is>
          <t>Collaborative Project (Loughborough University London)</t>
        </is>
      </c>
      <c r="E811" s="77" t="inlineStr">
        <is>
          <t>participation; group</t>
        </is>
      </c>
      <c r="F811" s="77" t="inlineStr">
        <is>
          <t>https://www.lboro.ac.uk/media-centre/press-releases/2018/march/collaborative-project-show-2018/</t>
        </is>
      </c>
      <c r="G811" s="77" t="inlineStr">
        <is>
          <t>London project that saw over 660 students tackle real business challenges is celebrated at event</t>
        </is>
      </c>
      <c r="H811" s="77" t="inlineStr">
        <is>
          <t>Press release</t>
        </is>
      </c>
      <c r="I811" s="77" t="inlineStr">
        <is>
          <t>2018</t>
        </is>
      </c>
      <c r="J811" s="77" t="inlineStr">
        <is>
          <t>2026-10-12</t>
        </is>
      </c>
      <c r="K811" s="77" t="inlineStr">
        <is>
          <t>search-summary paraphrase</t>
        </is>
      </c>
      <c r="L811" s="77" t="inlineStr">
        <is>
          <t>Over 660 postgraduate students worked in 122 multi-disciplinary teams on tasks set by 19 organisations.</t>
        </is>
      </c>
    </row>
    <row r="812">
      <c r="A812" s="77" t="inlineStr">
        <is>
          <t>UK04-S02-R1</t>
        </is>
      </c>
      <c r="B812" s="77" t="inlineStr">
        <is>
          <t>UK04</t>
        </is>
      </c>
      <c r="C812" s="77" t="inlineStr">
        <is>
          <t>UK04-S02</t>
        </is>
      </c>
      <c r="D812" s="77" t="inlineStr">
        <is>
          <t>Industry Experience Project (Loughborough Business School MSc programmes)</t>
        </is>
      </c>
      <c r="E812" s="77" t="inlineStr">
        <is>
          <t>project; group; employer; credit</t>
        </is>
      </c>
      <c r="F812" s="77" t="inlineStr">
        <is>
          <t>https://www.lboro.ac.uk/study/postgraduate/masters-degrees/a-z/management/</t>
        </is>
      </c>
      <c r="G812" s="77" t="inlineStr">
        <is>
          <t>Management Degree</t>
        </is>
      </c>
      <c r="H812" s="77" t="inlineStr">
        <is>
          <t>What you'll study</t>
        </is>
      </c>
      <c r="I812" s="77" t="inlineStr">
        <is>
          <t>undated</t>
        </is>
      </c>
      <c r="J812" s="77" t="inlineStr">
        <is>
          <t>2026-10-12</t>
        </is>
      </c>
      <c r="K812" s="77" t="inlineStr">
        <is>
          <t>search-index extract</t>
        </is>
      </c>
      <c r="L812"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13">
      <c r="A813" s="77" t="inlineStr">
        <is>
          <t>UK04-S02-R2</t>
        </is>
      </c>
      <c r="B813" s="77" t="inlineStr">
        <is>
          <t>UK04</t>
        </is>
      </c>
      <c r="C813" s="77" t="inlineStr">
        <is>
          <t>UK04-S02</t>
        </is>
      </c>
      <c r="D813" s="77" t="inlineStr">
        <is>
          <t>Industry Experience Project (Loughborough Business School MSc programmes)</t>
        </is>
      </c>
      <c r="E813" s="77" t="inlineStr">
        <is>
          <t>project; group; employer; duration; credit</t>
        </is>
      </c>
      <c r="F813" s="77" t="inlineStr">
        <is>
          <t>https://www.lboro.ac.uk/study/postgraduate/masters-degrees/finance/</t>
        </is>
      </c>
      <c r="G813" s="77" t="inlineStr">
        <is>
          <t>Finance Degree</t>
        </is>
      </c>
      <c r="H813" s="77" t="inlineStr">
        <is>
          <t>What you'll study</t>
        </is>
      </c>
      <c r="I813" s="77" t="inlineStr">
        <is>
          <t>undated</t>
        </is>
      </c>
      <c r="J813" s="77" t="inlineStr">
        <is>
          <t>2026-10-12</t>
        </is>
      </c>
      <c r="K813" s="77" t="inlineStr">
        <is>
          <t>search-index extract</t>
        </is>
      </c>
      <c r="L813" s="77" t="inlineStr">
        <is>
          <t>Summer-semester practical Industry Experience Project (45 credits), group project; students have worked with organisations such as Vector Consumer and TISA.</t>
        </is>
      </c>
    </row>
    <row r="814">
      <c r="A814" s="77" t="inlineStr">
        <is>
          <t>UK04-S02-R3</t>
        </is>
      </c>
      <c r="B814" s="77" t="inlineStr">
        <is>
          <t>UK04</t>
        </is>
      </c>
      <c r="C814" s="77" t="inlineStr">
        <is>
          <t>UK04-S02</t>
        </is>
      </c>
      <c r="D814" s="77" t="inlineStr">
        <is>
          <t>Industry Experience Project (Loughborough Business School MSc programmes)</t>
        </is>
      </c>
      <c r="E814" s="77" t="inlineStr">
        <is>
          <t>employer</t>
        </is>
      </c>
      <c r="F814" s="77" t="inlineStr">
        <is>
          <t>https://www.lboro.ac.uk/schools/business-school/collaborate/work-with-our-students/</t>
        </is>
      </c>
      <c r="G814" s="77" t="inlineStr">
        <is>
          <t>Work with our students</t>
        </is>
      </c>
      <c r="H814" s="77" t="inlineStr">
        <is>
          <t>Collaborate</t>
        </is>
      </c>
      <c r="I814" s="77" t="inlineStr">
        <is>
          <t>undated</t>
        </is>
      </c>
      <c r="J814" s="77" t="inlineStr">
        <is>
          <t>2026-10-12</t>
        </is>
      </c>
      <c r="K814" s="77" t="inlineStr">
        <is>
          <t>search-summary paraphrase</t>
        </is>
      </c>
      <c r="L814" s="77" t="inlineStr">
        <is>
          <t>Organisations can work with a master's student on a consultancy project to address a particular issue; MBA live projects with groups of students.</t>
        </is>
      </c>
    </row>
    <row r="815">
      <c r="A815" s="77" t="inlineStr">
        <is>
          <t>UK04-S03-R1</t>
        </is>
      </c>
      <c r="B815" s="77" t="inlineStr">
        <is>
          <t>UK04</t>
        </is>
      </c>
      <c r="C815" s="77" t="inlineStr">
        <is>
          <t>UK04-S03</t>
        </is>
      </c>
      <c r="D815" s="77" t="inlineStr">
        <is>
          <t>MBA Consultancy Project / Managing Innovation live projects (Loughborough full-time MBA)</t>
        </is>
      </c>
      <c r="E815" s="77" t="inlineStr">
        <is>
          <t>project; group; employer</t>
        </is>
      </c>
      <c r="F815" s="77" t="inlineStr">
        <is>
          <t>https://www.lboro.ac.uk/study/postgraduate/masters-degrees/full-time-mba/</t>
        </is>
      </c>
      <c r="G815" s="77" t="inlineStr">
        <is>
          <t>The Loughborough Full-Time MBA Degree</t>
        </is>
      </c>
      <c r="H815" s="77" t="inlineStr">
        <is>
          <t>What you'll study</t>
        </is>
      </c>
      <c r="I815" s="77" t="inlineStr">
        <is>
          <t>undated</t>
        </is>
      </c>
      <c r="J815" s="77" t="inlineStr">
        <is>
          <t>2026-10-12</t>
        </is>
      </c>
      <c r="K815" s="77" t="inlineStr">
        <is>
          <t>search-summary paraphrase</t>
        </is>
      </c>
      <c r="L815" s="77" t="inlineStr">
        <is>
          <t>Choose between Business Administration Project, Consultancy Project or Work Based Learning Project; Consultancy Project: work as part of a team to apply theory and research-led knowledge and address a client organisation's real-world challenges.</t>
        </is>
      </c>
    </row>
    <row r="816">
      <c r="A816" s="77" t="inlineStr">
        <is>
          <t>UK04-S03-R2</t>
        </is>
      </c>
      <c r="B816" s="77" t="inlineStr">
        <is>
          <t>UK04</t>
        </is>
      </c>
      <c r="C816" s="77" t="inlineStr">
        <is>
          <t>UK04-S03</t>
        </is>
      </c>
      <c r="D816" s="77" t="inlineStr">
        <is>
          <t>MBA Consultancy Project / Managing Innovation live projects (Loughborough full-time MBA)</t>
        </is>
      </c>
      <c r="E816" s="77" t="inlineStr">
        <is>
          <t>employer</t>
        </is>
      </c>
      <c r="F816" s="77" t="inlineStr">
        <is>
          <t>https://www.lboro.ac.uk/study/pg-offer/business-school/advance-your-career-mba/</t>
        </is>
      </c>
      <c r="G816" s="77" t="inlineStr">
        <is>
          <t>Advance your career</t>
        </is>
      </c>
      <c r="H816" s="77" t="inlineStr">
        <is>
          <t>MBA offer page</t>
        </is>
      </c>
      <c r="I816" s="77" t="inlineStr">
        <is>
          <t>undated</t>
        </is>
      </c>
      <c r="J816" s="77" t="inlineStr">
        <is>
          <t>2026-10-12</t>
        </is>
      </c>
      <c r="K816" s="77" t="inlineStr">
        <is>
          <t>search-summary paraphrase</t>
        </is>
      </c>
      <c r="L816" s="77" t="inlineStr">
        <is>
          <t>Managing Innovation: work on live projects alongside innovation partners and present strategies to the company directors.</t>
        </is>
      </c>
    </row>
    <row r="817">
      <c r="A817" s="77" t="inlineStr">
        <is>
          <t>UK04-S04-R1</t>
        </is>
      </c>
      <c r="B817" s="77" t="inlineStr">
        <is>
          <t>UK04</t>
        </is>
      </c>
      <c r="C817" s="77" t="inlineStr">
        <is>
          <t>UK04-S04</t>
        </is>
      </c>
      <c r="D817" s="77" t="inlineStr">
        <is>
          <t>Talent Match Consultancy Programme</t>
        </is>
      </c>
      <c r="E817" s="77" t="inlineStr">
        <is>
          <t>project; group; employer; status; eligibility; duration</t>
        </is>
      </c>
      <c r="F817" s="77" t="inlineStr">
        <is>
          <t>https://www.lboro.ac.uk/internal/news/2026/august/talent-match-consultancy-applications/</t>
        </is>
      </c>
      <c r="G817" s="77" t="inlineStr">
        <is>
          <t>Apply now: deadline approaches for Talent Match Consultancy Programme</t>
        </is>
      </c>
      <c r="H817" s="77" t="inlineStr">
        <is>
          <t>News</t>
        </is>
      </c>
      <c r="I817" s="77" t="inlineStr">
        <is>
          <t>2026 (August)</t>
        </is>
      </c>
      <c r="J817" s="77" t="inlineStr">
        <is>
          <t>2026-10-12</t>
        </is>
      </c>
      <c r="K817" s="77" t="inlineStr">
        <is>
          <t>search-index extract</t>
        </is>
      </c>
      <c r="L817"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18">
      <c r="A818" s="77" t="inlineStr">
        <is>
          <t>UK04-S05-R1</t>
        </is>
      </c>
      <c r="B818" s="77" t="inlineStr">
        <is>
          <t>UK04</t>
        </is>
      </c>
      <c r="C818" s="77" t="inlineStr">
        <is>
          <t>UK04-S05</t>
        </is>
      </c>
      <c r="D818" s="77" t="inlineStr">
        <is>
          <t>Physics industry group projects (Year 3 group project and final-year year-long group project)</t>
        </is>
      </c>
      <c r="E818" s="77" t="inlineStr">
        <is>
          <t>project; group; employer; status</t>
        </is>
      </c>
      <c r="F818" s="77" t="inlineStr">
        <is>
          <t>https://arxiv.org/html/2601.10219</t>
        </is>
      </c>
      <c r="G818" s="77" t="inlineStr">
        <is>
          <t>Systemically Designed Degrees for Real-World Challenges: A case study on Physics curriculum design at Loughborough University</t>
        </is>
      </c>
      <c r="H818" s="77" t="inlineStr">
        <is>
          <t>Curriculum design / group projects</t>
        </is>
      </c>
      <c r="I818" s="77" t="inlineStr">
        <is>
          <t>2026 (arXiv Jan 2026)</t>
        </is>
      </c>
      <c r="J818" s="77" t="inlineStr">
        <is>
          <t>2026-10-12</t>
        </is>
      </c>
      <c r="K818" s="77" t="inlineStr">
        <is>
          <t>search-summary paraphrase</t>
        </is>
      </c>
      <c r="L818"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19">
      <c r="A819" s="77" t="inlineStr">
        <is>
          <t>UK04-S05-R2</t>
        </is>
      </c>
      <c r="B819" s="77" t="inlineStr">
        <is>
          <t>UK04</t>
        </is>
      </c>
      <c r="C819" s="77" t="inlineStr">
        <is>
          <t>UK04-S05</t>
        </is>
      </c>
      <c r="D819" s="77" t="inlineStr">
        <is>
          <t>Physics industry group projects (Year 3 group project and final-year year-long group project)</t>
        </is>
      </c>
      <c r="E819" s="77" t="inlineStr">
        <is>
          <t>project; group; employer</t>
        </is>
      </c>
      <c r="F819" s="77" t="inlineStr">
        <is>
          <t>https://www.lboro.ac.uk/departments/physics/undergraduate/careers-employability/industry-projects/</t>
        </is>
      </c>
      <c r="G819" s="77" t="inlineStr">
        <is>
          <t>Industry projects</t>
        </is>
      </c>
      <c r="H819" s="77" t="inlineStr">
        <is>
          <t>Department of Physics</t>
        </is>
      </c>
      <c r="I819" s="77" t="inlineStr">
        <is>
          <t>undated</t>
        </is>
      </c>
      <c r="J819" s="77" t="inlineStr">
        <is>
          <t>2026-10-12</t>
        </is>
      </c>
      <c r="K819" s="77" t="inlineStr">
        <is>
          <t>search-summary paraphrase</t>
        </is>
      </c>
      <c r="L819" s="77" t="inlineStr">
        <is>
          <t>'all students have the opportunity of conducting an industry-based group project'; examples: seabed man-made object detection (NLA Blue), AR/AI showcase (IBM), BEIS Technical Energy Specialist team.</t>
        </is>
      </c>
    </row>
    <row r="820">
      <c r="A820" s="77" t="inlineStr">
        <is>
          <t>UK04-S06-R1</t>
        </is>
      </c>
      <c r="B820" s="77" t="inlineStr">
        <is>
          <t>UK04</t>
        </is>
      </c>
      <c r="C820" s="77" t="inlineStr">
        <is>
          <t>UK04-S06</t>
        </is>
      </c>
      <c r="D820" s="77" t="inlineStr">
        <is>
          <t>Wolfson School Industry Collaboration Programme (Teaching Contract Scheme)</t>
        </is>
      </c>
      <c r="E820" s="77" t="inlineStr">
        <is>
          <t>project; group; employer; eligibility</t>
        </is>
      </c>
      <c r="F820" s="77" t="inlineStr">
        <is>
          <t>https://www.lboro.ac.uk/schools/meme/undergraduate/employability/recruiting-placement-students-benefit-business/wolfson-school-engagement-opportunities/</t>
        </is>
      </c>
      <c r="G820" s="77" t="inlineStr">
        <is>
          <t>Other Wolfson School engagement opportunities</t>
        </is>
      </c>
      <c r="H820" s="77" t="inlineStr">
        <is>
          <t>Industry Collaboration Programme</t>
        </is>
      </c>
      <c r="I820" s="77" t="inlineStr">
        <is>
          <t>undated</t>
        </is>
      </c>
      <c r="J820" s="77" t="inlineStr">
        <is>
          <t>2026-10-12</t>
        </is>
      </c>
      <c r="K820" s="77" t="inlineStr">
        <is>
          <t>search-index extract</t>
        </is>
      </c>
      <c r="L820" s="77" t="inlineStr">
        <is>
          <t>Opportunities to offer real-life group projects to students in 2nd or 4th year; support from an industry tutor through 3 focussed visits including the final project presentations, whilst supervised by an academic.</t>
        </is>
      </c>
    </row>
    <row r="821">
      <c r="A821" s="77" t="inlineStr">
        <is>
          <t>UK04-S06-R2</t>
        </is>
      </c>
      <c r="B821" s="77" t="inlineStr">
        <is>
          <t>UK04</t>
        </is>
      </c>
      <c r="C821" s="77" t="inlineStr">
        <is>
          <t>UK04-S06</t>
        </is>
      </c>
      <c r="D821" s="77" t="inlineStr">
        <is>
          <t>Wolfson School Industry Collaboration Programme (Teaching Contract Scheme)</t>
        </is>
      </c>
      <c r="E821" s="77" t="inlineStr">
        <is>
          <t>project; group; employer; status</t>
        </is>
      </c>
      <c r="F821" s="77" t="inlineStr">
        <is>
          <t>https://www.lboro.ac.uk/departments/meme/business/what-we-offer/teaching-contract-scheme/</t>
        </is>
      </c>
      <c r="G821" s="77" t="inlineStr">
        <is>
          <t>Teaching Contract Scheme</t>
        </is>
      </c>
      <c r="H821" s="77" t="inlineStr">
        <is>
          <t>Scheme page</t>
        </is>
      </c>
      <c r="I821" s="77" t="inlineStr">
        <is>
          <t>2015-16 (company list)</t>
        </is>
      </c>
      <c r="J821" s="77" t="inlineStr">
        <is>
          <t>2026-10-12</t>
        </is>
      </c>
      <c r="K821" s="77" t="inlineStr">
        <is>
          <t>search-summary paraphrase</t>
        </is>
      </c>
      <c r="L821" s="77" t="inlineStr">
        <is>
          <t>Consortium of companies provides projects within the curriculum; small student teams work on real problems; written report and oral presentation to the company; second- or final-year students.</t>
        </is>
      </c>
    </row>
    <row r="822">
      <c r="A822" s="77" t="inlineStr">
        <is>
          <t>UK04-S07-R1</t>
        </is>
      </c>
      <c r="B822" s="77" t="inlineStr">
        <is>
          <t>UK04</t>
        </is>
      </c>
      <c r="C822" s="77" t="inlineStr">
        <is>
          <t>UK04-S07</t>
        </is>
      </c>
      <c r="D822" s="77" t="inlineStr">
        <is>
          <t>Industry Project (MSc User Experience Design / MA User Experience and Service Design)</t>
        </is>
      </c>
      <c r="E822" s="77" t="inlineStr">
        <is>
          <t>project; group; employer; status</t>
        </is>
      </c>
      <c r="F822" s="77" t="inlineStr">
        <is>
          <t>https://sdcapgshow2023.lboro.ac.uk/industry-collaborations/user-experience-industry-project/</t>
        </is>
      </c>
      <c r="G822" s="77" t="inlineStr">
        <is>
          <t>User Experience Industry Project</t>
        </is>
      </c>
      <c r="H822" s="77" t="inlineStr">
        <is>
          <t>PG Degree Showcase 2023</t>
        </is>
      </c>
      <c r="I822" s="77" t="inlineStr">
        <is>
          <t>2023</t>
        </is>
      </c>
      <c r="J822" s="77" t="inlineStr">
        <is>
          <t>2026-10-12</t>
        </is>
      </c>
      <c r="K822" s="77" t="inlineStr">
        <is>
          <t>search-index extract</t>
        </is>
      </c>
      <c r="L822" s="77" t="inlineStr">
        <is>
          <t>Small teams of students work on a creative problem-oriented brief with a partnering organisation; partners create briefs with support from the school; students present responses directly to their briefing company; Sainsbury's and SCS partners.</t>
        </is>
      </c>
    </row>
    <row r="823">
      <c r="A823" s="77" t="inlineStr">
        <is>
          <t>UK04-S07-R2</t>
        </is>
      </c>
      <c r="B823" s="77" t="inlineStr">
        <is>
          <t>UK04</t>
        </is>
      </c>
      <c r="C823" s="77" t="inlineStr">
        <is>
          <t>UK04-S07</t>
        </is>
      </c>
      <c r="D823" s="77" t="inlineStr">
        <is>
          <t>Industry Project (MSc User Experience Design / MA User Experience and Service Design)</t>
        </is>
      </c>
      <c r="E823" s="77" t="inlineStr">
        <is>
          <t>project; employer; credit; participation</t>
        </is>
      </c>
      <c r="F823" s="77" t="inlineStr">
        <is>
          <t>https://www.lboro.ac.uk/study/postgraduate/masters-degrees/user-experience-design/</t>
        </is>
      </c>
      <c r="G823" s="77" t="inlineStr">
        <is>
          <t>User Experience Design Degree</t>
        </is>
      </c>
      <c r="H823" s="77" t="inlineStr">
        <is>
          <t>What you'll study</t>
        </is>
      </c>
      <c r="I823" s="77" t="inlineStr">
        <is>
          <t>undated</t>
        </is>
      </c>
      <c r="J823" s="77" t="inlineStr">
        <is>
          <t>2026-10-12</t>
        </is>
      </c>
      <c r="K823" s="77" t="inlineStr">
        <is>
          <t>search-summary paraphrase</t>
        </is>
      </c>
      <c r="L823" s="77" t="inlineStr">
        <is>
          <t>Industry Project (15 credits, compulsory): industry-set brief with evidence-based design outcome for a sponsoring organisation.</t>
        </is>
      </c>
    </row>
    <row r="824">
      <c r="A824" s="77" t="inlineStr">
        <is>
          <t>UK04-S08-R1</t>
        </is>
      </c>
      <c r="B824" s="77" t="inlineStr">
        <is>
          <t>UK04</t>
        </is>
      </c>
      <c r="C824" s="77" t="inlineStr">
        <is>
          <t>UK04-S08</t>
        </is>
      </c>
      <c r="D824" s="77" t="inlineStr">
        <is>
          <t>Cross-School Design Weeks (School of Architecture, Building and Civil Engineering)</t>
        </is>
      </c>
      <c r="E824" s="77" t="inlineStr">
        <is>
          <t>project; group; employer</t>
        </is>
      </c>
      <c r="F824" s="77" t="inlineStr">
        <is>
          <t>https://www.lboro.ac.uk/departments/abce/undergraduate/employability/design-weeks/</t>
        </is>
      </c>
      <c r="G824" s="77" t="inlineStr">
        <is>
          <t>Cross-School design weeks</t>
        </is>
      </c>
      <c r="H824" s="77" t="inlineStr">
        <is>
          <t>School page</t>
        </is>
      </c>
      <c r="I824" s="77" t="inlineStr">
        <is>
          <t>undated</t>
        </is>
      </c>
      <c r="J824" s="77" t="inlineStr">
        <is>
          <t>2026-10-12</t>
        </is>
      </c>
      <c r="K824" s="77" t="inlineStr">
        <is>
          <t>search-summary paraphrase</t>
        </is>
      </c>
      <c r="L824" s="77" t="inlineStr">
        <is>
          <t>Annual Cross School Design Week: work with students from different disciplines on real-world challenges; teams' ideas showcased to a panel of industry partners; past briefs include sustainability, a community hub, redesign of campus area.</t>
        </is>
      </c>
    </row>
    <row r="825">
      <c r="A825" s="77" t="inlineStr">
        <is>
          <t>UK04-S09-R1</t>
        </is>
      </c>
      <c r="B825" s="77" t="inlineStr">
        <is>
          <t>UK04</t>
        </is>
      </c>
      <c r="C825" s="77" t="inlineStr">
        <is>
          <t>UK04-S09</t>
        </is>
      </c>
      <c r="D825" s="77" t="inlineStr">
        <is>
          <t>Loughborough AI Challenge Camp</t>
        </is>
      </c>
      <c r="E825" s="77" t="inlineStr">
        <is>
          <t>project; group; employer; status; duration</t>
        </is>
      </c>
      <c r="F825" s="77" t="inlineStr">
        <is>
          <t>https://www.lboro.ac.uk/internal/news/2026/february/ai-challenge-camp-2026/</t>
        </is>
      </c>
      <c r="G825" s="77" t="inlineStr">
        <is>
          <t>Loughborough AI Challenge Camp 2026: Bridging the Talent Gap Through Collaborative Innovation</t>
        </is>
      </c>
      <c r="H825" s="77" t="inlineStr">
        <is>
          <t>News</t>
        </is>
      </c>
      <c r="I825" s="77" t="inlineStr">
        <is>
          <t>2026 (Feb)</t>
        </is>
      </c>
      <c r="J825" s="77" t="inlineStr">
        <is>
          <t>2026-10-12</t>
        </is>
      </c>
      <c r="K825" s="77" t="inlineStr">
        <is>
          <t>search-summary paraphrase</t>
        </is>
      </c>
      <c r="L825" s="77" t="inlineStr">
        <is>
          <t>26-30 Jan 2026; four teams each mentored by a PhD researcher on challenges set by industry and academic partners; winning challenge from These Hands Academy Ltd; final presentations to expert panel on 30 January.</t>
        </is>
      </c>
    </row>
    <row r="826">
      <c r="A826" s="77" t="inlineStr">
        <is>
          <t>UK04-S10-R1</t>
        </is>
      </c>
      <c r="B826" s="77" t="inlineStr">
        <is>
          <t>UK04</t>
        </is>
      </c>
      <c r="C826" s="77" t="inlineStr">
        <is>
          <t>UK04-S10</t>
        </is>
      </c>
      <c r="D826" s="77" t="inlineStr">
        <is>
          <t>School of Design and Creative Arts live industry briefs (Design Week; final-year 7-day project; Industrial Design design sprint)</t>
        </is>
      </c>
      <c r="E826" s="77" t="inlineStr">
        <is>
          <t>employer; project</t>
        </is>
      </c>
      <c r="F826" s="77" t="inlineStr">
        <is>
          <t>https://www.lboro.ac.uk/schools/design-creative-arts/study/employability/engage-with-industry/</t>
        </is>
      </c>
      <c r="G826" s="77" t="inlineStr">
        <is>
          <t>Engage with industry</t>
        </is>
      </c>
      <c r="H826" s="77" t="inlineStr">
        <is>
          <t>Employability</t>
        </is>
      </c>
      <c r="I826" s="77" t="inlineStr">
        <is>
          <t>undated</t>
        </is>
      </c>
      <c r="J826" s="77" t="inlineStr">
        <is>
          <t>2026-10-12</t>
        </is>
      </c>
      <c r="K826" s="77" t="inlineStr">
        <is>
          <t>search-summary paraphrase</t>
        </is>
      </c>
      <c r="L826" s="77" t="inlineStr">
        <is>
          <t>School arranges live projects with industry contacts; briefs created and reviewed by partners; companies including Milliken, Panasonic, Layer, DCA and Seymour Powell.</t>
        </is>
      </c>
    </row>
    <row r="827">
      <c r="A827" s="77" t="inlineStr">
        <is>
          <t>UK04-S10-R2</t>
        </is>
      </c>
      <c r="B827" s="77" t="inlineStr">
        <is>
          <t>UK04</t>
        </is>
      </c>
      <c r="C827" s="77" t="inlineStr">
        <is>
          <t>UK04-S10</t>
        </is>
      </c>
      <c r="D827" s="77" t="inlineStr">
        <is>
          <t>School of Design and Creative Arts live industry briefs (Design Week; final-year 7-day project; Industrial Design design sprint)</t>
        </is>
      </c>
      <c r="E827" s="77" t="inlineStr">
        <is>
          <t>project; employer; status</t>
        </is>
      </c>
      <c r="F827" s="77" t="inlineStr">
        <is>
          <t>https://www.lboro.ac.uk/schools/design-creative-arts/whats-happening/news/2025/designweek2025bringingindustrytoourstudents/</t>
        </is>
      </c>
      <c r="G827" s="77" t="inlineStr">
        <is>
          <t>Design Week 2025: Industrial Design and Product Design &amp; Technology students tackle live industry briefs</t>
        </is>
      </c>
      <c r="H827" s="77" t="inlineStr">
        <is>
          <t>News</t>
        </is>
      </c>
      <c r="I827" s="77" t="inlineStr">
        <is>
          <t>2025</t>
        </is>
      </c>
      <c r="J827" s="77" t="inlineStr">
        <is>
          <t>2026-10-12</t>
        </is>
      </c>
      <c r="K827" s="77" t="inlineStr">
        <is>
          <t>search-summary paraphrase</t>
        </is>
      </c>
      <c r="L827" s="77" t="inlineStr">
        <is>
          <t>Second-year students worked on live briefs from Cambridge Consultants, Joseph Joseph and Kohler Mira.</t>
        </is>
      </c>
    </row>
    <row r="828">
      <c r="A828" s="77" t="inlineStr">
        <is>
          <t>UK04-S10-R3</t>
        </is>
      </c>
      <c r="B828" s="77" t="inlineStr">
        <is>
          <t>UK04</t>
        </is>
      </c>
      <c r="C828" s="77" t="inlineStr">
        <is>
          <t>UK04-S10</t>
        </is>
      </c>
      <c r="D828" s="77" t="inlineStr">
        <is>
          <t>School of Design and Creative Arts live industry briefs (Design Week; final-year 7-day project; Industrial Design design sprint)</t>
        </is>
      </c>
      <c r="E828" s="77" t="inlineStr">
        <is>
          <t>group; employer</t>
        </is>
      </c>
      <c r="F828" s="77" t="inlineStr">
        <is>
          <t>https://www.lboro.ac.uk/study/undergraduate/courses/industrial-design/</t>
        </is>
      </c>
      <c r="G828" s="77" t="inlineStr">
        <is>
          <t>Industrial Design BA</t>
        </is>
      </c>
      <c r="H828" s="77" t="inlineStr">
        <is>
          <t>Course page</t>
        </is>
      </c>
      <c r="I828" s="77" t="inlineStr">
        <is>
          <t>undated</t>
        </is>
      </c>
      <c r="J828" s="77" t="inlineStr">
        <is>
          <t>2026-10-12</t>
        </is>
      </c>
      <c r="K828" s="77" t="inlineStr">
        <is>
          <t>search-summary paraphrase</t>
        </is>
      </c>
      <c r="L828" s="77" t="inlineStr">
        <is>
          <t>Design sprint module: each student selects one brief and creates a design proposal sent to respective companies for feedback.</t>
        </is>
      </c>
    </row>
    <row r="829">
      <c r="A829" s="77" t="inlineStr">
        <is>
          <t>UK04-S10-R4</t>
        </is>
      </c>
      <c r="B829" s="77" t="inlineStr">
        <is>
          <t>UK04</t>
        </is>
      </c>
      <c r="C829" s="77" t="inlineStr">
        <is>
          <t>UK04-S10</t>
        </is>
      </c>
      <c r="D829" s="77" t="inlineStr">
        <is>
          <t>School of Design and Creative Arts live industry briefs (Design Week; final-year 7-day project; Industrial Design design sprint)</t>
        </is>
      </c>
      <c r="E829" s="77" t="inlineStr">
        <is>
          <t>project; employer; status</t>
        </is>
      </c>
      <c r="F829" s="77" t="inlineStr">
        <is>
          <t>https://designshow.lboro.ac.uk/awards/</t>
        </is>
      </c>
      <c r="G829" s="77" t="inlineStr">
        <is>
          <t>Awards - Loughborough Design Digital Showcase 2020</t>
        </is>
      </c>
      <c r="H829" s="77" t="inlineStr">
        <is>
          <t>Awards</t>
        </is>
      </c>
      <c r="I829" s="77" t="inlineStr">
        <is>
          <t>2020</t>
        </is>
      </c>
      <c r="J829" s="77" t="inlineStr">
        <is>
          <t>2026-10-12</t>
        </is>
      </c>
      <c r="K829" s="77" t="inlineStr">
        <is>
          <t>search-summary paraphrase</t>
        </is>
      </c>
      <c r="L829" s="77" t="inlineStr">
        <is>
          <t>Intense 7-day project where final-year students respond to briefs from Panasonic, DCA and Seymour Powell; winners chosen by the brief-providing companies.</t>
        </is>
      </c>
    </row>
    <row r="830">
      <c r="A830" s="77" t="inlineStr">
        <is>
          <t>UK04-S11-R1</t>
        </is>
      </c>
      <c r="B830" s="77" t="inlineStr">
        <is>
          <t>UK04</t>
        </is>
      </c>
      <c r="C830" s="77" t="inlineStr">
        <is>
          <t>UK04-S11</t>
        </is>
      </c>
      <c r="D830" s="77" t="inlineStr">
        <is>
          <t>EnerHy Centre for Doctoral Training design-and-build project (Cadent)</t>
        </is>
      </c>
      <c r="E830" s="77" t="inlineStr">
        <is>
          <t>project; group; employer; status; duration</t>
        </is>
      </c>
      <c r="F830" s="77" t="inlineStr">
        <is>
          <t>https://www.lboro.ac.uk/news-events/news/2025/september/enerhy/</t>
        </is>
      </c>
      <c r="G830" s="77" t="inlineStr">
        <is>
          <t>EnerHy makes strides in public engagement and research collaboration</t>
        </is>
      </c>
      <c r="H830" s="77" t="inlineStr">
        <is>
          <t>News</t>
        </is>
      </c>
      <c r="I830" s="77" t="inlineStr">
        <is>
          <t>2025 (September)</t>
        </is>
      </c>
      <c r="J830" s="77" t="inlineStr">
        <is>
          <t>2026-10-12</t>
        </is>
      </c>
      <c r="K830" s="77" t="inlineStr">
        <is>
          <t>search-summary paraphrase</t>
        </is>
      </c>
      <c r="L830" s="77" t="inlineStr">
        <is>
          <t>Design and build project for this year posed by Cadent; students with varied science and engineering backgrounds worked as a 13-person multidisciplinary team on a six-month project and unveiled a prototype at the event.</t>
        </is>
      </c>
    </row>
    <row r="831">
      <c r="A831" s="77" t="inlineStr">
        <is>
          <t>UK04-S12-R1</t>
        </is>
      </c>
      <c r="B831" s="77" t="inlineStr">
        <is>
          <t>UK04</t>
        </is>
      </c>
      <c r="C831" s="77" t="inlineStr">
        <is>
          <t>UK04-S12</t>
        </is>
      </c>
      <c r="D831" s="77" t="inlineStr">
        <is>
          <t>Collaborate Sprint (Loughborough University London)</t>
        </is>
      </c>
      <c r="E831" s="77" t="inlineStr">
        <is>
          <t>project; group; employer; status; duration</t>
        </is>
      </c>
      <c r="F831" s="77" t="inlineStr">
        <is>
          <t>https://www.lboro.ac.uk/news-events/news/2022/july/ldn-team-deliver-first-collab-spring-with-ugs/</t>
        </is>
      </c>
      <c r="G831" s="77" t="inlineStr">
        <is>
          <t>Loughborough University London team deliver first ever 'Collaborate Sprint' with Loughborough undergraduates</t>
        </is>
      </c>
      <c r="H831" s="77" t="inlineStr">
        <is>
          <t>News</t>
        </is>
      </c>
      <c r="I831" s="77" t="inlineStr">
        <is>
          <t>2022</t>
        </is>
      </c>
      <c r="J831" s="77" t="inlineStr">
        <is>
          <t>2026-10-12</t>
        </is>
      </c>
      <c r="K831" s="77" t="inlineStr">
        <is>
          <t>search-summary paraphrase</t>
        </is>
      </c>
      <c r="L831" s="77" t="inlineStr">
        <is>
          <t>2-day experience working with a partner organisation on a real-world challenge; first edition end of June 2022 with Holland &amp; Barrett; students built teams and pitched solutions.</t>
        </is>
      </c>
    </row>
    <row r="832">
      <c r="A832" s="77" t="inlineStr">
        <is>
          <t>UK05-S01-R1</t>
        </is>
      </c>
      <c r="B832" s="77" t="inlineStr">
        <is>
          <t>UK05</t>
        </is>
      </c>
      <c r="C832" s="77" t="inlineStr">
        <is>
          <t>UK05-S01</t>
        </is>
      </c>
      <c r="D832" s="77" t="inlineStr">
        <is>
          <t>Work-Based Learning: Team Projects with Employer Partners</t>
        </is>
      </c>
      <c r="E832" s="77" t="inlineStr">
        <is>
          <t>project; group; employer; eligibility; credit; duration</t>
        </is>
      </c>
      <c r="F832" s="77" t="inlineStr">
        <is>
          <t>https://www.abdn.ac.uk/registry/courses/undergraduate/2025/professional_development/pd2503</t>
        </is>
      </c>
      <c r="G832" s="77" t="inlineStr">
        <is>
          <t>PD2503: Work-Based Learning: Team Projects with Employer Partners - Catalogue of Courses</t>
        </is>
      </c>
      <c r="H832" s="77" t="inlineStr">
        <is>
          <t>Course overview / assessment</t>
        </is>
      </c>
      <c r="I832" s="77" t="inlineStr">
        <is>
          <t>2024-25 (URL path /2025/)</t>
        </is>
      </c>
      <c r="J832" s="77" t="inlineStr">
        <is>
          <t>2026-10-12</t>
        </is>
      </c>
      <c r="K832" s="77" t="inlineStr">
        <is>
          <t>search-summary paraphrase</t>
        </is>
      </c>
      <c r="L832" s="77" t="inlineStr">
        <is>
          <t>Level 2, 15 credits (7.5 ECTS), second term, Achieved/Not Achieved; prerequisites Programme Level 2 and Any Undergraduate Programme. Students choose a preferred project, meet milestones and present results, working directly with a project sponsor and receiving feedback. Projects must add value for the sponsoring organisation and link to a 2040 theme. Team work includes the project plan (sent as a draft to the sponsor for sign-off or suggested changes) and the final team submission; the pre-recorded pitch is shown to the class and the project sponsors.</t>
        </is>
      </c>
    </row>
    <row r="833">
      <c r="A833" s="77" t="inlineStr">
        <is>
          <t>UK05-S01-R2</t>
        </is>
      </c>
      <c r="B833" s="77" t="inlineStr">
        <is>
          <t>UK05</t>
        </is>
      </c>
      <c r="C833" s="77" t="inlineStr">
        <is>
          <t>UK05-S01</t>
        </is>
      </c>
      <c r="D833" s="77" t="inlineStr">
        <is>
          <t>Work-Based Learning: Team Projects with Employer Partners</t>
        </is>
      </c>
      <c r="E833" s="77" t="inlineStr">
        <is>
          <t>reach; eligibility; group; employer</t>
        </is>
      </c>
      <c r="F833" s="77" t="inlineStr">
        <is>
          <t>https://www.abdn.ac.uk/careers/experience/placements-and-work-experience-and-in-the-curriculum/</t>
        </is>
      </c>
      <c r="G833" s="77" t="inlineStr">
        <is>
          <t>Placements and Work Experience and in the Curriculum</t>
        </is>
      </c>
      <c r="H833" s="77" t="inlineStr">
        <is>
          <t>Credit-bearing courses</t>
        </is>
      </c>
      <c r="I833" s="77" t="inlineStr">
        <is>
          <t>undated</t>
        </is>
      </c>
      <c r="J833" s="77" t="inlineStr">
        <is>
          <t>2026-10-12</t>
        </is>
      </c>
      <c r="K833" s="77" t="inlineStr">
        <is>
          <t>search-summary paraphrase</t>
        </is>
      </c>
      <c r="L833" s="77" t="inlineStr">
        <is>
          <t>Careers page lists PD2503 among courses open to undergraduate students from any degree discipline; course connects students with employers for hands-on experience working in a team on a real project.</t>
        </is>
      </c>
    </row>
    <row r="834">
      <c r="A834" s="77" t="inlineStr">
        <is>
          <t>UK05-S01-R3</t>
        </is>
      </c>
      <c r="B834" s="77" t="inlineStr">
        <is>
          <t>UK05</t>
        </is>
      </c>
      <c r="C834" s="77" t="inlineStr">
        <is>
          <t>UK05-S01</t>
        </is>
      </c>
      <c r="D834" s="77" t="inlineStr">
        <is>
          <t>Work-Based Learning: Team Projects with Employer Partners</t>
        </is>
      </c>
      <c r="E834" s="77" t="inlineStr">
        <is>
          <t>participation; status</t>
        </is>
      </c>
      <c r="F834" s="77" t="inlineStr">
        <is>
          <t>https://www.abdn.ac.uk/staffnet/education/blog/forget-about-the-grades-why-feedback-is-key-to-workplace-readiness/</t>
        </is>
      </c>
      <c r="G834" s="77" t="inlineStr">
        <is>
          <t>Forget about the grades: Why feedback is key to workplace readiness</t>
        </is>
      </c>
      <c r="H834" s="77" t="inlineStr">
        <is>
          <t>Staff education blog</t>
        </is>
      </c>
      <c r="I834" s="77" t="inlineStr">
        <is>
          <t>2025</t>
        </is>
      </c>
      <c r="J834" s="77" t="inlineStr">
        <is>
          <t>2026-10-12</t>
        </is>
      </c>
      <c r="K834" s="77" t="inlineStr">
        <is>
          <t>search-summary paraphrase</t>
        </is>
      </c>
      <c r="L834" s="77" t="inlineStr">
        <is>
          <t>Twenty-three undergraduate students from a range of degree disciplines enrolled when the course launched in January 2025; every assessment component was framed as a milestone to achieve, not a grade.</t>
        </is>
      </c>
    </row>
    <row r="835">
      <c r="A835" s="77" t="inlineStr">
        <is>
          <t>UK05-S02-R1</t>
        </is>
      </c>
      <c r="B835" s="77" t="inlineStr">
        <is>
          <t>UK05</t>
        </is>
      </c>
      <c r="C835" s="77" t="inlineStr">
        <is>
          <t>UK05-S02</t>
        </is>
      </c>
      <c r="D835" s="77" t="inlineStr">
        <is>
          <t>Employer-led Interdisciplinary Project</t>
        </is>
      </c>
      <c r="E835" s="77" t="inlineStr">
        <is>
          <t>project; group; employer</t>
        </is>
      </c>
      <c r="F835" s="77" t="inlineStr">
        <is>
          <t>https://www.abdn.ac.uk/registry/courses/undergraduate/2024/education/ed3537</t>
        </is>
      </c>
      <c r="G835" s="77" t="inlineStr">
        <is>
          <t>ED3537: Employer-led Interdisciplinary Project - Catalogue of Courses</t>
        </is>
      </c>
      <c r="H835" s="77" t="inlineStr">
        <is>
          <t>Course overview</t>
        </is>
      </c>
      <c r="I835" s="77" t="inlineStr">
        <is>
          <t>2023-24 (URL path /2024/)</t>
        </is>
      </c>
      <c r="J835" s="77" t="inlineStr">
        <is>
          <t>2026-10-12</t>
        </is>
      </c>
      <c r="K835" s="77" t="inlineStr">
        <is>
          <t>search-summary paraphrase</t>
        </is>
      </c>
      <c r="L835" s="77" t="inlineStr">
        <is>
          <t>Students work together in a small group on a consultancy-style project hosted by a micro-business, organisation, or charity.</t>
        </is>
      </c>
    </row>
    <row r="836">
      <c r="A836" s="77" t="inlineStr">
        <is>
          <t>UK05-S03-R1</t>
        </is>
      </c>
      <c r="B836" s="77" t="inlineStr">
        <is>
          <t>UK05</t>
        </is>
      </c>
      <c r="C836" s="77" t="inlineStr">
        <is>
          <t>UK05-S03</t>
        </is>
      </c>
      <c r="D836" s="77" t="inlineStr">
        <is>
          <t>Engineering Work Experience</t>
        </is>
      </c>
      <c r="E836" s="77" t="inlineStr">
        <is>
          <t>project; group; employer; eligibility; credit; status</t>
        </is>
      </c>
      <c r="F836" s="77" t="inlineStr">
        <is>
          <t>https://www.abdn.ac.uk/registry/courses/undergraduate/2025-2026/education/ed251a</t>
        </is>
      </c>
      <c r="G836" s="77" t="inlineStr">
        <is>
          <t>ed251a: engineering work experience (2025-2026)</t>
        </is>
      </c>
      <c r="H836" s="77" t="inlineStr">
        <is>
          <t>Course overview / entry requirements</t>
        </is>
      </c>
      <c r="I836" s="77" t="inlineStr">
        <is>
          <t>2025-26</t>
        </is>
      </c>
      <c r="J836" s="77" t="inlineStr">
        <is>
          <t>2026-10-12</t>
        </is>
      </c>
      <c r="K836" s="77" t="inlineStr">
        <is>
          <t>search-summary paraphrase</t>
        </is>
      </c>
      <c r="L836" s="77" t="inlineStr">
        <is>
          <t>15-credit course in which students undertake a group consultancy project for a local engineering organisation; entry requirements Engineering (EG) (Studied).</t>
        </is>
      </c>
    </row>
    <row r="837">
      <c r="A837" s="77" t="inlineStr">
        <is>
          <t>UK05-S03-R2</t>
        </is>
      </c>
      <c r="B837" s="77" t="inlineStr">
        <is>
          <t>UK05</t>
        </is>
      </c>
      <c r="C837" s="77" t="inlineStr">
        <is>
          <t>UK05-S03</t>
        </is>
      </c>
      <c r="D837" s="77" t="inlineStr">
        <is>
          <t>Engineering Work Experience</t>
        </is>
      </c>
      <c r="E837" s="77" t="inlineStr">
        <is>
          <t>project; group; employer; duration</t>
        </is>
      </c>
      <c r="F837" s="77" t="inlineStr">
        <is>
          <t>https://www.abdn.ac.uk/staffnet/education/good-practice/other-learning--teaching-case-studies/employability/engineering-work-experience/</t>
        </is>
      </c>
      <c r="G837" s="77" t="inlineStr">
        <is>
          <t>Embedding Engineering Work Experience into the Second Year Curriculum</t>
        </is>
      </c>
      <c r="H837" s="77" t="inlineStr">
        <is>
          <t>Staff good-practice case study</t>
        </is>
      </c>
      <c r="I837" s="77" t="inlineStr">
        <is>
          <t>2018</t>
        </is>
      </c>
      <c r="J837" s="77" t="inlineStr">
        <is>
          <t>2026-10-12</t>
        </is>
      </c>
      <c r="K837" s="77" t="inlineStr">
        <is>
          <t>search-summary paraphrase</t>
        </is>
      </c>
      <c r="L837" s="77" t="inlineStr">
        <is>
          <t>10-week course with projects running January to March; consultancy-style group projects let students work on a real-life project brief.</t>
        </is>
      </c>
    </row>
    <row r="838">
      <c r="A838" s="77" t="inlineStr">
        <is>
          <t>UK05-S04-R1</t>
        </is>
      </c>
      <c r="B838" s="77" t="inlineStr">
        <is>
          <t>UK05</t>
        </is>
      </c>
      <c r="C838" s="77" t="inlineStr">
        <is>
          <t>UK05-S04</t>
        </is>
      </c>
      <c r="D838" s="77" t="inlineStr">
        <is>
          <t>Computing Science work-based learning course (Collaborate with Future Talent)</t>
        </is>
      </c>
      <c r="E838" s="77" t="inlineStr">
        <is>
          <t>project; employer; eligibility; duration</t>
        </is>
      </c>
      <c r="F838" s="77" t="inlineStr">
        <is>
          <t>https://www.abdn.ac.uk/ncs/departments/computing-science/work-based-learning-course/collaborate-with-future-talent/</t>
        </is>
      </c>
      <c r="G838" s="77" t="inlineStr">
        <is>
          <t>Collaborate with Future Talent</t>
        </is>
      </c>
      <c r="H838" s="77" t="inlineStr">
        <is>
          <t>Computing Science work-based learning course (employer page)</t>
        </is>
      </c>
      <c r="I838" s="77" t="inlineStr">
        <is>
          <t>undated</t>
        </is>
      </c>
      <c r="J838" s="77" t="inlineStr">
        <is>
          <t>2026-10-12</t>
        </is>
      </c>
      <c r="K838" s="77" t="inlineStr">
        <is>
          <t>search-summary paraphrase</t>
        </is>
      </c>
      <c r="L838" s="77" t="inlineStr">
        <is>
          <t>Employers are matched with students and propose a project, meet weekly for guidance and complete an end-of-project appraisal; 10 weeks, September to December, 10 hours a week; access restricted to students whose prior academic performance demonstrates the required level of competence.</t>
        </is>
      </c>
    </row>
    <row r="839">
      <c r="A839" s="77" t="inlineStr">
        <is>
          <t>UK05-S05-R1</t>
        </is>
      </c>
      <c r="B839" s="77" t="inlineStr">
        <is>
          <t>UK05</t>
        </is>
      </c>
      <c r="C839" s="77" t="inlineStr">
        <is>
          <t>UK05-S05</t>
        </is>
      </c>
      <c r="D839" s="77" t="inlineStr">
        <is>
          <t>ABDN Grad Challenge</t>
        </is>
      </c>
      <c r="E839" s="77" t="inlineStr">
        <is>
          <t>project; group; employer</t>
        </is>
      </c>
      <c r="F839" s="77" t="inlineStr">
        <is>
          <t>https://www.abdn.ac.uk/careers/skills-attributes/abdn-grad-challenge-1515.php</t>
        </is>
      </c>
      <c r="G839" s="77" t="inlineStr">
        <is>
          <t>ABDN Grad Challenge</t>
        </is>
      </c>
      <c r="H839" s="77" t="inlineStr">
        <is>
          <t>Careers skills and attributes</t>
        </is>
      </c>
      <c r="I839" s="77" t="inlineStr">
        <is>
          <t>undated</t>
        </is>
      </c>
      <c r="J839" s="77" t="inlineStr">
        <is>
          <t>2026-10-12</t>
        </is>
      </c>
      <c r="K839" s="77" t="inlineStr">
        <is>
          <t>search-index extract (quoted)</t>
        </is>
      </c>
      <c r="L839" s="77" t="inlineStr">
        <is>
          <t>Graduating students take part in project-based, virtual work experience as part of a cross-discipline team tackling real life challenges set by our employer partners.</t>
        </is>
      </c>
    </row>
    <row r="840">
      <c r="A840" s="77" t="inlineStr">
        <is>
          <t>UK06-S01-R1</t>
        </is>
      </c>
      <c r="B840" s="77" t="inlineStr">
        <is>
          <t>UK06</t>
        </is>
      </c>
      <c r="C840" s="77" t="inlineStr">
        <is>
          <t>UK06-S01</t>
        </is>
      </c>
      <c r="D840" s="77" t="inlineStr">
        <is>
          <t>Entrepreneurship and Innovation Consultancy Project</t>
        </is>
      </c>
      <c r="E840" s="77" t="inlineStr">
        <is>
          <t>project; group; employer; credit; status</t>
        </is>
      </c>
      <c r="F840" s="77" t="inlineStr">
        <is>
          <t>https://www.reading.ac.uk/modules/documents?acyear=2025%2F6&amp;modcode=MMM161&amp;schoolcode=HBS+DME+W%7CHBS+FIN+W%7CHBS+IBS+W%7CHBS+ICM+W%7CHBS+LOB+W%7CHBS+MGM+W%7CHBS+MKR+W%7CHBS+REP+W</t>
        </is>
      </c>
      <c r="G840" s="77" t="inlineStr">
        <is>
          <t>MMM161: Entrepreneurship and Innovation Consultancy Project (2025/6)</t>
        </is>
      </c>
      <c r="H840" s="77" t="inlineStr">
        <is>
          <t>Module description and assessment</t>
        </is>
      </c>
      <c r="I840" s="77" t="inlineStr">
        <is>
          <t>2025/6</t>
        </is>
      </c>
      <c r="J840" s="77" t="inlineStr">
        <is>
          <t>2026-10-12</t>
        </is>
      </c>
      <c r="K840" s="77" t="inlineStr">
        <is>
          <t>search-index extract (quoted)</t>
        </is>
      </c>
      <c r="L840" s="77" t="inlineStr">
        <is>
          <t>40-credit Level 7 module, Semester 2/Summer; Task 2 team oral presentation 30% (25 min plus questions); Task 3 individual project proposal for the host entrepreneur 50% (5,000 words).</t>
        </is>
      </c>
    </row>
    <row r="841">
      <c r="A841" s="77" t="inlineStr">
        <is>
          <t>UK06-S01-R2</t>
        </is>
      </c>
      <c r="B841" s="77" t="inlineStr">
        <is>
          <t>UK06</t>
        </is>
      </c>
      <c r="C841" s="77" t="inlineStr">
        <is>
          <t>UK06-S01</t>
        </is>
      </c>
      <c r="D841" s="77" t="inlineStr">
        <is>
          <t>Entrepreneurship and Innovation Consultancy Project</t>
        </is>
      </c>
      <c r="E841" s="77" t="inlineStr">
        <is>
          <t>project; group; employer</t>
        </is>
      </c>
      <c r="F841" s="77" t="inlineStr">
        <is>
          <t>https://www.reading.ac.uk/modules/documents?acyear=2024/5&amp;modcode=MMM161</t>
        </is>
      </c>
      <c r="G841" s="77" t="inlineStr">
        <is>
          <t>Entrepreneurship and Innovation Consultancy Project (2024/5)</t>
        </is>
      </c>
      <c r="H841" s="77" t="inlineStr">
        <is>
          <t>Module overview / summer semester</t>
        </is>
      </c>
      <c r="I841" s="77" t="inlineStr">
        <is>
          <t>2024/5</t>
        </is>
      </c>
      <c r="J841" s="77" t="inlineStr">
        <is>
          <t>2026-10-12</t>
        </is>
      </c>
      <c r="K841" s="77" t="inlineStr">
        <is>
          <t>search-index extract (quoted)</t>
        </is>
      </c>
      <c r="L841" s="77" t="inlineStr">
        <is>
          <t>Students practise on case studies in informal groups, then work for real entrepreneurs: 'not a case study... for real'; summer semester involves the consultancy team interacting with their project host from mid-June to late-July.</t>
        </is>
      </c>
    </row>
    <row r="842">
      <c r="A842" s="77" t="inlineStr">
        <is>
          <t>UK06-S01-R3</t>
        </is>
      </c>
      <c r="B842" s="77" t="inlineStr">
        <is>
          <t>UK06</t>
        </is>
      </c>
      <c r="C842" s="77" t="inlineStr">
        <is>
          <t>UK06-S01</t>
        </is>
      </c>
      <c r="D842" s="77" t="inlineStr">
        <is>
          <t>Entrepreneurship and Innovation Consultancy Project</t>
        </is>
      </c>
      <c r="E842" s="77" t="inlineStr">
        <is>
          <t>participation; eligibility</t>
        </is>
      </c>
      <c r="F842" s="77" t="inlineStr">
        <is>
          <t>https://www.reading.ac.uk/progspecs/pdf23/PFTZENTRINHM23.pdf</t>
        </is>
      </c>
      <c r="G842" s="77" t="inlineStr">
        <is>
          <t>Programme Specification MSc Entrepreneurship and Innovation (full-time)</t>
        </is>
      </c>
      <c r="H842" s="77" t="inlineStr">
        <is>
          <t>Assessment/classification</t>
        </is>
      </c>
      <c r="I842" s="77" t="inlineStr">
        <is>
          <t>2023</t>
        </is>
      </c>
      <c r="J842" s="77" t="inlineStr">
        <is>
          <t>2026-10-12</t>
        </is>
      </c>
      <c r="K842" s="77" t="inlineStr">
        <is>
          <t>search-summary paraphrase</t>
        </is>
      </c>
      <c r="L842" s="77" t="inlineStr">
        <is>
          <t>MMM161 is considered equivalent to a dissertation; a mark of 60+ in MMM161 is required for Distinction.</t>
        </is>
      </c>
    </row>
    <row r="843">
      <c r="A843" s="77" t="inlineStr">
        <is>
          <t>UK06-S02-R1</t>
        </is>
      </c>
      <c r="B843" s="77" t="inlineStr">
        <is>
          <t>UK06</t>
        </is>
      </c>
      <c r="C843" s="77" t="inlineStr">
        <is>
          <t>UK06-S02</t>
        </is>
      </c>
      <c r="D843" s="77" t="inlineStr">
        <is>
          <t>Capstone Project (ECM200)</t>
        </is>
      </c>
      <c r="E843" s="77" t="inlineStr">
        <is>
          <t>project; group; employer; status; credit</t>
        </is>
      </c>
      <c r="F843" s="77" t="inlineStr">
        <is>
          <t>https://www.reading.ac.uk/modules/documents?acyear=2025/6&amp;modcode=ECM200&amp;schoolcode=PPE+ECO%7CPPE+GIPIS%7CPPE+PHIL%7CPPE+POL</t>
        </is>
      </c>
      <c r="G843" s="77" t="inlineStr">
        <is>
          <t>ECM200: Capstone Project (2025/6)</t>
        </is>
      </c>
      <c r="H843" s="77" t="inlineStr">
        <is>
          <t>Module description</t>
        </is>
      </c>
      <c r="I843" s="77" t="inlineStr">
        <is>
          <t>2025/6</t>
        </is>
      </c>
      <c r="J843" s="77" t="inlineStr">
        <is>
          <t>2026-10-12</t>
        </is>
      </c>
      <c r="K843" s="77" t="inlineStr">
        <is>
          <t>search-index extract (quoted)</t>
        </is>
      </c>
      <c r="L843" s="77" t="inlineStr">
        <is>
          <t>Working in small groups and overseen by a faculty member, students complete a project on behalf of an external organisation (businesses, government agencies, not-for-profits, NGOs); individual written report 3,000-4,000 words, 100%.</t>
        </is>
      </c>
    </row>
    <row r="844">
      <c r="A844" s="77" t="inlineStr">
        <is>
          <t>UK06-S02-R2</t>
        </is>
      </c>
      <c r="B844" s="77" t="inlineStr">
        <is>
          <t>UK06</t>
        </is>
      </c>
      <c r="C844" s="77" t="inlineStr">
        <is>
          <t>UK06-S02</t>
        </is>
      </c>
      <c r="D844" s="77" t="inlineStr">
        <is>
          <t>Capstone Project (ECM200)</t>
        </is>
      </c>
      <c r="E844" s="77" t="inlineStr">
        <is>
          <t>project; group; employer; credit; duration</t>
        </is>
      </c>
      <c r="F844" s="77" t="inlineStr">
        <is>
          <t>https://www.reading.ac.uk/modules/documents?acyear=2024/5&amp;modcode=ECM200</t>
        </is>
      </c>
      <c r="G844" s="77" t="inlineStr">
        <is>
          <t>ECM200: Capstone Project (2024/5)</t>
        </is>
      </c>
      <c r="H844" s="77" t="inlineStr">
        <is>
          <t>Module description</t>
        </is>
      </c>
      <c r="I844" s="77" t="inlineStr">
        <is>
          <t>2024/5</t>
        </is>
      </c>
      <c r="J844" s="77" t="inlineStr">
        <is>
          <t>2026-10-12</t>
        </is>
      </c>
      <c r="K844" s="77" t="inlineStr">
        <is>
          <t>search-summary paraphrase</t>
        </is>
      </c>
      <c r="L844" s="77" t="inlineStr">
        <is>
          <t>Small-group project for an external organisation with academic supervisor; 20 credits; full year.</t>
        </is>
      </c>
    </row>
    <row r="845">
      <c r="A845" s="77" t="inlineStr">
        <is>
          <t>UK06-S02-R3</t>
        </is>
      </c>
      <c r="B845" s="77" t="inlineStr">
        <is>
          <t>UK06</t>
        </is>
      </c>
      <c r="C845" s="77" t="inlineStr">
        <is>
          <t>UK06-S02</t>
        </is>
      </c>
      <c r="D845" s="77" t="inlineStr">
        <is>
          <t>Capstone Project (ECM200)</t>
        </is>
      </c>
      <c r="E845" s="77" t="inlineStr">
        <is>
          <t>employer; participation; eligibility</t>
        </is>
      </c>
      <c r="F845" s="77" t="inlineStr">
        <is>
          <t>https://www.reading.ac.uk/economics/masters/how-youll-study</t>
        </is>
      </c>
      <c r="G845" s="77" t="inlineStr">
        <is>
          <t>Department of Economics - How you'll study</t>
        </is>
      </c>
      <c r="H845" s="77" t="inlineStr">
        <is>
          <t>Capstone Project</t>
        </is>
      </c>
      <c r="I845" s="77" t="inlineStr">
        <is>
          <t>undated</t>
        </is>
      </c>
      <c r="J845" s="77" t="inlineStr">
        <is>
          <t>2026-10-12</t>
        </is>
      </c>
      <c r="K845" s="77" t="inlineStr">
        <is>
          <t>search-summary paraphrase</t>
        </is>
      </c>
      <c r="L845" s="77" t="inlineStr">
        <is>
          <t>Teams work for an outside client; past clients include businesses, government agencies, not-for-profits, NGOs and start-ups; organisations contact capstone@reading.ac.uk.</t>
        </is>
      </c>
    </row>
    <row r="846">
      <c r="A846" s="77" t="inlineStr">
        <is>
          <t>UK06-S02-R4</t>
        </is>
      </c>
      <c r="B846" s="77" t="inlineStr">
        <is>
          <t>UK06</t>
        </is>
      </c>
      <c r="C846" s="77" t="inlineStr">
        <is>
          <t>UK06-S02</t>
        </is>
      </c>
      <c r="D846" s="77" t="inlineStr">
        <is>
          <t>Capstone Project (ECM200)</t>
        </is>
      </c>
      <c r="E846" s="77" t="inlineStr">
        <is>
          <t>eligibility; participation; status</t>
        </is>
      </c>
      <c r="F846" s="77" t="inlineStr">
        <is>
          <t>https://www.reading.ac.uk/ready-to-study/study/2026/economics-pg/msc-public-policy</t>
        </is>
      </c>
      <c r="G846" s="77" t="inlineStr">
        <is>
          <t>MSc in Public Policy - 2026/27</t>
        </is>
      </c>
      <c r="H846" s="77" t="inlineStr">
        <is>
          <t>Course structure</t>
        </is>
      </c>
      <c r="I846" s="77" t="inlineStr">
        <is>
          <t>2026/27</t>
        </is>
      </c>
      <c r="J846" s="77" t="inlineStr">
        <is>
          <t>2026-10-12</t>
        </is>
      </c>
      <c r="K846" s="77" t="inlineStr">
        <is>
          <t>search-summary paraphrase</t>
        </is>
      </c>
      <c r="L846" s="77" t="inlineStr">
        <is>
          <t>Capstone Project (group project for an external organisation) offered as an alternative to the Applied Research Project and Placement.</t>
        </is>
      </c>
    </row>
    <row r="847">
      <c r="A847" s="77" t="inlineStr">
        <is>
          <t>UK06-S03-R1</t>
        </is>
      </c>
      <c r="B847" s="77" t="inlineStr">
        <is>
          <t>UK06</t>
        </is>
      </c>
      <c r="C847" s="77" t="inlineStr">
        <is>
          <t>UK06-S03</t>
        </is>
      </c>
      <c r="D847" s="77" t="inlineStr">
        <is>
          <t>Real Estate Opportunities (Industry Challenge)</t>
        </is>
      </c>
      <c r="E847" s="77" t="inlineStr">
        <is>
          <t>project; group; employer; credit; status</t>
        </is>
      </c>
      <c r="F847" s="77" t="inlineStr">
        <is>
          <t>https://www.reading.ac.uk/modules/documents?acyear=2025%2F6&amp;modcode=REMF56&amp;schoolcode=HBS+DME+W%7CHBS+FIN+W%7CHBS+IBS+W%7CHBS+ICM+W%7CHBS+LOB+W%7CHBS+MGM+W%7CHBS+MKR+W%7CHBS+REP+W</t>
        </is>
      </c>
      <c r="G847" s="77" t="inlineStr">
        <is>
          <t>REMF56: Real Estate Opportunities (2025/6)</t>
        </is>
      </c>
      <c r="H847" s="77" t="inlineStr">
        <is>
          <t>Module description / assessment</t>
        </is>
      </c>
      <c r="I847" s="77" t="inlineStr">
        <is>
          <t>2025/6</t>
        </is>
      </c>
      <c r="J847" s="77" t="inlineStr">
        <is>
          <t>2026-10-12</t>
        </is>
      </c>
      <c r="K847" s="77" t="inlineStr">
        <is>
          <t>search-index extract (quoted)</t>
        </is>
      </c>
      <c r="L847" s="77" t="inlineStr">
        <is>
          <t>Teams of students are assigned a task by an industry partner; assessment: '20 Minute in person group client presentation to industry partner group report based on brief from Industry Partner (3,000 words)', 40%.</t>
        </is>
      </c>
    </row>
    <row r="848">
      <c r="A848" s="77" t="inlineStr">
        <is>
          <t>UK06-S03-R2</t>
        </is>
      </c>
      <c r="B848" s="77" t="inlineStr">
        <is>
          <t>UK06</t>
        </is>
      </c>
      <c r="C848" s="77" t="inlineStr">
        <is>
          <t>UK06-S03</t>
        </is>
      </c>
      <c r="D848" s="77" t="inlineStr">
        <is>
          <t>Real Estate Opportunities (Industry Challenge)</t>
        </is>
      </c>
      <c r="E848" s="77" t="inlineStr">
        <is>
          <t>employer; duration; participation</t>
        </is>
      </c>
      <c r="F848" s="77" t="inlineStr">
        <is>
          <t>https://henley.ac.uk/study/masters/msc-real-estate</t>
        </is>
      </c>
      <c r="G848" s="77" t="inlineStr">
        <is>
          <t>MSc Real Estate</t>
        </is>
      </c>
      <c r="H848" s="77" t="inlineStr">
        <is>
          <t>Programme page</t>
        </is>
      </c>
      <c r="I848" s="77" t="inlineStr">
        <is>
          <t>undated</t>
        </is>
      </c>
      <c r="J848" s="77" t="inlineStr">
        <is>
          <t>2026-10-12</t>
        </is>
      </c>
      <c r="K848" s="77" t="inlineStr">
        <is>
          <t>search-summary paraphrase</t>
        </is>
      </c>
      <c r="L848" s="77" t="inlineStr">
        <is>
          <t>Course described as industry-facing including executing a client brief for an assigned industry partner; capstone with one-week industry challenge.</t>
        </is>
      </c>
    </row>
    <row r="849">
      <c r="A849" s="77" t="inlineStr">
        <is>
          <t>UK06-S03-R3</t>
        </is>
      </c>
      <c r="B849" s="77" t="inlineStr">
        <is>
          <t>UK06</t>
        </is>
      </c>
      <c r="C849" s="77" t="inlineStr">
        <is>
          <t>UK06-S03</t>
        </is>
      </c>
      <c r="D849" s="77" t="inlineStr">
        <is>
          <t>Real Estate Opportunities (Industry Challenge)</t>
        </is>
      </c>
      <c r="E849" s="77" t="inlineStr">
        <is>
          <t>eligibility</t>
        </is>
      </c>
      <c r="F849" s="77" t="inlineStr">
        <is>
          <t>https://www.reading.ac.uk/progspecs/pdf24/PFTREALESTM24.pdf</t>
        </is>
      </c>
      <c r="G849" s="77" t="inlineStr">
        <is>
          <t>Programme Specification MSc in Real Estate (full-time)</t>
        </is>
      </c>
      <c r="H849" s="77" t="inlineStr">
        <is>
          <t>Programme structure</t>
        </is>
      </c>
      <c r="I849" s="77" t="inlineStr">
        <is>
          <t>2024</t>
        </is>
      </c>
      <c r="J849" s="77" t="inlineStr">
        <is>
          <t>2026-10-12</t>
        </is>
      </c>
      <c r="K849" s="77" t="inlineStr">
        <is>
          <t>search-summary paraphrase</t>
        </is>
      </c>
      <c r="L849" s="77" t="inlineStr">
        <is>
          <t>Programme specification for MSc Real Estate (module list).</t>
        </is>
      </c>
    </row>
    <row r="850">
      <c r="A850" s="77" t="inlineStr">
        <is>
          <t>UK06-S04-R1</t>
        </is>
      </c>
      <c r="B850" s="77" t="inlineStr">
        <is>
          <t>UK06</t>
        </is>
      </c>
      <c r="C850" s="77" t="inlineStr">
        <is>
          <t>UK06-S04</t>
        </is>
      </c>
      <c r="D850" s="77" t="inlineStr">
        <is>
          <t>Management Consultancy Project</t>
        </is>
      </c>
      <c r="E850" s="77" t="inlineStr">
        <is>
          <t>project; employer; credit</t>
        </is>
      </c>
      <c r="F850" s="77" t="inlineStr">
        <is>
          <t>https://www.henley.ac.uk/study/masters/msc-management</t>
        </is>
      </c>
      <c r="G850" s="77" t="inlineStr">
        <is>
          <t>MSc Management</t>
        </is>
      </c>
      <c r="H850" s="77" t="inlineStr">
        <is>
          <t>Modules / capstone</t>
        </is>
      </c>
      <c r="I850" s="77" t="inlineStr">
        <is>
          <t>undated</t>
        </is>
      </c>
      <c r="J850" s="77" t="inlineStr">
        <is>
          <t>2026-10-12</t>
        </is>
      </c>
      <c r="K850" s="77" t="inlineStr">
        <is>
          <t>search-summary paraphrase</t>
        </is>
      </c>
      <c r="L850" s="77" t="inlineStr">
        <is>
          <t>MMM190 Management Consultancy Project, 20 credits (10 ECTS), capstone including a consulting project with an organisation; projects developed in collaboration with specific organisations.</t>
        </is>
      </c>
    </row>
    <row r="851">
      <c r="A851" s="77" t="inlineStr">
        <is>
          <t>UK06-S05-R1</t>
        </is>
      </c>
      <c r="B851" s="77" t="inlineStr">
        <is>
          <t>UK06</t>
        </is>
      </c>
      <c r="C851" s="77" t="inlineStr">
        <is>
          <t>UK06-S05</t>
        </is>
      </c>
      <c r="D851" s="77" t="inlineStr">
        <is>
          <t>Assembling Strategy</t>
        </is>
      </c>
      <c r="E851" s="77" t="inlineStr">
        <is>
          <t>project; employer; credit</t>
        </is>
      </c>
      <c r="F851" s="77" t="inlineStr">
        <is>
          <t>https://www.henley.ac.uk/study/masters/msc-management-international-business</t>
        </is>
      </c>
      <c r="G851" s="77" t="inlineStr">
        <is>
          <t>MSc International Business</t>
        </is>
      </c>
      <c r="H851" s="77" t="inlineStr">
        <is>
          <t>Module list</t>
        </is>
      </c>
      <c r="I851" s="77" t="inlineStr">
        <is>
          <t>undated</t>
        </is>
      </c>
      <c r="J851" s="77" t="inlineStr">
        <is>
          <t>2026-10-12</t>
        </is>
      </c>
      <c r="K851" s="77" t="inlineStr">
        <is>
          <t>search-summary paraphrase</t>
        </is>
      </c>
      <c r="L851" s="77" t="inlineStr">
        <is>
          <t>MMM194 Assembling Strategy, 20 credits (10 ECTS): applies frameworks to a real-life consulting project with an external company; client communication and teamwork.</t>
        </is>
      </c>
    </row>
    <row r="852">
      <c r="A852" s="77" t="inlineStr">
        <is>
          <t>UK06-S06-R1</t>
        </is>
      </c>
      <c r="B852" s="77" t="inlineStr">
        <is>
          <t>UK06</t>
        </is>
      </c>
      <c r="C852" s="77" t="inlineStr">
        <is>
          <t>UK06-S06</t>
        </is>
      </c>
      <c r="D852" s="77" t="inlineStr">
        <is>
          <t>Executive MBA (Global) team consultancy projects</t>
        </is>
      </c>
      <c r="E852" s="77" t="inlineStr">
        <is>
          <t>project; group; employer</t>
        </is>
      </c>
      <c r="F852" s="77" t="inlineStr">
        <is>
          <t>https://henley.ac.uk/study/mba/executive-mba-global</t>
        </is>
      </c>
      <c r="G852" s="77" t="inlineStr">
        <is>
          <t>Executive MBA - Global</t>
        </is>
      </c>
      <c r="H852" s="77" t="inlineStr">
        <is>
          <t>Programme content</t>
        </is>
      </c>
      <c r="I852" s="77" t="inlineStr">
        <is>
          <t>undated</t>
        </is>
      </c>
      <c r="J852" s="77" t="inlineStr">
        <is>
          <t>2026-10-12</t>
        </is>
      </c>
      <c r="K852" s="77" t="inlineStr">
        <is>
          <t>search-summary paraphrase</t>
        </is>
      </c>
      <c r="L852" s="77" t="inlineStr">
        <is>
          <t>Team-based consultancy-style project with an emerging international business or start-up; team project for an NGO in South Africa.</t>
        </is>
      </c>
    </row>
    <row r="853">
      <c r="A853" s="77" t="inlineStr">
        <is>
          <t>UK06-S07-R1</t>
        </is>
      </c>
      <c r="B853" s="77" t="inlineStr">
        <is>
          <t>UK06</t>
        </is>
      </c>
      <c r="C853" s="77" t="inlineStr">
        <is>
          <t>UK06-S07</t>
        </is>
      </c>
      <c r="D853" s="77" t="inlineStr">
        <is>
          <t>New Product Development (FB3NPD)</t>
        </is>
      </c>
      <c r="E853" s="77" t="inlineStr">
        <is>
          <t>project; group; employer; status</t>
        </is>
      </c>
      <c r="F853" s="77" t="inlineStr">
        <is>
          <t>https://www.reading.ac.uk/ready-to-study/study/2026/food-and-nutrition-ug/bsc-food-technology-with-bioprocessing-with-industrial-training</t>
        </is>
      </c>
      <c r="G853" s="77" t="inlineStr">
        <is>
          <t>BSc Food Technology with Bioprocessing with Industrial Training - 2026/27</t>
        </is>
      </c>
      <c r="H853" s="77" t="inlineStr">
        <is>
          <t>Final year</t>
        </is>
      </c>
      <c r="I853" s="77" t="inlineStr">
        <is>
          <t>2026/27</t>
        </is>
      </c>
      <c r="J853" s="77" t="inlineStr">
        <is>
          <t>2026-10-12</t>
        </is>
      </c>
      <c r="K853" s="77" t="inlineStr">
        <is>
          <t>search-index extract (quoted)</t>
        </is>
      </c>
      <c r="L853" s="77" t="inlineStr">
        <is>
          <t>'Given a brief by industry experts, you'll work as a team to produce an original product, which you will showcase at an end-of-semester trade show'.</t>
        </is>
      </c>
    </row>
    <row r="854">
      <c r="A854" s="77" t="inlineStr">
        <is>
          <t>UK06-S07-R2</t>
        </is>
      </c>
      <c r="B854" s="77" t="inlineStr">
        <is>
          <t>UK06</t>
        </is>
      </c>
      <c r="C854" s="77" t="inlineStr">
        <is>
          <t>UK06-S07</t>
        </is>
      </c>
      <c r="D854" s="77" t="inlineStr">
        <is>
          <t>New Product Development (FB3NPD)</t>
        </is>
      </c>
      <c r="E854" s="77" t="inlineStr">
        <is>
          <t>group; credit</t>
        </is>
      </c>
      <c r="F854" s="77" t="inlineStr">
        <is>
          <t>https://www.reading.ac.uk/modules/documents?acyear=2023/4&amp;modcode=FB3FPD&amp;schoolcode=CFP+CHEM%7CCFP+FOODBI%7CCFP+PHARM</t>
        </is>
      </c>
      <c r="G854" s="77" t="inlineStr">
        <is>
          <t>FB3FPD - Food Product Development (2023/4)</t>
        </is>
      </c>
      <c r="H854" s="77" t="inlineStr">
        <is>
          <t>Assessment</t>
        </is>
      </c>
      <c r="I854" s="77" t="inlineStr">
        <is>
          <t>2023/4</t>
        </is>
      </c>
      <c r="J854" s="77" t="inlineStr">
        <is>
          <t>2026-10-12</t>
        </is>
      </c>
      <c r="K854" s="77" t="inlineStr">
        <is>
          <t>search-summary paraphrase</t>
        </is>
      </c>
      <c r="L854" s="77" t="inlineStr">
        <is>
          <t>Student groups receive a product concept; group presentation, group executive summary, final product presentation, peer assessment; 20 credits.</t>
        </is>
      </c>
    </row>
    <row r="855">
      <c r="A855" s="77" t="inlineStr">
        <is>
          <t>UK06-S07-R3</t>
        </is>
      </c>
      <c r="B855" s="77" t="inlineStr">
        <is>
          <t>UK06</t>
        </is>
      </c>
      <c r="C855" s="77" t="inlineStr">
        <is>
          <t>UK06-S07</t>
        </is>
      </c>
      <c r="D855" s="77" t="inlineStr">
        <is>
          <t>New Product Development (FB3NPD)</t>
        </is>
      </c>
      <c r="E855" s="77" t="inlineStr">
        <is>
          <t>credit; participation</t>
        </is>
      </c>
      <c r="F855" s="77" t="inlineStr">
        <is>
          <t>https://www.reading.ac.uk/progspecs/pdf25/UFFDTECHBIO325.pdf</t>
        </is>
      </c>
      <c r="G855" s="77" t="inlineStr">
        <is>
          <t>Programme Specification BSc Food Technology with Bio-processing (3 year)</t>
        </is>
      </c>
      <c r="H855" s="77" t="inlineStr">
        <is>
          <t>Part 3 modules</t>
        </is>
      </c>
      <c r="I855" s="77" t="inlineStr">
        <is>
          <t>2025</t>
        </is>
      </c>
      <c r="J855" s="77" t="inlineStr">
        <is>
          <t>2026-10-12</t>
        </is>
      </c>
      <c r="K855" s="77" t="inlineStr">
        <is>
          <t>search-summary paraphrase</t>
        </is>
      </c>
      <c r="L855" s="77" t="inlineStr">
        <is>
          <t>FB3NPD listed as 20-credit Level 6 module in Part 3.</t>
        </is>
      </c>
    </row>
    <row r="856">
      <c r="A856" s="77" t="inlineStr">
        <is>
          <t>UK06-S08-R1</t>
        </is>
      </c>
      <c r="B856" s="77" t="inlineStr">
        <is>
          <t>UK06</t>
        </is>
      </c>
      <c r="C856" s="77" t="inlineStr">
        <is>
          <t>UK06-S08</t>
        </is>
      </c>
      <c r="D856" s="77" t="inlineStr">
        <is>
          <t>Going Public: Presenting the Past, Planning the Future</t>
        </is>
      </c>
      <c r="E856" s="77" t="inlineStr">
        <is>
          <t>project; group; employer; credit</t>
        </is>
      </c>
      <c r="F856" s="77" t="inlineStr">
        <is>
          <t>https://www.reading.ac.uk/modules/documents?acyear=2023/4&amp;modcode=HS2GPP&amp;schoolcode=HUM+CLASS%7CHUM+GCMS%7CHUM+HIST%7CHUM+PHIL</t>
        </is>
      </c>
      <c r="G856" s="77" t="inlineStr">
        <is>
          <t>HS2GPP - Going Public (2023/4)</t>
        </is>
      </c>
      <c r="H856" s="77" t="inlineStr">
        <is>
          <t>Module description</t>
        </is>
      </c>
      <c r="I856" s="77" t="inlineStr">
        <is>
          <t>2023/4</t>
        </is>
      </c>
      <c r="J856" s="77" t="inlineStr">
        <is>
          <t>2026-10-12</t>
        </is>
      </c>
      <c r="K856" s="77" t="inlineStr">
        <is>
          <t>search-summary paraphrase</t>
        </is>
      </c>
      <c r="L856" s="77" t="inlineStr">
        <is>
          <t>Students work to a brief from an organisation outside the history department; portfolio 40% and presentation 40%, adjusted by peer assessment.</t>
        </is>
      </c>
    </row>
    <row r="857">
      <c r="A857" s="77" t="inlineStr">
        <is>
          <t>UK06-S08-R2</t>
        </is>
      </c>
      <c r="B857" s="77" t="inlineStr">
        <is>
          <t>UK06</t>
        </is>
      </c>
      <c r="C857" s="77" t="inlineStr">
        <is>
          <t>UK06-S08</t>
        </is>
      </c>
      <c r="D857" s="77" t="inlineStr">
        <is>
          <t>Going Public: Presenting the Past, Planning the Future</t>
        </is>
      </c>
      <c r="E857" s="77" t="inlineStr">
        <is>
          <t>group; employer; eligibility; participation</t>
        </is>
      </c>
      <c r="F857" s="77" t="inlineStr">
        <is>
          <t>https://www.reading.ac.uk/ready-to-study/study/2026/archaeology-ug/ba-archaeology-and-history</t>
        </is>
      </c>
      <c r="G857" s="77" t="inlineStr">
        <is>
          <t>BA Archaeology and History - 2026/27</t>
        </is>
      </c>
      <c r="H857" s="77" t="inlineStr">
        <is>
          <t>Course modules</t>
        </is>
      </c>
      <c r="I857" s="77" t="inlineStr">
        <is>
          <t>2026/27</t>
        </is>
      </c>
      <c r="J857" s="77" t="inlineStr">
        <is>
          <t>2026-10-12</t>
        </is>
      </c>
      <c r="K857" s="77" t="inlineStr">
        <is>
          <t>search-summary paraphrase</t>
        </is>
      </c>
      <c r="L857" s="77" t="inlineStr">
        <is>
          <t>Optional second-year module: students work collaboratively with external partners on a group project.</t>
        </is>
      </c>
    </row>
    <row r="858">
      <c r="A858" s="77" t="inlineStr">
        <is>
          <t>UK06-S09-R1</t>
        </is>
      </c>
      <c r="B858" s="77" t="inlineStr">
        <is>
          <t>UK06</t>
        </is>
      </c>
      <c r="C858" s="77" t="inlineStr">
        <is>
          <t>UK06-S09</t>
        </is>
      </c>
      <c r="D858" s="77" t="inlineStr">
        <is>
          <t>Real Jobs (Typography &amp; Graphic Communication)</t>
        </is>
      </c>
      <c r="E858" s="77" t="inlineStr">
        <is>
          <t>project; employer; group</t>
        </is>
      </c>
      <c r="F858" s="77" t="inlineStr">
        <is>
          <t>https://www.reading.ac.uk/typography/work-with-us</t>
        </is>
      </c>
      <c r="G858" s="77" t="inlineStr">
        <is>
          <t>Work with us - Typography &amp; Graphic Communication</t>
        </is>
      </c>
      <c r="H858" s="77" t="inlineStr">
        <is>
          <t>Real Jobs</t>
        </is>
      </c>
      <c r="I858" s="77" t="inlineStr">
        <is>
          <t>undated</t>
        </is>
      </c>
      <c r="J858" s="77" t="inlineStr">
        <is>
          <t>2026-10-12</t>
        </is>
      </c>
      <c r="K858" s="77" t="inlineStr">
        <is>
          <t>search-summary paraphrase</t>
        </is>
      </c>
      <c r="L858" s="77" t="inlineStr">
        <is>
          <t>Real Jobs scheme: students work one-on-one with real clients on live briefs; examples include rebranding for BASIC and packaging for Longhaul.</t>
        </is>
      </c>
    </row>
    <row r="859">
      <c r="A859" s="77" t="inlineStr">
        <is>
          <t>UK06-S09-R2</t>
        </is>
      </c>
      <c r="B859" s="77" t="inlineStr">
        <is>
          <t>UK06</t>
        </is>
      </c>
      <c r="C859" s="77" t="inlineStr">
        <is>
          <t>UK06-S09</t>
        </is>
      </c>
      <c r="D859" s="77" t="inlineStr">
        <is>
          <t>Real Jobs (Typography &amp; Graphic Communication)</t>
        </is>
      </c>
      <c r="E859" s="77" t="inlineStr">
        <is>
          <t>group; credit</t>
        </is>
      </c>
      <c r="F859" s="77" t="inlineStr">
        <is>
          <t>https://www.reading.ac.uk/modules/documents?acyear=2020/1&amp;modcode=TY3PRP</t>
        </is>
      </c>
      <c r="G859" s="77" t="inlineStr">
        <is>
          <t>TY3PRP Professional Practice (2020/1)</t>
        </is>
      </c>
      <c r="H859" s="77" t="inlineStr">
        <is>
          <t>Module description</t>
        </is>
      </c>
      <c r="I859" s="77" t="inlineStr">
        <is>
          <t>2020/1</t>
        </is>
      </c>
      <c r="J859" s="77" t="inlineStr">
        <is>
          <t>2026-10-12</t>
        </is>
      </c>
      <c r="K859" s="77" t="inlineStr">
        <is>
          <t>search-summary paraphrase</t>
        </is>
      </c>
      <c r="L859" s="77" t="inlineStr">
        <is>
          <t>Real Jobs assessed as completed by an agreed rubric; supervisors may require students to work in small teams.</t>
        </is>
      </c>
    </row>
    <row r="860">
      <c r="A860" s="77" t="inlineStr">
        <is>
          <t>UK06-S10-R1</t>
        </is>
      </c>
      <c r="B860" s="77" t="inlineStr">
        <is>
          <t>UK06</t>
        </is>
      </c>
      <c r="C860" s="77" t="inlineStr">
        <is>
          <t>UK06-S10</t>
        </is>
      </c>
      <c r="D860" s="77" t="inlineStr">
        <is>
          <t>Construction Live Project</t>
        </is>
      </c>
      <c r="E860" s="77" t="inlineStr">
        <is>
          <t>project; group; credit; duration</t>
        </is>
      </c>
      <c r="F860" s="77" t="inlineStr">
        <is>
          <t>https://www.reading.ac.uk/modules/documents?acyear=2024/5&amp;modcode=CE3CLP1&amp;schoolcode=BEN+ATC%7CBEN+CME</t>
        </is>
      </c>
      <c r="G860" s="77" t="inlineStr">
        <is>
          <t>CE3CLP1: Construction Live Project (2024/5)</t>
        </is>
      </c>
      <c r="H860" s="77" t="inlineStr">
        <is>
          <t>Module description</t>
        </is>
      </c>
      <c r="I860" s="77" t="inlineStr">
        <is>
          <t>2024/5</t>
        </is>
      </c>
      <c r="J860" s="77" t="inlineStr">
        <is>
          <t>2026-10-12</t>
        </is>
      </c>
      <c r="K860" s="77" t="inlineStr">
        <is>
          <t>search-index extract (quoted)</t>
        </is>
      </c>
      <c r="L860" s="77" t="inlineStr">
        <is>
          <t>Two-week intensive project supported by academics and industry staff to plan, schedule, cost, manage H&amp;S and build a scaled iconic structure; 20 credits.</t>
        </is>
      </c>
    </row>
    <row r="861">
      <c r="A861" s="77" t="inlineStr">
        <is>
          <t>UK06-S10-R2</t>
        </is>
      </c>
      <c r="B861" s="77" t="inlineStr">
        <is>
          <t>UK06</t>
        </is>
      </c>
      <c r="C861" s="77" t="inlineStr">
        <is>
          <t>UK06-S10</t>
        </is>
      </c>
      <c r="D861" s="77" t="inlineStr">
        <is>
          <t>Construction Live Project</t>
        </is>
      </c>
      <c r="E861" s="77" t="inlineStr">
        <is>
          <t>employer</t>
        </is>
      </c>
      <c r="F861" s="77" t="inlineStr">
        <is>
          <t>https://www.reading.ac.uk/modules/documents?acyear=2023/4&amp;modcode=CE3CLP&amp;schoolcode=BEN+ATC%7CBEN+CME</t>
        </is>
      </c>
      <c r="G861" s="77" t="inlineStr">
        <is>
          <t>CE3CLP: Construction Live Project (2023/4)</t>
        </is>
      </c>
      <c r="H861" s="77" t="inlineStr">
        <is>
          <t>Module description</t>
        </is>
      </c>
      <c r="I861" s="77" t="inlineStr">
        <is>
          <t>2023/4</t>
        </is>
      </c>
      <c r="J861" s="77" t="inlineStr">
        <is>
          <t>2026-10-12</t>
        </is>
      </c>
      <c r="K861" s="77" t="inlineStr">
        <is>
          <t>search-summary paraphrase</t>
        </is>
      </c>
      <c r="L861" s="77" t="inlineStr">
        <is>
          <t>Students worked with young professionals from the partner contractor and their supply chain.</t>
        </is>
      </c>
    </row>
    <row r="862">
      <c r="A862" s="77" t="inlineStr">
        <is>
          <t>UK06-S10-R3</t>
        </is>
      </c>
      <c r="B862" s="77" t="inlineStr">
        <is>
          <t>UK06</t>
        </is>
      </c>
      <c r="C862" s="77" t="inlineStr">
        <is>
          <t>UK06-S10</t>
        </is>
      </c>
      <c r="D862" s="77" t="inlineStr">
        <is>
          <t>Construction Live Project</t>
        </is>
      </c>
      <c r="E862" s="77" t="inlineStr">
        <is>
          <t>status</t>
        </is>
      </c>
      <c r="F862" s="77" t="inlineStr">
        <is>
          <t>https://www.reading.ac.uk/modules/module?acyear=2025%2F6&amp;school=BEN+ATC%7CBEN+CME</t>
        </is>
      </c>
      <c r="G862" s="77" t="inlineStr">
        <is>
          <t>Built Environment - Modules for 2025/6</t>
        </is>
      </c>
      <c r="H862" s="77" t="inlineStr">
        <is>
          <t>Module list</t>
        </is>
      </c>
      <c r="I862" s="77" t="inlineStr">
        <is>
          <t>2025/6</t>
        </is>
      </c>
      <c r="J862" s="77" t="inlineStr">
        <is>
          <t>2026-10-12</t>
        </is>
      </c>
      <c r="K862" s="77" t="inlineStr">
        <is>
          <t>search-summary paraphrase</t>
        </is>
      </c>
      <c r="L862" s="77" t="inlineStr">
        <is>
          <t>CE3CLP1 Construction Live Project listed, Level 3.</t>
        </is>
      </c>
    </row>
    <row r="863">
      <c r="A863" s="77" t="inlineStr">
        <is>
          <t>UK06-S11-R1</t>
        </is>
      </c>
      <c r="B863" s="77" t="inlineStr">
        <is>
          <t>UK06</t>
        </is>
      </c>
      <c r="C863" s="77" t="inlineStr">
        <is>
          <t>UK06-S11</t>
        </is>
      </c>
      <c r="D863" s="77" t="inlineStr">
        <is>
          <t>Business Management (Case Studies)</t>
        </is>
      </c>
      <c r="E863" s="77" t="inlineStr">
        <is>
          <t>project; group; employer</t>
        </is>
      </c>
      <c r="F863" s="77" t="inlineStr">
        <is>
          <t>https://www.reading.ac.uk/modules/documents?acyear=2023/4&amp;modcode=AP3A54</t>
        </is>
      </c>
      <c r="G863" s="77" t="inlineStr">
        <is>
          <t>AP3A54 Business Management (Case Studies) (2023/4)</t>
        </is>
      </c>
      <c r="H863" s="77" t="inlineStr">
        <is>
          <t>Module description</t>
        </is>
      </c>
      <c r="I863" s="77" t="inlineStr">
        <is>
          <t>2023/4</t>
        </is>
      </c>
      <c r="J863" s="77" t="inlineStr">
        <is>
          <t>2026-10-12</t>
        </is>
      </c>
      <c r="K863" s="77" t="inlineStr">
        <is>
          <t>search-summary paraphrase</t>
        </is>
      </c>
      <c r="L863" s="77" t="inlineStr">
        <is>
          <t>Case study work usually in small teams of 4/5; written and verbal reports presented, usually in the presence of the manager of the business studied.</t>
        </is>
      </c>
    </row>
    <row r="864">
      <c r="A864" s="77" t="inlineStr">
        <is>
          <t>UK07-S01-R1</t>
        </is>
      </c>
      <c r="B864" s="77" t="inlineStr">
        <is>
          <t>UK07</t>
        </is>
      </c>
      <c r="C864" s="77" t="inlineStr">
        <is>
          <t>UK07-S01</t>
        </is>
      </c>
      <c r="D864" s="77" t="inlineStr">
        <is>
          <t>Consulting Project (MANM448)</t>
        </is>
      </c>
      <c r="E864" s="77" t="inlineStr">
        <is>
          <t>project; group; employer; status; credit</t>
        </is>
      </c>
      <c r="F864" s="77" t="inlineStr">
        <is>
          <t>https://catalogue.surrey.ac.uk/2025-6/module/MANM448/SEMR2/2</t>
        </is>
      </c>
      <c r="G864" s="77" t="inlineStr">
        <is>
          <t>CONSULTING PROJECT - 2025/6</t>
        </is>
      </c>
      <c r="H864" s="77" t="inlineStr">
        <is>
          <t>Module descriptor</t>
        </is>
      </c>
      <c r="I864" s="77" t="inlineStr">
        <is>
          <t>2025/6</t>
        </is>
      </c>
      <c r="J864" s="77" t="inlineStr">
        <is>
          <t>2026-10-12</t>
        </is>
      </c>
      <c r="K864" s="77" t="inlineStr">
        <is>
          <t>search-index extract</t>
        </is>
      </c>
      <c r="L864"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865">
      <c r="A865" s="77" t="inlineStr">
        <is>
          <t>UK07-S01-R2</t>
        </is>
      </c>
      <c r="B865" s="77" t="inlineStr">
        <is>
          <t>UK07</t>
        </is>
      </c>
      <c r="C865" s="77" t="inlineStr">
        <is>
          <t>UK07-S01</t>
        </is>
      </c>
      <c r="D865" s="77" t="inlineStr">
        <is>
          <t>Consulting Project (MANM448)</t>
        </is>
      </c>
      <c r="E865" s="77" t="inlineStr">
        <is>
          <t>participation; employer</t>
        </is>
      </c>
      <c r="F865" s="77" t="inlineStr">
        <is>
          <t>https://catalogue.surrey.ac.uk/2020-1/module/MANM448</t>
        </is>
      </c>
      <c r="G865" s="77" t="inlineStr">
        <is>
          <t>CONSULTING PROJECT - 2020/1</t>
        </is>
      </c>
      <c r="H865" s="77" t="inlineStr">
        <is>
          <t>Module descriptor</t>
        </is>
      </c>
      <c r="I865" s="77" t="inlineStr">
        <is>
          <t>2020/1</t>
        </is>
      </c>
      <c r="J865" s="77" t="inlineStr">
        <is>
          <t>2026-10-12</t>
        </is>
      </c>
      <c r="K865" s="77" t="inlineStr">
        <is>
          <t>search-index extract</t>
        </is>
      </c>
      <c r="L865" s="77" t="inlineStr">
        <is>
          <t>Management MSc, Semester 2, Compulsory; teams prepare a consulting report and present it to the client organisation (older year; supports design/compulsory status only).</t>
        </is>
      </c>
    </row>
    <row r="866">
      <c r="A866" s="77" t="inlineStr">
        <is>
          <t>UK07-S02-R1</t>
        </is>
      </c>
      <c r="B866" s="77" t="inlineStr">
        <is>
          <t>UK07</t>
        </is>
      </c>
      <c r="C866" s="77" t="inlineStr">
        <is>
          <t>UK07-S02</t>
        </is>
      </c>
      <c r="D866" s="77" t="inlineStr">
        <is>
          <t>Dynamics of Business Consultancy (MSc Entrepreneurship &amp; Innovation Management)</t>
        </is>
      </c>
      <c r="E866" s="77" t="inlineStr">
        <is>
          <t>project; group; employer; participation</t>
        </is>
      </c>
      <c r="F866" s="77" t="inlineStr">
        <is>
          <t>https://www.surrey.ac.uk/news/entrepreneurial-experience-built</t>
        </is>
      </c>
      <c r="G866" s="77" t="inlineStr">
        <is>
          <t>Entrepreneurial experience built in</t>
        </is>
      </c>
      <c r="H866" s="77" t="inlineStr">
        <is>
          <t>News</t>
        </is>
      </c>
      <c r="I866" s="77" t="inlineStr">
        <is>
          <t>undated</t>
        </is>
      </c>
      <c r="J866" s="77" t="inlineStr">
        <is>
          <t>2026-10-12</t>
        </is>
      </c>
      <c r="K866" s="77" t="inlineStr">
        <is>
          <t>search-index extract</t>
        </is>
      </c>
      <c r="L866" s="77" t="inlineStr">
        <is>
          <t>In the compulsory module Dynamics of Business Consultancy, small student teams act as consultants for an external organisation; students receive a live client brief and develop practical, evidence-based recommendations.</t>
        </is>
      </c>
    </row>
    <row r="867">
      <c r="A867" s="77" t="inlineStr">
        <is>
          <t>UK07-S02-R2</t>
        </is>
      </c>
      <c r="B867" s="77" t="inlineStr">
        <is>
          <t>UK07</t>
        </is>
      </c>
      <c r="C867" s="77" t="inlineStr">
        <is>
          <t>UK07-S02</t>
        </is>
      </c>
      <c r="D867" s="77" t="inlineStr">
        <is>
          <t>Dynamics of Business Consultancy (MSc Entrepreneurship &amp; Innovation Management)</t>
        </is>
      </c>
      <c r="E867" s="77" t="inlineStr">
        <is>
          <t>status; participation</t>
        </is>
      </c>
      <c r="F867" s="77" t="inlineStr">
        <is>
          <t>https://catalogue.surrey.ac.uk/2026-7/programme/PKA61-5</t>
        </is>
      </c>
      <c r="G867" s="77" t="inlineStr">
        <is>
          <t>Entrepreneurship &amp; Innovation Management MSc - 2026/7</t>
        </is>
      </c>
      <c r="H867" s="77" t="inlineStr">
        <is>
          <t>Programme catalogue</t>
        </is>
      </c>
      <c r="I867" s="77" t="inlineStr">
        <is>
          <t>2026/7</t>
        </is>
      </c>
      <c r="J867" s="77" t="inlineStr">
        <is>
          <t>2026-10-12</t>
        </is>
      </c>
      <c r="K867" s="77" t="inlineStr">
        <is>
          <t>search-index extract</t>
        </is>
      </c>
      <c r="L867" s="77" t="inlineStr">
        <is>
          <t>Programme listing places a team live project challenge with an external organisation in Year 1, Semester 2 (search-index summary).</t>
        </is>
      </c>
    </row>
    <row r="868">
      <c r="A868" s="77" t="inlineStr">
        <is>
          <t>UK07-S03-R1</t>
        </is>
      </c>
      <c r="B868" s="77" t="inlineStr">
        <is>
          <t>UK07</t>
        </is>
      </c>
      <c r="C868" s="77" t="inlineStr">
        <is>
          <t>UK07-S03</t>
        </is>
      </c>
      <c r="D868" s="77" t="inlineStr">
        <is>
          <t>Digital Business Challenge / Digital Project Development (MANM468)</t>
        </is>
      </c>
      <c r="E868" s="77" t="inlineStr">
        <is>
          <t>project; group; employer</t>
        </is>
      </c>
      <c r="F868" s="77" t="inlineStr">
        <is>
          <t>https://www.surrey.ac.uk/digital-business-challenge</t>
        </is>
      </c>
      <c r="G868" s="77" t="inlineStr">
        <is>
          <t>Digital Business Challenge project</t>
        </is>
      </c>
      <c r="H868" s="77" t="inlineStr">
        <is>
          <t>Project page</t>
        </is>
      </c>
      <c r="I868" s="77" t="inlineStr">
        <is>
          <t>undated</t>
        </is>
      </c>
      <c r="J868" s="77" t="inlineStr">
        <is>
          <t>2026-10-12</t>
        </is>
      </c>
      <c r="K868" s="77" t="inlineStr">
        <is>
          <t>search-index extract</t>
        </is>
      </c>
      <c r="L868" s="77" t="inlineStr">
        <is>
          <t>Student teams work on digital marketing for partner companies; companies must have a specific digital marketing problem and commit at least two hours a week (weekly team meetings and the stakeholder presentation).</t>
        </is>
      </c>
    </row>
    <row r="869">
      <c r="A869" s="77" t="inlineStr">
        <is>
          <t>UK07-S03-R2</t>
        </is>
      </c>
      <c r="B869" s="77" t="inlineStr">
        <is>
          <t>UK07</t>
        </is>
      </c>
      <c r="C869" s="77" t="inlineStr">
        <is>
          <t>UK07-S03</t>
        </is>
      </c>
      <c r="D869" s="77" t="inlineStr">
        <is>
          <t>Digital Business Challenge / Digital Project Development (MANM468)</t>
        </is>
      </c>
      <c r="E869" s="77" t="inlineStr">
        <is>
          <t>status; participation; credit; group</t>
        </is>
      </c>
      <c r="F869" s="77" t="inlineStr">
        <is>
          <t>https://catalogue.surrey.ac.uk/2025-6/module/MANM468/SEMR2/2</t>
        </is>
      </c>
      <c r="G869" s="77" t="inlineStr">
        <is>
          <t>DIGITAL PROJECT DEVELOPMENT - 2025/6</t>
        </is>
      </c>
      <c r="H869" s="77" t="inlineStr">
        <is>
          <t>Module descriptor</t>
        </is>
      </c>
      <c r="I869" s="77" t="inlineStr">
        <is>
          <t>2025/6</t>
        </is>
      </c>
      <c r="J869" s="77" t="inlineStr">
        <is>
          <t>2026-10-12</t>
        </is>
      </c>
      <c r="K869" s="77" t="inlineStr">
        <is>
          <t>search-index extract</t>
        </is>
      </c>
      <c r="L869" s="77" t="inlineStr">
        <is>
          <t>15 credits, FHEQ L7, Semester 2, compulsory on Entrepreneurship &amp; Innovation Management MSc, module cap 60; 2024/5 entry: students work in teams on business challenge.</t>
        </is>
      </c>
    </row>
    <row r="870">
      <c r="A870" s="77" t="inlineStr">
        <is>
          <t>UK07-S04-R1</t>
        </is>
      </c>
      <c r="B870" s="77" t="inlineStr">
        <is>
          <t>UK07</t>
        </is>
      </c>
      <c r="C870" s="77" t="inlineStr">
        <is>
          <t>UK07-S04</t>
        </is>
      </c>
      <c r="D870" s="77" t="inlineStr">
        <is>
          <t>Employee Resourcing (MANM466) - client resourcing challenge</t>
        </is>
      </c>
      <c r="E870" s="77" t="inlineStr">
        <is>
          <t>project; group; employer; credit; status</t>
        </is>
      </c>
      <c r="F870" s="77" t="inlineStr">
        <is>
          <t>https://catalogue.surrey.ac.uk/2024-5/module/MANM466/SEMR2/2CF</t>
        </is>
      </c>
      <c r="G870" s="77" t="inlineStr">
        <is>
          <t>EMPLOYEE RESOURCING - 2024/5</t>
        </is>
      </c>
      <c r="H870" s="77" t="inlineStr">
        <is>
          <t>Module descriptor</t>
        </is>
      </c>
      <c r="I870" s="77" t="inlineStr">
        <is>
          <t>2024/5</t>
        </is>
      </c>
      <c r="J870" s="77" t="inlineStr">
        <is>
          <t>2026-10-12</t>
        </is>
      </c>
      <c r="K870" s="77" t="inlineStr">
        <is>
          <t>search-index extract</t>
        </is>
      </c>
      <c r="L870"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871">
      <c r="A871" s="77" t="inlineStr">
        <is>
          <t>UK07-S05-R1</t>
        </is>
      </c>
      <c r="B871" s="77" t="inlineStr">
        <is>
          <t>UK07</t>
        </is>
      </c>
      <c r="C871" s="77" t="inlineStr">
        <is>
          <t>UK07-S05</t>
        </is>
      </c>
      <c r="D871" s="77" t="inlineStr">
        <is>
          <t>Hospitality, Tourism and Events Consultancy / Consultancy for the Visitor Economy (MAN3164 / MAN3251)</t>
        </is>
      </c>
      <c r="E871" s="77" t="inlineStr">
        <is>
          <t>project; group; employer; status</t>
        </is>
      </c>
      <c r="F871" s="77" t="inlineStr">
        <is>
          <t>https://catalogue.surrey.ac.uk/2025-6/module/MAN3164/SEMR2/2</t>
        </is>
      </c>
      <c r="G871" s="77" t="inlineStr">
        <is>
          <t>HOSPITALITY, TOURISM AND EVENTS CONSULTANCY - 2025/6</t>
        </is>
      </c>
      <c r="H871" s="77" t="inlineStr">
        <is>
          <t>Module descriptor</t>
        </is>
      </c>
      <c r="I871" s="77" t="inlineStr">
        <is>
          <t>2025/6</t>
        </is>
      </c>
      <c r="J871" s="77" t="inlineStr">
        <is>
          <t>2026-10-12</t>
        </is>
      </c>
      <c r="K871" s="77" t="inlineStr">
        <is>
          <t>search-index extract</t>
        </is>
      </c>
      <c r="L871"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872">
      <c r="A872" s="77" t="inlineStr">
        <is>
          <t>UK07-S05-R2</t>
        </is>
      </c>
      <c r="B872" s="77" t="inlineStr">
        <is>
          <t>UK07</t>
        </is>
      </c>
      <c r="C872" s="77" t="inlineStr">
        <is>
          <t>UK07-S05</t>
        </is>
      </c>
      <c r="D872" s="77" t="inlineStr">
        <is>
          <t>Hospitality, Tourism and Events Consultancy / Consultancy for the Visitor Economy (MAN3164 / MAN3251)</t>
        </is>
      </c>
      <c r="E872" s="77" t="inlineStr">
        <is>
          <t>project; group; employer</t>
        </is>
      </c>
      <c r="F872" s="77" t="inlineStr">
        <is>
          <t>https://www.surrey.ac.uk/hospitality-tourism-and-events-consultancy</t>
        </is>
      </c>
      <c r="G872" s="77" t="inlineStr">
        <is>
          <t>Hospitality, Tourism &amp; Events Consultancy project</t>
        </is>
      </c>
      <c r="H872" s="77" t="inlineStr">
        <is>
          <t>Project page</t>
        </is>
      </c>
      <c r="I872" s="77" t="inlineStr">
        <is>
          <t>undated</t>
        </is>
      </c>
      <c r="J872" s="77" t="inlineStr">
        <is>
          <t>2026-10-12</t>
        </is>
      </c>
      <c r="K872" s="77" t="inlineStr">
        <is>
          <t>search-index extract</t>
        </is>
      </c>
      <c r="L872" s="77" t="inlineStr">
        <is>
          <t>Final-year student teams collaborate with business stakeholders for a designated organisation; contact available for at least four one-hour meetings; firms help define the brief; students present recommendations.</t>
        </is>
      </c>
    </row>
    <row r="873">
      <c r="A873" s="77" t="inlineStr">
        <is>
          <t>UK07-S05-R3</t>
        </is>
      </c>
      <c r="B873" s="77" t="inlineStr">
        <is>
          <t>UK07</t>
        </is>
      </c>
      <c r="C873" s="77" t="inlineStr">
        <is>
          <t>UK07-S05</t>
        </is>
      </c>
      <c r="D873" s="77" t="inlineStr">
        <is>
          <t>Hospitality, Tourism and Events Consultancy / Consultancy for the Visitor Economy (MAN3164 / MAN3251)</t>
        </is>
      </c>
      <c r="E873" s="77" t="inlineStr">
        <is>
          <t>employer; status</t>
        </is>
      </c>
      <c r="F873" s="77" t="inlineStr">
        <is>
          <t>https://www.surrey.ac.uk/news/surrey-students-collaborate-london-gatwick-visitor-economy-project</t>
        </is>
      </c>
      <c r="G873" s="77" t="inlineStr">
        <is>
          <t>Surrey students collaborate with London Gatwick on visitor economy project</t>
        </is>
      </c>
      <c r="H873" s="77" t="inlineStr">
        <is>
          <t>News</t>
        </is>
      </c>
      <c r="I873" s="77" t="inlineStr">
        <is>
          <t>undated</t>
        </is>
      </c>
      <c r="J873" s="77" t="inlineStr">
        <is>
          <t>2026-10-12</t>
        </is>
      </c>
      <c r="K873" s="77" t="inlineStr">
        <is>
          <t>search-index extract</t>
        </is>
      </c>
      <c r="L873" s="77" t="inlineStr">
        <is>
          <t>Final-year students work in teams on consultancy projects set by industry partners; report and presentation to Gatwick partners; MAN3251 Consultancy for the Visitor Economy.</t>
        </is>
      </c>
    </row>
    <row r="874">
      <c r="A874" s="77" t="inlineStr">
        <is>
          <t>UK07-S06-R1</t>
        </is>
      </c>
      <c r="B874" s="77" t="inlineStr">
        <is>
          <t>UK07</t>
        </is>
      </c>
      <c r="C874" s="77" t="inlineStr">
        <is>
          <t>UK07-S06</t>
        </is>
      </c>
      <c r="D874" s="77" t="inlineStr">
        <is>
          <t>Applied Business Project (MAN3213) - Semester 1 group partner project</t>
        </is>
      </c>
      <c r="E874" s="77" t="inlineStr">
        <is>
          <t>project; group; employer; status</t>
        </is>
      </c>
      <c r="F874" s="77" t="inlineStr">
        <is>
          <t>https://catalogue.surrey.ac.uk/2026-7/module/MAN3213</t>
        </is>
      </c>
      <c r="G874" s="77" t="inlineStr">
        <is>
          <t>APPLIED BUSINESS PROJECT - 2026/7</t>
        </is>
      </c>
      <c r="H874" s="77" t="inlineStr">
        <is>
          <t>Module descriptor</t>
        </is>
      </c>
      <c r="I874" s="77" t="inlineStr">
        <is>
          <t>2026/7</t>
        </is>
      </c>
      <c r="J874" s="77" t="inlineStr">
        <is>
          <t>2026-10-12</t>
        </is>
      </c>
      <c r="K874" s="77" t="inlineStr">
        <is>
          <t>search-index extract</t>
        </is>
      </c>
      <c r="L874"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875">
      <c r="A875" s="77" t="inlineStr">
        <is>
          <t>UK07-S06-R2</t>
        </is>
      </c>
      <c r="B875" s="77" t="inlineStr">
        <is>
          <t>UK07</t>
        </is>
      </c>
      <c r="C875" s="77" t="inlineStr">
        <is>
          <t>UK07-S06</t>
        </is>
      </c>
      <c r="D875" s="77" t="inlineStr">
        <is>
          <t>Applied Business Project (MAN3213) - Semester 1 group partner project</t>
        </is>
      </c>
      <c r="E875" s="77" t="inlineStr">
        <is>
          <t>status</t>
        </is>
      </c>
      <c r="F875" s="77" t="inlineStr">
        <is>
          <t>https://catalogue.surrey.ac.uk/2025-6/module/MAN3213</t>
        </is>
      </c>
      <c r="G875" s="77" t="inlineStr">
        <is>
          <t>APPLIED BUSINESS PROJECT - 2025/6</t>
        </is>
      </c>
      <c r="H875" s="77" t="inlineStr">
        <is>
          <t>Module descriptor</t>
        </is>
      </c>
      <c r="I875" s="77" t="inlineStr">
        <is>
          <t>2025/6</t>
        </is>
      </c>
      <c r="J875" s="77" t="inlineStr">
        <is>
          <t>2026-10-12</t>
        </is>
      </c>
      <c r="K875" s="77" t="inlineStr">
        <is>
          <t>search-index extract</t>
        </is>
      </c>
      <c r="L875" s="77" t="inlineStr">
        <is>
          <t>2025/6 entry describes an individual project built around the student's own business idea (differs from 2026/7).</t>
        </is>
      </c>
    </row>
    <row r="876">
      <c r="A876" s="77" t="inlineStr">
        <is>
          <t>UK07-S07-R1</t>
        </is>
      </c>
      <c r="B876" s="77" t="inlineStr">
        <is>
          <t>UK07</t>
        </is>
      </c>
      <c r="C876" s="77" t="inlineStr">
        <is>
          <t>UK07-S07</t>
        </is>
      </c>
      <c r="D876" s="77" t="inlineStr">
        <is>
          <t>Business Consultancy Project (B-Clinic)</t>
        </is>
      </c>
      <c r="E876" s="77" t="inlineStr">
        <is>
          <t>project; group; employer</t>
        </is>
      </c>
      <c r="F876" s="77" t="inlineStr">
        <is>
          <t>https://www.surrey.ac.uk/consultancy-project</t>
        </is>
      </c>
      <c r="G876" s="77" t="inlineStr">
        <is>
          <t>Consultancy Project</t>
        </is>
      </c>
      <c r="H876" s="77" t="inlineStr">
        <is>
          <t>Partner page</t>
        </is>
      </c>
      <c r="I876" s="77" t="inlineStr">
        <is>
          <t>undated</t>
        </is>
      </c>
      <c r="J876" s="77" t="inlineStr">
        <is>
          <t>2026-10-12</t>
        </is>
      </c>
      <c r="K876" s="77" t="inlineStr">
        <is>
          <t>search-index extract</t>
        </is>
      </c>
      <c r="L876" s="77" t="inlineStr">
        <is>
          <t>Kick-off attended by client, student and academic supervisor; client typically commits to at least four one-hour meetings; each student submits a 12,000-word report; partner may agree a practical output; projects individually or in groups.</t>
        </is>
      </c>
    </row>
    <row r="877">
      <c r="A877" s="77" t="inlineStr">
        <is>
          <t>UK07-S07-R2</t>
        </is>
      </c>
      <c r="B877" s="77" t="inlineStr">
        <is>
          <t>UK07</t>
        </is>
      </c>
      <c r="C877" s="77" t="inlineStr">
        <is>
          <t>UK07-S07</t>
        </is>
      </c>
      <c r="D877" s="77" t="inlineStr">
        <is>
          <t>Business Consultancy Project (B-Clinic)</t>
        </is>
      </c>
      <c r="E877" s="77" t="inlineStr">
        <is>
          <t>employer</t>
        </is>
      </c>
      <c r="F877" s="77" t="inlineStr">
        <is>
          <t>https://www.surrey.ac.uk/business-school/businesses/b-clinic</t>
        </is>
      </c>
      <c r="G877" s="77" t="inlineStr">
        <is>
          <t>The B-clinic</t>
        </is>
      </c>
      <c r="H877" s="77" t="inlineStr">
        <is>
          <t>B-Clinic page</t>
        </is>
      </c>
      <c r="I877" s="77" t="inlineStr">
        <is>
          <t>undated</t>
        </is>
      </c>
      <c r="J877" s="77" t="inlineStr">
        <is>
          <t>2026-10-12</t>
        </is>
      </c>
      <c r="K877" s="77" t="inlineStr">
        <is>
          <t>search-index extract</t>
        </is>
      </c>
      <c r="L877" s="77" t="inlineStr">
        <is>
          <t>B-Clinic offers supervised student consultancy projects for businesses.</t>
        </is>
      </c>
    </row>
    <row r="878">
      <c r="A878" s="77" t="inlineStr">
        <is>
          <t>UK07-S08-R1</t>
        </is>
      </c>
      <c r="B878" s="77" t="inlineStr">
        <is>
          <t>UK07</t>
        </is>
      </c>
      <c r="C878" s="77" t="inlineStr">
        <is>
          <t>UK07-S08</t>
        </is>
      </c>
      <c r="D878" s="77" t="inlineStr">
        <is>
          <t>Integrative Applied Project (MANM363) - consultancy option</t>
        </is>
      </c>
      <c r="E878" s="77" t="inlineStr">
        <is>
          <t>project; employer; credit; status</t>
        </is>
      </c>
      <c r="F878" s="77" t="inlineStr">
        <is>
          <t>https://catalogue.surrey.ac.uk/2025-6/module/MANM363/SEMR2/2R</t>
        </is>
      </c>
      <c r="G878" s="77" t="inlineStr">
        <is>
          <t>INTEGRATIVE APPLIED PROJECT - 2025/6</t>
        </is>
      </c>
      <c r="H878" s="77" t="inlineStr">
        <is>
          <t>Module descriptor</t>
        </is>
      </c>
      <c r="I878" s="77" t="inlineStr">
        <is>
          <t>2025/6</t>
        </is>
      </c>
      <c r="J878" s="77" t="inlineStr">
        <is>
          <t>2026-10-12</t>
        </is>
      </c>
      <c r="K878" s="77" t="inlineStr">
        <is>
          <t>search-index extract</t>
        </is>
      </c>
      <c r="L878" s="77" t="inlineStr">
        <is>
          <t>Not a taught module but an independent project; consultancy option: live business problem with a real company (corporate, public or third sector); outcomes actionable by the client.</t>
        </is>
      </c>
    </row>
    <row r="879">
      <c r="A879" s="77" t="inlineStr">
        <is>
          <t>UK07-S09-R1</t>
        </is>
      </c>
      <c r="B879" s="77" t="inlineStr">
        <is>
          <t>UK07</t>
        </is>
      </c>
      <c r="C879" s="77" t="inlineStr">
        <is>
          <t>UK07-S09</t>
        </is>
      </c>
      <c r="D879" s="77" t="inlineStr">
        <is>
          <t>Multi-Disciplinary Design Project (ENGM001)</t>
        </is>
      </c>
      <c r="E879" s="77" t="inlineStr">
        <is>
          <t>project; group; employer; eligibility; status; credit</t>
        </is>
      </c>
      <c r="F879" s="77" t="inlineStr">
        <is>
          <t>https://catalogue.surrey.ac.uk/2025-6/module/ENGM001/SEMR1/1R</t>
        </is>
      </c>
      <c r="G879" s="77" t="inlineStr">
        <is>
          <t>MULTI-DISCIPLINARY DESIGN PROJECT - 2025/6</t>
        </is>
      </c>
      <c r="H879" s="77" t="inlineStr">
        <is>
          <t>Module descriptor</t>
        </is>
      </c>
      <c r="I879" s="77" t="inlineStr">
        <is>
          <t>2025/6</t>
        </is>
      </c>
      <c r="J879" s="77" t="inlineStr">
        <is>
          <t>2026-10-12</t>
        </is>
      </c>
      <c r="K879" s="77" t="inlineStr">
        <is>
          <t>search-index extract</t>
        </is>
      </c>
      <c r="L879"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880">
      <c r="A880" s="77" t="inlineStr">
        <is>
          <t>UK07-S10-R1</t>
        </is>
      </c>
      <c r="B880" s="77" t="inlineStr">
        <is>
          <t>UK07</t>
        </is>
      </c>
      <c r="C880" s="77" t="inlineStr">
        <is>
          <t>UK07-S10</t>
        </is>
      </c>
      <c r="D880" s="77" t="inlineStr">
        <is>
          <t>Group Design Project (ENGM307 / ENG3162)</t>
        </is>
      </c>
      <c r="E880" s="77" t="inlineStr">
        <is>
          <t>project; group; employer</t>
        </is>
      </c>
      <c r="F880" s="77" t="inlineStr">
        <is>
          <t>https://catalogue.surrey.ac.uk/2025-6/module/ENGM307</t>
        </is>
      </c>
      <c r="G880" s="77" t="inlineStr">
        <is>
          <t>GROUP DESIGN PROJECT - 2025/6</t>
        </is>
      </c>
      <c r="H880" s="77" t="inlineStr">
        <is>
          <t>Module descriptor</t>
        </is>
      </c>
      <c r="I880" s="77" t="inlineStr">
        <is>
          <t>2025/6</t>
        </is>
      </c>
      <c r="J880" s="77" t="inlineStr">
        <is>
          <t>2026-10-12</t>
        </is>
      </c>
      <c r="K880" s="77" t="inlineStr">
        <is>
          <t>search-index extract</t>
        </is>
      </c>
      <c r="L880" s="77" t="inlineStr">
        <is>
          <t>Small groups tackle a design challenge; where feasible, projects will be proposed by Industrial partners.</t>
        </is>
      </c>
    </row>
    <row r="881">
      <c r="A881" s="77" t="inlineStr">
        <is>
          <t>UK07-S11-R1</t>
        </is>
      </c>
      <c r="B881" s="77" t="inlineStr">
        <is>
          <t>UK07</t>
        </is>
      </c>
      <c r="C881" s="77" t="inlineStr">
        <is>
          <t>UK07-S11</t>
        </is>
      </c>
      <c r="D881" s="77" t="inlineStr">
        <is>
          <t>Software Engineering Project (COM2027)</t>
        </is>
      </c>
      <c r="E881" s="77" t="inlineStr">
        <is>
          <t>project; group; employer</t>
        </is>
      </c>
      <c r="F881" s="77" t="inlineStr">
        <is>
          <t>https://catalogue.surrey.ac.uk/2026-7/module/COM2027</t>
        </is>
      </c>
      <c r="G881" s="77" t="inlineStr">
        <is>
          <t>SOFTWARE ENGINEERING PROJECT - 2026/7</t>
        </is>
      </c>
      <c r="H881" s="77" t="inlineStr">
        <is>
          <t>Module descriptor</t>
        </is>
      </c>
      <c r="I881" s="77" t="inlineStr">
        <is>
          <t>2026/7</t>
        </is>
      </c>
      <c r="J881" s="77" t="inlineStr">
        <is>
          <t>2026-10-12</t>
        </is>
      </c>
      <c r="K881" s="77" t="inlineStr">
        <is>
          <t>search-index extract</t>
        </is>
      </c>
      <c r="L881" s="77" t="inlineStr">
        <is>
          <t>Supervised group meetings with a member of the teaching team acting as project sponsor; student-led sessions present progress to the cohort and, potentially, external stakeholders (search summary).</t>
        </is>
      </c>
    </row>
    <row r="882">
      <c r="A882" s="77" t="inlineStr">
        <is>
          <t>UK07-S12-R1</t>
        </is>
      </c>
      <c r="B882" s="77" t="inlineStr">
        <is>
          <t>UK07</t>
        </is>
      </c>
      <c r="C882" s="77" t="inlineStr">
        <is>
          <t>UK07-S12</t>
        </is>
      </c>
      <c r="D882" s="77" t="inlineStr">
        <is>
          <t>IKEEP (Intrapreneurial Knowledge Exchange Enterprise Pathway)</t>
        </is>
      </c>
      <c r="E882" s="77" t="inlineStr">
        <is>
          <t>project; group; employer; duration</t>
        </is>
      </c>
      <c r="F882" s="77" t="inlineStr">
        <is>
          <t>https://www.surrey.ac.uk/innovation/business-partners/work-our-students</t>
        </is>
      </c>
      <c r="G882" s="77" t="inlineStr">
        <is>
          <t>Work with our students</t>
        </is>
      </c>
      <c r="H882" s="77" t="inlineStr">
        <is>
          <t>Partner page</t>
        </is>
      </c>
      <c r="I882" s="77" t="inlineStr">
        <is>
          <t>undated</t>
        </is>
      </c>
      <c r="J882" s="77" t="inlineStr">
        <is>
          <t>2026-10-12</t>
        </is>
      </c>
      <c r="K882" s="77" t="inlineStr">
        <is>
          <t>search-index extract</t>
        </is>
      </c>
      <c r="L882" s="77" t="inlineStr">
        <is>
          <t>IKEEP: funded programme letting students apply knowledge to an innovation challenge for a local business or charity; team of three students from a variety of disciplines; free for organisations; two or four weeks.</t>
        </is>
      </c>
    </row>
    <row r="883">
      <c r="A883" s="77" t="inlineStr">
        <is>
          <t>UK07-S12-R2</t>
        </is>
      </c>
      <c r="B883" s="77" t="inlineStr">
        <is>
          <t>UK07</t>
        </is>
      </c>
      <c r="C883" s="77" t="inlineStr">
        <is>
          <t>UK07-S12</t>
        </is>
      </c>
      <c r="D883" s="77" t="inlineStr">
        <is>
          <t>IKEEP (Intrapreneurial Knowledge Exchange Enterprise Pathway)</t>
        </is>
      </c>
      <c r="E883" s="77" t="inlineStr">
        <is>
          <t>group; duration; status</t>
        </is>
      </c>
      <c r="F883" s="77" t="inlineStr">
        <is>
          <t>https://blogs.surrey.ac.uk/student-enterprise/2021/06/01/setsquared-surreys-ikeep-programme-launching-again-in-2021/</t>
        </is>
      </c>
      <c r="G883" s="77" t="inlineStr">
        <is>
          <t>SETsquared Surrey's IKEEP Programme Launching Again in 2021!</t>
        </is>
      </c>
      <c r="H883" s="77" t="inlineStr">
        <is>
          <t>Blog</t>
        </is>
      </c>
      <c r="I883" s="77" t="inlineStr">
        <is>
          <t>2021</t>
        </is>
      </c>
      <c r="J883" s="77" t="inlineStr">
        <is>
          <t>2026-10-12</t>
        </is>
      </c>
      <c r="K883" s="77" t="inlineStr">
        <is>
          <t>search-index extract</t>
        </is>
      </c>
      <c r="L883" s="77" t="inlineStr">
        <is>
          <t>Mixed UG/PG teams of three; 4-week part-time projects totalling 210 hours; stipend GBP450.</t>
        </is>
      </c>
    </row>
    <row r="884">
      <c r="A884" s="77" t="inlineStr">
        <is>
          <t>UK07-S13-R1</t>
        </is>
      </c>
      <c r="B884" s="77" t="inlineStr">
        <is>
          <t>UK07</t>
        </is>
      </c>
      <c r="C884" s="77" t="inlineStr">
        <is>
          <t>UK07-S13</t>
        </is>
      </c>
      <c r="D884" s="77" t="inlineStr">
        <is>
          <t>iTEK (Ready4Innovation challenges, ERA Foundation funded)</t>
        </is>
      </c>
      <c r="E884" s="77" t="inlineStr">
        <is>
          <t>project; group; employer; status</t>
        </is>
      </c>
      <c r="F884" s="77" t="inlineStr">
        <is>
          <t>https://www.surrey.ac.uk/news/itek-programme-funded-era-foundation</t>
        </is>
      </c>
      <c r="G884" s="77" t="inlineStr">
        <is>
          <t>iTEK Programme funded by ERA Foundation</t>
        </is>
      </c>
      <c r="H884" s="77" t="inlineStr">
        <is>
          <t>News</t>
        </is>
      </c>
      <c r="I884" s="77" t="inlineStr">
        <is>
          <t>2022</t>
        </is>
      </c>
      <c r="J884" s="77" t="inlineStr">
        <is>
          <t>2026-10-12</t>
        </is>
      </c>
      <c r="K884" s="77" t="inlineStr">
        <is>
          <t>search-index extract</t>
        </is>
      </c>
      <c r="L884" s="77" t="inlineStr">
        <is>
          <t>iTEK connects SMEs and industry partners with small student teams drawn from the cohort attached to the relevant module; companies offered an innovation team for a short-term funded project; GBP195,600 from ERA Foundation, began with MSc AI.</t>
        </is>
      </c>
    </row>
    <row r="885">
      <c r="A885" s="77" t="inlineStr">
        <is>
          <t>UK07-S14-R1</t>
        </is>
      </c>
      <c r="B885" s="77" t="inlineStr">
        <is>
          <t>UK07</t>
        </is>
      </c>
      <c r="C885" s="77" t="inlineStr">
        <is>
          <t>UK07-S14</t>
        </is>
      </c>
      <c r="D885" s="77" t="inlineStr">
        <is>
          <t>Hackathon17</t>
        </is>
      </c>
      <c r="E885" s="77" t="inlineStr">
        <is>
          <t>group; project; duration</t>
        </is>
      </c>
      <c r="F885" s="77" t="inlineStr">
        <is>
          <t>https://blogs.surrey.ac.uk/student-enterprise/2022/05/14/hackathon17-hacking-the-sustainable-development-goals-for-a-better-future/</t>
        </is>
      </c>
      <c r="G885" s="77" t="inlineStr">
        <is>
          <t>HACKATHON17</t>
        </is>
      </c>
      <c r="H885" s="77" t="inlineStr">
        <is>
          <t>Blog</t>
        </is>
      </c>
      <c r="I885" s="77" t="inlineStr">
        <is>
          <t>2022</t>
        </is>
      </c>
      <c r="J885" s="77" t="inlineStr">
        <is>
          <t>2026-10-12</t>
        </is>
      </c>
      <c r="K885" s="77" t="inlineStr">
        <is>
          <t>search-index extract</t>
        </is>
      </c>
      <c r="L885" s="77" t="inlineStr">
        <is>
          <t>Three-day event; interdisciplinary teams create products and services for problem statements on SDGs.</t>
        </is>
      </c>
    </row>
    <row r="886">
      <c r="A886" s="77" t="inlineStr">
        <is>
          <t>UK07-S15-R1</t>
        </is>
      </c>
      <c r="B886" s="77" t="inlineStr">
        <is>
          <t>UK07</t>
        </is>
      </c>
      <c r="C886" s="77" t="inlineStr">
        <is>
          <t>UK07-S15</t>
        </is>
      </c>
      <c r="D886" s="77" t="inlineStr">
        <is>
          <t>Retail Consultancy Project (MAN3136)</t>
        </is>
      </c>
      <c r="E886" s="77" t="inlineStr">
        <is>
          <t>project; group; employer</t>
        </is>
      </c>
      <c r="F886" s="77" t="inlineStr">
        <is>
          <t>https://catalogue.surrey.ac.uk/2022-3/module/MAN3136</t>
        </is>
      </c>
      <c r="G886" s="77" t="inlineStr">
        <is>
          <t>RETAIL CONSULTANCY PROJECT - 2022/3</t>
        </is>
      </c>
      <c r="H886" s="77" t="inlineStr">
        <is>
          <t>Module descriptor</t>
        </is>
      </c>
      <c r="I886" s="77" t="inlineStr">
        <is>
          <t>2022/3</t>
        </is>
      </c>
      <c r="J886" s="77" t="inlineStr">
        <is>
          <t>2026-10-12</t>
        </is>
      </c>
      <c r="K886" s="77" t="inlineStr">
        <is>
          <t>search-index extract</t>
        </is>
      </c>
      <c r="L886" s="77" t="inlineStr">
        <is>
          <t>Small simulated consultancy project in retail with hypothetical or real client; written group project and group presentation to the client.</t>
        </is>
      </c>
    </row>
    <row r="887">
      <c r="A887" s="77" t="inlineStr">
        <is>
          <t>UK07-S15-R2</t>
        </is>
      </c>
      <c r="B887" s="77" t="inlineStr">
        <is>
          <t>UK07</t>
        </is>
      </c>
      <c r="C887" s="77" t="inlineStr">
        <is>
          <t>UK07-S15</t>
        </is>
      </c>
      <c r="D887" s="77" t="inlineStr">
        <is>
          <t>Retail Consultancy Project (MAN3136)</t>
        </is>
      </c>
      <c r="E887" s="77" t="inlineStr">
        <is>
          <t>employer</t>
        </is>
      </c>
      <c r="F887" s="77" t="inlineStr">
        <is>
          <t>https://www.surrey.ac.uk/news/students-work-business-launch-marketing-campaigns-and-boost-store-sales</t>
        </is>
      </c>
      <c r="G887" s="77" t="inlineStr">
        <is>
          <t>Students work with business to launch marketing campaigns and boost in-store sales</t>
        </is>
      </c>
      <c r="H887" s="77" t="inlineStr">
        <is>
          <t>News</t>
        </is>
      </c>
      <c r="I887" s="77" t="inlineStr">
        <is>
          <t>c.2020</t>
        </is>
      </c>
      <c r="J887" s="77" t="inlineStr">
        <is>
          <t>2026-10-12</t>
        </is>
      </c>
      <c r="K887" s="77" t="inlineStr">
        <is>
          <t>search-index extract</t>
        </is>
      </c>
      <c r="L887" s="77" t="inlineStr">
        <is>
          <t>Final-year groups ran live campaigns for Carabao in Simply Fresh store; presented to a panel including company representatives.</t>
        </is>
      </c>
    </row>
    <row r="888">
      <c r="A888" s="77" t="inlineStr">
        <is>
          <t>UK08-S01-R1</t>
        </is>
      </c>
      <c r="B888" s="77" t="inlineStr">
        <is>
          <t>UK08</t>
        </is>
      </c>
      <c r="C888" s="77" t="inlineStr">
        <is>
          <t>UK08-S01</t>
        </is>
      </c>
      <c r="D888" s="77" t="inlineStr">
        <is>
          <t>Career Lab Student Consultancy Programme</t>
        </is>
      </c>
      <c r="E888" s="77" t="inlineStr">
        <is>
          <t>project; group; employer; eligibility; reach; duration</t>
        </is>
      </c>
      <c r="F888" s="77" t="inlineStr">
        <is>
          <t>https://student.sussex.ac.uk/careers/career-lab/student-consultancy</t>
        </is>
      </c>
      <c r="G888" s="77" t="inlineStr">
        <is>
          <t>Student consultancy : University of Sussex</t>
        </is>
      </c>
      <c r="H888" s="77" t="inlineStr">
        <is>
          <t>Programme description / eligibility</t>
        </is>
      </c>
      <c r="I888" s="77" t="inlineStr">
        <is>
          <t>undated</t>
        </is>
      </c>
      <c r="J888" s="77" t="inlineStr">
        <is>
          <t>2026-10-12</t>
        </is>
      </c>
      <c r="K888" s="77" t="inlineStr">
        <is>
          <t>search-summary paraphrase</t>
        </is>
      </c>
      <c r="L888" s="77" t="inlineStr">
        <is>
          <t>Open to final-year undergraduates and taught postgraduates, once per academic year; students placed in multidisciplinary teams matched to an organisation; after training work four weeks (three for Summer) then present to the client; briefs set by charities and NGOs, startups and large corporates; c.20 hours in total; bursary GBP 269 for Winter 2025/Spring 2026 at Real Living Wage.</t>
        </is>
      </c>
    </row>
    <row r="889">
      <c r="A889" s="77" t="inlineStr">
        <is>
          <t>UK08-S01-R2</t>
        </is>
      </c>
      <c r="B889" s="77" t="inlineStr">
        <is>
          <t>UK08</t>
        </is>
      </c>
      <c r="C889" s="77" t="inlineStr">
        <is>
          <t>UK08-S01</t>
        </is>
      </c>
      <c r="D889" s="77" t="inlineStr">
        <is>
          <t>Career Lab Student Consultancy Programme</t>
        </is>
      </c>
      <c r="E889" s="77" t="inlineStr">
        <is>
          <t>status; participation</t>
        </is>
      </c>
      <c r="F889" s="77" t="inlineStr">
        <is>
          <t>https://www.sussex.ac.uk/broadcast/read/71127</t>
        </is>
      </c>
      <c r="G889" s="77" t="inlineStr">
        <is>
          <t>Applications open now! Apply to take part in the Award-Winning Career Lab Student Consultancy Programme</t>
        </is>
      </c>
      <c r="H889" s="77" t="inlineStr">
        <is>
          <t>News item</t>
        </is>
      </c>
      <c r="I889" s="77" t="inlineStr">
        <is>
          <t>2026</t>
        </is>
      </c>
      <c r="J889" s="77" t="inlineStr">
        <is>
          <t>2026-10-12</t>
        </is>
      </c>
      <c r="K889" s="77" t="inlineStr">
        <is>
          <t>search-summary paraphrase</t>
        </is>
      </c>
      <c r="L889" s="77" t="inlineStr">
        <is>
          <t>Applications for 2026/27 opened 1 September 2026; programme runs three times in 2026-27 (winter, spring, summer).</t>
        </is>
      </c>
    </row>
    <row r="890">
      <c r="A890" s="77" t="inlineStr">
        <is>
          <t>UK08-S01-R3</t>
        </is>
      </c>
      <c r="B890" s="77" t="inlineStr">
        <is>
          <t>UK08</t>
        </is>
      </c>
      <c r="C890" s="77" t="inlineStr">
        <is>
          <t>UK08-S01</t>
        </is>
      </c>
      <c r="D890" s="77" t="inlineStr">
        <is>
          <t>Career Lab Student Consultancy Programme</t>
        </is>
      </c>
      <c r="E890" s="77" t="inlineStr">
        <is>
          <t>project; group; employer</t>
        </is>
      </c>
      <c r="F890" s="77" t="inlineStr">
        <is>
          <t>https://careerhub.sussex.ac.uk/docs/255/Hastings-Direct-Student-Consultancy-Case-Study.pdf</t>
        </is>
      </c>
      <c r="G890" s="77" t="inlineStr">
        <is>
          <t>Student Consultancy Programme: Five students inform real-world changes</t>
        </is>
      </c>
      <c r="H890" s="77" t="inlineStr">
        <is>
          <t>Case study</t>
        </is>
      </c>
      <c r="I890" s="77" t="inlineStr">
        <is>
          <t>2024</t>
        </is>
      </c>
      <c r="J890" s="77" t="inlineStr">
        <is>
          <t>2026-10-12</t>
        </is>
      </c>
      <c r="K890" s="77" t="inlineStr">
        <is>
          <t>search-summary paraphrase</t>
        </is>
      </c>
      <c r="L890" s="77" t="inlineStr">
        <is>
          <t>Hastings Direct gave a five-student team a brief on improving its UN SDG contributions; the company has since made changes, some aligned with the students' recommendations.</t>
        </is>
      </c>
    </row>
    <row r="891">
      <c r="A891" s="77" t="inlineStr">
        <is>
          <t>UK08-S01-R4</t>
        </is>
      </c>
      <c r="B891" s="77" t="inlineStr">
        <is>
          <t>UK08</t>
        </is>
      </c>
      <c r="C891" s="77" t="inlineStr">
        <is>
          <t>UK08-S01</t>
        </is>
      </c>
      <c r="D891" s="77" t="inlineStr">
        <is>
          <t>Career Lab Student Consultancy Programme</t>
        </is>
      </c>
      <c r="E891" s="77" t="inlineStr">
        <is>
          <t>employer</t>
        </is>
      </c>
      <c r="F891" s="77" t="inlineStr">
        <is>
          <t>https://www.sussex.ac.uk/study/careers/postgraduate-support/masters-careers-support/guaranteed-internships</t>
        </is>
      </c>
      <c r="G891" s="77" t="inlineStr">
        <is>
          <t>Guaranteed internships for Business School Masters students</t>
        </is>
      </c>
      <c r="H891" s="77" t="inlineStr">
        <is>
          <t>Past projects</t>
        </is>
      </c>
      <c r="I891" s="77" t="inlineStr">
        <is>
          <t>undated</t>
        </is>
      </c>
      <c r="J891" s="77" t="inlineStr">
        <is>
          <t>2026-10-12</t>
        </is>
      </c>
      <c r="K891" s="77" t="inlineStr">
        <is>
          <t>search-summary paraphrase</t>
        </is>
      </c>
      <c r="L891" s="77" t="inlineStr">
        <is>
          <t>Past consultancy teams worked with AECOM (net zero strategy), Komedia (YouTube channel) and Mindlab (marketing audiences).</t>
        </is>
      </c>
    </row>
    <row r="892">
      <c r="A892" s="77" t="inlineStr">
        <is>
          <t>UK08-S02-R1</t>
        </is>
      </c>
      <c r="B892" s="77" t="inlineStr">
        <is>
          <t>UK08</t>
        </is>
      </c>
      <c r="C892" s="77" t="inlineStr">
        <is>
          <t>UK08-S02</t>
        </is>
      </c>
      <c r="D892" s="77" t="inlineStr">
        <is>
          <t>Marketing Consultancy Project (Capstone)</t>
        </is>
      </c>
      <c r="E892" s="77" t="inlineStr">
        <is>
          <t>project; group; employer; credit</t>
        </is>
      </c>
      <c r="F892" s="77" t="inlineStr">
        <is>
          <t>https://www.sussex.ac.uk/study/modules/undergraduate/2025/105316-marketing-consultancy-project-capstone</t>
        </is>
      </c>
      <c r="G892" s="77" t="inlineStr">
        <is>
          <t>Marketing Consultancy Project (Capstone) module : University of Sussex</t>
        </is>
      </c>
      <c r="H892" s="77" t="inlineStr">
        <is>
          <t>Module overview / assessment</t>
        </is>
      </c>
      <c r="I892" s="77" t="inlineStr">
        <is>
          <t>2025</t>
        </is>
      </c>
      <c r="J892" s="77" t="inlineStr">
        <is>
          <t>2026-10-12</t>
        </is>
      </c>
      <c r="K892" s="77" t="inlineStr">
        <is>
          <t>search-index extract (quoted)</t>
        </is>
      </c>
      <c r="L892"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893">
      <c r="A893" s="77" t="inlineStr">
        <is>
          <t>UK08-S02-R2</t>
        </is>
      </c>
      <c r="B893" s="77" t="inlineStr">
        <is>
          <t>UK08</t>
        </is>
      </c>
      <c r="C893" s="77" t="inlineStr">
        <is>
          <t>UK08-S02</t>
        </is>
      </c>
      <c r="D893" s="77" t="inlineStr">
        <is>
          <t>Marketing Consultancy Project (Capstone)</t>
        </is>
      </c>
      <c r="E893" s="77" t="inlineStr">
        <is>
          <t>status</t>
        </is>
      </c>
      <c r="F893" s="77" t="inlineStr">
        <is>
          <t>https://www.sussex.ac.uk/study/modules/undergraduate/2026/105316-marketing-consultancy-project-capstone</t>
        </is>
      </c>
      <c r="G893" s="77" t="inlineStr">
        <is>
          <t>Marketing Consultancy Project (Capstone) module : University of Sussex</t>
        </is>
      </c>
      <c r="H893" s="77" t="inlineStr">
        <is>
          <t>Module catalogue 2026</t>
        </is>
      </c>
      <c r="I893" s="77" t="inlineStr">
        <is>
          <t>2026</t>
        </is>
      </c>
      <c r="J893" s="77" t="inlineStr">
        <is>
          <t>2026-10-12</t>
        </is>
      </c>
      <c r="K893" s="77" t="inlineStr">
        <is>
          <t>search-summary paraphrase</t>
        </is>
      </c>
      <c r="L893" s="77" t="inlineStr">
        <is>
          <t>Module page listed in the 2026 undergraduate module catalogue (title only seen in results).</t>
        </is>
      </c>
    </row>
    <row r="894">
      <c r="A894" s="77" t="inlineStr">
        <is>
          <t>UK08-S03-R1</t>
        </is>
      </c>
      <c r="B894" s="77" t="inlineStr">
        <is>
          <t>UK08</t>
        </is>
      </c>
      <c r="C894" s="77" t="inlineStr">
        <is>
          <t>UK08-S03</t>
        </is>
      </c>
      <c r="D894" s="77" t="inlineStr">
        <is>
          <t>Consultancy Project</t>
        </is>
      </c>
      <c r="E894" s="77" t="inlineStr">
        <is>
          <t>project; group; employer; credit; duration</t>
        </is>
      </c>
      <c r="F894" s="77" t="inlineStr">
        <is>
          <t>https://www.sussex.ac.uk/study/modules/postgraduate/2024/90902-consultancy-project</t>
        </is>
      </c>
      <c r="G894" s="77" t="inlineStr">
        <is>
          <t>Consultancy Project module : University of Sussex</t>
        </is>
      </c>
      <c r="H894" s="77" t="inlineStr">
        <is>
          <t>Module overview / assessment</t>
        </is>
      </c>
      <c r="I894" s="77" t="inlineStr">
        <is>
          <t>2024/25</t>
        </is>
      </c>
      <c r="J894" s="77" t="inlineStr">
        <is>
          <t>2026-10-12</t>
        </is>
      </c>
      <c r="K894" s="77" t="inlineStr">
        <is>
          <t>search-summary paraphrase</t>
        </is>
      </c>
      <c r="L894"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895">
      <c r="A895" s="77" t="inlineStr">
        <is>
          <t>UK08-S03-R2</t>
        </is>
      </c>
      <c r="B895" s="77" t="inlineStr">
        <is>
          <t>UK08</t>
        </is>
      </c>
      <c r="C895" s="77" t="inlineStr">
        <is>
          <t>UK08-S03</t>
        </is>
      </c>
      <c r="D895" s="77" t="inlineStr">
        <is>
          <t>Consultancy Project</t>
        </is>
      </c>
      <c r="E895" s="77" t="inlineStr">
        <is>
          <t>project; group; employer; eligibility</t>
        </is>
      </c>
      <c r="F895" s="77" t="inlineStr">
        <is>
          <t>https://www.sussex.ac.uk/study/masters/courses/management-msc</t>
        </is>
      </c>
      <c r="G895" s="77" t="inlineStr">
        <is>
          <t>Management MSc at the University of Sussex</t>
        </is>
      </c>
      <c r="H895" s="77" t="inlineStr">
        <is>
          <t>Course overview / dissertation options</t>
        </is>
      </c>
      <c r="I895" s="77" t="inlineStr">
        <is>
          <t>undated</t>
        </is>
      </c>
      <c r="J895" s="77" t="inlineStr">
        <is>
          <t>2026-10-12</t>
        </is>
      </c>
      <c r="K895" s="77" t="inlineStr">
        <is>
          <t>search-summary paraphrase</t>
        </is>
      </c>
      <c r="L895" s="77" t="inlineStr">
        <is>
          <t>Students solve real challenges with local organisations in a live consultancy project; one dissertation option offers small groups of students the opportunity to prepare a consultancy project for a business.</t>
        </is>
      </c>
    </row>
    <row r="896">
      <c r="A896" s="77" t="inlineStr">
        <is>
          <t>UK09-S01-R1</t>
        </is>
      </c>
      <c r="B896" s="77" t="inlineStr">
        <is>
          <t>UK09</t>
        </is>
      </c>
      <c r="C896" s="77" t="inlineStr">
        <is>
          <t>UK09-S01</t>
        </is>
      </c>
      <c r="D896" s="77" t="inlineStr">
        <is>
          <t>Software Engineering Project (second-year team project, Computer Science / Software Engineering BSc)</t>
        </is>
      </c>
      <c r="E896" s="77" t="inlineStr">
        <is>
          <t>project; group; employer</t>
        </is>
      </c>
      <c r="F896" s="77" t="inlineStr">
        <is>
          <t>https://le.ac.uk/computing-and-mathematical-sciences/services-for-business/student-projects</t>
        </is>
      </c>
      <c r="G896" s="77" t="inlineStr">
        <is>
          <t>Student projects (Computing and Mathematical Sciences)</t>
        </is>
      </c>
      <c r="H896" s="77" t="inlineStr">
        <is>
          <t>Software engineering projects</t>
        </is>
      </c>
      <c r="I896" s="77" t="inlineStr">
        <is>
          <t>undated</t>
        </is>
      </c>
      <c r="J896" s="77" t="inlineStr">
        <is>
          <t>2026-10-12</t>
        </is>
      </c>
      <c r="K896" s="77" t="inlineStr">
        <is>
          <t>search-index extract</t>
        </is>
      </c>
      <c r="L896"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897">
      <c r="A897" s="77" t="inlineStr">
        <is>
          <t>UK09-S01-R2</t>
        </is>
      </c>
      <c r="B897" s="77" t="inlineStr">
        <is>
          <t>UK09</t>
        </is>
      </c>
      <c r="C897" s="77" t="inlineStr">
        <is>
          <t>UK09-S01</t>
        </is>
      </c>
      <c r="D897" s="77" t="inlineStr">
        <is>
          <t>Software Engineering Project (second-year team project, Computer Science / Software Engineering BSc)</t>
        </is>
      </c>
      <c r="E897" s="77" t="inlineStr">
        <is>
          <t>project; group; employer; reach</t>
        </is>
      </c>
      <c r="F897" s="77" t="inlineStr">
        <is>
          <t>https://le.ac.uk/courses/computer-science-bsc/2027</t>
        </is>
      </c>
      <c r="G897" s="77" t="inlineStr">
        <is>
          <t>Computer Science BSc</t>
        </is>
      </c>
      <c r="H897" s="77" t="inlineStr">
        <is>
          <t>Course structure / Year 2</t>
        </is>
      </c>
      <c r="I897" s="77" t="inlineStr">
        <is>
          <t>2027 entry</t>
        </is>
      </c>
      <c r="J897" s="77" t="inlineStr">
        <is>
          <t>2026-10-12</t>
        </is>
      </c>
      <c r="K897" s="77" t="inlineStr">
        <is>
          <t>search-index extract</t>
        </is>
      </c>
      <c r="L897" s="77" t="inlineStr">
        <is>
          <t>In year two students are part of a team project, working together to develop software, typically commissioned by a real client.</t>
        </is>
      </c>
    </row>
    <row r="898">
      <c r="A898" s="77" t="inlineStr">
        <is>
          <t>UK09-S01-R3</t>
        </is>
      </c>
      <c r="B898" s="77" t="inlineStr">
        <is>
          <t>UK09</t>
        </is>
      </c>
      <c r="C898" s="77" t="inlineStr">
        <is>
          <t>UK09-S01</t>
        </is>
      </c>
      <c r="D898" s="77" t="inlineStr">
        <is>
          <t>Software Engineering Project (second-year team project, Computer Science / Software Engineering BSc)</t>
        </is>
      </c>
      <c r="E898" s="77" t="inlineStr">
        <is>
          <t>employer; credit; status</t>
        </is>
      </c>
      <c r="F898" s="77" t="inlineStr">
        <is>
          <t>https://le.ac.uk/course-doc-links/ug/s/23-24/software-engineering-bsc</t>
        </is>
      </c>
      <c r="G898" s="77" t="inlineStr">
        <is>
          <t>Software Engineering BSc programme specification</t>
        </is>
      </c>
      <c r="H898" s="77" t="inlineStr">
        <is>
          <t>Special features / module table</t>
        </is>
      </c>
      <c r="I898" s="77" t="inlineStr">
        <is>
          <t>2023/24</t>
        </is>
      </c>
      <c r="J898" s="77" t="inlineStr">
        <is>
          <t>2026-10-12</t>
        </is>
      </c>
      <c r="K898" s="77" t="inlineStr">
        <is>
          <t>search-summary paraphrase</t>
        </is>
      </c>
      <c r="L898" s="77" t="inlineStr">
        <is>
          <t>Programme specifications state aim for Software Engineering Projects involving an external client wherever possible; note that CO2201 was split from a 30-credit year-long module into semester versions for 2024/5.</t>
        </is>
      </c>
    </row>
    <row r="899">
      <c r="A899" s="77" t="inlineStr">
        <is>
          <t>UK09-S02-R1</t>
        </is>
      </c>
      <c r="B899" s="77" t="inlineStr">
        <is>
          <t>UK09</t>
        </is>
      </c>
      <c r="C899" s="77" t="inlineStr">
        <is>
          <t>UK09-S02</t>
        </is>
      </c>
      <c r="D899" s="77" t="inlineStr">
        <is>
          <t>Industrial Mathematics Project</t>
        </is>
      </c>
      <c r="E899" s="77" t="inlineStr">
        <is>
          <t>project; group; employer; duration</t>
        </is>
      </c>
      <c r="F899" s="77" t="inlineStr">
        <is>
          <t>https://le.ac.uk/computing-and-mathematical-sciences/services-for-business/student-projects</t>
        </is>
      </c>
      <c r="G899" s="77" t="inlineStr">
        <is>
          <t>Student projects (Computing and Mathematical Sciences)</t>
        </is>
      </c>
      <c r="H899" s="77" t="inlineStr">
        <is>
          <t>Industrial Mathematics</t>
        </is>
      </c>
      <c r="I899" s="77" t="inlineStr">
        <is>
          <t>undated</t>
        </is>
      </c>
      <c r="J899" s="77" t="inlineStr">
        <is>
          <t>2026-10-12</t>
        </is>
      </c>
      <c r="K899" s="77" t="inlineStr">
        <is>
          <t>search-index extract</t>
        </is>
      </c>
      <c r="L899"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00">
      <c r="A900" s="77" t="inlineStr">
        <is>
          <t>UK09-S02-R2</t>
        </is>
      </c>
      <c r="B900" s="77" t="inlineStr">
        <is>
          <t>UK09</t>
        </is>
      </c>
      <c r="C900" s="77" t="inlineStr">
        <is>
          <t>UK09-S02</t>
        </is>
      </c>
      <c r="D900" s="77" t="inlineStr">
        <is>
          <t>Industrial Mathematics Project</t>
        </is>
      </c>
      <c r="E900" s="77" t="inlineStr">
        <is>
          <t>credit; eligibility; status</t>
        </is>
      </c>
      <c r="F900" s="77" t="inlineStr">
        <is>
          <t>https://le.ac.uk/-/media/uol/docs/course-documentation/documentation/2024-25/ug/cse/mathematics-bsc-mmath.pdf</t>
        </is>
      </c>
      <c r="G900" s="77" t="inlineStr">
        <is>
          <t>Mathematics BSc/MMath programme specification</t>
        </is>
      </c>
      <c r="H900" s="77" t="inlineStr">
        <is>
          <t>Module table</t>
        </is>
      </c>
      <c r="I900" s="77" t="inlineStr">
        <is>
          <t>2024/25</t>
        </is>
      </c>
      <c r="J900" s="77" t="inlineStr">
        <is>
          <t>2026-10-12</t>
        </is>
      </c>
      <c r="K900" s="77" t="inlineStr">
        <is>
          <t>search-summary paraphrase</t>
        </is>
      </c>
      <c r="L900" s="77" t="inlineStr">
        <is>
          <t>MA3513 Industrial Mathematics Project listed as year-long 30-credit module; only one of MA3516 or MA3513 can be taken.</t>
        </is>
      </c>
    </row>
    <row r="901">
      <c r="A901" s="77" t="inlineStr">
        <is>
          <t>UK09-S03-R1</t>
        </is>
      </c>
      <c r="B901" s="77" t="inlineStr">
        <is>
          <t>UK09</t>
        </is>
      </c>
      <c r="C901" s="77" t="inlineStr">
        <is>
          <t>UK09-S03</t>
        </is>
      </c>
      <c r="D901" s="77" t="inlineStr">
        <is>
          <t>Sustainability Enterprise Partnership Project (SEPP)</t>
        </is>
      </c>
      <c r="E901" s="77" t="inlineStr">
        <is>
          <t>project; group; employer</t>
        </is>
      </c>
      <c r="F901" s="77" t="inlineStr">
        <is>
          <t>https://le.ac.uk/news/2024/july/green-gown</t>
        </is>
      </c>
      <c r="G901" s="77" t="inlineStr">
        <is>
          <t>University of Leicester named as finalist in two Green Gown Award categories</t>
        </is>
      </c>
      <c r="H901" s="77" t="inlineStr">
        <is>
          <t>SEPP description</t>
        </is>
      </c>
      <c r="I901" s="77" t="inlineStr">
        <is>
          <t>2024</t>
        </is>
      </c>
      <c r="J901" s="77" t="inlineStr">
        <is>
          <t>2026-10-12</t>
        </is>
      </c>
      <c r="K901" s="77" t="inlineStr">
        <is>
          <t>search-summary paraphrase</t>
        </is>
      </c>
      <c r="L901"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02">
      <c r="A902" s="77" t="inlineStr">
        <is>
          <t>UK09-S03-R2</t>
        </is>
      </c>
      <c r="B902" s="77" t="inlineStr">
        <is>
          <t>UK09</t>
        </is>
      </c>
      <c r="C902" s="77" t="inlineStr">
        <is>
          <t>UK09-S03</t>
        </is>
      </c>
      <c r="D902" s="77" t="inlineStr">
        <is>
          <t>Sustainability Enterprise Partnership Project (SEPP)</t>
        </is>
      </c>
      <c r="E902" s="77" t="inlineStr">
        <is>
          <t>employer; status</t>
        </is>
      </c>
      <c r="F902" s="77" t="inlineStr">
        <is>
          <t>https://le.ac.uk/news/2024/november/green-gown</t>
        </is>
      </c>
      <c r="G902" s="77" t="inlineStr">
        <is>
          <t>Double Green Gown win for the University of Leicester</t>
        </is>
      </c>
      <c r="H902" s="77" t="inlineStr">
        <is>
          <t>Tomorrow's Employees</t>
        </is>
      </c>
      <c r="I902" s="77" t="inlineStr">
        <is>
          <t>2024</t>
        </is>
      </c>
      <c r="J902" s="77" t="inlineStr">
        <is>
          <t>2026-10-12</t>
        </is>
      </c>
      <c r="K902" s="77" t="inlineStr">
        <is>
          <t>search-summary paraphrase</t>
        </is>
      </c>
      <c r="L902" s="77" t="inlineStr">
        <is>
          <t>Module won the 2024 Green Gown 'Tomorrow's Employees' category; innovative credit-bearing course enabling students to collaborate with local businesses.</t>
        </is>
      </c>
    </row>
    <row r="903">
      <c r="A903" s="77" t="inlineStr">
        <is>
          <t>UK09-S03-R3</t>
        </is>
      </c>
      <c r="B903" s="77" t="inlineStr">
        <is>
          <t>UK09</t>
        </is>
      </c>
      <c r="C903" s="77" t="inlineStr">
        <is>
          <t>UK09-S03</t>
        </is>
      </c>
      <c r="D903" s="77" t="inlineStr">
        <is>
          <t>Sustainability Enterprise Partnership Project (SEPP)</t>
        </is>
      </c>
      <c r="E903" s="77" t="inlineStr">
        <is>
          <t>project; group; employer; credit</t>
        </is>
      </c>
      <c r="F903" s="77" t="inlineStr">
        <is>
          <t>https://le.ac.uk/about/making-a-difference/sdgs/climate-change</t>
        </is>
      </c>
      <c r="G903" s="77" t="inlineStr">
        <is>
          <t>Goal 13: Climate Action</t>
        </is>
      </c>
      <c r="H903" s="77" t="inlineStr">
        <is>
          <t>NT3100</t>
        </is>
      </c>
      <c r="I903" s="77" t="inlineStr">
        <is>
          <t>undated</t>
        </is>
      </c>
      <c r="J903" s="77" t="inlineStr">
        <is>
          <t>2026-10-12</t>
        </is>
      </c>
      <c r="K903" s="77" t="inlineStr">
        <is>
          <t>search-index extract</t>
        </is>
      </c>
      <c r="L903" s="77" t="inlineStr">
        <is>
          <t>The Sustainable Enterprise Partnership Project (NT3100) module offers the chance to achieve Carbon Literacy Accreditation and then work with a partner organisation in groups to produce a sustainability audit report with recommendations.</t>
        </is>
      </c>
    </row>
    <row r="904">
      <c r="A904" s="77" t="inlineStr">
        <is>
          <t>UK09-S03-R4</t>
        </is>
      </c>
      <c r="B904" s="77" t="inlineStr">
        <is>
          <t>UK09</t>
        </is>
      </c>
      <c r="C904" s="77" t="inlineStr">
        <is>
          <t>UK09-S03</t>
        </is>
      </c>
      <c r="D904" s="77" t="inlineStr">
        <is>
          <t>Sustainability Enterprise Partnership Project (SEPP)</t>
        </is>
      </c>
      <c r="E904" s="77" t="inlineStr">
        <is>
          <t>credit; status; reach</t>
        </is>
      </c>
      <c r="F904" s="77" t="inlineStr">
        <is>
          <t>https://le.ac.uk/-/media/uol/docs/course-documentation/documentation/2025-26/ug/cls/medical-biochemistry-bsc.pdf</t>
        </is>
      </c>
      <c r="G904" s="77" t="inlineStr">
        <is>
          <t>Medical Biochemistry BSc programme specification</t>
        </is>
      </c>
      <c r="H904" s="77" t="inlineStr">
        <is>
          <t>Module table</t>
        </is>
      </c>
      <c r="I904" s="77" t="inlineStr">
        <is>
          <t>2025/26</t>
        </is>
      </c>
      <c r="J904" s="77" t="inlineStr">
        <is>
          <t>2026-10-12</t>
        </is>
      </c>
      <c r="K904" s="77" t="inlineStr">
        <is>
          <t>search-summary paraphrase</t>
        </is>
      </c>
      <c r="L904" s="77" t="inlineStr">
        <is>
          <t>NT3100 Sustainability Enterprise Partnership Project listed, 15 credits, Semester 1 (companion NT3200 Semester 2).</t>
        </is>
      </c>
    </row>
    <row r="905">
      <c r="A905" s="77" t="inlineStr">
        <is>
          <t>UK09-S03-R5</t>
        </is>
      </c>
      <c r="B905" s="77" t="inlineStr">
        <is>
          <t>UK09</t>
        </is>
      </c>
      <c r="C905" s="77" t="inlineStr">
        <is>
          <t>UK09-S03</t>
        </is>
      </c>
      <c r="D905" s="77" t="inlineStr">
        <is>
          <t>Sustainability Enterprise Partnership Project (SEPP)</t>
        </is>
      </c>
      <c r="E905" s="77" t="inlineStr">
        <is>
          <t>reach; eligibility</t>
        </is>
      </c>
      <c r="F905" s="77" t="inlineStr">
        <is>
          <t>https://le.ac.uk/courses/creative-computing-bsc/2027</t>
        </is>
      </c>
      <c r="G905" s="77" t="inlineStr">
        <is>
          <t>Creative Computing BSc</t>
        </is>
      </c>
      <c r="H905" s="77" t="inlineStr">
        <is>
          <t>Year 3 options</t>
        </is>
      </c>
      <c r="I905" s="77" t="inlineStr">
        <is>
          <t>2027 entry</t>
        </is>
      </c>
      <c r="J905" s="77" t="inlineStr">
        <is>
          <t>2026-10-12</t>
        </is>
      </c>
      <c r="K905" s="77" t="inlineStr">
        <is>
          <t>search-summary paraphrase</t>
        </is>
      </c>
      <c r="L905" s="77" t="inlineStr">
        <is>
          <t>SEPP listed as a final-year option; selectable only through Online Module Selection.</t>
        </is>
      </c>
    </row>
    <row r="906">
      <c r="A906" s="77" t="inlineStr">
        <is>
          <t>UK09-S04-R1</t>
        </is>
      </c>
      <c r="B906" s="77" t="inlineStr">
        <is>
          <t>UK09</t>
        </is>
      </c>
      <c r="C906" s="77" t="inlineStr">
        <is>
          <t>UK09-S04</t>
        </is>
      </c>
      <c r="D906" s="77" t="inlineStr">
        <is>
          <t>Client Led Media Production</t>
        </is>
      </c>
      <c r="E906" s="77" t="inlineStr">
        <is>
          <t>project; employer</t>
        </is>
      </c>
      <c r="F906" s="77" t="inlineStr">
        <is>
          <t>https://le.ac.uk/news/2023/july/nhs-media</t>
        </is>
      </c>
      <c r="G906" s="77" t="inlineStr">
        <is>
          <t>Media students join forces with NHS to produce a film for local mental health services</t>
        </is>
      </c>
      <c r="H906" s="77" t="inlineStr">
        <is>
          <t>News</t>
        </is>
      </c>
      <c r="I906" s="77" t="inlineStr">
        <is>
          <t>2023</t>
        </is>
      </c>
      <c r="J906" s="77" t="inlineStr">
        <is>
          <t>2026-10-12</t>
        </is>
      </c>
      <c r="K906" s="77" t="inlineStr">
        <is>
          <t>search-index extract</t>
        </is>
      </c>
      <c r="L906" s="77" t="inlineStr">
        <is>
          <t>Final year media students produced a short film for LPT's Child and Adolescent Mental Health Services as part of their Client Led Media Production Module; film to introduce young people to the team.</t>
        </is>
      </c>
    </row>
    <row r="907">
      <c r="A907" s="77" t="inlineStr">
        <is>
          <t>UK09-S04-R2</t>
        </is>
      </c>
      <c r="B907" s="77" t="inlineStr">
        <is>
          <t>UK09</t>
        </is>
      </c>
      <c r="C907" s="77" t="inlineStr">
        <is>
          <t>UK09-S04</t>
        </is>
      </c>
      <c r="D907" s="77" t="inlineStr">
        <is>
          <t>Client Led Media Production</t>
        </is>
      </c>
      <c r="E907" s="77" t="inlineStr">
        <is>
          <t>employer; status</t>
        </is>
      </c>
      <c r="F907" s="77" t="inlineStr">
        <is>
          <t>https://le.ac.uk/news/2025/april/media-journalism-prestigious-employability-awards</t>
        </is>
      </c>
      <c r="G907" s="77" t="inlineStr">
        <is>
          <t>Media and journalism degrees shortlisted for employability awards</t>
        </is>
      </c>
      <c r="H907" s="77" t="inlineStr">
        <is>
          <t>News</t>
        </is>
      </c>
      <c r="I907" s="77" t="inlineStr">
        <is>
          <t>2025</t>
        </is>
      </c>
      <c r="J907" s="77" t="inlineStr">
        <is>
          <t>2026-10-12</t>
        </is>
      </c>
      <c r="K907" s="77" t="inlineStr">
        <is>
          <t>search-summary paraphrase</t>
        </is>
      </c>
      <c r="L907" s="77" t="inlineStr">
        <is>
          <t>Students co-design and develop content that directly benefits the NHS; project nominated for an Employer and Community Partnership award.</t>
        </is>
      </c>
    </row>
    <row r="908">
      <c r="A908" s="77" t="inlineStr">
        <is>
          <t>UK09-S04-R3</t>
        </is>
      </c>
      <c r="B908" s="77" t="inlineStr">
        <is>
          <t>UK09</t>
        </is>
      </c>
      <c r="C908" s="77" t="inlineStr">
        <is>
          <t>UK09-S04</t>
        </is>
      </c>
      <c r="D908" s="77" t="inlineStr">
        <is>
          <t>Client Led Media Production</t>
        </is>
      </c>
      <c r="E908" s="77" t="inlineStr">
        <is>
          <t>credit; reach; status</t>
        </is>
      </c>
      <c r="F908" s="77" t="inlineStr">
        <is>
          <t>https://le.ac.uk/-/media/uol/docs/course-documentation/documentation/2025-26/ug/cssah/media-and-communication-ba.pdf</t>
        </is>
      </c>
      <c r="G908" s="77" t="inlineStr">
        <is>
          <t>Media and Communication BA programme specification</t>
        </is>
      </c>
      <c r="H908" s="77" t="inlineStr">
        <is>
          <t>Option modules</t>
        </is>
      </c>
      <c r="I908" s="77" t="inlineStr">
        <is>
          <t>2025/26</t>
        </is>
      </c>
      <c r="J908" s="77" t="inlineStr">
        <is>
          <t>2026-10-12</t>
        </is>
      </c>
      <c r="K908" s="77" t="inlineStr">
        <is>
          <t>search-summary paraphrase</t>
        </is>
      </c>
      <c r="L908" s="77" t="inlineStr">
        <is>
          <t>Client Led Media Production listed among final-year option modules (indicative list); MS3035, 15 credits, Semester 2 per other-year specs.</t>
        </is>
      </c>
    </row>
    <row r="909">
      <c r="A909" s="77" t="inlineStr">
        <is>
          <t>UK09-S05-R1</t>
        </is>
      </c>
      <c r="B909" s="77" t="inlineStr">
        <is>
          <t>UK09</t>
        </is>
      </c>
      <c r="C909" s="77" t="inlineStr">
        <is>
          <t>UK09-S05</t>
        </is>
      </c>
      <c r="D909" s="77" t="inlineStr">
        <is>
          <t>Space Science and Engineering MSc Major Project (Phase A mission study)</t>
        </is>
      </c>
      <c r="E909" s="77" t="inlineStr">
        <is>
          <t>project; group; employer</t>
        </is>
      </c>
      <c r="F909" s="77" t="inlineStr">
        <is>
          <t>https://le.ac.uk/courses/space-science-and-engineering-msc/2027</t>
        </is>
      </c>
      <c r="G909" s="77" t="inlineStr">
        <is>
          <t>Space Science and Engineering, MSc, PGDip</t>
        </is>
      </c>
      <c r="H909" s="77" t="inlineStr">
        <is>
          <t>Major Project</t>
        </is>
      </c>
      <c r="I909" s="77" t="inlineStr">
        <is>
          <t>2027 entry</t>
        </is>
      </c>
      <c r="J909" s="77" t="inlineStr">
        <is>
          <t>2026-10-12</t>
        </is>
      </c>
      <c r="K909" s="77" t="inlineStr">
        <is>
          <t>search-summary paraphrase</t>
        </is>
      </c>
      <c r="L909"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10">
      <c r="A910" s="77" t="inlineStr">
        <is>
          <t>UK09-S05-R2</t>
        </is>
      </c>
      <c r="B910" s="77" t="inlineStr">
        <is>
          <t>UK09</t>
        </is>
      </c>
      <c r="C910" s="77" t="inlineStr">
        <is>
          <t>UK09-S05</t>
        </is>
      </c>
      <c r="D910" s="77" t="inlineStr">
        <is>
          <t>Space Science and Engineering MSc Major Project (Phase A mission study)</t>
        </is>
      </c>
      <c r="E910" s="77" t="inlineStr">
        <is>
          <t>status</t>
        </is>
      </c>
      <c r="F910" s="77" t="inlineStr">
        <is>
          <t>https://le.ac.uk/-/media/uol/docs/course-documentation/documentation/2025-26/pg/cse/space-exploration-systems-msc.pdf</t>
        </is>
      </c>
      <c r="G910" s="77" t="inlineStr">
        <is>
          <t>Space Exploration Systems MSc programme specification</t>
        </is>
      </c>
      <c r="H910" s="77" t="inlineStr">
        <is>
          <t>Programme specification</t>
        </is>
      </c>
      <c r="I910" s="77" t="inlineStr">
        <is>
          <t>2025/26</t>
        </is>
      </c>
      <c r="J910" s="77" t="inlineStr">
        <is>
          <t>2026-10-12</t>
        </is>
      </c>
      <c r="K910" s="77" t="inlineStr">
        <is>
          <t>search-summary paraphrase</t>
        </is>
      </c>
      <c r="L910" s="77" t="inlineStr">
        <is>
          <t>2025/26 specification for the programme exists; earlier (2017-18, 2021-22) specifications describe same project arrangement.</t>
        </is>
      </c>
    </row>
    <row r="911">
      <c r="A911" s="77" t="inlineStr">
        <is>
          <t>UK09-S06-R1</t>
        </is>
      </c>
      <c r="B911" s="77" t="inlineStr">
        <is>
          <t>UK09</t>
        </is>
      </c>
      <c r="C911" s="77" t="inlineStr">
        <is>
          <t>UK09-S06</t>
        </is>
      </c>
      <c r="D911" s="77" t="inlineStr">
        <is>
          <t>Physics MPhys industrial group research project</t>
        </is>
      </c>
      <c r="E911" s="77" t="inlineStr">
        <is>
          <t>project; group; employer; duration</t>
        </is>
      </c>
      <c r="F911" s="77" t="inlineStr">
        <is>
          <t>https://le.ac.uk/courses/physics-mphys/2027</t>
        </is>
      </c>
      <c r="G911" s="77" t="inlineStr">
        <is>
          <t>Physics MPhys</t>
        </is>
      </c>
      <c r="H911" s="77" t="inlineStr">
        <is>
          <t>Year 3</t>
        </is>
      </c>
      <c r="I911" s="77" t="inlineStr">
        <is>
          <t>2027 entry</t>
        </is>
      </c>
      <c r="J911" s="77" t="inlineStr">
        <is>
          <t>2026-10-12</t>
        </is>
      </c>
      <c r="K911" s="77" t="inlineStr">
        <is>
          <t>search-summary paraphrase</t>
        </is>
      </c>
      <c r="L911"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12">
      <c r="A912" s="77" t="inlineStr">
        <is>
          <t>UK09-S07-R1</t>
        </is>
      </c>
      <c r="B912" s="77" t="inlineStr">
        <is>
          <t>UK09</t>
        </is>
      </c>
      <c r="C912" s="77" t="inlineStr">
        <is>
          <t>UK09-S07</t>
        </is>
      </c>
      <c r="D912" s="77" t="inlineStr">
        <is>
          <t>AI Agentic Solutions in Business Project (EMPAIP)</t>
        </is>
      </c>
      <c r="E912" s="77" t="inlineStr">
        <is>
          <t>project; employer; credit; status</t>
        </is>
      </c>
      <c r="F912" s="77" t="inlineStr">
        <is>
          <t>https://le.ac.uk/news/2026/september/businesses-university-leicester-students-ai-economy</t>
        </is>
      </c>
      <c r="G912" s="77" t="inlineStr">
        <is>
          <t>East Midlands businesses and University of Leicester students to work together in AI-enabled economy</t>
        </is>
      </c>
      <c r="H912" s="77" t="inlineStr">
        <is>
          <t>EMPAIP</t>
        </is>
      </c>
      <c r="I912" s="77" t="inlineStr">
        <is>
          <t>2026</t>
        </is>
      </c>
      <c r="J912" s="77" t="inlineStr">
        <is>
          <t>2026-10-12</t>
        </is>
      </c>
      <c r="K912" s="77" t="inlineStr">
        <is>
          <t>search-summary paraphrase</t>
        </is>
      </c>
      <c r="L912" s="77" t="inlineStr">
        <is>
          <t>45-month Innovate UK-funded EMPAIP led by School of Business; 60-credit AI Agentic Solutions in Business Project as alternative to dissertation, based on real employer briefs; ~180 students a year; 180 AI internships; AI for Business Accelerator.</t>
        </is>
      </c>
    </row>
    <row r="913">
      <c r="A913" s="77" t="inlineStr">
        <is>
          <t>UK09-S07-R2</t>
        </is>
      </c>
      <c r="B913" s="77" t="inlineStr">
        <is>
          <t>UK09</t>
        </is>
      </c>
      <c r="C913" s="77" t="inlineStr">
        <is>
          <t>UK09-S07</t>
        </is>
      </c>
      <c r="D913" s="77" t="inlineStr">
        <is>
          <t>AI Agentic Solutions in Business Project (EMPAIP)</t>
        </is>
      </c>
      <c r="E913" s="77" t="inlineStr">
        <is>
          <t>reach; credit</t>
        </is>
      </c>
      <c r="F913" s="77" t="inlineStr">
        <is>
          <t>https://le.ac.uk/courses/marketing-msc/2026</t>
        </is>
      </c>
      <c r="G913" s="77" t="inlineStr">
        <is>
          <t>Strategic Marketing MSc</t>
        </is>
      </c>
      <c r="H913" s="77" t="inlineStr">
        <is>
          <t>Final module options</t>
        </is>
      </c>
      <c r="I913" s="77" t="inlineStr">
        <is>
          <t>2026 entry</t>
        </is>
      </c>
      <c r="J913" s="77" t="inlineStr">
        <is>
          <t>2026-10-12</t>
        </is>
      </c>
      <c r="K913" s="77" t="inlineStr">
        <is>
          <t>search-summary paraphrase</t>
        </is>
      </c>
      <c r="L913" s="77" t="inlineStr">
        <is>
          <t>60-credit AI Agent Solutions in Business Project listed as an AI pathway option; no mention of teams.</t>
        </is>
      </c>
    </row>
    <row r="914">
      <c r="A914" s="77" t="inlineStr">
        <is>
          <t>UK09-S08-R1</t>
        </is>
      </c>
      <c r="B914" s="77" t="inlineStr">
        <is>
          <t>UK09</t>
        </is>
      </c>
      <c r="C914" s="77" t="inlineStr">
        <is>
          <t>UK09-S08</t>
        </is>
      </c>
      <c r="D914" s="77" t="inlineStr">
        <is>
          <t>EG4007 Group Project (Mechanical/General/Aerospace Engineering MEng)</t>
        </is>
      </c>
      <c r="E914" s="77" t="inlineStr">
        <is>
          <t>project; group; employer; credit</t>
        </is>
      </c>
      <c r="F914" s="77" t="inlineStr">
        <is>
          <t>https://le.ac.uk/courses/mechanical-engineering-meng/2026</t>
        </is>
      </c>
      <c r="G914" s="77" t="inlineStr">
        <is>
          <t>Mechanical Engineering MEng</t>
        </is>
      </c>
      <c r="H914" s="77" t="inlineStr">
        <is>
          <t>Final year</t>
        </is>
      </c>
      <c r="I914" s="77" t="inlineStr">
        <is>
          <t>2026 entry</t>
        </is>
      </c>
      <c r="J914" s="77" t="inlineStr">
        <is>
          <t>2026-10-12</t>
        </is>
      </c>
      <c r="K914" s="77" t="inlineStr">
        <is>
          <t>search-summary paraphrase</t>
        </is>
      </c>
      <c r="L914" s="77" t="inlineStr">
        <is>
          <t>EG4007 Group Project (year-long, 30 credits) alongside Leadership and Project Management; project work may also include output from an industrial partner.</t>
        </is>
      </c>
    </row>
    <row r="915">
      <c r="A915" s="77" t="inlineStr">
        <is>
          <t>UK09-S09-R1</t>
        </is>
      </c>
      <c r="B915" s="77" t="inlineStr">
        <is>
          <t>UK09</t>
        </is>
      </c>
      <c r="C915" s="77" t="inlineStr">
        <is>
          <t>UK09-S09</t>
        </is>
      </c>
      <c r="D915" s="77" t="inlineStr">
        <is>
          <t>Consultancy Challenge</t>
        </is>
      </c>
      <c r="E915" s="77" t="inlineStr">
        <is>
          <t>credit; status</t>
        </is>
      </c>
      <c r="F915" s="77" t="inlineStr">
        <is>
          <t>https://le.ac.uk/-/media/uol/docs/course-documentation/documentation/2024-25/ug/cssah/business-and-management-ba.pdf</t>
        </is>
      </c>
      <c r="G915" s="77" t="inlineStr">
        <is>
          <t>Business and Management BA programme specification</t>
        </is>
      </c>
      <c r="H915" s="77" t="inlineStr">
        <is>
          <t>Module table</t>
        </is>
      </c>
      <c r="I915" s="77" t="inlineStr">
        <is>
          <t>2024/25</t>
        </is>
      </c>
      <c r="J915" s="77" t="inlineStr">
        <is>
          <t>2026-10-12</t>
        </is>
      </c>
      <c r="K915" s="77" t="inlineStr">
        <is>
          <t>search-summary paraphrase</t>
        </is>
      </c>
      <c r="L915" s="77" t="inlineStr">
        <is>
          <t>Sem 2 MK2105 Consultancy Challenge 15 credits.</t>
        </is>
      </c>
    </row>
    <row r="916">
      <c r="A916" s="77" t="inlineStr">
        <is>
          <t>UK09-S09-R2</t>
        </is>
      </c>
      <c r="B916" s="77" t="inlineStr">
        <is>
          <t>UK09</t>
        </is>
      </c>
      <c r="C916" s="77" t="inlineStr">
        <is>
          <t>UK09-S09</t>
        </is>
      </c>
      <c r="D916" s="77" t="inlineStr">
        <is>
          <t>Consultancy Challenge</t>
        </is>
      </c>
      <c r="E916" s="77" t="inlineStr">
        <is>
          <t>employer</t>
        </is>
      </c>
      <c r="F916" s="77" t="inlineStr">
        <is>
          <t>https://le.ac.uk/enterprise/recruit-our-students/toolkit</t>
        </is>
      </c>
      <c r="G916" s="77" t="inlineStr">
        <is>
          <t>Employer toolkit</t>
        </is>
      </c>
      <c r="H916" s="77" t="inlineStr">
        <is>
          <t>Summer consultancy challenges</t>
        </is>
      </c>
      <c r="I916" s="77" t="inlineStr">
        <is>
          <t>undated</t>
        </is>
      </c>
      <c r="J916" s="77" t="inlineStr">
        <is>
          <t>2026-10-12</t>
        </is>
      </c>
      <c r="K916" s="77" t="inlineStr">
        <is>
          <t>search-summary paraphrase</t>
        </is>
      </c>
      <c r="L916" s="77" t="inlineStr">
        <is>
          <t>A consultancy project gives you the opportunity to receive responses to a specific brief (employer-facing page).</t>
        </is>
      </c>
    </row>
    <row r="917">
      <c r="A917" s="77" t="inlineStr">
        <is>
          <t>UK10-S01-R1</t>
        </is>
      </c>
      <c r="B917" s="77" t="inlineStr">
        <is>
          <t>UK10</t>
        </is>
      </c>
      <c r="C917" s="77" t="inlineStr">
        <is>
          <t>UK10-S01</t>
        </is>
      </c>
      <c r="D917" s="77" t="inlineStr">
        <is>
          <t>Vertically Integrated Projects for Sustainable Development (VIP4SD)</t>
        </is>
      </c>
      <c r="E917" s="77" t="inlineStr">
        <is>
          <t>project; group; credit; reach</t>
        </is>
      </c>
      <c r="F917" s="77" t="inlineStr">
        <is>
          <t>https://www.strath.ac.uk/studywithus/verticallyintegratedprojectsforsustainabledevelopment/abouttheprogramme/</t>
        </is>
      </c>
      <c r="G917" s="77" t="inlineStr">
        <is>
          <t>About Vertically Integrated Projects for Sustainable Development (VIP4SD)</t>
        </is>
      </c>
      <c r="H917" s="77" t="inlineStr">
        <is>
          <t>About the programme</t>
        </is>
      </c>
      <c r="I917" s="77" t="inlineStr">
        <is>
          <t>undated</t>
        </is>
      </c>
      <c r="J917" s="77" t="inlineStr">
        <is>
          <t>2026-10-12</t>
        </is>
      </c>
      <c r="K917" s="77" t="inlineStr">
        <is>
          <t>search-index extract</t>
        </is>
      </c>
      <c r="L917" s="77" t="inlineStr">
        <is>
          <t>Students gain academic credits while working to address real-world problems through collaborative projects; teams include students from different year groups and disciplines, academics and postgraduate researchers (search-index summary).</t>
        </is>
      </c>
    </row>
    <row r="918">
      <c r="A918" s="77" t="inlineStr">
        <is>
          <t>UK10-S01-R2</t>
        </is>
      </c>
      <c r="B918" s="77" t="inlineStr">
        <is>
          <t>UK10</t>
        </is>
      </c>
      <c r="C918" s="77" t="inlineStr">
        <is>
          <t>UK10-S01</t>
        </is>
      </c>
      <c r="D918" s="77" t="inlineStr">
        <is>
          <t>Vertically Integrated Projects for Sustainable Development (VIP4SD)</t>
        </is>
      </c>
      <c r="E918" s="77" t="inlineStr">
        <is>
          <t>project; employer</t>
        </is>
      </c>
      <c r="F918" s="77" t="inlineStr">
        <is>
          <t>https://www.strath.ac.uk/workwithus/centreforsustainabledevelopment/researchadvising/vip4sd/</t>
        </is>
      </c>
      <c r="G918" s="77" t="inlineStr">
        <is>
          <t>VIP4SD</t>
        </is>
      </c>
      <c r="H918" s="77" t="inlineStr">
        <is>
          <t>Programme page</t>
        </is>
      </c>
      <c r="I918" s="77" t="inlineStr">
        <is>
          <t>undated</t>
        </is>
      </c>
      <c r="J918" s="77" t="inlineStr">
        <is>
          <t>2026-10-12</t>
        </is>
      </c>
      <c r="K918" s="77" t="inlineStr">
        <is>
          <t>search-index extract</t>
        </is>
      </c>
      <c r="L918" s="77" t="inlineStr">
        <is>
          <t>Projects work with local schools, the NHS and partners in Malawi, Rwanda and the Gambia; Energy for Development project completed solar PV installations in schools and health clinics (search-index summary).</t>
        </is>
      </c>
    </row>
    <row r="919">
      <c r="A919" s="77" t="inlineStr">
        <is>
          <t>UK10-S01-R3</t>
        </is>
      </c>
      <c r="B919" s="77" t="inlineStr">
        <is>
          <t>UK10</t>
        </is>
      </c>
      <c r="C919" s="77" t="inlineStr">
        <is>
          <t>UK10-S01</t>
        </is>
      </c>
      <c r="D919" s="77" t="inlineStr">
        <is>
          <t>Vertically Integrated Projects for Sustainable Development (VIP4SD)</t>
        </is>
      </c>
      <c r="E919" s="77" t="inlineStr">
        <is>
          <t>reach; status</t>
        </is>
      </c>
      <c r="F919" s="77" t="inlineStr">
        <is>
          <t>https://www.strath.ac.uk/media/1newwebsite/documents/Strathclyde_SESS30_Nov25_-_Digital_(2).pdf</t>
        </is>
      </c>
      <c r="G919" s="77" t="inlineStr">
        <is>
          <t>The Place of Useful Learning: Social and Environmental Sustainability Strategy</t>
        </is>
      </c>
      <c r="H919" s="77" t="inlineStr">
        <is>
          <t>VIP4SD case study</t>
        </is>
      </c>
      <c r="I919" s="77" t="inlineStr">
        <is>
          <t>2025</t>
        </is>
      </c>
      <c r="J919" s="77" t="inlineStr">
        <is>
          <t>2026-10-12</t>
        </is>
      </c>
      <c r="K919" s="77" t="inlineStr">
        <is>
          <t>search-summary paraphrase</t>
        </is>
      </c>
      <c r="L919" s="77" t="inlineStr">
        <is>
          <t>Programme currently engages approximately 200 students working across 20 interdisciplinary research projects and is being introduced across all four University faculties (search-index summary).</t>
        </is>
      </c>
    </row>
    <row r="920">
      <c r="A920" s="77" t="inlineStr">
        <is>
          <t>UK10-S02-R1</t>
        </is>
      </c>
      <c r="B920" s="77" t="inlineStr">
        <is>
          <t>UK10</t>
        </is>
      </c>
      <c r="C920" s="77" t="inlineStr">
        <is>
          <t>UK10-S02</t>
        </is>
      </c>
      <c r="D920" s="77" t="inlineStr">
        <is>
          <t>DMEM Industrial Group Projects (IGP) / Industrial Projects scheme</t>
        </is>
      </c>
      <c r="E920" s="77" t="inlineStr">
        <is>
          <t>project; group; employer; eligibility</t>
        </is>
      </c>
      <c r="F920" s="77" t="inlineStr">
        <is>
          <t>https://www.strath.ac.uk/engineering/designmanufacturingengineeringmanagement/workingwithbusinessorganisations/interestedinparticipatingindmemsindustrialgroupprojects/</t>
        </is>
      </c>
      <c r="G920" s="77" t="inlineStr">
        <is>
          <t>Interested in Participating in DMEM's Individual and Industrial Group Projects?</t>
        </is>
      </c>
      <c r="H920" s="77" t="inlineStr">
        <is>
          <t>Scheme description</t>
        </is>
      </c>
      <c r="I920" s="77" t="inlineStr">
        <is>
          <t>undated</t>
        </is>
      </c>
      <c r="J920" s="77" t="inlineStr">
        <is>
          <t>2026-10-12</t>
        </is>
      </c>
      <c r="K920" s="77" t="inlineStr">
        <is>
          <t>search-index extract</t>
        </is>
      </c>
      <c r="L920"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21">
      <c r="A921" s="77" t="inlineStr">
        <is>
          <t>UK10-S02-R2</t>
        </is>
      </c>
      <c r="B921" s="77" t="inlineStr">
        <is>
          <t>UK10</t>
        </is>
      </c>
      <c r="C921" s="77" t="inlineStr">
        <is>
          <t>UK10-S02</t>
        </is>
      </c>
      <c r="D921" s="77" t="inlineStr">
        <is>
          <t>DMEM Industrial Group Projects (IGP) / Industrial Projects scheme</t>
        </is>
      </c>
      <c r="E921" s="77" t="inlineStr">
        <is>
          <t>project; group; employer; participation</t>
        </is>
      </c>
      <c r="F921" s="77" t="inlineStr">
        <is>
          <t>https://www.strath.ac.uk/courses/undergraduate/manufacturingengineeringwithmanagementmeng/</t>
        </is>
      </c>
      <c r="G921" s="77" t="inlineStr">
        <is>
          <t>MEng Manufacturing Engineering with Management</t>
        </is>
      </c>
      <c r="H921" s="77" t="inlineStr">
        <is>
          <t>Course content</t>
        </is>
      </c>
      <c r="I921" s="77" t="inlineStr">
        <is>
          <t>undated</t>
        </is>
      </c>
      <c r="J921" s="77" t="inlineStr">
        <is>
          <t>2026-10-12</t>
        </is>
      </c>
      <c r="K921" s="77" t="inlineStr">
        <is>
          <t>search-index extract</t>
        </is>
      </c>
      <c r="L921" s="77" t="inlineStr">
        <is>
          <t>Industrial Group Project is a team-based industrial project where an outline brief is set by an industrial client; the team manages all aspects through to a finished solution; teams meet academic staff and industrial clients regularly.</t>
        </is>
      </c>
    </row>
    <row r="922">
      <c r="A922" s="77" t="inlineStr">
        <is>
          <t>UK10-S02-R3</t>
        </is>
      </c>
      <c r="B922" s="77" t="inlineStr">
        <is>
          <t>UK10</t>
        </is>
      </c>
      <c r="C922" s="77" t="inlineStr">
        <is>
          <t>UK10-S02</t>
        </is>
      </c>
      <c r="D922" s="77" t="inlineStr">
        <is>
          <t>DMEM Industrial Group Projects (IGP) / Industrial Projects scheme</t>
        </is>
      </c>
      <c r="E922" s="77" t="inlineStr">
        <is>
          <t>credit; employer; project</t>
        </is>
      </c>
      <c r="F922" s="77" t="inlineStr">
        <is>
          <t>https://www.strath.ac.uk/courses/postgraduatetaught/systemsengineeringmanagement/</t>
        </is>
      </c>
      <c r="G922" s="77" t="inlineStr">
        <is>
          <t>MSc Systems Engineering Management</t>
        </is>
      </c>
      <c r="H922" s="77" t="inlineStr">
        <is>
          <t>Class content</t>
        </is>
      </c>
      <c r="I922" s="77" t="inlineStr">
        <is>
          <t>undated</t>
        </is>
      </c>
      <c r="J922" s="77" t="inlineStr">
        <is>
          <t>2026-10-12</t>
        </is>
      </c>
      <c r="K922" s="77" t="inlineStr">
        <is>
          <t>search-summary paraphrase</t>
        </is>
      </c>
      <c r="L922" s="77" t="inlineStr">
        <is>
          <t>40-credit team project working with an industrial client on a practical problem; deliverables include project report and presentation to the client; past clients listed include Babcock, BAE Systems, Rolls-Royce, Thales and Jacobs (search-index summary).</t>
        </is>
      </c>
    </row>
    <row r="923">
      <c r="A923" s="77" t="inlineStr">
        <is>
          <t>UK10-S02-R4</t>
        </is>
      </c>
      <c r="B923" s="77" t="inlineStr">
        <is>
          <t>UK10</t>
        </is>
      </c>
      <c r="C923" s="77" t="inlineStr">
        <is>
          <t>UK10-S02</t>
        </is>
      </c>
      <c r="D923" s="77" t="inlineStr">
        <is>
          <t>DMEM Industrial Group Projects (IGP) / Industrial Projects scheme</t>
        </is>
      </c>
      <c r="E923" s="77" t="inlineStr">
        <is>
          <t>status</t>
        </is>
      </c>
      <c r="F923" s="77" t="inlineStr">
        <is>
          <t>https://pureportal.strath.ac.uk/en/activities/dmem-industrial-group-projects-igp-presentation-day-2025/</t>
        </is>
      </c>
      <c r="G923" s="77" t="inlineStr">
        <is>
          <t>DMEM Industrial Group Projects (IGP) Presentation Day 2025</t>
        </is>
      </c>
      <c r="H923" s="77" t="inlineStr">
        <is>
          <t>Activity record</t>
        </is>
      </c>
      <c r="I923" s="77" t="inlineStr">
        <is>
          <t>2025</t>
        </is>
      </c>
      <c r="J923" s="77" t="inlineStr">
        <is>
          <t>2026-10-12</t>
        </is>
      </c>
      <c r="K923" s="77" t="inlineStr">
        <is>
          <t>search-summary paraphrase</t>
        </is>
      </c>
      <c r="L923" s="77" t="inlineStr">
        <is>
          <t>Presentation day recorded for 9 May 2025 (search-index summary).</t>
        </is>
      </c>
    </row>
    <row r="924">
      <c r="A924" s="77" t="inlineStr">
        <is>
          <t>UK10-S03-R1</t>
        </is>
      </c>
      <c r="B924" s="77" t="inlineStr">
        <is>
          <t>UK10</t>
        </is>
      </c>
      <c r="C924" s="77" t="inlineStr">
        <is>
          <t>UK10-S03</t>
        </is>
      </c>
      <c r="D924" s="77" t="inlineStr">
        <is>
          <t>MSc Civil Engineering industry-led Group Design Project</t>
        </is>
      </c>
      <c r="E924" s="77" t="inlineStr">
        <is>
          <t>project; group; employer; credit</t>
        </is>
      </c>
      <c r="F924" s="77" t="inlineStr">
        <is>
          <t>https://www.strath.ac.uk/courses/postgraduatetaught/civilengineering/</t>
        </is>
      </c>
      <c r="G924" s="77" t="inlineStr">
        <is>
          <t>MSc Civil Engineering Masters UK</t>
        </is>
      </c>
      <c r="H924" s="77" t="inlineStr">
        <is>
          <t>Course content</t>
        </is>
      </c>
      <c r="I924" s="77" t="inlineStr">
        <is>
          <t>undated</t>
        </is>
      </c>
      <c r="J924" s="77" t="inlineStr">
        <is>
          <t>2026-10-12</t>
        </is>
      </c>
      <c r="K924" s="77" t="inlineStr">
        <is>
          <t>search-summary paraphrase</t>
        </is>
      </c>
      <c r="L924"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25">
      <c r="A925" s="77" t="inlineStr">
        <is>
          <t>UK10-S04-R1</t>
        </is>
      </c>
      <c r="B925" s="77" t="inlineStr">
        <is>
          <t>UK10</t>
        </is>
      </c>
      <c r="C925" s="77" t="inlineStr">
        <is>
          <t>UK10-S04</t>
        </is>
      </c>
      <c r="D925" s="77" t="inlineStr">
        <is>
          <t>Becoming an Effective Business Analyst (BEBA) experiential learning class, MSc Business Analysis &amp; Consulting (and pathway variants)</t>
        </is>
      </c>
      <c r="E925" s="77" t="inlineStr">
        <is>
          <t>project; group; employer</t>
        </is>
      </c>
      <c r="F925" s="77" t="inlineStr">
        <is>
          <t>https://www.strath.ac.uk/courses/postgraduatetaught/businessanalysisconsulting/</t>
        </is>
      </c>
      <c r="G925" s="77" t="inlineStr">
        <is>
          <t>Business Analysis &amp; Consulting</t>
        </is>
      </c>
      <c r="H925" s="77" t="inlineStr">
        <is>
          <t>Experiential learning class</t>
        </is>
      </c>
      <c r="I925" s="77" t="inlineStr">
        <is>
          <t>undated</t>
        </is>
      </c>
      <c r="J925" s="77" t="inlineStr">
        <is>
          <t>2026-10-12</t>
        </is>
      </c>
      <c r="K925" s="77" t="inlineStr">
        <is>
          <t>search-summary paraphrase</t>
        </is>
      </c>
      <c r="L925" s="77" t="inlineStr">
        <is>
          <t>Clients, usually managers from outside organisations, bring semi-structured business problems; alumni describe being allocated team members and presenting recommendations back to the client (search-index summary).</t>
        </is>
      </c>
    </row>
    <row r="926">
      <c r="A926" s="77" t="inlineStr">
        <is>
          <t>UK10-S04-R2</t>
        </is>
      </c>
      <c r="B926" s="77" t="inlineStr">
        <is>
          <t>UK10</t>
        </is>
      </c>
      <c r="C926" s="77" t="inlineStr">
        <is>
          <t>UK10-S04</t>
        </is>
      </c>
      <c r="D926" s="77" t="inlineStr">
        <is>
          <t>Becoming an Effective Business Analyst (BEBA) experiential learning class, MSc Business Analysis &amp; Consulting (and pathway variants)</t>
        </is>
      </c>
      <c r="E926" s="77" t="inlineStr">
        <is>
          <t>group; employer</t>
        </is>
      </c>
      <c r="F926" s="77" t="inlineStr">
        <is>
          <t>https://www.strath.ac.uk/courses/postgraduatetaught/businessanalysisconsultingwithprojectmanagement/</t>
        </is>
      </c>
      <c r="G926" s="77" t="inlineStr">
        <is>
          <t>MSc Business Analysis &amp; Consulting with Project Management</t>
        </is>
      </c>
      <c r="H926" s="77" t="inlineStr">
        <is>
          <t>Course content</t>
        </is>
      </c>
      <c r="I926" s="77" t="inlineStr">
        <is>
          <t>undated</t>
        </is>
      </c>
      <c r="J926" s="77" t="inlineStr">
        <is>
          <t>2026-10-12</t>
        </is>
      </c>
      <c r="K926" s="77" t="inlineStr">
        <is>
          <t>search-summary paraphrase</t>
        </is>
      </c>
      <c r="L926" s="77" t="inlineStr">
        <is>
          <t>Assessment includes group report (search-index summary); work with industry partners across energy, healthcare and financial services.</t>
        </is>
      </c>
    </row>
    <row r="927">
      <c r="A927" s="77" t="inlineStr">
        <is>
          <t>UK10-S04-R3</t>
        </is>
      </c>
      <c r="B927" s="77" t="inlineStr">
        <is>
          <t>UK10</t>
        </is>
      </c>
      <c r="C927" s="77" t="inlineStr">
        <is>
          <t>UK10-S04</t>
        </is>
      </c>
      <c r="D927" s="77" t="inlineStr">
        <is>
          <t>Becoming an Effective Business Analyst (BEBA) experiential learning class, MSc Business Analysis &amp; Consulting (and pathway variants)</t>
        </is>
      </c>
      <c r="E927" s="77" t="inlineStr">
        <is>
          <t>employer; status</t>
        </is>
      </c>
      <c r="F927" s="77" t="inlineStr">
        <is>
          <t>https://www.sbs.strath.ac.uk/newsletter/2026-03/also-in-the-news/</t>
        </is>
      </c>
      <c r="G927" s="77" t="inlineStr">
        <is>
          <t>Also in the news - Strathclyde Business School</t>
        </is>
      </c>
      <c r="H927" s="77" t="inlineStr">
        <is>
          <t>Business Analysis and Consulting item</t>
        </is>
      </c>
      <c r="I927" s="77" t="inlineStr">
        <is>
          <t>2026-03</t>
        </is>
      </c>
      <c r="J927" s="77" t="inlineStr">
        <is>
          <t>2026-10-12</t>
        </is>
      </c>
      <c r="K927" s="77" t="inlineStr">
        <is>
          <t>search-index extract</t>
        </is>
      </c>
      <c r="L927" s="77" t="inlineStr">
        <is>
          <t>The Becoming an Effective Business Analyst experiential learning module has featured client case studies from Deloitte, StormID, Sphera software solutions, WB Alloys.</t>
        </is>
      </c>
    </row>
    <row r="928">
      <c r="A928" s="77" t="inlineStr">
        <is>
          <t>UK10-S05-R1</t>
        </is>
      </c>
      <c r="B928" s="77" t="inlineStr">
        <is>
          <t>UK10</t>
        </is>
      </c>
      <c r="C928" s="77" t="inlineStr">
        <is>
          <t>UK10-S05</t>
        </is>
      </c>
      <c r="D928" s="77" t="inlineStr">
        <is>
          <t>BA Business Analysis &amp; Technology: live business consultancy projects (second year) / Business Analysis and Practice</t>
        </is>
      </c>
      <c r="E928" s="77" t="inlineStr">
        <is>
          <t>project; group; employer</t>
        </is>
      </c>
      <c r="F928" s="77" t="inlineStr">
        <is>
          <t>https://www.strath.ac.uk/courses/undergraduate/businessanalysistechnology/</t>
        </is>
      </c>
      <c r="G928" s="77" t="inlineStr">
        <is>
          <t>BA Hons Business Analysis &amp; Technology</t>
        </is>
      </c>
      <c r="H928" s="77" t="inlineStr">
        <is>
          <t>Second year / Honours</t>
        </is>
      </c>
      <c r="I928" s="77" t="inlineStr">
        <is>
          <t>undated</t>
        </is>
      </c>
      <c r="J928" s="77" t="inlineStr">
        <is>
          <t>2026-10-12</t>
        </is>
      </c>
      <c r="K928" s="77" t="inlineStr">
        <is>
          <t>search-summary paraphrase</t>
        </is>
      </c>
      <c r="L928" s="77" t="inlineStr">
        <is>
          <t>Second year: two live business consultancy projects, one per semester; as a team of six, develop solutions for the local SME economy; clients introduce problems, provide information and listen to recommended solutions (search-index summary).</t>
        </is>
      </c>
    </row>
    <row r="929">
      <c r="A929" s="77" t="inlineStr">
        <is>
          <t>UK10-S05-R2</t>
        </is>
      </c>
      <c r="B929" s="77" t="inlineStr">
        <is>
          <t>UK10</t>
        </is>
      </c>
      <c r="C929" s="77" t="inlineStr">
        <is>
          <t>UK10-S05</t>
        </is>
      </c>
      <c r="D929" s="77" t="inlineStr">
        <is>
          <t>BA Business Analysis &amp; Technology: live business consultancy projects (second year) / Business Analysis and Practice</t>
        </is>
      </c>
      <c r="E929" s="77" t="inlineStr">
        <is>
          <t>employer; status</t>
        </is>
      </c>
      <c r="F929" s="77" t="inlineStr">
        <is>
          <t>https://www.sbs.strath.ac.uk/newsletter/2026-03/also-in-the-news/</t>
        </is>
      </c>
      <c r="G929" s="77" t="inlineStr">
        <is>
          <t>Also in the news - Strathclyde Business School</t>
        </is>
      </c>
      <c r="H929" s="77" t="inlineStr">
        <is>
          <t>BA Business Analysis and Technology item</t>
        </is>
      </c>
      <c r="I929" s="77" t="inlineStr">
        <is>
          <t>2026-03</t>
        </is>
      </c>
      <c r="J929" s="77" t="inlineStr">
        <is>
          <t>2026-10-12</t>
        </is>
      </c>
      <c r="K929" s="77" t="inlineStr">
        <is>
          <t>search-index extract</t>
        </is>
      </c>
      <c r="L929" s="77" t="inlineStr">
        <is>
          <t>The Business Analysis and Practice module used client cases from Barclays (scam detection and prevention strategy) and DSTL (defence spending options for the next 10 years).</t>
        </is>
      </c>
    </row>
    <row r="930">
      <c r="A930" s="77" t="inlineStr">
        <is>
          <t>UK10-S06-R1</t>
        </is>
      </c>
      <c r="B930" s="77" t="inlineStr">
        <is>
          <t>UK10</t>
        </is>
      </c>
      <c r="C930" s="77" t="inlineStr">
        <is>
          <t>UK10-S06</t>
        </is>
      </c>
      <c r="D930" s="77" t="inlineStr">
        <is>
          <t>Marketing Works (live project option), MSc Marketing / International Marketing / Tourism Marketing Management</t>
        </is>
      </c>
      <c r="E930" s="77" t="inlineStr">
        <is>
          <t>project; group; employer</t>
        </is>
      </c>
      <c r="F930" s="77" t="inlineStr">
        <is>
          <t>https://www.strath.ac.uk/business/faculty/engagewithourstudents/studentinternships/marketingworksproject/</t>
        </is>
      </c>
      <c r="G930" s="77" t="inlineStr">
        <is>
          <t>Marketing Works project</t>
        </is>
      </c>
      <c r="H930" s="77" t="inlineStr">
        <is>
          <t>Scheme description</t>
        </is>
      </c>
      <c r="I930" s="77" t="inlineStr">
        <is>
          <t>undated</t>
        </is>
      </c>
      <c r="J930" s="77" t="inlineStr">
        <is>
          <t>2026-10-12</t>
        </is>
      </c>
      <c r="K930" s="77" t="inlineStr">
        <is>
          <t>search-summary paraphrase</t>
        </is>
      </c>
      <c r="L930" s="77" t="inlineStr">
        <is>
          <t>Students work in groups on real-life projects put forward by various types of business, supervised by marketing academics (search-index summary).</t>
        </is>
      </c>
    </row>
    <row r="931">
      <c r="A931" s="77" t="inlineStr">
        <is>
          <t>UK10-S06-R2</t>
        </is>
      </c>
      <c r="B931" s="77" t="inlineStr">
        <is>
          <t>UK10</t>
        </is>
      </c>
      <c r="C931" s="77" t="inlineStr">
        <is>
          <t>UK10-S06</t>
        </is>
      </c>
      <c r="D931" s="77" t="inlineStr">
        <is>
          <t>Marketing Works (live project option), MSc Marketing / International Marketing / Tourism Marketing Management</t>
        </is>
      </c>
      <c r="E931" s="77" t="inlineStr">
        <is>
          <t>group; employer</t>
        </is>
      </c>
      <c r="F931" s="77" t="inlineStr">
        <is>
          <t>https://www.strath.ac.uk/business/marketing/industrylinks/</t>
        </is>
      </c>
      <c r="G931" s="77" t="inlineStr">
        <is>
          <t>Industry links</t>
        </is>
      </c>
      <c r="H931" s="77" t="inlineStr">
        <is>
          <t>Marketing Works</t>
        </is>
      </c>
      <c r="I931" s="77" t="inlineStr">
        <is>
          <t>undated</t>
        </is>
      </c>
      <c r="J931" s="77" t="inlineStr">
        <is>
          <t>2026-10-12</t>
        </is>
      </c>
      <c r="K931" s="77" t="inlineStr">
        <is>
          <t>search-summary paraphrase</t>
        </is>
      </c>
      <c r="L931" s="77" t="inlineStr">
        <is>
          <t>Students work in groups of five or six; projects begin in January; recent clients have included Sgurr Energy, Smith McLaurin, Microsoft, Thales, Strathclyde Police (search-index summary).</t>
        </is>
      </c>
    </row>
    <row r="932">
      <c r="A932" s="77" t="inlineStr">
        <is>
          <t>UK10-S06-R3</t>
        </is>
      </c>
      <c r="B932" s="77" t="inlineStr">
        <is>
          <t>UK10</t>
        </is>
      </c>
      <c r="C932" s="77" t="inlineStr">
        <is>
          <t>UK10-S06</t>
        </is>
      </c>
      <c r="D932" s="77" t="inlineStr">
        <is>
          <t>Marketing Works (live project option), MSc Marketing / International Marketing / Tourism Marketing Management</t>
        </is>
      </c>
      <c r="E932" s="77" t="inlineStr">
        <is>
          <t>participation</t>
        </is>
      </c>
      <c r="F932" s="77" t="inlineStr">
        <is>
          <t>https://www.strath.ac.uk/courses/postgraduatetaught/marketing/</t>
        </is>
      </c>
      <c r="G932" s="77" t="inlineStr">
        <is>
          <t>MSc Marketing Masters UK</t>
        </is>
      </c>
      <c r="H932" s="77" t="inlineStr">
        <is>
          <t>Programme structure</t>
        </is>
      </c>
      <c r="I932" s="77" t="inlineStr">
        <is>
          <t>undated</t>
        </is>
      </c>
      <c r="J932" s="77" t="inlineStr">
        <is>
          <t>2026-10-12</t>
        </is>
      </c>
      <c r="K932" s="77" t="inlineStr">
        <is>
          <t>search-summary paraphrase</t>
        </is>
      </c>
      <c r="L932" s="77" t="inlineStr">
        <is>
          <t>Students choose either a theory-based marketing dissertation or a practice-based marketing-works live project (search-index summary).</t>
        </is>
      </c>
    </row>
    <row r="933">
      <c r="A933" s="77" t="inlineStr">
        <is>
          <t>UK10-S07-R1</t>
        </is>
      </c>
      <c r="B933" s="77" t="inlineStr">
        <is>
          <t>UK10</t>
        </is>
      </c>
      <c r="C933" s="77" t="inlineStr">
        <is>
          <t>UK10-S07</t>
        </is>
      </c>
      <c r="D933" s="77" t="inlineStr">
        <is>
          <t>Consultancy in Practice (MSc Project Management &amp; Innovation; MSc International Management)</t>
        </is>
      </c>
      <c r="E933" s="77" t="inlineStr">
        <is>
          <t>project; group; employer</t>
        </is>
      </c>
      <c r="F933" s="77" t="inlineStr">
        <is>
          <t>https://www.strath.ac.uk/courses/postgraduatetaught/projectmanagementinnovation/</t>
        </is>
      </c>
      <c r="G933" s="77" t="inlineStr">
        <is>
          <t>MSc Project Management &amp; Innovation</t>
        </is>
      </c>
      <c r="H933" s="77" t="inlineStr">
        <is>
          <t>Consultancy in Practice</t>
        </is>
      </c>
      <c r="I933" s="77" t="inlineStr">
        <is>
          <t>undated</t>
        </is>
      </c>
      <c r="J933" s="77" t="inlineStr">
        <is>
          <t>2026-10-12</t>
        </is>
      </c>
      <c r="K933" s="77" t="inlineStr">
        <is>
          <t>search-summary paraphrase</t>
        </is>
      </c>
      <c r="L933" s="77" t="inlineStr">
        <is>
          <t>Students work in small teams to engage with live issues provided by client companies (search-index summary).</t>
        </is>
      </c>
    </row>
    <row r="934">
      <c r="A934" s="77" t="inlineStr">
        <is>
          <t>UK10-S07-R2</t>
        </is>
      </c>
      <c r="B934" s="77" t="inlineStr">
        <is>
          <t>UK10</t>
        </is>
      </c>
      <c r="C934" s="77" t="inlineStr">
        <is>
          <t>UK10-S07</t>
        </is>
      </c>
      <c r="D934" s="77" t="inlineStr">
        <is>
          <t>Consultancy in Practice (MSc Project Management &amp; Innovation; MSc International Management)</t>
        </is>
      </c>
      <c r="E934" s="77" t="inlineStr">
        <is>
          <t>project; group; employer</t>
        </is>
      </c>
      <c r="F934" s="77" t="inlineStr">
        <is>
          <t>https://www.strath.ac.uk/courses/postgraduatetaught/internationalmanagement/</t>
        </is>
      </c>
      <c r="G934" s="77" t="inlineStr">
        <is>
          <t>MSc International Management</t>
        </is>
      </c>
      <c r="H934" s="77" t="inlineStr">
        <is>
          <t>Consultancy in Practice</t>
        </is>
      </c>
      <c r="I934" s="77" t="inlineStr">
        <is>
          <t>undated</t>
        </is>
      </c>
      <c r="J934" s="77" t="inlineStr">
        <is>
          <t>2026-10-12</t>
        </is>
      </c>
      <c r="K934" s="77" t="inlineStr">
        <is>
          <t>search-summary paraphrase</t>
        </is>
      </c>
      <c r="L934" s="77" t="inlineStr">
        <is>
          <t>Analysing the client's brief on the problem and expected outcome, then group activity; client supplies more detailed input at various stages (search-index summary).</t>
        </is>
      </c>
    </row>
    <row r="935">
      <c r="A935" s="77" t="inlineStr">
        <is>
          <t>UK10-S08-R1</t>
        </is>
      </c>
      <c r="B935" s="77" t="inlineStr">
        <is>
          <t>UK10</t>
        </is>
      </c>
      <c r="C935" s="77" t="inlineStr">
        <is>
          <t>UK10-S08</t>
        </is>
      </c>
      <c r="D935" s="77" t="inlineStr">
        <is>
          <t>Management Development Programme (MDP)</t>
        </is>
      </c>
      <c r="E935" s="77" t="inlineStr">
        <is>
          <t>group; employer; participation</t>
        </is>
      </c>
      <c r="F935" s="77" t="inlineStr">
        <is>
          <t>https://www.strath.ac.uk/business/undergraduate/managementdevelopmentprogramme/</t>
        </is>
      </c>
      <c r="G935" s="77" t="inlineStr">
        <is>
          <t>Management Development Programme</t>
        </is>
      </c>
      <c r="H935" s="77" t="inlineStr">
        <is>
          <t>Programme description</t>
        </is>
      </c>
      <c r="I935" s="77" t="inlineStr">
        <is>
          <t>undated</t>
        </is>
      </c>
      <c r="J935" s="77" t="inlineStr">
        <is>
          <t>2026-10-12</t>
        </is>
      </c>
      <c r="K935" s="77" t="inlineStr">
        <is>
          <t>search-summary paraphrase</t>
        </is>
      </c>
      <c r="L935"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936">
      <c r="A936" s="77" t="inlineStr">
        <is>
          <t>UK10-S08-R2</t>
        </is>
      </c>
      <c r="B936" s="77" t="inlineStr">
        <is>
          <t>UK10</t>
        </is>
      </c>
      <c r="C936" s="77" t="inlineStr">
        <is>
          <t>UK10-S08</t>
        </is>
      </c>
      <c r="D936" s="77" t="inlineStr">
        <is>
          <t>Management Development Programme (MDP)</t>
        </is>
      </c>
      <c r="E936" s="77" t="inlineStr">
        <is>
          <t>employer</t>
        </is>
      </c>
      <c r="F936" s="77" t="inlineStr">
        <is>
          <t>https://www.sbs.strath.ac.uk/newsletter/2010-04/mdp.asp</t>
        </is>
      </c>
      <c r="G936" s="77" t="inlineStr">
        <is>
          <t>Management Development Programme prizewinners</t>
        </is>
      </c>
      <c r="H936" s="77" t="inlineStr">
        <is>
          <t>MDP 3 prize</t>
        </is>
      </c>
      <c r="I936" s="77" t="inlineStr">
        <is>
          <t>2010</t>
        </is>
      </c>
      <c r="J936" s="77" t="inlineStr">
        <is>
          <t>2026-10-12</t>
        </is>
      </c>
      <c r="K936" s="77" t="inlineStr">
        <is>
          <t>search-summary paraphrase</t>
        </is>
      </c>
      <c r="L936" s="77" t="inlineStr">
        <is>
          <t>Top three teams presented to staff at the Ernst &amp; Young Glasgow office (search-index summary).</t>
        </is>
      </c>
    </row>
    <row r="937">
      <c r="A937" s="77" t="inlineStr">
        <is>
          <t>UK10-S09-R1</t>
        </is>
      </c>
      <c r="B937" s="77" t="inlineStr">
        <is>
          <t>UK10</t>
        </is>
      </c>
      <c r="C937" s="77" t="inlineStr">
        <is>
          <t>UK10-S09</t>
        </is>
      </c>
      <c r="D937" s="77" t="inlineStr">
        <is>
          <t>Architecture: Individual &amp; Industrial Group Projects (live projects)</t>
        </is>
      </c>
      <c r="E937" s="77" t="inlineStr">
        <is>
          <t>project; group; employer</t>
        </is>
      </c>
      <c r="F937" s="77" t="inlineStr">
        <is>
          <t>https://www.strath.ac.uk/engineering/architecture/workingwithbusinessorganisations/individualindustrialgroupprojects/</t>
        </is>
      </c>
      <c r="G937" s="77" t="inlineStr">
        <is>
          <t>Individual &amp; Industrial Group Projects</t>
        </is>
      </c>
      <c r="H937" s="77" t="inlineStr">
        <is>
          <t>Scheme description</t>
        </is>
      </c>
      <c r="I937" s="77" t="inlineStr">
        <is>
          <t>undated</t>
        </is>
      </c>
      <c r="J937" s="77" t="inlineStr">
        <is>
          <t>2026-10-12</t>
        </is>
      </c>
      <c r="K937" s="77" t="inlineStr">
        <is>
          <t>search-summary paraphrase</t>
        </is>
      </c>
      <c r="L937" s="77" t="inlineStr">
        <is>
          <t>Brief settled with the client through early discussions, then a student team assigned: individual students or multidisciplinary groups; partners can join mid-point and final reviews (search-index summary).</t>
        </is>
      </c>
    </row>
    <row r="938">
      <c r="A938" s="77" t="inlineStr">
        <is>
          <t>UK11-S01-R1</t>
        </is>
      </c>
      <c r="B938" s="77" t="inlineStr">
        <is>
          <t>UK11</t>
        </is>
      </c>
      <c r="C938" s="77" t="inlineStr">
        <is>
          <t>UK11-S01</t>
        </is>
      </c>
      <c r="D938" s="77" t="inlineStr">
        <is>
          <t>Multidisciplinary Engineering Final Year Project (industrial-client design project)</t>
        </is>
      </c>
      <c r="E938" s="77" t="inlineStr">
        <is>
          <t>project; employer; eligibility</t>
        </is>
      </c>
      <c r="F938" s="77" t="inlineStr">
        <is>
          <t>https://researchportal.hw.ac.uk/en/publications/multidisciplinary-engineering-final-year-project-approaches-and-r/</t>
        </is>
      </c>
      <c r="G938" s="77" t="inlineStr">
        <is>
          <t>Multidisciplinary Engineering Final Year Project: Approaches and Reflections</t>
        </is>
      </c>
      <c r="H938" s="77" t="inlineStr">
        <is>
          <t>Abstract</t>
        </is>
      </c>
      <c r="I938" s="77" t="inlineStr">
        <is>
          <t>undated</t>
        </is>
      </c>
      <c r="J938" s="77" t="inlineStr">
        <is>
          <t>2026-10-12</t>
        </is>
      </c>
      <c r="K938" s="77" t="inlineStr">
        <is>
          <t>search-index extract (quoted)</t>
        </is>
      </c>
      <c r="L938"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939">
      <c r="A939" s="77" t="inlineStr">
        <is>
          <t>UK11-S02-R1</t>
        </is>
      </c>
      <c r="B939" s="77" t="inlineStr">
        <is>
          <t>UK11</t>
        </is>
      </c>
      <c r="C939" s="77" t="inlineStr">
        <is>
          <t>UK11-S02</t>
        </is>
      </c>
      <c r="D939" s="77" t="inlineStr">
        <is>
          <t>System Project</t>
        </is>
      </c>
      <c r="E939" s="77" t="inlineStr">
        <is>
          <t>project; group; employer; status</t>
        </is>
      </c>
      <c r="F939" s="77" t="inlineStr">
        <is>
          <t>https://curriculum.hw.ac.uk/coursedetails/B39VS?termcode=202223</t>
        </is>
      </c>
      <c r="G939" s="77" t="inlineStr">
        <is>
          <t>System Project - Curriculum Explorer</t>
        </is>
      </c>
      <c r="H939" s="77" t="inlineStr">
        <is>
          <t>Course details / learning outcomes</t>
        </is>
      </c>
      <c r="I939" s="77" t="inlineStr">
        <is>
          <t>2022/23</t>
        </is>
      </c>
      <c r="J939" s="77" t="inlineStr">
        <is>
          <t>2026-10-12</t>
        </is>
      </c>
      <c r="K939" s="77" t="inlineStr">
        <is>
          <t>search-summary paraphrase</t>
        </is>
      </c>
      <c r="L939" s="77" t="inlineStr">
        <is>
          <t>Teamwork-focused course; learning outcomes include a project demonstration to academic staff and staff from industry, and team documents such as meeting minutes and a final report.</t>
        </is>
      </c>
    </row>
    <row r="940">
      <c r="A940" s="77" t="inlineStr">
        <is>
          <t>UK11-S03-R1</t>
        </is>
      </c>
      <c r="B940" s="77" t="inlineStr">
        <is>
          <t>UK11</t>
        </is>
      </c>
      <c r="C940" s="77" t="inlineStr">
        <is>
          <t>UK11-S03</t>
        </is>
      </c>
      <c r="D940" s="77" t="inlineStr">
        <is>
          <t>MSc International Business Management - company consultancy project</t>
        </is>
      </c>
      <c r="E940" s="77" t="inlineStr">
        <is>
          <t>project</t>
        </is>
      </c>
      <c r="F940" s="77" t="inlineStr">
        <is>
          <t>https://www.hw.ac.uk/study/postgraduate/international-business-management</t>
        </is>
      </c>
      <c r="G940" s="77" t="inlineStr">
        <is>
          <t>MSc International Business Management</t>
        </is>
      </c>
      <c r="H940" s="77" t="inlineStr">
        <is>
          <t>Programme structure</t>
        </is>
      </c>
      <c r="I940" s="77" t="inlineStr">
        <is>
          <t>undated</t>
        </is>
      </c>
      <c r="J940" s="77" t="inlineStr">
        <is>
          <t>2026-10-12</t>
        </is>
      </c>
      <c r="K940" s="77" t="inlineStr">
        <is>
          <t>search-summary paraphrase</t>
        </is>
      </c>
      <c r="L940" s="77" t="inlineStr">
        <is>
          <t>The final part of the degree includes 'a chance to work on a company consultancy project which allows you to understand business issues and apply concepts learnt during the programme'.</t>
        </is>
      </c>
    </row>
    <row r="941">
      <c r="A941" s="77" t="inlineStr">
        <is>
          <t>UK12-S01-R1</t>
        </is>
      </c>
      <c r="B941" s="77" t="inlineStr">
        <is>
          <t>UK12</t>
        </is>
      </c>
      <c r="C941" s="77" t="inlineStr">
        <is>
          <t>UK12-S01</t>
        </is>
      </c>
      <c r="D941" s="77" t="inlineStr">
        <is>
          <t>Employer Live Briefs (CareerCentral Employer Opportunities form)</t>
        </is>
      </c>
      <c r="E941" s="77" t="inlineStr">
        <is>
          <t>project; group; employer; reach</t>
        </is>
      </c>
      <c r="F941" s="77" t="inlineStr">
        <is>
          <t>https://mycareercentral.uea.ac.uk/Form.aspx?id=2319836</t>
        </is>
      </c>
      <c r="G941" s="77" t="inlineStr">
        <is>
          <t>Employer Opportunities Expression of Interest Form</t>
        </is>
      </c>
      <c r="H941" s="77" t="inlineStr">
        <is>
          <t>Employer Live Briefs section</t>
        </is>
      </c>
      <c r="I941" s="77" t="inlineStr">
        <is>
          <t>undated</t>
        </is>
      </c>
      <c r="J941" s="77" t="inlineStr">
        <is>
          <t>2026-10-12</t>
        </is>
      </c>
      <c r="K941" s="77" t="inlineStr">
        <is>
          <t>search-summary paraphrase</t>
        </is>
      </c>
      <c r="L94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942">
      <c r="A942" s="77" t="inlineStr">
        <is>
          <t>UK12-S02-R1</t>
        </is>
      </c>
      <c r="B942" s="77" t="inlineStr">
        <is>
          <t>UK12</t>
        </is>
      </c>
      <c r="C942" s="77" t="inlineStr">
        <is>
          <t>UK12-S02</t>
        </is>
      </c>
      <c r="D942" s="77" t="inlineStr">
        <is>
          <t>BA Business Management: live marketing briefs (Norwich Business School)</t>
        </is>
      </c>
      <c r="E942" s="77" t="inlineStr">
        <is>
          <t>project; employer; status</t>
        </is>
      </c>
      <c r="F942" s="77" t="inlineStr">
        <is>
          <t>https://www.uea.ac.uk/course/undergraduate/ba-business-management</t>
        </is>
      </c>
      <c r="G942" s="77" t="inlineStr">
        <is>
          <t>BA Business Management 2026/27</t>
        </is>
      </c>
      <c r="H942" s="77" t="inlineStr">
        <is>
          <t>Course description / teaching</t>
        </is>
      </c>
      <c r="I942" s="77" t="inlineStr">
        <is>
          <t>2026/27</t>
        </is>
      </c>
      <c r="J942" s="77" t="inlineStr">
        <is>
          <t>2026-10-12</t>
        </is>
      </c>
      <c r="K942" s="77" t="inlineStr">
        <is>
          <t>search-summary paraphrase</t>
        </is>
      </c>
      <c r="L94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943">
      <c r="A943" s="77" t="inlineStr">
        <is>
          <t>UK12-S03-R1</t>
        </is>
      </c>
      <c r="B943" s="77" t="inlineStr">
        <is>
          <t>UK12</t>
        </is>
      </c>
      <c r="C943" s="77" t="inlineStr">
        <is>
          <t>UK12-S03</t>
        </is>
      </c>
      <c r="D943" s="77" t="inlineStr">
        <is>
          <t>Executive (Part-Time) MBA: group consultancy project with an external client</t>
        </is>
      </c>
      <c r="E943" s="77" t="inlineStr">
        <is>
          <t>project; group; employer; status; duration</t>
        </is>
      </c>
      <c r="F943" s="77" t="inlineStr">
        <is>
          <t>https://www.uea.ac.uk/course/postgraduate/mba-master-of-business-administration-executive-part-time</t>
        </is>
      </c>
      <c r="G943" s="77" t="inlineStr">
        <is>
          <t>MBA Master of Business Administration (Executive Part Time) 2026/27</t>
        </is>
      </c>
      <c r="H943" s="77" t="inlineStr">
        <is>
          <t>Course description/modules</t>
        </is>
      </c>
      <c r="I943" s="77" t="inlineStr">
        <is>
          <t>2026/27</t>
        </is>
      </c>
      <c r="J943" s="77" t="inlineStr">
        <is>
          <t>2026-10-12</t>
        </is>
      </c>
      <c r="K943" s="77" t="inlineStr">
        <is>
          <t>search-summary paraphrase</t>
        </is>
      </c>
      <c r="L943" s="77" t="inlineStr">
        <is>
          <t>Search summary: group-based consultancy module where students work with an external client organisation to deliver a substantive written report and presentation on a topic of strategic importance chosen by the client; about three months; theme 'What can I change around here?'.</t>
        </is>
      </c>
    </row>
    <row r="944">
      <c r="A944" s="77" t="inlineStr">
        <is>
          <t>UK12-S04-R1</t>
        </is>
      </c>
      <c r="B944" s="77" t="inlineStr">
        <is>
          <t>UK12</t>
        </is>
      </c>
      <c r="C944" s="77" t="inlineStr">
        <is>
          <t>UK12-S04</t>
        </is>
      </c>
      <c r="D944" s="77" t="inlineStr">
        <is>
          <t>Full-time MBA: live consultancy projects (incl. Capstone Consultancy)</t>
        </is>
      </c>
      <c r="E944" s="77" t="inlineStr">
        <is>
          <t>project; status</t>
        </is>
      </c>
      <c r="F944" s="77" t="inlineStr">
        <is>
          <t>https://uatwww.uea.ac.uk/course/postgraduate/mba-master-of-business-administration</t>
        </is>
      </c>
      <c r="G944" s="77" t="inlineStr">
        <is>
          <t>MBA Master of Business Administration 2025/26 (also 2027/28 page)</t>
        </is>
      </c>
      <c r="H944" s="77" t="inlineStr">
        <is>
          <t>Course description</t>
        </is>
      </c>
      <c r="I944" s="77" t="inlineStr">
        <is>
          <t>2025/26</t>
        </is>
      </c>
      <c r="J944" s="77" t="inlineStr">
        <is>
          <t>2026-10-12</t>
        </is>
      </c>
      <c r="K944" s="77" t="inlineStr">
        <is>
          <t>search-summary paraphrase</t>
        </is>
      </c>
      <c r="L944" s="77" t="inlineStr">
        <is>
          <t>Search summary: opportunity to take part in two live consultancy projects to gain practical business experience; 2027/28 page: practical consultancy focus working on real organisational challenges.</t>
        </is>
      </c>
    </row>
    <row r="945">
      <c r="A945" s="77" t="inlineStr">
        <is>
          <t>UK12-S04-R2</t>
        </is>
      </c>
      <c r="B945" s="77" t="inlineStr">
        <is>
          <t>UK12</t>
        </is>
      </c>
      <c r="C945" s="77" t="inlineStr">
        <is>
          <t>UK12-S04</t>
        </is>
      </c>
      <c r="D945" s="77" t="inlineStr">
        <is>
          <t>Full-time MBA: live consultancy projects (incl. Capstone Consultancy)</t>
        </is>
      </c>
      <c r="E945" s="77" t="inlineStr">
        <is>
          <t>project</t>
        </is>
      </c>
      <c r="F945" s="77" t="inlineStr">
        <is>
          <t>https://www.uea.ac.uk/about/news/article/norwich-business-school-achieves-the-highest-standard-of-achievement-in-post-graduate-business-education-with-re-accreditation</t>
        </is>
      </c>
      <c r="G945" s="77" t="inlineStr">
        <is>
          <t>Norwich Business School re-accreditation news</t>
        </is>
      </c>
      <c r="H945" s="77" t="inlineStr">
        <is>
          <t>AMBA panel comments</t>
        </is>
      </c>
      <c r="I945" s="77" t="inlineStr">
        <is>
          <t>undated</t>
        </is>
      </c>
      <c r="J945" s="77" t="inlineStr">
        <is>
          <t>2026-10-12</t>
        </is>
      </c>
      <c r="K945" s="77" t="inlineStr">
        <is>
          <t>search-summary paraphrase</t>
        </is>
      </c>
      <c r="L945" s="77" t="inlineStr">
        <is>
          <t>Search summary: AMBA panel noted the Capstone Consultancy project had an undeniable impact on the student learning experience.</t>
        </is>
      </c>
    </row>
    <row r="946">
      <c r="A946" s="77" t="inlineStr">
        <is>
          <t>UK12-S05-R1</t>
        </is>
      </c>
      <c r="B946" s="77" t="inlineStr">
        <is>
          <t>UK12</t>
        </is>
      </c>
      <c r="C946" s="77" t="inlineStr">
        <is>
          <t>UK12-S05</t>
        </is>
      </c>
      <c r="D946" s="77" t="inlineStr">
        <is>
          <t>MEng final-year Engineering Group Project (industry client brief)</t>
        </is>
      </c>
      <c r="E946" s="77" t="inlineStr">
        <is>
          <t>project; group; employer; status; participation</t>
        </is>
      </c>
      <c r="F946" s="77" t="inlineStr">
        <is>
          <t>https://www.uea.ac.uk/course/undergraduate/meng-mechanical-engineering</t>
        </is>
      </c>
      <c r="G946" s="77" t="inlineStr">
        <is>
          <t>MEng Mechanical Engineering 2026/27</t>
        </is>
      </c>
      <c r="H946" s="77" t="inlineStr">
        <is>
          <t>Final year / group project</t>
        </is>
      </c>
      <c r="I946" s="77" t="inlineStr">
        <is>
          <t>2026/27</t>
        </is>
      </c>
      <c r="J946" s="77" t="inlineStr">
        <is>
          <t>2026-10-12</t>
        </is>
      </c>
      <c r="K946" s="77" t="inlineStr">
        <is>
          <t>search-summary paraphrase</t>
        </is>
      </c>
      <c r="L946" s="77" t="inlineStr">
        <is>
          <t>Search summary: the final-year engineering group project 'will typically be based on a real brief from an industry client, presented to you at the beginning of the year'; teams review the brief, visit the site and develop proposals for presentation; previous students have been offered employment based on project work.</t>
        </is>
      </c>
    </row>
    <row r="947">
      <c r="A947" s="77" t="inlineStr">
        <is>
          <t>UK12-S05-R2</t>
        </is>
      </c>
      <c r="B947" s="77" t="inlineStr">
        <is>
          <t>UK12</t>
        </is>
      </c>
      <c r="C947" s="77" t="inlineStr">
        <is>
          <t>UK12-S05</t>
        </is>
      </c>
      <c r="D947" s="77" t="inlineStr">
        <is>
          <t>MEng final-year Engineering Group Project (industry client brief)</t>
        </is>
      </c>
      <c r="E947" s="77" t="inlineStr">
        <is>
          <t>project; group; employer</t>
        </is>
      </c>
      <c r="F947" s="77" t="inlineStr">
        <is>
          <t>https://www.uea.ac.uk/course/undergraduate/meng-energy-engineering</t>
        </is>
      </c>
      <c r="G947" s="77" t="inlineStr">
        <is>
          <t>MEng Energy Engineering 2026/27 (and MEng Electrical and Electronic Engineering with a Year in Industry 2025/26)</t>
        </is>
      </c>
      <c r="H947" s="77" t="inlineStr">
        <is>
          <t>Final-year group project</t>
        </is>
      </c>
      <c r="I947" s="77" t="inlineStr">
        <is>
          <t>2026/27</t>
        </is>
      </c>
      <c r="J947" s="77" t="inlineStr">
        <is>
          <t>2026-10-12</t>
        </is>
      </c>
      <c r="K947" s="77" t="inlineStr">
        <is>
          <t>search-summary paraphrase</t>
        </is>
      </c>
      <c r="L94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948">
      <c r="A948" s="77" t="inlineStr">
        <is>
          <t>UK12-S06-R1</t>
        </is>
      </c>
      <c r="B948" s="77" t="inlineStr">
        <is>
          <t>UK12</t>
        </is>
      </c>
      <c r="C948" s="77" t="inlineStr">
        <is>
          <t>UK12-S06</t>
        </is>
      </c>
      <c r="D948" s="77" t="inlineStr">
        <is>
          <t>MComp final-year group project (CMP-7024Y MCOMP Project per 2022 catalogue)</t>
        </is>
      </c>
      <c r="E948" s="77" t="inlineStr">
        <is>
          <t>project; group; employer; status</t>
        </is>
      </c>
      <c r="F948" s="77" t="inlineStr">
        <is>
          <t>https://www.uea.ac.uk/course/undergraduate/mcomp-computing-science</t>
        </is>
      </c>
      <c r="G948" s="77" t="inlineStr">
        <is>
          <t>MComp Computing Science 2026/27 (also MComp Computing Science with Study Abroad, MComp Artificial Intelligence)</t>
        </is>
      </c>
      <c r="H948" s="77" t="inlineStr">
        <is>
          <t>Final year / assessment</t>
        </is>
      </c>
      <c r="I948" s="77" t="inlineStr">
        <is>
          <t>2026/27</t>
        </is>
      </c>
      <c r="J948" s="77" t="inlineStr">
        <is>
          <t>2026-10-12</t>
        </is>
      </c>
      <c r="K948" s="77" t="inlineStr">
        <is>
          <t>search-summary paraphrase</t>
        </is>
      </c>
      <c r="L94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949">
      <c r="A949" s="77" t="inlineStr">
        <is>
          <t>UK12-S07-R1</t>
        </is>
      </c>
      <c r="B949" s="77" t="inlineStr">
        <is>
          <t>UK12</t>
        </is>
      </c>
      <c r="C949" s="77" t="inlineStr">
        <is>
          <t>UK12-S07</t>
        </is>
      </c>
      <c r="D949" s="77" t="inlineStr">
        <is>
          <t>School of Economics final-year consulting project (alternative to dissertation)</t>
        </is>
      </c>
      <c r="E949" s="77" t="inlineStr">
        <is>
          <t>project; employer; status; participation</t>
        </is>
      </c>
      <c r="F949" s="77" t="inlineStr">
        <is>
          <t>https://www.uea.ac.uk/course/undergraduate/bsc-economics</t>
        </is>
      </c>
      <c r="G949" s="77" t="inlineStr">
        <is>
          <t>BSc Economics 2026/27 (also Economics and Finance 2026/27; Business Economics 2026/27)</t>
        </is>
      </c>
      <c r="H949" s="77" t="inlineStr">
        <is>
          <t>Final year options</t>
        </is>
      </c>
      <c r="I949" s="77" t="inlineStr">
        <is>
          <t>2026/27</t>
        </is>
      </c>
      <c r="J949" s="77" t="inlineStr">
        <is>
          <t>2026-10-12</t>
        </is>
      </c>
      <c r="K949" s="77" t="inlineStr">
        <is>
          <t>search-summary paraphrase</t>
        </is>
      </c>
      <c r="L949" s="77" t="inlineStr">
        <is>
          <t>Search summary: option to write a dissertation or undertake a consulting project in collaboration with an external organisation; students learn to build a client relationship and identify business needs.</t>
        </is>
      </c>
    </row>
    <row r="950">
      <c r="A950" s="77" t="inlineStr">
        <is>
          <t>UK12-S08-R1</t>
        </is>
      </c>
      <c r="B950" s="77" t="inlineStr">
        <is>
          <t>UK12</t>
        </is>
      </c>
      <c r="C950" s="77" t="inlineStr">
        <is>
          <t>UK12-S08</t>
        </is>
      </c>
      <c r="D950" s="77" t="inlineStr">
        <is>
          <t>MA Media, Communication and Global Development: Media and Development in Practice live project</t>
        </is>
      </c>
      <c r="E950" s="77" t="inlineStr">
        <is>
          <t>project; employer; status</t>
        </is>
      </c>
      <c r="F950" s="77" t="inlineStr">
        <is>
          <t>https://www.uea.ac.uk/course/postgraduate/ma-media-and-global-development</t>
        </is>
      </c>
      <c r="G950" s="77" t="inlineStr">
        <is>
          <t>MA Media, Communication and Global Development 2026/27</t>
        </is>
      </c>
      <c r="H950" s="77" t="inlineStr">
        <is>
          <t>Course description</t>
        </is>
      </c>
      <c r="I950" s="77" t="inlineStr">
        <is>
          <t>2026/27</t>
        </is>
      </c>
      <c r="J950" s="77" t="inlineStr">
        <is>
          <t>2026-10-12</t>
        </is>
      </c>
      <c r="K950" s="77" t="inlineStr">
        <is>
          <t>search-summary paraphrase</t>
        </is>
      </c>
      <c r="L950" s="77" t="inlineStr">
        <is>
          <t>Search summary: students work on a real-world 'media and development' project with a leading business, charity, or media organisation; recent partners include Action Aid, Amref Africa, Anti-Slavery International, BBC Radio Norfolk, Girl Effect, Public Media Alliance, Save the Children International, WaterAid.</t>
        </is>
      </c>
    </row>
    <row r="951">
      <c r="A951" s="77" t="inlineStr">
        <is>
          <t>UK12-S08-R2</t>
        </is>
      </c>
      <c r="B951" s="77" t="inlineStr">
        <is>
          <t>UK12</t>
        </is>
      </c>
      <c r="C951" s="77" t="inlineStr">
        <is>
          <t>UK12-S08</t>
        </is>
      </c>
      <c r="D951" s="77" t="inlineStr">
        <is>
          <t>MA Media, Communication and Global Development: Media and Development in Practice live project</t>
        </is>
      </c>
      <c r="E951" s="77" t="inlineStr">
        <is>
          <t>project; group</t>
        </is>
      </c>
      <c r="F951" s="77" t="inlineStr">
        <is>
          <t>http://www.uea.ac.uk/international-development/postgraduate-taught-degrees/media-and-development-in-practice</t>
        </is>
      </c>
      <c r="G951" s="77" t="inlineStr">
        <is>
          <t>School of International Development: Media and Development in Practice</t>
        </is>
      </c>
      <c r="H951" s="77" t="inlineStr">
        <is>
          <t>Module description</t>
        </is>
      </c>
      <c r="I951" s="77" t="inlineStr">
        <is>
          <t>undated</t>
        </is>
      </c>
      <c r="J951" s="77" t="inlineStr">
        <is>
          <t>2026-10-12</t>
        </is>
      </c>
      <c r="K951" s="77" t="inlineStr">
        <is>
          <t>search-summary paraphrase</t>
        </is>
      </c>
      <c r="L951" s="77" t="inlineStr">
        <is>
          <t>Search summary: students work in the university and local community to design, implement and evaluate their own 'live' media and development project.</t>
        </is>
      </c>
    </row>
    <row r="952">
      <c r="A952" s="77" t="inlineStr">
        <is>
          <t>UK12-S09-R1</t>
        </is>
      </c>
      <c r="B952" s="77" t="inlineStr">
        <is>
          <t>UK12</t>
        </is>
      </c>
      <c r="C952" s="77" t="inlineStr">
        <is>
          <t>UK12-S09</t>
        </is>
      </c>
      <c r="D952" s="77" t="inlineStr">
        <is>
          <t>Master's with a Placement Year: three structured industry projects (placement-partner route)</t>
        </is>
      </c>
      <c r="E952" s="77" t="inlineStr">
        <is>
          <t>group; employer; participation; eligibility</t>
        </is>
      </c>
      <c r="F952" s="77" t="inlineStr">
        <is>
          <t>https://www.uea.ac.uk/study/postgraduate/masters-with-placement</t>
        </is>
      </c>
      <c r="G952" s="77" t="inlineStr">
        <is>
          <t>Master's degrees with a placement year</t>
        </is>
      </c>
      <c r="H952" s="77" t="inlineStr">
        <is>
          <t>Comparison table</t>
        </is>
      </c>
      <c r="I952" s="77" t="inlineStr">
        <is>
          <t>undated (2026 launch)</t>
        </is>
      </c>
      <c r="J952" s="77" t="inlineStr">
        <is>
          <t>2026-10-12</t>
        </is>
      </c>
      <c r="K952" s="77" t="inlineStr">
        <is>
          <t>search-summary paraphrase</t>
        </is>
      </c>
      <c r="L952" s="77" t="inlineStr">
        <is>
          <t>Search summary: comparison table lists industry projects as part-time (approx. 20 hours per week), in a small group, unpaid and guaranteed; paid industry placement is full-time and not guaranteed.</t>
        </is>
      </c>
    </row>
    <row r="953">
      <c r="A953" s="77" t="inlineStr">
        <is>
          <t>UK12-S09-R2</t>
        </is>
      </c>
      <c r="B953" s="77" t="inlineStr">
        <is>
          <t>UK12</t>
        </is>
      </c>
      <c r="C953" s="77" t="inlineStr">
        <is>
          <t>UK12-S09</t>
        </is>
      </c>
      <c r="D953" s="77" t="inlineStr">
        <is>
          <t>Master's with a Placement Year: three structured industry projects (placement-partner route)</t>
        </is>
      </c>
      <c r="E953" s="77" t="inlineStr">
        <is>
          <t>reach; employer; status</t>
        </is>
      </c>
      <c r="F953" s="77" t="inlineStr">
        <is>
          <t>https://www.uea.ac.uk/about/news/article/uea-launches-masters-degrees-with-guaranteed-placement-year-provision</t>
        </is>
      </c>
      <c r="G953" s="77" t="inlineStr">
        <is>
          <t>UEA launches Master's degrees with guaranteed placement year provision</t>
        </is>
      </c>
      <c r="H953" s="77" t="inlineStr">
        <is>
          <t>News article</t>
        </is>
      </c>
      <c r="I953" s="77" t="inlineStr">
        <is>
          <t>2026</t>
        </is>
      </c>
      <c r="J953" s="77" t="inlineStr">
        <is>
          <t>2026-10-12</t>
        </is>
      </c>
      <c r="K953" s="77" t="inlineStr">
        <is>
          <t>search-summary paraphrase</t>
        </is>
      </c>
      <c r="L953" s="77" t="inlineStr">
        <is>
          <t>Search summary: 60+ postgraduate programmes with placement pathway; partners Twin Group and Impact Consulting; guaranteed opportunity to complete three structured industry projects with different UK organisations.</t>
        </is>
      </c>
    </row>
    <row r="954">
      <c r="A954" s="77" t="inlineStr">
        <is>
          <t>UK12-S10-R1</t>
        </is>
      </c>
      <c r="B954" s="77" t="inlineStr">
        <is>
          <t>UK12</t>
        </is>
      </c>
      <c r="C954" s="77" t="inlineStr">
        <is>
          <t>UK12-S10</t>
        </is>
      </c>
      <c r="D954" s="77" t="inlineStr">
        <is>
          <t>i-Teams (Norwich Research Park innovation teams)</t>
        </is>
      </c>
      <c r="E954" s="77" t="inlineStr">
        <is>
          <t>project; group; employer; reach; eligibility; duration</t>
        </is>
      </c>
      <c r="F954" s="77" t="inlineStr">
        <is>
          <t>https://www.uea.ac.uk/web/business/access-entrepreneurship-and-innovation/i-teams</t>
        </is>
      </c>
      <c r="G954" s="77" t="inlineStr">
        <is>
          <t>i-Teams - Access Entrepreneurship and Innovation</t>
        </is>
      </c>
      <c r="H954" s="77" t="inlineStr">
        <is>
          <t>Programme page</t>
        </is>
      </c>
      <c r="I954" s="77" t="inlineStr">
        <is>
          <t>undated</t>
        </is>
      </c>
      <c r="J954" s="77" t="inlineStr">
        <is>
          <t>2026-10-12</t>
        </is>
      </c>
      <c r="K954" s="77" t="inlineStr">
        <is>
          <t>search-summary paraphrase</t>
        </is>
      </c>
      <c r="L95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955">
      <c r="A955" s="77" t="inlineStr">
        <is>
          <t>UK12-S11-R1</t>
        </is>
      </c>
      <c r="B955" s="77" t="inlineStr">
        <is>
          <t>UK12</t>
        </is>
      </c>
      <c r="C955" s="77" t="inlineStr">
        <is>
          <t>UK12-S11</t>
        </is>
      </c>
      <c r="D955" s="77" t="inlineStr">
        <is>
          <t>NBS MSc industry-sponsored / industry-focused project options (MSc Business Management; MSc Finance and Management)</t>
        </is>
      </c>
      <c r="E955" s="77" t="inlineStr">
        <is>
          <t>project; employer; status; participation</t>
        </is>
      </c>
      <c r="F955" s="77" t="inlineStr">
        <is>
          <t>https://www.uea.ac.uk/course/postgraduate/msc-business-management</t>
        </is>
      </c>
      <c r="G955" s="77" t="inlineStr">
        <is>
          <t>MSc Business Management 2026/27 (and MSc Finance and Management 2026/27)</t>
        </is>
      </c>
      <c r="H955" s="77" t="inlineStr">
        <is>
          <t>Course description</t>
        </is>
      </c>
      <c r="I955" s="77" t="inlineStr">
        <is>
          <t>2026/27</t>
        </is>
      </c>
      <c r="J955" s="77" t="inlineStr">
        <is>
          <t>2026-10-12</t>
        </is>
      </c>
      <c r="K955" s="77" t="inlineStr">
        <is>
          <t>search-summary paraphrase</t>
        </is>
      </c>
      <c r="L955" s="77" t="inlineStr">
        <is>
          <t>Search summary: choose a pathway via independent dissertation, an industry-sponsored project, or applied modules; Finance and Management: industry-focused project (subject to availability).</t>
        </is>
      </c>
    </row>
    <row r="956">
      <c r="A956" s="77" t="inlineStr">
        <is>
          <t>UK12-S12-R1</t>
        </is>
      </c>
      <c r="B956" s="77" t="inlineStr">
        <is>
          <t>UK12</t>
        </is>
      </c>
      <c r="C956" s="77" t="inlineStr">
        <is>
          <t>UK12-S12</t>
        </is>
      </c>
      <c r="D956" s="77" t="inlineStr">
        <is>
          <t>MSc Sustainability and Society: partner-organisation practical work in core modules</t>
        </is>
      </c>
      <c r="E956" s="77" t="inlineStr">
        <is>
          <t>employer; status</t>
        </is>
      </c>
      <c r="F956" s="77" t="inlineStr">
        <is>
          <t>https://www.uea.ac.uk/course/postgraduate/msc-sustainability-and-society</t>
        </is>
      </c>
      <c r="G956" s="77" t="inlineStr">
        <is>
          <t>MSc Sustainability and Society 2027/28</t>
        </is>
      </c>
      <c r="H956" s="77" t="inlineStr">
        <is>
          <t>Course description</t>
        </is>
      </c>
      <c r="I956" s="77" t="inlineStr">
        <is>
          <t>2027/28</t>
        </is>
      </c>
      <c r="J956" s="77" t="inlineStr">
        <is>
          <t>2026-10-12</t>
        </is>
      </c>
      <c r="K956" s="77" t="inlineStr">
        <is>
          <t>search-summary paraphrase</t>
        </is>
      </c>
      <c r="L956" s="77" t="inlineStr">
        <is>
          <t>Search summary: core modules include practical sessions where students work with partner organisations on real-world problems and initiatives, collaborating with external organisations on sustainability solutions.</t>
        </is>
      </c>
    </row>
    <row r="957">
      <c r="A957" s="77" t="inlineStr">
        <is>
          <t>UK14-S01-R1</t>
        </is>
      </c>
      <c r="B957" s="77" t="inlineStr">
        <is>
          <t>UK14</t>
        </is>
      </c>
      <c r="C957" s="77" t="inlineStr">
        <is>
          <t>UK14-S01</t>
        </is>
      </c>
      <c r="D957" s="77" t="inlineStr">
        <is>
          <t>Civil Engineering MEng Level 7 group design exercise</t>
        </is>
      </c>
      <c r="E957" s="77" t="inlineStr">
        <is>
          <t>project; group; employer; duration</t>
        </is>
      </c>
      <c r="F957" s="77" t="inlineStr">
        <is>
          <t>https://www.swansea.ac.uk/undergraduate/courses/aerospace-civil-electrical-mechanical-engineering/civil-engineering/beng-civil-engineering/</t>
        </is>
      </c>
      <c r="G957" s="77" t="inlineStr">
        <is>
          <t>Civil Engineering, BEng (Hons) / MEng (Hons) - Swansea University</t>
        </is>
      </c>
      <c r="H957" s="77" t="inlineStr">
        <is>
          <t>Course structure, Level 7 / student testimonial</t>
        </is>
      </c>
      <c r="I957" s="77" t="inlineStr">
        <is>
          <t>undated</t>
        </is>
      </c>
      <c r="J957" s="77" t="inlineStr">
        <is>
          <t>2026-10-12</t>
        </is>
      </c>
      <c r="K957" s="77" t="inlineStr">
        <is>
          <t>search-summary paraphrase</t>
        </is>
      </c>
      <c r="L957" s="77" t="inlineStr">
        <is>
          <t>'You can select from full design projects currently being carried out in industry as part of a year-long group design exercise that replicates the work of practising civil engineers.' Alumnus: 'The group project during my MEng year in particular was really good experience, and the opportunity to work with industry professionals was brilliant practice for the graduate world.'</t>
        </is>
      </c>
    </row>
    <row r="958">
      <c r="A958" s="77" t="inlineStr">
        <is>
          <t>UK14-S01-R2</t>
        </is>
      </c>
      <c r="B958" s="77" t="inlineStr">
        <is>
          <t>UK14</t>
        </is>
      </c>
      <c r="C958" s="77" t="inlineStr">
        <is>
          <t>UK14-S01</t>
        </is>
      </c>
      <c r="D958" s="77" t="inlineStr">
        <is>
          <t>Civil Engineering MEng Level 7 group design exercise</t>
        </is>
      </c>
      <c r="E958" s="77" t="inlineStr">
        <is>
          <t>reach</t>
        </is>
      </c>
      <c r="F958" s="77" t="inlineStr">
        <is>
          <t>https://www.swansea.ac.uk/undergraduate/courses/engineering/civil-engineering/beng-civil-engineering-h200/</t>
        </is>
      </c>
      <c r="G958" s="77" t="inlineStr">
        <is>
          <t>Civil Engineering, BEng (Hons) - Swansea University</t>
        </is>
      </c>
      <c r="H958" s="77" t="inlineStr">
        <is>
          <t>Course page (possible alternate source of the same text)</t>
        </is>
      </c>
      <c r="I958" s="77" t="inlineStr">
        <is>
          <t>undated</t>
        </is>
      </c>
      <c r="J958" s="77" t="inlineStr">
        <is>
          <t>2026-10-12</t>
        </is>
      </c>
      <c r="K958" s="77" t="inlineStr">
        <is>
          <t>search-summary paraphrase</t>
        </is>
      </c>
      <c r="L958" s="77" t="inlineStr">
        <is>
          <t>Returned in the same search; the summary did not clearly tie the extract to this URL rather than [1].</t>
        </is>
      </c>
    </row>
    <row r="959">
      <c r="A959" s="77" t="inlineStr">
        <is>
          <t>UK14-S02-R1</t>
        </is>
      </c>
      <c r="B959" s="77" t="inlineStr">
        <is>
          <t>UK14</t>
        </is>
      </c>
      <c r="C959" s="77" t="inlineStr">
        <is>
          <t>UK14-S02</t>
        </is>
      </c>
      <c r="D959" s="77" t="inlineStr">
        <is>
          <t>Civil Engineering BEng Level 6 design project</t>
        </is>
      </c>
      <c r="E959" s="77" t="inlineStr">
        <is>
          <t>project; employer</t>
        </is>
      </c>
      <c r="F959" s="77" t="inlineStr">
        <is>
          <t>https://www.swansea.ac.uk/undergraduate/courses/aerospace-civil-electrical-mechanical-engineering/civil-engineering/beng-civil-engineering/</t>
        </is>
      </c>
      <c r="G959" s="77" t="inlineStr">
        <is>
          <t>Civil Engineering, BEng (Hons) / MEng (Hons) - Swansea University</t>
        </is>
      </c>
      <c r="H959" s="77" t="inlineStr">
        <is>
          <t>Course structure, Level 6</t>
        </is>
      </c>
      <c r="I959" s="77" t="inlineStr">
        <is>
          <t>undated</t>
        </is>
      </c>
      <c r="J959" s="77" t="inlineStr">
        <is>
          <t>2026-10-12</t>
        </is>
      </c>
      <c r="K959" s="77" t="inlineStr">
        <is>
          <t>search-summary paraphrase</t>
        </is>
      </c>
      <c r="L959" s="77" t="inlineStr">
        <is>
          <t>'The design project brings this knowledge together with a task set by engineers currently working in industry. You will also undertake an individual project linked with the expertise of the department.'</t>
        </is>
      </c>
    </row>
    <row r="960">
      <c r="A960" s="77" t="inlineStr">
        <is>
          <t>UK14-S03-R1</t>
        </is>
      </c>
      <c r="B960" s="77" t="inlineStr">
        <is>
          <t>UK14</t>
        </is>
      </c>
      <c r="C960" s="77" t="inlineStr">
        <is>
          <t>UK14-S03</t>
        </is>
      </c>
      <c r="D960" s="77" t="inlineStr">
        <is>
          <t>Business Consultancy Project (BSc Economics and Business)</t>
        </is>
      </c>
      <c r="E960" s="77" t="inlineStr">
        <is>
          <t>project; employer</t>
        </is>
      </c>
      <c r="F960" s="77" t="inlineStr">
        <is>
          <t>https://www.swansea.ac.uk/undergraduate/courses/social-sciences/economics/bsc-economics-business/</t>
        </is>
      </c>
      <c r="G960" s="77" t="inlineStr">
        <is>
          <t>Economics and Business, BSc (Hons) - Swansea University</t>
        </is>
      </c>
      <c r="H960" s="77" t="inlineStr">
        <is>
          <t>Course overview</t>
        </is>
      </c>
      <c r="I960" s="77" t="inlineStr">
        <is>
          <t>undated</t>
        </is>
      </c>
      <c r="J960" s="77" t="inlineStr">
        <is>
          <t>2026-10-12</t>
        </is>
      </c>
      <c r="K960" s="77" t="inlineStr">
        <is>
          <t>search-index extract (quoted)</t>
        </is>
      </c>
      <c r="L960" s="77" t="inlineStr">
        <is>
          <t>'Business Consultancy Project, where you will apply your skills to a live client real-world challenge.'</t>
        </is>
      </c>
    </row>
    <row r="961">
      <c r="A961" s="77" t="inlineStr">
        <is>
          <t>UK14-S04-R1</t>
        </is>
      </c>
      <c r="B961" s="77" t="inlineStr">
        <is>
          <t>UK14</t>
        </is>
      </c>
      <c r="C961" s="77" t="inlineStr">
        <is>
          <t>UK14-S04</t>
        </is>
      </c>
      <c r="D961" s="77" t="inlineStr">
        <is>
          <t>Marketing consultancy project (BSc Marketing final-year pathway)</t>
        </is>
      </c>
      <c r="E961" s="77" t="inlineStr">
        <is>
          <t>project; participation</t>
        </is>
      </c>
      <c r="F961" s="77" t="inlineStr">
        <is>
          <t>https://www.swansea.ac.uk/undergraduate/courses/som/marketing/bsc-marketing/</t>
        </is>
      </c>
      <c r="G961" s="77" t="inlineStr">
        <is>
          <t>Marketing, BSc (Hons) - Swansea University</t>
        </is>
      </c>
      <c r="H961" s="77" t="inlineStr">
        <is>
          <t>Final year pathways</t>
        </is>
      </c>
      <c r="I961" s="77" t="inlineStr">
        <is>
          <t>undated</t>
        </is>
      </c>
      <c r="J961" s="77" t="inlineStr">
        <is>
          <t>2026-10-12</t>
        </is>
      </c>
      <c r="K961" s="77" t="inlineStr">
        <is>
          <t>search-index extract (quoted)</t>
        </is>
      </c>
      <c r="L961" s="77" t="inlineStr">
        <is>
          <t>'Flexible final year pathways, that allow you to choose between a traditional dissertation, a Welsh-medium dissertation, or a marketing consultancy project'</t>
        </is>
      </c>
    </row>
    <row r="962">
      <c r="A962" s="77" t="inlineStr">
        <is>
          <t>UK14-S05-R1</t>
        </is>
      </c>
      <c r="B962" s="77" t="inlineStr">
        <is>
          <t>UK14</t>
        </is>
      </c>
      <c r="C962" s="77" t="inlineStr">
        <is>
          <t>UK14-S05</t>
        </is>
      </c>
      <c r="D962" s="77" t="inlineStr">
        <is>
          <t>MSc Project Management live project collaborations</t>
        </is>
      </c>
      <c r="E962" s="77" t="inlineStr">
        <is>
          <t>project; group; employer</t>
        </is>
      </c>
      <c r="F962" s="77" t="inlineStr">
        <is>
          <t>https://www.swansea.ac.uk/postgraduate/taught/som/business-management/msc-project-management/</t>
        </is>
      </c>
      <c r="G962" s="77" t="inlineStr">
        <is>
          <t>Project Management, MSc - Swansea University</t>
        </is>
      </c>
      <c r="H962" s="77" t="inlineStr">
        <is>
          <t>Course overview</t>
        </is>
      </c>
      <c r="I962" s="77" t="inlineStr">
        <is>
          <t>undated</t>
        </is>
      </c>
      <c r="J962" s="77" t="inlineStr">
        <is>
          <t>2026-10-12</t>
        </is>
      </c>
      <c r="K962" s="77" t="inlineStr">
        <is>
          <t>search-summary paraphrase</t>
        </is>
      </c>
      <c r="L962" s="77" t="inlineStr">
        <is>
          <t>'live project collaborations, and dissertation partnerships with organisations such as Tata Steel, Siemens, the NHS'; students join project teams and take on live project challenges.</t>
        </is>
      </c>
    </row>
    <row r="963">
      <c r="A963" s="77" t="inlineStr">
        <is>
          <t>UK14-S06-R1</t>
        </is>
      </c>
      <c r="B963" s="77" t="inlineStr">
        <is>
          <t>UK14</t>
        </is>
      </c>
      <c r="C963" s="77" t="inlineStr">
        <is>
          <t>UK14-S06</t>
        </is>
      </c>
      <c r="D963" s="77" t="inlineStr">
        <is>
          <t>Student Enterprise hackathon (Swansea City Football Club challenge)</t>
        </is>
      </c>
      <c r="E963" s="77" t="inlineStr">
        <is>
          <t>employer; reach</t>
        </is>
      </c>
      <c r="F963" s="77" t="inlineStr">
        <is>
          <t>https://hwb.swansea.ac.uk/employability-enterprise/student-enterprise/</t>
        </is>
      </c>
      <c r="G963" s="77" t="inlineStr">
        <is>
          <t>Student Enterprise - Swansea University</t>
        </is>
      </c>
      <c r="H963" s="77" t="inlineStr">
        <is>
          <t>Hackathons</t>
        </is>
      </c>
      <c r="I963" s="77" t="inlineStr">
        <is>
          <t>undated</t>
        </is>
      </c>
      <c r="J963" s="77" t="inlineStr">
        <is>
          <t>2026-10-12</t>
        </is>
      </c>
      <c r="K963" s="77" t="inlineStr">
        <is>
          <t>search-index extract (quoted)</t>
        </is>
      </c>
      <c r="L963" s="77" t="inlineStr">
        <is>
          <t>'Students from across all faculties ... gained experience working on a real-life commercial challenge and as a result developed over 12 commercial ideas to support Swansea City Football club'</t>
        </is>
      </c>
    </row>
    <row r="964">
      <c r="A964" s="77" t="inlineStr">
        <is>
          <t>UK15-S01-R1</t>
        </is>
      </c>
      <c r="B964" s="77" t="inlineStr">
        <is>
          <t>UK15</t>
        </is>
      </c>
      <c r="C964" s="77" t="inlineStr">
        <is>
          <t>UK15-S01</t>
        </is>
      </c>
      <c r="D964" s="77" t="inlineStr">
        <is>
          <t>iTeams (Essex Startups)</t>
        </is>
      </c>
      <c r="E964" s="77" t="inlineStr">
        <is>
          <t>project; group; employer; eligibility; status</t>
        </is>
      </c>
      <c r="F964" s="77" t="inlineStr">
        <is>
          <t>https://www.essex.ac.uk/events/2025/02/04/iteams-2025</t>
        </is>
      </c>
      <c r="G964" s="77" t="inlineStr">
        <is>
          <t>iTeams 2025</t>
        </is>
      </c>
      <c r="H964" s="77" t="inlineStr">
        <is>
          <t>Event page</t>
        </is>
      </c>
      <c r="I964" s="77" t="inlineStr">
        <is>
          <t>2025</t>
        </is>
      </c>
      <c r="J964" s="77" t="inlineStr">
        <is>
          <t>2026-10-12</t>
        </is>
      </c>
      <c r="K964" s="77" t="inlineStr">
        <is>
          <t>search-summary paraphrase</t>
        </is>
      </c>
      <c r="L964" s="77" t="inlineStr">
        <is>
          <t>Three businesses deliver three challenges to six student teams made up of several students across different faculties; each team has an industry expert mentor; teams create a report and presentation for the challenge host; application deadline 31 Jan 2025.</t>
        </is>
      </c>
    </row>
    <row r="965">
      <c r="A965" s="77" t="inlineStr">
        <is>
          <t>UK15-S01-R2</t>
        </is>
      </c>
      <c r="B965" s="77" t="inlineStr">
        <is>
          <t>UK15</t>
        </is>
      </c>
      <c r="C965" s="77" t="inlineStr">
        <is>
          <t>UK15-S01</t>
        </is>
      </c>
      <c r="D965" s="77" t="inlineStr">
        <is>
          <t>iTeams (Essex Startups)</t>
        </is>
      </c>
      <c r="E965" s="77" t="inlineStr">
        <is>
          <t>group; employer; duration</t>
        </is>
      </c>
      <c r="F965" s="77" t="inlineStr">
        <is>
          <t>https://www.essex.ac.uk/events/2024/02/06/iteams</t>
        </is>
      </c>
      <c r="G965" s="77" t="inlineStr">
        <is>
          <t>iTeams 2024</t>
        </is>
      </c>
      <c r="H965" s="77" t="inlineStr">
        <is>
          <t>Event page</t>
        </is>
      </c>
      <c r="I965" s="77" t="inlineStr">
        <is>
          <t>2024</t>
        </is>
      </c>
      <c r="J965" s="77" t="inlineStr">
        <is>
          <t>2026-10-12</t>
        </is>
      </c>
      <c r="K965" s="77" t="inlineStr">
        <is>
          <t>search-summary paraphrase</t>
        </is>
      </c>
      <c r="L965" s="77" t="inlineStr">
        <is>
          <t>7-week programme; three businesses, six student teams; final presentation to expert panel.</t>
        </is>
      </c>
    </row>
    <row r="966">
      <c r="A966" s="77" t="inlineStr">
        <is>
          <t>UK15-S01-R3</t>
        </is>
      </c>
      <c r="B966" s="77" t="inlineStr">
        <is>
          <t>UK15</t>
        </is>
      </c>
      <c r="C966" s="77" t="inlineStr">
        <is>
          <t>UK15-S01</t>
        </is>
      </c>
      <c r="D966" s="77" t="inlineStr">
        <is>
          <t>iTeams (Essex Startups)</t>
        </is>
      </c>
      <c r="E966" s="77" t="inlineStr">
        <is>
          <t>duration</t>
        </is>
      </c>
      <c r="F966" s="77" t="inlineStr">
        <is>
          <t>https://www.essex.ac.uk/events/2022/01/26/essex-startups-iteams</t>
        </is>
      </c>
      <c r="G966" s="77" t="inlineStr">
        <is>
          <t>Essex Startups: iTeams</t>
        </is>
      </c>
      <c r="H966" s="77" t="inlineStr">
        <is>
          <t>Event page</t>
        </is>
      </c>
      <c r="I966" s="77" t="inlineStr">
        <is>
          <t>2022</t>
        </is>
      </c>
      <c r="J966" s="77" t="inlineStr">
        <is>
          <t>2026-10-12</t>
        </is>
      </c>
      <c r="K966" s="77" t="inlineStr">
        <is>
          <t>search-summary paraphrase</t>
        </is>
      </c>
      <c r="L966" s="77" t="inlineStr">
        <is>
          <t>8-week programme; first place £500 per team member.</t>
        </is>
      </c>
    </row>
    <row r="967">
      <c r="A967" s="77" t="inlineStr">
        <is>
          <t>UK15-S02-R1</t>
        </is>
      </c>
      <c r="B967" s="77" t="inlineStr">
        <is>
          <t>UK15</t>
        </is>
      </c>
      <c r="C967" s="77" t="inlineStr">
        <is>
          <t>UK15-S02</t>
        </is>
      </c>
      <c r="D967" s="77" t="inlineStr">
        <is>
          <t>Cyber Innovate to Elevate (bespoke iTeams programme)</t>
        </is>
      </c>
      <c r="E967" s="77" t="inlineStr">
        <is>
          <t>employer; status; duration</t>
        </is>
      </c>
      <c r="F967" s="77" t="inlineStr">
        <is>
          <t>https://www.essex.ac.uk/business/services/funding-opportunities/cyber-innovate-to-elevate</t>
        </is>
      </c>
      <c r="G967" s="77" t="inlineStr">
        <is>
          <t>Cyber Innovate to Elevate</t>
        </is>
      </c>
      <c r="H967" s="77" t="inlineStr">
        <is>
          <t>Funding opportunities page</t>
        </is>
      </c>
      <c r="I967" s="77" t="inlineStr">
        <is>
          <t>undated</t>
        </is>
      </c>
      <c r="J967" s="77" t="inlineStr">
        <is>
          <t>2026-10-12</t>
        </is>
      </c>
      <c r="K967" s="77" t="inlineStr">
        <is>
          <t>search-summary paraphrase</t>
        </is>
      </c>
      <c r="L967" s="77" t="inlineStr">
        <is>
          <t>Runs as part of bespoke iTeams programme where students work directly with SMEs on cybersecurity strategies; projects due to finish by 28 February 2026.</t>
        </is>
      </c>
    </row>
    <row r="968">
      <c r="A968" s="77" t="inlineStr">
        <is>
          <t>UK15-S02-R2</t>
        </is>
      </c>
      <c r="B968" s="77" t="inlineStr">
        <is>
          <t>UK15</t>
        </is>
      </c>
      <c r="C968" s="77" t="inlineStr">
        <is>
          <t>UK15-S02</t>
        </is>
      </c>
      <c r="D968" s="77" t="inlineStr">
        <is>
          <t>Cyber Innovate to Elevate (bespoke iTeams programme)</t>
        </is>
      </c>
      <c r="E968" s="77" t="inlineStr">
        <is>
          <t>employer; status; duration</t>
        </is>
      </c>
      <c r="F968" s="77" t="inlineStr">
        <is>
          <t>https://www.essex.ac.uk/news/2025/12/17/new-cybersecurity-programme-proves-big-hit-with-businesses</t>
        </is>
      </c>
      <c r="G968" s="77" t="inlineStr">
        <is>
          <t>Cybersecurity programme proves big hit with businesses</t>
        </is>
      </c>
      <c r="H968" s="77" t="inlineStr">
        <is>
          <t>News</t>
        </is>
      </c>
      <c r="I968" s="77" t="inlineStr">
        <is>
          <t>2025</t>
        </is>
      </c>
      <c r="J968" s="77" t="inlineStr">
        <is>
          <t>2026-10-12</t>
        </is>
      </c>
      <c r="K968" s="77" t="inlineStr">
        <is>
          <t>search-summary paraphrase</t>
        </is>
      </c>
      <c r="L968" s="77" t="inlineStr">
        <is>
          <t>Six-week 'iTeams' innovation challenge connecting SMEs with MSc and PhD students.</t>
        </is>
      </c>
    </row>
    <row r="969">
      <c r="A969" s="77" t="inlineStr">
        <is>
          <t>UK15-S03-R1</t>
        </is>
      </c>
      <c r="B969" s="77" t="inlineStr">
        <is>
          <t>UK15</t>
        </is>
      </c>
      <c r="C969" s="77" t="inlineStr">
        <is>
          <t>UK15-S03</t>
        </is>
      </c>
      <c r="D969" s="77" t="inlineStr">
        <is>
          <t>Marketing Management consultancy project (BSc Marketing Management and related degrees)</t>
        </is>
      </c>
      <c r="E969" s="77" t="inlineStr">
        <is>
          <t>project; employer; credit; reach</t>
        </is>
      </c>
      <c r="F969" s="77" t="inlineStr">
        <is>
          <t>https://www.essex.ac.uk/courses/ug00256/1/bsc-management-and-marketing</t>
        </is>
      </c>
      <c r="G969" s="77" t="inlineStr">
        <is>
          <t>BSc (Hons) Marketing Management</t>
        </is>
      </c>
      <c r="H969" s="77" t="inlineStr">
        <is>
          <t>Course structure</t>
        </is>
      </c>
      <c r="I969" s="77" t="inlineStr">
        <is>
          <t>undated (2026 start referenced for related Integrated Master page)</t>
        </is>
      </c>
      <c r="J969" s="77" t="inlineStr">
        <is>
          <t>2026-10-12</t>
        </is>
      </c>
      <c r="K969" s="77" t="inlineStr">
        <is>
          <t>search-summary paraphrase</t>
        </is>
      </c>
      <c r="L969" s="77" t="inlineStr">
        <is>
          <t>Marketing Management (15 credits): you undertake a consultancy project for a real-world business in response to a marketing brief.</t>
        </is>
      </c>
    </row>
    <row r="970">
      <c r="A970" s="77" t="inlineStr">
        <is>
          <t>UK15-S04-R1</t>
        </is>
      </c>
      <c r="B970" s="77" t="inlineStr">
        <is>
          <t>UK15</t>
        </is>
      </c>
      <c r="C970" s="77" t="inlineStr">
        <is>
          <t>UK15-S04</t>
        </is>
      </c>
      <c r="D970" s="77" t="inlineStr">
        <is>
          <t>Work-based learning live employer projects (Industry and Placements team)</t>
        </is>
      </c>
      <c r="E970" s="77" t="inlineStr">
        <is>
          <t>project; employer</t>
        </is>
      </c>
      <c r="F970" s="77" t="inlineStr">
        <is>
          <t>https://www.essex.ac.uk/staff/academic-standards-and-quality/work-based-learning</t>
        </is>
      </c>
      <c r="G970" s="77" t="inlineStr">
        <is>
          <t>Work-based learning</t>
        </is>
      </c>
      <c r="H970" s="77" t="inlineStr">
        <is>
          <t>Staff guidance</t>
        </is>
      </c>
      <c r="I970" s="77" t="inlineStr">
        <is>
          <t>undated</t>
        </is>
      </c>
      <c r="J970" s="77" t="inlineStr">
        <is>
          <t>2026-10-12</t>
        </is>
      </c>
      <c r="K970" s="77" t="inlineStr">
        <is>
          <t>search-summary paraphrase</t>
        </is>
      </c>
      <c r="L970" s="77" t="inlineStr">
        <is>
          <t>WBL defined as learning through placements or live projects for an organisation or client that are part of the curriculum; team advises on year-long placements, short placements, PG professional placements and live employer projects.</t>
        </is>
      </c>
    </row>
    <row r="971">
      <c r="A971" s="77" t="inlineStr">
        <is>
          <t>UK15-S04-R2</t>
        </is>
      </c>
      <c r="B971" s="77" t="inlineStr">
        <is>
          <t>UK15</t>
        </is>
      </c>
      <c r="C971" s="77" t="inlineStr">
        <is>
          <t>UK15-S04</t>
        </is>
      </c>
      <c r="D971" s="77" t="inlineStr">
        <is>
          <t>Work-based learning live employer projects (Industry and Placements team)</t>
        </is>
      </c>
      <c r="E971" s="77" t="inlineStr">
        <is>
          <t>employer</t>
        </is>
      </c>
      <c r="F971" s="77" t="inlineStr">
        <is>
          <t>https://www.essex.ac.uk/business/recruit-our-students-and-graduates</t>
        </is>
      </c>
      <c r="G971" s="77" t="inlineStr">
        <is>
          <t>Engage with talent at Essex</t>
        </is>
      </c>
      <c r="H971" s="77" t="inlineStr">
        <is>
          <t>Employer page</t>
        </is>
      </c>
      <c r="I971" s="77" t="inlineStr">
        <is>
          <t>undated</t>
        </is>
      </c>
      <c r="J971" s="77" t="inlineStr">
        <is>
          <t>2026-10-12</t>
        </is>
      </c>
      <c r="K971" s="77" t="inlineStr">
        <is>
          <t>search-summary paraphrase</t>
        </is>
      </c>
      <c r="L971" s="77" t="inlineStr">
        <is>
          <t>Employers can collaborate with students through employer-led projects, from undergraduate projects to Essex MBA business challenges; contact industryengagement@essex.ac.uk.</t>
        </is>
      </c>
    </row>
    <row r="972">
      <c r="A972" s="77" t="inlineStr">
        <is>
          <t>UK17-S01-R1</t>
        </is>
      </c>
      <c r="B972" s="77" t="inlineStr">
        <is>
          <t>UK17</t>
        </is>
      </c>
      <c r="C972" s="77" t="inlineStr">
        <is>
          <t>UK17-S01</t>
        </is>
      </c>
      <c r="D972" s="77" t="inlineStr">
        <is>
          <t>BBS Co-Innovate Collaborative Student Projects</t>
        </is>
      </c>
      <c r="E972" s="77" t="inlineStr">
        <is>
          <t>project; group; employer; reach</t>
        </is>
      </c>
      <c r="F972" s="77" t="inlineStr">
        <is>
          <t>https://www.brunel.ac.uk/about/business-school/why-study-at-brunel-business-school/co-innovate/BBS-Co-Innovate-Collaborative-Projects</t>
        </is>
      </c>
      <c r="G972" s="77" t="inlineStr">
        <is>
          <t>BBS Co-Innovate Collaborative Projects</t>
        </is>
      </c>
      <c r="H972" s="77" t="inlineStr">
        <is>
          <t>project description</t>
        </is>
      </c>
      <c r="I972" s="77" t="inlineStr">
        <is>
          <t>undated</t>
        </is>
      </c>
      <c r="J972" s="77" t="inlineStr">
        <is>
          <t>2026-10-12</t>
        </is>
      </c>
      <c r="K972" s="77" t="inlineStr">
        <is>
          <t>search-summary paraphrase</t>
        </is>
      </c>
      <c r="L972" s="77" t="inlineStr">
        <is>
          <t>Local businesses write a brief; students choose, submit CV/statement; contract signed between student, business and university; weekly student / monthly supervisor meetings; final report; 'individual or in a small team'.</t>
        </is>
      </c>
    </row>
    <row r="973">
      <c r="A973" s="77" t="inlineStr">
        <is>
          <t>UK17-S02-R1</t>
        </is>
      </c>
      <c r="B973" s="77" t="inlineStr">
        <is>
          <t>UK17</t>
        </is>
      </c>
      <c r="C973" s="77" t="inlineStr">
        <is>
          <t>UK17-S02</t>
        </is>
      </c>
      <c r="D973" s="77" t="inlineStr">
        <is>
          <t>BSc Business Management with Entrepreneurship: Issues and Controversies in Business and Management Project / Co-Innovate business project</t>
        </is>
      </c>
      <c r="E973" s="77" t="inlineStr">
        <is>
          <t>project; employer; credit; reach</t>
        </is>
      </c>
      <c r="F973" s="77" t="inlineStr">
        <is>
          <t>https://www.brunel.ac.uk/study/courses/business-management-with-entrepreneurship-bsc</t>
        </is>
      </c>
      <c r="G973" s="77" t="inlineStr">
        <is>
          <t>Business Management with Entrepreneurship BSc (Hons)</t>
        </is>
      </c>
      <c r="H973" s="77" t="inlineStr">
        <is>
          <t>final year modules</t>
        </is>
      </c>
      <c r="I973" s="77" t="inlineStr">
        <is>
          <t>undated</t>
        </is>
      </c>
      <c r="J973" s="77" t="inlineStr">
        <is>
          <t>2026-10-12</t>
        </is>
      </c>
      <c r="K973" s="77" t="inlineStr">
        <is>
          <t>search-summary paraphrase</t>
        </is>
      </c>
      <c r="L973" s="77" t="inlineStr">
        <is>
          <t>Final-year students can take a live business challenge for a London SME through Co-Innovate; strategic recommendations presented to the client's management team; final-year project can be an 8,000-word study or a Co-Innovate project (30 credits).</t>
        </is>
      </c>
    </row>
    <row r="974">
      <c r="A974" s="77" t="inlineStr">
        <is>
          <t>UK17-S03-R1</t>
        </is>
      </c>
      <c r="B974" s="77" t="inlineStr">
        <is>
          <t>UK17</t>
        </is>
      </c>
      <c r="C974" s="77" t="inlineStr">
        <is>
          <t>UK17-S03</t>
        </is>
      </c>
      <c r="D974" s="77" t="inlineStr">
        <is>
          <t>MSc Project Management: Project Consultancy and Risk Management</t>
        </is>
      </c>
      <c r="E974" s="77" t="inlineStr">
        <is>
          <t>project; employer; participation</t>
        </is>
      </c>
      <c r="F974" s="77" t="inlineStr">
        <is>
          <t>https://www.brunel.ac.uk/study/courses/project-management-msc</t>
        </is>
      </c>
      <c r="G974" s="77" t="inlineStr">
        <is>
          <t>Project Management MSc</t>
        </is>
      </c>
      <c r="H974" s="77" t="inlineStr">
        <is>
          <t>modules</t>
        </is>
      </c>
      <c r="I974" s="77" t="inlineStr">
        <is>
          <t>undated</t>
        </is>
      </c>
      <c r="J974" s="77" t="inlineStr">
        <is>
          <t>2026-10-12</t>
        </is>
      </c>
      <c r="K974" s="77" t="inlineStr">
        <is>
          <t>search-summary paraphrase</t>
        </is>
      </c>
      <c r="L974" s="77" t="inlineStr">
        <is>
          <t>Compulsory module Project Consultancy and Risk Management; assessment includes live consultancy projects and case study analyses.</t>
        </is>
      </c>
    </row>
    <row r="975">
      <c r="A975" s="77" t="inlineStr">
        <is>
          <t>UK17-S04-R1</t>
        </is>
      </c>
      <c r="B975" s="77" t="inlineStr">
        <is>
          <t>UK17</t>
        </is>
      </c>
      <c r="C975" s="77" t="inlineStr">
        <is>
          <t>UK17-S04</t>
        </is>
      </c>
      <c r="D975" s="77" t="inlineStr">
        <is>
          <t>Design+ (Brunel Design School) industry final-year projects / live briefs</t>
        </is>
      </c>
      <c r="E975" s="77" t="inlineStr">
        <is>
          <t>project; employer</t>
        </is>
      </c>
      <c r="F975" s="77" t="inlineStr">
        <is>
          <t>https://www.brunel.ac.uk/brunel-design-school/design-plus/design-plus</t>
        </is>
      </c>
      <c r="G975" s="77" t="inlineStr">
        <is>
          <t>Design Plus</t>
        </is>
      </c>
      <c r="H975" s="77" t="inlineStr">
        <is>
          <t>overview</t>
        </is>
      </c>
      <c r="I975" s="77" t="inlineStr">
        <is>
          <t>undated</t>
        </is>
      </c>
      <c r="J975" s="77" t="inlineStr">
        <is>
          <t>2026-10-12</t>
        </is>
      </c>
      <c r="K975" s="77" t="inlineStr">
        <is>
          <t>search-summary paraphrase</t>
        </is>
      </c>
      <c r="L975" s="77" t="inlineStr">
        <is>
          <t>Enables businesses to collaborate with researchers or work with students on their Final Year Project; named partners Brompton Bikes, Hornby, BT, JLR.</t>
        </is>
      </c>
    </row>
    <row r="976">
      <c r="A976" s="77" t="inlineStr">
        <is>
          <t>UK17-S05-R1</t>
        </is>
      </c>
      <c r="B976" s="77" t="inlineStr">
        <is>
          <t>UK17</t>
        </is>
      </c>
      <c r="C976" s="77" t="inlineStr">
        <is>
          <t>UK17-S05</t>
        </is>
      </c>
      <c r="D976" s="77" t="inlineStr">
        <is>
          <t>Global Challenges BASc: Enterprise Project</t>
        </is>
      </c>
      <c r="E976" s="77" t="inlineStr">
        <is>
          <t>project; group; employer; duration</t>
        </is>
      </c>
      <c r="F976" s="77" t="inlineStr">
        <is>
          <t>https://www.brunel.ac.uk/study/courses/global-challenges-basc</t>
        </is>
      </c>
      <c r="G976" s="77" t="inlineStr">
        <is>
          <t>Global Challenges BASc (Hons)</t>
        </is>
      </c>
      <c r="H976" s="77" t="inlineStr">
        <is>
          <t>enterprise project</t>
        </is>
      </c>
      <c r="I976" s="77" t="inlineStr">
        <is>
          <t>undated</t>
        </is>
      </c>
      <c r="J976" s="77" t="inlineStr">
        <is>
          <t>2026-10-12</t>
        </is>
      </c>
      <c r="K976" s="77" t="inlineStr">
        <is>
          <t>search-summary paraphrase</t>
        </is>
      </c>
      <c r="L976" s="77" t="inlineStr">
        <is>
          <t>Third-year placement or group project over 8 weeks; group projects can be run with an NGO, policy organisation, think tank, government body or business.</t>
        </is>
      </c>
    </row>
    <row r="977">
      <c r="A977" s="77" t="inlineStr">
        <is>
          <t>UK17-S06-R1</t>
        </is>
      </c>
      <c r="B977" s="77" t="inlineStr">
        <is>
          <t>UK17</t>
        </is>
      </c>
      <c r="C977" s="77" t="inlineStr">
        <is>
          <t>UK17-S06</t>
        </is>
      </c>
      <c r="D977" s="77" t="inlineStr">
        <is>
          <t>Enterprise Mobility Challenge</t>
        </is>
      </c>
      <c r="E977" s="77" t="inlineStr">
        <is>
          <t>employer; duration; status</t>
        </is>
      </c>
      <c r="F977" s="77" t="inlineStr">
        <is>
          <t>https://students.brunel.ac.uk/whats-on/enterprise-mobility-challenge-launch</t>
        </is>
      </c>
      <c r="G977" s="77" t="inlineStr">
        <is>
          <t>Enterprise Mobility Challenge Launch</t>
        </is>
      </c>
      <c r="H977" s="77" t="inlineStr">
        <is>
          <t>event</t>
        </is>
      </c>
      <c r="I977" s="77" t="inlineStr">
        <is>
          <t>2025</t>
        </is>
      </c>
      <c r="J977" s="77" t="inlineStr">
        <is>
          <t>2026-10-12</t>
        </is>
      </c>
      <c r="K977" s="77" t="inlineStr">
        <is>
          <t>search-summary paraphrase</t>
        </is>
      </c>
      <c r="L977" s="77" t="inlineStr">
        <is>
          <t>2 week design challenge letting students collaborate with Enterprise to build industry experience.</t>
        </is>
      </c>
    </row>
    <row r="978">
      <c r="A978" s="77" t="inlineStr">
        <is>
          <t>UK17-S07-R1</t>
        </is>
      </c>
      <c r="B978" s="77" t="inlineStr">
        <is>
          <t>UK17</t>
        </is>
      </c>
      <c r="C978" s="77" t="inlineStr">
        <is>
          <t>UK17-S07</t>
        </is>
      </c>
      <c r="D978" s="77" t="inlineStr">
        <is>
          <t>MSc Integrated Product Design / Sustainability, Entrepreneurship and Design: studio projects with industry partners</t>
        </is>
      </c>
      <c r="E978" s="77" t="inlineStr">
        <is>
          <t>project; employer</t>
        </is>
      </c>
      <c r="F978" s="77" t="inlineStr">
        <is>
          <t>https://www.brunel.ac.uk/study/courses/sustainability-entrepreneurship-and-design-msc</t>
        </is>
      </c>
      <c r="G978" s="77" t="inlineStr">
        <is>
          <t>Sustainability, Entrepreneurship and Design MSc</t>
        </is>
      </c>
      <c r="H978" s="77" t="inlineStr">
        <is>
          <t>course overview</t>
        </is>
      </c>
      <c r="I978" s="77" t="inlineStr">
        <is>
          <t>undated</t>
        </is>
      </c>
      <c r="J978" s="77" t="inlineStr">
        <is>
          <t>2026-10-12</t>
        </is>
      </c>
      <c r="K978" s="77" t="inlineStr">
        <is>
          <t>search-summary paraphrase</t>
        </is>
      </c>
      <c r="L978" s="77" t="inlineStr">
        <is>
          <t>Studio design projects include both academic and live projects offered by industry partners.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25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t>
        </is>
      </c>
      <c r="F126" s="77" t="inlineStr">
        <is>
          <t>https://sheffield.ac.uk/architecture-landscape/march/live-projects; https://sheffield.ac.uk/postgraduate/taught/courses/2026/architecture-march; https://sheffield.ac.uk/law/pro-bono/sheffield-digital-justice</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Not searched</t>
        </is>
      </c>
      <c r="E142" s="77" t="inlineStr"/>
      <c r="F142" s="77" t="inlineStr"/>
      <c r="G142" s="77" t="inlineStr">
        <is>
          <t>Not searched: session web-search budget exhausted.</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t>
        </is>
      </c>
      <c r="F143" s="77" t="inlineStr">
        <is>
          <t>https://courses.warwick.ac.uk/modules/2021/GD903-60; https://courses.warwick.ac.uk/modules/2024/LP916-15</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Not searched</t>
        </is>
      </c>
      <c r="E144" s="77" t="inlineStr"/>
      <c r="F144" s="77" t="inlineStr"/>
      <c r="G144" s="77" t="inlineStr">
        <is>
          <t>Law, medicine, health not searched: session web-search budget exhausted.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AU02</t>
        </is>
      </c>
      <c r="B151" s="77" t="inlineStr">
        <is>
          <t>Melbourne</t>
        </is>
      </c>
      <c r="C151" s="77" t="inlineStr">
        <is>
          <t>Central provision</t>
        </is>
      </c>
      <c r="D151" s="77" t="inlineStr">
        <is>
          <t>Searched</t>
        </is>
      </c>
      <c r="E151"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1"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1"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2">
      <c r="A152" s="77" t="inlineStr">
        <is>
          <t>AU02</t>
        </is>
      </c>
      <c r="B152" s="77" t="inlineStr">
        <is>
          <t>Melbourne</t>
        </is>
      </c>
      <c r="C152" s="77" t="inlineStr">
        <is>
          <t>Business/management</t>
        </is>
      </c>
      <c r="D152" s="77" t="inlineStr">
        <is>
          <t>Searched</t>
        </is>
      </c>
      <c r="E152"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2"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2"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3">
      <c r="A153" s="77" t="inlineStr">
        <is>
          <t>AU02</t>
        </is>
      </c>
      <c r="B153" s="77" t="inlineStr">
        <is>
          <t>Melbourne</t>
        </is>
      </c>
      <c r="C153" s="77" t="inlineStr">
        <is>
          <t>Engineering/computing</t>
        </is>
      </c>
      <c r="D153" s="77" t="inlineStr">
        <is>
          <t>Searched</t>
        </is>
      </c>
      <c r="E153"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3"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3"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54">
      <c r="A154" s="77" t="inlineStr">
        <is>
          <t>AU02</t>
        </is>
      </c>
      <c r="B154" s="77" t="inlineStr">
        <is>
          <t>Melbourne</t>
        </is>
      </c>
      <c r="C154" s="77" t="inlineStr">
        <is>
          <t>Science</t>
        </is>
      </c>
      <c r="D154" s="77" t="inlineStr">
        <is>
          <t>Searched</t>
        </is>
      </c>
      <c r="E154"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54"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54"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55">
      <c r="A155" s="77" t="inlineStr">
        <is>
          <t>AU02</t>
        </is>
      </c>
      <c r="B155" s="77" t="inlineStr">
        <is>
          <t>Melbourne</t>
        </is>
      </c>
      <c r="C155" s="77" t="inlineStr">
        <is>
          <t>Arts/humanities/social sciences</t>
        </is>
      </c>
      <c r="D155" s="77" t="inlineStr">
        <is>
          <t>Searched</t>
        </is>
      </c>
      <c r="E155"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55"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55"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56">
      <c r="A156" s="77" t="inlineStr">
        <is>
          <t>AU02</t>
        </is>
      </c>
      <c r="B156" s="77" t="inlineStr">
        <is>
          <t>Melbourne</t>
        </is>
      </c>
      <c r="C156" s="77" t="inlineStr">
        <is>
          <t>Other (law, health, design, architecture…)</t>
        </is>
      </c>
      <c r="D156" s="77" t="inlineStr">
        <is>
          <t>Searched</t>
        </is>
      </c>
      <c r="E156"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56"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56"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57">
      <c r="A157" s="77" t="inlineStr">
        <is>
          <t>AU03</t>
        </is>
      </c>
      <c r="B157" s="77" t="inlineStr">
        <is>
          <t>Sydney</t>
        </is>
      </c>
      <c r="C157" s="77" t="inlineStr">
        <is>
          <t>Central provision</t>
        </is>
      </c>
      <c r="D157" s="77" t="inlineStr">
        <is>
          <t>Searched</t>
        </is>
      </c>
      <c r="E157"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57"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57" s="77" t="inlineStr">
        <is>
          <t>University-wide ICPU framework (3000 and 4000 level) with partner-set briefs and interdisciplinary teams, current into 2026/27.</t>
        </is>
      </c>
    </row>
    <row r="158">
      <c r="A158" s="77" t="inlineStr">
        <is>
          <t>AU03</t>
        </is>
      </c>
      <c r="B158" s="77" t="inlineStr">
        <is>
          <t>Sydney</t>
        </is>
      </c>
      <c r="C158" s="77" t="inlineStr">
        <is>
          <t>Business/management</t>
        </is>
      </c>
      <c r="D158" s="77" t="inlineStr">
        <is>
          <t>Searched</t>
        </is>
      </c>
      <c r="E158"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58" s="77" t="inlineStr">
        <is>
          <t>https://www.sydney.edu.au/students/business-placements/business-consulting-practicum.html; https://www.sydney.edu.au/units/BWIL6300; https://www.sydney.edu.au/units/SIEN6600; https://www.sydney.edu.au/units/MMGT6101</t>
        </is>
      </c>
      <c r="G158" s="77" t="inlineStr">
        <is>
          <t>Business Consulting Practicum (UG and PG) qualifies with 2026 offerings; MMGT6101 group partner project (status unclear); SIEN6600 and BIS capstone partner projects with group format unverified.</t>
        </is>
      </c>
    </row>
    <row r="159">
      <c r="A159" s="77" t="inlineStr">
        <is>
          <t>AU03</t>
        </is>
      </c>
      <c r="B159" s="77" t="inlineStr">
        <is>
          <t>Sydney</t>
        </is>
      </c>
      <c r="C159" s="77" t="inlineStr">
        <is>
          <t>Engineering/computing</t>
        </is>
      </c>
      <c r="D159" s="77" t="inlineStr">
        <is>
          <t>Searched</t>
        </is>
      </c>
      <c r="E159" s="77" t="inlineStr">
        <is>
          <t>COMP3888 Computer Science Capstone Project teams industry client 2026; Jacaranda Flame Consulting engineering students teams client projects; Jacaranda Flame Consulting 2025 OR 2026 applications winter summer</t>
        </is>
      </c>
      <c r="F159" s="77" t="inlineStr">
        <is>
          <t>https://www.sydney.edu.au/units/COMP3888; https://www.sydney.edu.au/engineering/study/student-experience/industry-placements-and-internships/jacaranda-flame-consulting.html</t>
        </is>
      </c>
      <c r="G159" s="77" t="inlineStr">
        <is>
          <t>COMP3888 group external-client capstone (2026); Jacaranda Flame Consulting extracurricular engineering client teams (status undated). Engineering discipline capstones not searched (budget).</t>
        </is>
      </c>
    </row>
    <row r="160">
      <c r="A160" s="77" t="inlineStr">
        <is>
          <t>AU03</t>
        </is>
      </c>
      <c r="B160" s="77" t="inlineStr">
        <is>
          <t>Sydney</t>
        </is>
      </c>
      <c r="C160" s="77" t="inlineStr">
        <is>
          <t>Science</t>
        </is>
      </c>
      <c r="D160" s="77" t="inlineStr">
        <is>
          <t>Searched</t>
        </is>
      </c>
      <c r="E160" s="77" t="inlineStr">
        <is>
          <t>DATA3888 data science capstone groups industry partner; SCPU3001 Industry and Community Science Project</t>
        </is>
      </c>
      <c r="F160" s="77" t="inlineStr">
        <is>
          <t>https://www.sydney.edu.au/units/DATA3888; https://www.sydney.edu.au/units/SCPU3001; https://www.sydney.edu.au/units/SCPU4001</t>
        </is>
      </c>
      <c r="G160" s="77" t="inlineStr">
        <is>
          <t>Science routes run through ICPU shell units (SCPU3001 now mainly for double majors; SCPU4001/4002). DATA3888 has teams but no external partner evidenced. Discipline XXXX3888 units only lightly covered (one search).</t>
        </is>
      </c>
    </row>
    <row r="161">
      <c r="A161" s="77" t="inlineStr">
        <is>
          <t>AU03</t>
        </is>
      </c>
      <c r="B161" s="77" t="inlineStr">
        <is>
          <t>Sydney</t>
        </is>
      </c>
      <c r="C161" s="77" t="inlineStr">
        <is>
          <t>Arts/humanities/social sciences</t>
        </is>
      </c>
      <c r="D161" s="77" t="inlineStr">
        <is>
          <t>Searched</t>
        </is>
      </c>
      <c r="E161" s="77" t="inlineStr">
        <is>
          <t>Arts and Social Sciences engage with our students partner project teams postgraduate capstone client; Sydney Policy Reform Project students teams research paper partner organisation 2026 (refused: search budget exhausted)</t>
        </is>
      </c>
      <c r="F161" s="77" t="inlineStr">
        <is>
          <t>https://www.sydney.edu.au/arts/industry-and-community/industry-partnerships/engage-with-our-students.html</t>
        </is>
      </c>
      <c r="G161" s="77" t="inlineStr">
        <is>
          <t>FASS routes are mainly ICPU shell units (FASS3333, FASS4902, GOVT3898); PG capstones found were individual internships/projects. Sydney Policy Reform Project untested.</t>
        </is>
      </c>
    </row>
    <row r="162">
      <c r="A162" s="77" t="inlineStr">
        <is>
          <t>AU03</t>
        </is>
      </c>
      <c r="B162" s="77" t="inlineStr">
        <is>
          <t>Sydney</t>
        </is>
      </c>
      <c r="C162" s="77" t="inlineStr">
        <is>
          <t>Other (law, health, design, architecture…)</t>
        </is>
      </c>
      <c r="D162" s="77" t="inlineStr">
        <is>
          <t>Not searched</t>
        </is>
      </c>
      <c r="E162" s="77" t="inlineStr"/>
      <c r="F162" s="77" t="inlineStr"/>
      <c r="G162" s="77" t="inlineStr">
        <is>
          <t>Not searched: shared web-search budget exhausted. Law, health, architecture/design appear only via ICPU shell units (FMHU4001, ARCH4108, PHAR4820).</t>
        </is>
      </c>
    </row>
    <row r="163">
      <c r="A163" s="77" t="inlineStr">
        <is>
          <t>AU06</t>
        </is>
      </c>
      <c r="B163" s="77" t="inlineStr">
        <is>
          <t>Queensland</t>
        </is>
      </c>
      <c r="C163" s="77" t="inlineStr">
        <is>
          <t>Central provision</t>
        </is>
      </c>
      <c r="D163" s="77" t="inlineStr">
        <is>
          <t>Searched</t>
        </is>
      </c>
      <c r="E163"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63" s="77" t="inlineStr">
        <is>
          <t>https://ventures.uq.edu.au/industry-challenge; https://employability.uq.edu.au/practera-saiep-industry-experience-projects</t>
        </is>
      </c>
      <c r="G163"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64">
      <c r="A164" s="77" t="inlineStr">
        <is>
          <t>AU06</t>
        </is>
      </c>
      <c r="B164" s="77" t="inlineStr">
        <is>
          <t>Queensland</t>
        </is>
      </c>
      <c r="C164" s="77" t="inlineStr">
        <is>
          <t>Business/management</t>
        </is>
      </c>
      <c r="D164" s="77" t="inlineStr">
        <is>
          <t>Searched</t>
        </is>
      </c>
      <c r="E164"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t>
        </is>
      </c>
      <c r="F164" s="77" t="inlineStr">
        <is>
          <t>https://bel.uq.edu.au/for-students/careers/wil/industry-project; https://programs-courses.uq.edu.au/course.html?course_code=PBEL3000; https://programs-courses.uq.edu.au/course.html?course_code=MGTS7820; https://course-profiles.uq.edu.au/course-profiles/MGTS7818-60293-7460</t>
        </is>
      </c>
      <c r="G164" s="77" t="inlineStr">
        <is>
          <t>BEL Industry Consulting Project (RBUS3888/4888/7888, BSAN7215), PBEL3000 capstone and MBA Impact Academy 1 all qualify with current evidence; former MBA capstone MGTS7818 last evidenced 2024.</t>
        </is>
      </c>
    </row>
    <row r="165">
      <c r="A165" s="77" t="inlineStr">
        <is>
          <t>AU06</t>
        </is>
      </c>
      <c r="B165" s="77" t="inlineStr">
        <is>
          <t>Queensland</t>
        </is>
      </c>
      <c r="C165" s="77" t="inlineStr">
        <is>
          <t>Engineering/computing</t>
        </is>
      </c>
      <c r="D165" s="77" t="inlineStr">
        <is>
          <t>Searched</t>
        </is>
      </c>
      <c r="E165"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65" s="77" t="inlineStr">
        <is>
          <t>https://programs-courses.uq.edu.au/course.html?course_code=DECO3801; https://www.eait.uq.edu.au/employability/industry-partnerships/data-science-and-cyber-security/master-of-data-science-capstone-project</t>
        </is>
      </c>
      <c r="G165"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66">
      <c r="A166" s="77" t="inlineStr">
        <is>
          <t>AU06</t>
        </is>
      </c>
      <c r="B166" s="77" t="inlineStr">
        <is>
          <t>Queensland</t>
        </is>
      </c>
      <c r="C166" s="77" t="inlineStr">
        <is>
          <t>Science</t>
        </is>
      </c>
      <c r="D166" s="77" t="inlineStr">
        <is>
          <t>Not searched</t>
        </is>
      </c>
      <c r="E166" s="77" t="inlineStr"/>
      <c r="F166" s="77" t="inlineStr"/>
      <c r="G166" s="77" t="inlineStr">
        <is>
          <t>Not searched: shared web-search budget for the session was exhausted after 12 searches.</t>
        </is>
      </c>
    </row>
    <row r="167">
      <c r="A167" s="77" t="inlineStr">
        <is>
          <t>AU06</t>
        </is>
      </c>
      <c r="B167" s="77" t="inlineStr">
        <is>
          <t>Queensland</t>
        </is>
      </c>
      <c r="C167" s="77" t="inlineStr">
        <is>
          <t>Arts/humanities/social sciences</t>
        </is>
      </c>
      <c r="D167" s="77" t="inlineStr">
        <is>
          <t>Not searched</t>
        </is>
      </c>
      <c r="E167" s="77" t="inlineStr"/>
      <c r="F167" s="77" t="inlineStr"/>
      <c r="G167" s="77" t="inlineStr">
        <is>
          <t>Not searched: web-search budget exhausted.</t>
        </is>
      </c>
    </row>
    <row r="168">
      <c r="A168" s="77" t="inlineStr">
        <is>
          <t>AU06</t>
        </is>
      </c>
      <c r="B168" s="77" t="inlineStr">
        <is>
          <t>Queensland</t>
        </is>
      </c>
      <c r="C168" s="77" t="inlineStr">
        <is>
          <t>Other (law, health, design, architecture…)</t>
        </is>
      </c>
      <c r="D168" s="77" t="inlineStr">
        <is>
          <t>Not searched</t>
        </is>
      </c>
      <c r="E168" s="77" t="inlineStr"/>
      <c r="F168" s="77" t="inlineStr"/>
      <c r="G168" s="77" t="inlineStr">
        <is>
          <t>Not searched (law, health, architecture/design): web-search budget exhausted.</t>
        </is>
      </c>
    </row>
    <row r="169">
      <c r="A169" s="77" t="inlineStr">
        <is>
          <t>AU09</t>
        </is>
      </c>
      <c r="B169" s="77" t="inlineStr">
        <is>
          <t>University of Technology Sydney</t>
        </is>
      </c>
      <c r="C169" s="77" t="inlineStr">
        <is>
          <t>Central provision</t>
        </is>
      </c>
      <c r="D169" s="77" t="inlineStr">
        <is>
          <t>Searched</t>
        </is>
      </c>
      <c r="E169"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69"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69"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70">
      <c r="A170" s="77" t="inlineStr">
        <is>
          <t>AU09</t>
        </is>
      </c>
      <c r="B170" s="77" t="inlineStr">
        <is>
          <t>University of Technology Sydney</t>
        </is>
      </c>
      <c r="C170" s="77" t="inlineStr">
        <is>
          <t>Business/management</t>
        </is>
      </c>
      <c r="D170" s="77" t="inlineStr">
        <is>
          <t>Not searched</t>
        </is>
      </c>
      <c r="E170" s="77" t="inlineStr"/>
      <c r="F170" s="77" t="inlineStr"/>
      <c r="G170" s="77" t="inlineStr">
        <is>
          <t>Not searched: the shared WebSearch budget for this run (200 calls per turn across all agents) ran out after 7 UTS searches. A follow-up run should cover this area.</t>
        </is>
      </c>
    </row>
    <row r="171">
      <c r="A171" s="77" t="inlineStr">
        <is>
          <t>AU09</t>
        </is>
      </c>
      <c r="B171" s="77" t="inlineStr">
        <is>
          <t>University of Technology Sydney</t>
        </is>
      </c>
      <c r="C171" s="77" t="inlineStr">
        <is>
          <t>Engineering/computing</t>
        </is>
      </c>
      <c r="D171" s="77" t="inlineStr">
        <is>
          <t>Not searched</t>
        </is>
      </c>
      <c r="E171" s="77" t="inlineStr"/>
      <c r="F171" s="77" t="inlineStr"/>
      <c r="G171" s="77" t="inlineStr">
        <is>
          <t>Not searched: the shared WebSearch budget for this run (200 calls per turn across all agents) ran out after 7 UTS searches. A follow-up run should cover this area.</t>
        </is>
      </c>
    </row>
    <row r="172">
      <c r="A172" s="77" t="inlineStr">
        <is>
          <t>AU09</t>
        </is>
      </c>
      <c r="B172" s="77" t="inlineStr">
        <is>
          <t>University of Technology Sydney</t>
        </is>
      </c>
      <c r="C172" s="77" t="inlineStr">
        <is>
          <t>Science</t>
        </is>
      </c>
      <c r="D172" s="77" t="inlineStr">
        <is>
          <t>Not searched</t>
        </is>
      </c>
      <c r="E172" s="77" t="inlineStr"/>
      <c r="F172" s="77" t="inlineStr"/>
      <c r="G172" s="77" t="inlineStr">
        <is>
          <t>Not searched: the shared WebSearch budget for this run (200 calls per turn across all agents) ran out after 7 UTS searches. A follow-up run should cover this area.</t>
        </is>
      </c>
    </row>
    <row r="173">
      <c r="A173" s="77" t="inlineStr">
        <is>
          <t>AU09</t>
        </is>
      </c>
      <c r="B173" s="77" t="inlineStr">
        <is>
          <t>University of Technology Sydney</t>
        </is>
      </c>
      <c r="C173" s="77" t="inlineStr">
        <is>
          <t>Arts/humanities/social sciences</t>
        </is>
      </c>
      <c r="D173" s="77" t="inlineStr">
        <is>
          <t>Not searched</t>
        </is>
      </c>
      <c r="E173" s="77" t="inlineStr"/>
      <c r="F173" s="77" t="inlineStr"/>
      <c r="G173" s="77" t="inlineStr">
        <is>
          <t>Not searched: the shared WebSearch budget for this run (200 calls per turn across all agents) ran out after 7 UTS searches. A follow-up run should cover this area.</t>
        </is>
      </c>
    </row>
    <row r="174">
      <c r="A174" s="77" t="inlineStr">
        <is>
          <t>AU09</t>
        </is>
      </c>
      <c r="B174" s="77" t="inlineStr">
        <is>
          <t>University of Technology Sydney</t>
        </is>
      </c>
      <c r="C174" s="77" t="inlineStr">
        <is>
          <t>Other (law, health, design, architecture…)</t>
        </is>
      </c>
      <c r="D174" s="77" t="inlineStr">
        <is>
          <t>Not searched</t>
        </is>
      </c>
      <c r="E174" s="77" t="inlineStr"/>
      <c r="F174" s="77" t="inlineStr"/>
      <c r="G174" s="77" t="inlineStr">
        <is>
          <t>Not searched: the shared WebSearch budget for this run (200 calls per turn across all agents) ran out after 7 UTS searches. A follow-up run should cover this area.</t>
        </is>
      </c>
    </row>
    <row r="175">
      <c r="A175" s="77" t="inlineStr">
        <is>
          <t>UK02</t>
        </is>
      </c>
      <c r="B175" s="77" t="inlineStr">
        <is>
          <t>St Andrews</t>
        </is>
      </c>
      <c r="C175" s="77" t="inlineStr">
        <is>
          <t>Central provision</t>
        </is>
      </c>
      <c r="D175" s="77" t="inlineStr">
        <is>
          <t>Searched</t>
        </is>
      </c>
      <c r="E17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t>
        </is>
      </c>
      <c r="F175" s="77" t="inlineStr">
        <is>
          <t>https://www.st-andrews.ac.uk/education/vip/students/; https://memos.wp.st-andrews.ac.uk/2026/04/15/applications-for-2026-2027-vip-modules-open-now/; https://www.st-andrews.ac.uk/education/handbook/step/; https://www.st-andrews.ac.uk/careers/career-options/sectors/business/</t>
        </is>
      </c>
      <c r="G17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176">
      <c r="A176" s="77" t="inlineStr">
        <is>
          <t>UK02</t>
        </is>
      </c>
      <c r="B176" s="77" t="inlineStr">
        <is>
          <t>St Andrews</t>
        </is>
      </c>
      <c r="C176" s="77" t="inlineStr">
        <is>
          <t>Business/management</t>
        </is>
      </c>
      <c r="D176" s="77" t="inlineStr">
        <is>
          <t>Searched</t>
        </is>
      </c>
      <c r="E176" s="77" t="inlineStr">
        <is>
          <t>School of Management St Andrews consultancy project organisation students group MSc module; Management MSc St Andrews "consultancy projects" local organisations</t>
        </is>
      </c>
      <c r="F176" s="77" t="inlineStr">
        <is>
          <t>https://www.st-andrews.ac.uk/subjects/management/management-msc/; https://archive.st-andrews.ac.uk/courses/2025-2026/pg/management-mlitt/</t>
        </is>
      </c>
      <c r="G176" s="77" t="inlineStr">
        <is>
          <t>Management MSc/MLitt pages advertise consultancy projects with local organisations but the underlying module, team structure and client role were not identified before the search budget ran out.</t>
        </is>
      </c>
    </row>
    <row r="177">
      <c r="A177" s="77" t="inlineStr">
        <is>
          <t>UK02</t>
        </is>
      </c>
      <c r="B177" s="77" t="inlineStr">
        <is>
          <t>St Andrews</t>
        </is>
      </c>
      <c r="C177" s="77" t="inlineStr">
        <is>
          <t>Engineering/computing</t>
        </is>
      </c>
      <c r="D177" s="77" t="inlineStr">
        <is>
          <t>Searched</t>
        </is>
      </c>
      <c r="E177" s="77" t="inlineStr">
        <is>
          <t>CS3099 software engineering team project industry client Skyscanner St Andrews; Keeping Doors Open Experian Skyscanner CS3099 blog</t>
        </is>
      </c>
      <c r="F177" s="77" t="inlineStr">
        <is>
          <t>https://www.st-andrews.ac.uk/subjects/modules/catalogue/?code=CS3099; https://blogs.cs.st-andrews.ac.uk/csblog/2025/04/25/keeping-doors-open-connection-collaboration-and-opportunities/; https://info.cs.st-andrews.ac.uk/student-handbook/modules/</t>
        </is>
      </c>
      <c r="G177" s="77" t="inlineStr">
        <is>
          <t>CS3099 third-year software engineering team project (current 2026/27) has documented involvement of Experian and Skyscanner, but their role is not specified (C Unclear). St Andrews has no engineering school; computing only.</t>
        </is>
      </c>
    </row>
    <row r="178">
      <c r="A178" s="77" t="inlineStr">
        <is>
          <t>UK02</t>
        </is>
      </c>
      <c r="B178" s="77" t="inlineStr">
        <is>
          <t>St Andrews</t>
        </is>
      </c>
      <c r="C178" s="77" t="inlineStr">
        <is>
          <t>Science</t>
        </is>
      </c>
      <c r="D178" s="77" t="inlineStr">
        <is>
          <t>Not searched</t>
        </is>
      </c>
      <c r="E178" s="77" t="inlineStr"/>
      <c r="F178" s="77" t="inlineStr"/>
      <c r="G178" s="77" t="inlineStr">
        <is>
          <t>Not searched: the shared per-turn web search limit was reached after 8 searches.</t>
        </is>
      </c>
    </row>
    <row r="179">
      <c r="A179" s="77" t="inlineStr">
        <is>
          <t>UK02</t>
        </is>
      </c>
      <c r="B179" s="77" t="inlineStr">
        <is>
          <t>St Andrews</t>
        </is>
      </c>
      <c r="C179" s="77" t="inlineStr">
        <is>
          <t>Arts/humanities/social sciences</t>
        </is>
      </c>
      <c r="D179" s="77" t="inlineStr">
        <is>
          <t>Not searched</t>
        </is>
      </c>
      <c r="E179" s="77" t="inlineStr"/>
      <c r="F179" s="77" t="inlineStr"/>
      <c r="G179" s="77" t="inlineStr">
        <is>
          <t>Not searched: the shared per-turn web search limit was reached (VIP covers some arts-faculty participation but no AHSS-specific routes were searched).</t>
        </is>
      </c>
    </row>
    <row r="180">
      <c r="A180" s="77" t="inlineStr">
        <is>
          <t>UK02</t>
        </is>
      </c>
      <c r="B180" s="77" t="inlineStr">
        <is>
          <t>St Andrews</t>
        </is>
      </c>
      <c r="C180" s="77" t="inlineStr">
        <is>
          <t>Other (law, health, design, architecture…)</t>
        </is>
      </c>
      <c r="D180" s="77" t="inlineStr">
        <is>
          <t>Not searched</t>
        </is>
      </c>
      <c r="E180" s="77" t="inlineStr"/>
      <c r="F180" s="77" t="inlineStr"/>
      <c r="G180" s="77" t="inlineStr">
        <is>
          <t>Not searched (Medicine, Divinity): the shared per-turn web search limit was reached.</t>
        </is>
      </c>
    </row>
    <row r="181">
      <c r="A181" s="77" t="inlineStr">
        <is>
          <t>UK03</t>
        </is>
      </c>
      <c r="B181" s="77" t="inlineStr">
        <is>
          <t>Lancaster</t>
        </is>
      </c>
      <c r="C181" s="77" t="inlineStr">
        <is>
          <t>Central provision</t>
        </is>
      </c>
      <c r="D181" s="77" t="inlineStr">
        <is>
          <t>Searched</t>
        </is>
      </c>
      <c r="E18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181" s="77" t="inlineStr">
        <is>
          <t>https://www.lancaster.ac.uk/study/why-lancaster/careers-and-employability/; https://www.lancaster.ac.uk/lums/careers/employers/company-projects/; https://www.lancaster.ac.uk/sci-tech/business/new-business-pages/for-businesses/accessing-student-talent/</t>
        </is>
      </c>
      <c r="G181" s="77" t="inlineStr">
        <is>
          <t>No university-wide group employer-project scheme found; Lancaster Award is a co-curricular recognition. Employer project provision is run through faculty/school units (LUMS Company Projects).</t>
        </is>
      </c>
    </row>
    <row r="182">
      <c r="A182" s="77" t="inlineStr">
        <is>
          <t>UK03</t>
        </is>
      </c>
      <c r="B182" s="77" t="inlineStr">
        <is>
          <t>Lancaster</t>
        </is>
      </c>
      <c r="C182" s="77" t="inlineStr">
        <is>
          <t>Business/management</t>
        </is>
      </c>
      <c r="D182" s="77" t="inlineStr">
        <is>
          <t>Searched</t>
        </is>
      </c>
      <c r="E18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182" s="77" t="inlineStr">
        <is>
          <t>https://www.lancaster.ac.uk/lums/careers/students/consultancy-projects/; https://www.lancaster.ac.uk/lums/careers/employers/company-projects/; https://www.lancaster.ac.uk/study/postgraduate/postgraduate-courses/advanced-management-consulting-and-change-msc/2026/</t>
        </is>
      </c>
      <c r="G182" s="77" t="inlineStr">
        <is>
          <t>Dense, programme-embedded LUMS consultancy provision across UG Marketing, MBA and several MSc programmes, plus a 2026 two-day hackathon.</t>
        </is>
      </c>
    </row>
    <row r="183">
      <c r="A183" s="77" t="inlineStr">
        <is>
          <t>UK03</t>
        </is>
      </c>
      <c r="B183" s="77" t="inlineStr">
        <is>
          <t>Lancaster</t>
        </is>
      </c>
      <c r="C183" s="77" t="inlineStr">
        <is>
          <t>Engineering/computing</t>
        </is>
      </c>
      <c r="D183" s="77" t="inlineStr">
        <is>
          <t>Searched</t>
        </is>
      </c>
      <c r="E183" s="77" t="inlineStr">
        <is>
          <t>physics/engineering industrial group projects; SCC group project industry client; engineering group design project industry sponsor MEng; Software Design Studio Project III Live Studio</t>
        </is>
      </c>
      <c r="F183" s="77" t="inlineStr">
        <is>
          <t>https://www.lancaster.ac.uk/engineering/business/collaborating-with-our-students/; https://www.lancaster.ac.uk/study/course-information/modules/016901/</t>
        </is>
      </c>
      <c r="G183" s="77" t="inlineStr">
        <is>
          <t>MEng ENGR 445 industry group projects qualify; Software Engineering Studio III client status unclear; CS Year 2 group project excluded.</t>
        </is>
      </c>
    </row>
    <row r="184">
      <c r="A184" s="77" t="inlineStr">
        <is>
          <t>UK03</t>
        </is>
      </c>
      <c r="B184" s="77" t="inlineStr">
        <is>
          <t>Lancaster</t>
        </is>
      </c>
      <c r="C184" s="77" t="inlineStr">
        <is>
          <t>Science</t>
        </is>
      </c>
      <c r="D184" s="77" t="inlineStr">
        <is>
          <t>Searched</t>
        </is>
      </c>
      <c r="E184" s="77" t="inlineStr">
        <is>
          <t>Physics Industrial Group Projects; Lancaster Environment Centre team project external client; Mathematics and Statistics MSc Data Science industrial project; Science and Technology student engagement industrial projects</t>
        </is>
      </c>
      <c r="F184" s="77" t="inlineStr">
        <is>
          <t>https://www.lancaster.ac.uk/physics/business/student-engagement/industrial-group-projects/; https://www.lancaster.ac.uk/sci-tech/msc-data-science-apply-now/</t>
        </is>
      </c>
      <c r="G184" s="77" t="inlineStr">
        <is>
          <t>Physics Industrial Group Projects qualify; MSc Data Science Term 1 group project unclear; LEC/Chemistry not found beyond individual partner dissertations.</t>
        </is>
      </c>
    </row>
    <row r="185">
      <c r="A185" s="77" t="inlineStr">
        <is>
          <t>UK03</t>
        </is>
      </c>
      <c r="B185" s="77" t="inlineStr">
        <is>
          <t>Lancaster</t>
        </is>
      </c>
      <c r="C185" s="77" t="inlineStr">
        <is>
          <t>Arts/humanities/social sciences</t>
        </is>
      </c>
      <c r="D185" s="77" t="inlineStr">
        <is>
          <t>Searched</t>
        </is>
      </c>
      <c r="E18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185" s="77" t="inlineStr">
        <is>
          <t>https://www.lancaster.ac.uk/study/undergraduate/courses/design-ba-hons-w281/2026/; https://www.lancaster.ac.uk/study/postgraduate/postgraduate-courses/sustainability-and-global-environmental-futures-ma/2026/</t>
        </is>
      </c>
      <c r="G185" s="77" t="inlineStr">
        <is>
          <t>Design Consultancy qualifies; Sustainability MA studios unclear (external clients 'may'); Criminology live-project claim not verified; discovery module no external org.</t>
        </is>
      </c>
    </row>
    <row r="186">
      <c r="A186" s="77" t="inlineStr">
        <is>
          <t>UK03</t>
        </is>
      </c>
      <c r="B186" s="77" t="inlineStr">
        <is>
          <t>Lancaster</t>
        </is>
      </c>
      <c r="C186" s="77" t="inlineStr">
        <is>
          <t>Other (law, health, design, architecture…)</t>
        </is>
      </c>
      <c r="D186" s="77" t="inlineStr">
        <is>
          <t>Searched</t>
        </is>
      </c>
      <c r="E186" s="77" t="inlineStr">
        <is>
          <t>Law School pro bono clinic; Architecture BA second year client project</t>
        </is>
      </c>
      <c r="F186" s="77" t="inlineStr">
        <is>
          <t>https://www.lancaster.ac.uk/study/why-lancaster/law-clinics/; https://www.lancaster.ac.uk/study/undergraduate/courses/architecture-ba-hons-k100/2026/</t>
        </is>
      </c>
      <c r="G186" s="77" t="inlineStr">
        <is>
          <t>Law clinics serve members of the public (excluded); Architecture live client project found but group status unclear. Medicine/health not searched (search budget).</t>
        </is>
      </c>
    </row>
    <row r="187">
      <c r="A187" s="77" t="inlineStr">
        <is>
          <t>UK04</t>
        </is>
      </c>
      <c r="B187" s="77" t="inlineStr">
        <is>
          <t>Loughborough</t>
        </is>
      </c>
      <c r="C187" s="77" t="inlineStr">
        <is>
          <t>Central provision</t>
        </is>
      </c>
      <c r="D187" s="77" t="inlineStr">
        <is>
          <t>Searched</t>
        </is>
      </c>
      <c r="E18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187" s="77" t="inlineStr">
        <is>
          <t>https://www.lboro.ac.uk/internal/news/2026/august/talent-match-consultancy-applications/; https://www.lboro.ac.uk/news-events/news/2026/july/collaborative-project-show-london/; https://www.lboro.ac.uk/students/personal-best/award/</t>
        </is>
      </c>
      <c r="G187" s="77" t="inlineStr">
        <is>
          <t>Talent Match Consultancy Programme (2026) is the main central team-based live-client route; Personal Best is an award (excluded). London campus Collaborative Project is the main curricular route outside home departments.</t>
        </is>
      </c>
    </row>
    <row r="188">
      <c r="A188" s="77" t="inlineStr">
        <is>
          <t>UK04</t>
        </is>
      </c>
      <c r="B188" s="77" t="inlineStr">
        <is>
          <t>Loughborough</t>
        </is>
      </c>
      <c r="C188" s="77" t="inlineStr">
        <is>
          <t>Business/management</t>
        </is>
      </c>
      <c r="D188" s="77" t="inlineStr">
        <is>
          <t>Searched</t>
        </is>
      </c>
      <c r="E18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188" s="77" t="inlineStr">
        <is>
          <t>https://www.lboro.ac.uk/study/postgraduate/masters-degrees/a-z/management/; https://www.lboro.ac.uk/study/postgraduate/masters-degrees/full-time-mba/; https://www.lboro.ac.uk/schools/business-school/collaborate/work-with-our-students/</t>
        </is>
      </c>
      <c r="G188" s="77" t="inlineStr">
        <is>
          <t>PG taught Industry Experience Project (group, client company) across several MSc programmes and the MBA Consultancy Project; no undergraduate live-client group module verified (NatWest case was fictional). Current delivery undated.</t>
        </is>
      </c>
    </row>
    <row r="189">
      <c r="A189" s="77" t="inlineStr">
        <is>
          <t>UK04</t>
        </is>
      </c>
      <c r="B189" s="77" t="inlineStr">
        <is>
          <t>Loughborough</t>
        </is>
      </c>
      <c r="C189" s="77" t="inlineStr">
        <is>
          <t>Engineering/computing</t>
        </is>
      </c>
      <c r="D189" s="77" t="inlineStr">
        <is>
          <t>Searched</t>
        </is>
      </c>
      <c r="E18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189" s="77" t="inlineStr">
        <is>
          <t>https://www.lboro.ac.uk/schools/meme/undergraduate/employability/recruiting-placement-students-benefit-business/wolfson-school-engagement-opportunities/; https://www.lboro.ac.uk/departments/abce/undergraduate/employability/design-weeks/</t>
        </is>
      </c>
      <c r="G189" s="77" t="inlineStr">
        <is>
          <t>Wolfson School Industry Collaboration Programme (company-set group projects) and ABCE Cross-School Design Weeks found; Computer Science group projects lack client evidence; EnerHy CDT team project with Cadent.</t>
        </is>
      </c>
    </row>
    <row r="190">
      <c r="A190" s="77" t="inlineStr">
        <is>
          <t>UK04</t>
        </is>
      </c>
      <c r="B190" s="77" t="inlineStr">
        <is>
          <t>Loughborough</t>
        </is>
      </c>
      <c r="C190" s="77" t="inlineStr">
        <is>
          <t>Science</t>
        </is>
      </c>
      <c r="D190" s="77" t="inlineStr">
        <is>
          <t>Searched</t>
        </is>
      </c>
      <c r="E19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190" s="77" t="inlineStr">
        <is>
          <t>https://arxiv.org/html/2601.10219; https://www.lboro.ac.uk/departments/physics/undergraduate/careers-employability/industry-projects/</t>
        </is>
      </c>
      <c r="G19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191">
      <c r="A191" s="77" t="inlineStr">
        <is>
          <t>UK04</t>
        </is>
      </c>
      <c r="B191" s="77" t="inlineStr">
        <is>
          <t>Loughborough</t>
        </is>
      </c>
      <c r="C191" s="77" t="inlineStr">
        <is>
          <t>Arts/humanities/social sciences</t>
        </is>
      </c>
      <c r="D191" s="77" t="inlineStr">
        <is>
          <t>Searched</t>
        </is>
      </c>
      <c r="E191" s="77" t="inlineStr">
        <is>
          <t>Loughborough School of Social Sciences and Humanities live client project; Loughborough Communication and Media OR Geography OR Politics client organisation group project</t>
        </is>
      </c>
      <c r="F191" s="77" t="inlineStr">
        <is>
          <t>https://www.lboro.ac.uk/study/postgraduate/masters-degrees/digital-media-communication/</t>
        </is>
      </c>
      <c r="G191" s="77" t="inlineStr">
        <is>
          <t>No team-based live-client module verified; Digital Media and Communication Workplace Focused Dissertation is individual (excluded). London Collaborative Project (S1) includes Media and Communication (London) MSc.</t>
        </is>
      </c>
    </row>
    <row r="192">
      <c r="A192" s="77" t="inlineStr">
        <is>
          <t>UK04</t>
        </is>
      </c>
      <c r="B192" s="77" t="inlineStr">
        <is>
          <t>Loughborough</t>
        </is>
      </c>
      <c r="C192" s="77" t="inlineStr">
        <is>
          <t>Other (law, health, design, architecture…)</t>
        </is>
      </c>
      <c r="D192" s="77" t="inlineStr">
        <is>
          <t>Searched</t>
        </is>
      </c>
      <c r="E19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192" s="77" t="inlineStr">
        <is>
          <t>https://sdcapgshow2023.lboro.ac.uk/industry-collaborations/user-experience-industry-project/; https://www.lboro.ac.uk/schools/design-creative-arts/whats-happening/news/2025/designweek2025bringingindustrytoourstudents/</t>
        </is>
      </c>
      <c r="G192" s="77" t="inlineStr">
        <is>
          <t>Design school has company-set live briefs (group status unclear for UG) and a compulsory team Industry Project on UX PG programmes; Sport/Health sciences: no team-based client module found (individual placements). Law not applicable (no law school).</t>
        </is>
      </c>
    </row>
    <row r="193">
      <c r="A193" s="77" t="inlineStr">
        <is>
          <t>UK05</t>
        </is>
      </c>
      <c r="B193" s="77" t="inlineStr">
        <is>
          <t>Aberdeen</t>
        </is>
      </c>
      <c r="C193" s="77" t="inlineStr">
        <is>
          <t>Central provision</t>
        </is>
      </c>
      <c r="D193" s="77" t="inlineStr">
        <is>
          <t>Searched</t>
        </is>
      </c>
      <c r="E19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19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19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194">
      <c r="A194" s="77" t="inlineStr">
        <is>
          <t>UK05</t>
        </is>
      </c>
      <c r="B194" s="77" t="inlineStr">
        <is>
          <t>Aberdeen</t>
        </is>
      </c>
      <c r="C194" s="77" t="inlineStr">
        <is>
          <t>Business/management</t>
        </is>
      </c>
      <c r="D194" s="77" t="inlineStr">
        <is>
          <t>Not searched</t>
        </is>
      </c>
      <c r="E194" s="77" t="inlineStr"/>
      <c r="F194" s="77" t="inlineStr"/>
      <c r="G194" s="77" t="inlineStr">
        <is>
          <t>Not searched: search budget exhausted. Only incidental result: Accountancy PD2002 is an online careers-skills course, not a project.</t>
        </is>
      </c>
    </row>
    <row r="195">
      <c r="A195" s="77" t="inlineStr">
        <is>
          <t>UK05</t>
        </is>
      </c>
      <c r="B195" s="77" t="inlineStr">
        <is>
          <t>Aberdeen</t>
        </is>
      </c>
      <c r="C195" s="77" t="inlineStr">
        <is>
          <t>Engineering/computing</t>
        </is>
      </c>
      <c r="D195" s="77" t="inlineStr">
        <is>
          <t>Searched</t>
        </is>
      </c>
      <c r="E195" s="77" t="inlineStr">
        <is>
          <t>(results from the general and curriculum queries above)</t>
        </is>
      </c>
      <c r="F19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195" s="77" t="inlineStr">
        <is>
          <t>From incidental results only: ED251A Engineering Work Experience (2025/26; group consultancy for a local engineering organisation) and a Year 4 Computing Science work-based learning course with employer-proposed projects. No dedicated searches were run.</t>
        </is>
      </c>
    </row>
    <row r="196">
      <c r="A196" s="77" t="inlineStr">
        <is>
          <t>UK05</t>
        </is>
      </c>
      <c r="B196" s="77" t="inlineStr">
        <is>
          <t>Aberdeen</t>
        </is>
      </c>
      <c r="C196" s="77" t="inlineStr">
        <is>
          <t>Science</t>
        </is>
      </c>
      <c r="D196" s="77" t="inlineStr">
        <is>
          <t>Not searched</t>
        </is>
      </c>
      <c r="E196" s="77" t="inlineStr"/>
      <c r="F196" s="77" t="inlineStr"/>
      <c r="G196" s="77" t="inlineStr">
        <is>
          <t>Not searched: search budget exhausted.</t>
        </is>
      </c>
    </row>
    <row r="197">
      <c r="A197" s="77" t="inlineStr">
        <is>
          <t>UK05</t>
        </is>
      </c>
      <c r="B197" s="77" t="inlineStr">
        <is>
          <t>Aberdeen</t>
        </is>
      </c>
      <c r="C197" s="77" t="inlineStr">
        <is>
          <t>Arts/humanities/social sciences</t>
        </is>
      </c>
      <c r="D197" s="77" t="inlineStr">
        <is>
          <t>Not searched</t>
        </is>
      </c>
      <c r="E197" s="77" t="inlineStr"/>
      <c r="F197" s="77" t="inlineStr"/>
      <c r="G197" s="77" t="inlineStr">
        <is>
          <t>Not searched: search budget exhausted.</t>
        </is>
      </c>
    </row>
    <row r="198">
      <c r="A198" s="77" t="inlineStr">
        <is>
          <t>UK05</t>
        </is>
      </c>
      <c r="B198" s="77" t="inlineStr">
        <is>
          <t>Aberdeen</t>
        </is>
      </c>
      <c r="C198" s="77" t="inlineStr">
        <is>
          <t>Other (law, health, design, architecture…)</t>
        </is>
      </c>
      <c r="D198" s="77" t="inlineStr">
        <is>
          <t>Not searched</t>
        </is>
      </c>
      <c r="E198" s="77" t="inlineStr"/>
      <c r="F198" s="77" t="inlineStr"/>
      <c r="G198" s="77" t="inlineStr">
        <is>
          <t>Not searched: search budget exhausted (law, medicine, health not covered).</t>
        </is>
      </c>
    </row>
    <row r="199">
      <c r="A199" s="77" t="inlineStr">
        <is>
          <t>UK06</t>
        </is>
      </c>
      <c r="B199" s="77" t="inlineStr">
        <is>
          <t>Reading</t>
        </is>
      </c>
      <c r="C199" s="77" t="inlineStr">
        <is>
          <t>Central provision</t>
        </is>
      </c>
      <c r="D199" s="77" t="inlineStr">
        <is>
          <t>Searched</t>
        </is>
      </c>
      <c r="E19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199" s="77" t="inlineStr">
        <is>
          <t>https://www.reading.ac.uk/essentials/careers/employers/ris; https://www.reading.ac.uk/essentials/Careers/Gaining-experience/Work-Experience-Framework; https://www.henley.ac.uk/henley-enterprise-lab</t>
        </is>
      </c>
      <c r="G199" s="77" t="inlineStr">
        <is>
          <t>Central provision (RED Awards, Reading Internship Scheme, Henley Enterprise Lab) is individual, award-based or competition-based; no central employer team-project scheme found.</t>
        </is>
      </c>
    </row>
    <row r="200">
      <c r="A200" s="77" t="inlineStr">
        <is>
          <t>UK06</t>
        </is>
      </c>
      <c r="B200" s="77" t="inlineStr">
        <is>
          <t>Reading</t>
        </is>
      </c>
      <c r="C200" s="77" t="inlineStr">
        <is>
          <t>Business/management</t>
        </is>
      </c>
      <c r="D200" s="77" t="inlineStr">
        <is>
          <t>Searched</t>
        </is>
      </c>
      <c r="E20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0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0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01">
      <c r="A201" s="77" t="inlineStr">
        <is>
          <t>UK06</t>
        </is>
      </c>
      <c r="B201" s="77" t="inlineStr">
        <is>
          <t>Reading</t>
        </is>
      </c>
      <c r="C201" s="77" t="inlineStr">
        <is>
          <t>Engineering/computing</t>
        </is>
      </c>
      <c r="D201" s="77" t="inlineStr">
        <is>
          <t>Searched</t>
        </is>
      </c>
      <c r="E20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01" s="77" t="inlineStr">
        <is>
          <t>https://www.reading.ac.uk/modules/documents?acyear=2025/6&amp;modcode=CS3IP&amp;schoolcode=MPS+CS%7CMPS+MATHST%7CMPS+MET; https://www.reading.ac.uk/modules/documents?acyear=2024/5&amp;modcode=CE3CLP1&amp;schoolcode=BEN+ATC%7CBEN+CME</t>
        </is>
      </c>
      <c r="G201" s="77" t="inlineStr">
        <is>
          <t>Computer Science final-year project has no external client evidenced; Construction Live Project is a team build supported by partner contractor staff but no client brief evidenced.</t>
        </is>
      </c>
    </row>
    <row r="202">
      <c r="A202" s="77" t="inlineStr">
        <is>
          <t>UK06</t>
        </is>
      </c>
      <c r="B202" s="77" t="inlineStr">
        <is>
          <t>Reading</t>
        </is>
      </c>
      <c r="C202" s="77" t="inlineStr">
        <is>
          <t>Science</t>
        </is>
      </c>
      <c r="D202" s="77" t="inlineStr">
        <is>
          <t>Searched</t>
        </is>
      </c>
      <c r="E20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02" s="77" t="inlineStr">
        <is>
          <t>https://www.reading.ac.uk/ready-to-study/study/2026/food-and-nutrition-ug/bsc-food-technology-with-bioprocessing-with-industrial-training</t>
        </is>
      </c>
      <c r="G20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03">
      <c r="A203" s="77" t="inlineStr">
        <is>
          <t>UK06</t>
        </is>
      </c>
      <c r="B203" s="77" t="inlineStr">
        <is>
          <t>Reading</t>
        </is>
      </c>
      <c r="C203" s="77" t="inlineStr">
        <is>
          <t>Arts/humanities/social sciences</t>
        </is>
      </c>
      <c r="D203" s="77" t="inlineStr">
        <is>
          <t>Searched</t>
        </is>
      </c>
      <c r="E20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03" s="77" t="inlineStr">
        <is>
          <t>https://www.reading.ac.uk/modules/documents?acyear=2025/6&amp;modcode=ECM200&amp;schoolcode=PPE+ECO%7CPPE+GIPIS%7CPPE+PHIL%7CPPE+POL; https://www.reading.ac.uk/typography/work-with-us; https://www.reading.ac.uk/ready-to-study/study/2026/archaeology-ug/ba-archaeology-and-history</t>
        </is>
      </c>
      <c r="G203" s="77" t="inlineStr">
        <is>
          <t>Economics/PPE Capstone (ECM200) qualifies with 2025/6 evidence; Typography Real Jobs and History/Archaeology Going Public are leads with incomplete evidence.</t>
        </is>
      </c>
    </row>
    <row r="204">
      <c r="A204" s="77" t="inlineStr">
        <is>
          <t>UK06</t>
        </is>
      </c>
      <c r="B204" s="77" t="inlineStr">
        <is>
          <t>Reading</t>
        </is>
      </c>
      <c r="C204" s="77" t="inlineStr">
        <is>
          <t>Other (law, health, design, architecture…)</t>
        </is>
      </c>
      <c r="D204" s="77" t="inlineStr">
        <is>
          <t>Searched</t>
        </is>
      </c>
      <c r="E204" s="77" t="inlineStr">
        <is>
          <t>Reading School of Law pro bono clinic OR live client project; Archaeology heritage client group project module</t>
        </is>
      </c>
      <c r="F204" s="77" t="inlineStr">
        <is>
          <t>https://www.reading.ac.uk/law/undergraduate/co-curricular-activities-and-pro-bono-work</t>
        </is>
      </c>
      <c r="G204" s="77" t="inlineStr">
        <is>
          <t>Law clinics are individual pro bono/volunteering. Education, Pharmacy, Film/Theatre and Art not searched specifically.</t>
        </is>
      </c>
    </row>
    <row r="205">
      <c r="A205" s="77" t="inlineStr">
        <is>
          <t>UK07</t>
        </is>
      </c>
      <c r="B205" s="77" t="inlineStr">
        <is>
          <t>Surrey</t>
        </is>
      </c>
      <c r="C205" s="77" t="inlineStr">
        <is>
          <t>Central provision</t>
        </is>
      </c>
      <c r="D205" s="77" t="inlineStr">
        <is>
          <t>Searched</t>
        </is>
      </c>
      <c r="E20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05" s="77" t="inlineStr">
        <is>
          <t>https://www.surrey.ac.uk/innovation/business-partners/work-our-students; https://www.surrey.ac.uk/news/itek-programme-funded-era-foundation</t>
        </is>
      </c>
      <c r="G205" s="77" t="inlineStr">
        <is>
          <t>No university-wide curricular employer project route found; central Student Enterprise runs IKEEP, iTEK and hackathons (extracurricular, status unclear). Professional Training placements are individual.</t>
        </is>
      </c>
    </row>
    <row r="206">
      <c r="A206" s="77" t="inlineStr">
        <is>
          <t>UK07</t>
        </is>
      </c>
      <c r="B206" s="77" t="inlineStr">
        <is>
          <t>Surrey</t>
        </is>
      </c>
      <c r="C206" s="77" t="inlineStr">
        <is>
          <t>Business/management</t>
        </is>
      </c>
      <c r="D206" s="77" t="inlineStr">
        <is>
          <t>Searched</t>
        </is>
      </c>
      <c r="E20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06" s="77" t="inlineStr">
        <is>
          <t>https://catalogue.surrey.ac.uk/2025-6/module/MANM448/SEMR2/2; https://www.surrey.ac.uk/news/entrepreneurial-experience-built; https://catalogue.surrey.ac.uk/2026-7/module/MAN3213; https://catalogue.surrey.ac.uk/2025-6/module/MAN3164/SEMR2/2</t>
        </is>
      </c>
      <c r="G206" s="77" t="inlineStr">
        <is>
          <t>Dense, programme-embedded live-client team modules across MSc Management, MSc Entrepreneurship &amp; Innovation, MSc HRM and final-year hospitality/tourism, plus Applied Business Project and B-Clinic.</t>
        </is>
      </c>
    </row>
    <row r="207">
      <c r="A207" s="77" t="inlineStr">
        <is>
          <t>UK07</t>
        </is>
      </c>
      <c r="B207" s="77" t="inlineStr">
        <is>
          <t>Surrey</t>
        </is>
      </c>
      <c r="C207" s="77" t="inlineStr">
        <is>
          <t>Engineering/computing</t>
        </is>
      </c>
      <c r="D207" s="77" t="inlineStr">
        <is>
          <t>Searched</t>
        </is>
      </c>
      <c r="E207" s="77" t="inlineStr">
        <is>
          <t>Surrey Engineering Group Design Project industrial client; ENGM001 Multi-Disciplinary Design Project; ENGM307; ENGM321; COM3001; COM2027</t>
        </is>
      </c>
      <c r="F207" s="77" t="inlineStr">
        <is>
          <t>https://catalogue.surrey.ac.uk/2025-6/module/ENGM001/SEMR1/1R; https://catalogue.surrey.ac.uk/2025-6/module/ENGM307</t>
        </is>
      </c>
      <c r="G207" s="77" t="inlineStr">
        <is>
          <t>ENGM001 (MEng, industry visiting professors) qualifies; other group design/software projects have staff clients or only optional industrial partners.</t>
        </is>
      </c>
    </row>
    <row r="208">
      <c r="A208" s="77" t="inlineStr">
        <is>
          <t>UK07</t>
        </is>
      </c>
      <c r="B208" s="77" t="inlineStr">
        <is>
          <t>Surrey</t>
        </is>
      </c>
      <c r="C208" s="77" t="inlineStr">
        <is>
          <t>Science</t>
        </is>
      </c>
      <c r="D208" s="77" t="inlineStr">
        <is>
          <t>Searched</t>
        </is>
      </c>
      <c r="E208" s="77" t="inlineStr">
        <is>
          <t>Surrey biosciences chemistry physics mathematics students group project industry partner company brief module</t>
        </is>
      </c>
      <c r="F208" s="77" t="inlineStr">
        <is>
          <t>https://www.surrey.ac.uk/undergraduate/biochemistry</t>
        </is>
      </c>
      <c r="G208" s="77" t="inlineStr">
        <is>
          <t>Nothing qualifying verified; one biochemistry MSci industry-pitch lead unresolved.</t>
        </is>
      </c>
    </row>
    <row r="209">
      <c r="A209" s="77" t="inlineStr">
        <is>
          <t>UK07</t>
        </is>
      </c>
      <c r="B209" s="77" t="inlineStr">
        <is>
          <t>Surrey</t>
        </is>
      </c>
      <c r="C209" s="77" t="inlineStr">
        <is>
          <t>Arts/humanities/social sciences</t>
        </is>
      </c>
      <c r="D209" s="77" t="inlineStr">
        <is>
          <t>Searched</t>
        </is>
      </c>
      <c r="E209" s="77" t="inlineStr">
        <is>
          <t>Surrey students team consultancy social enterprise charity community client project module sociology politics law psychology; Surrey School of Literature and Languages Law Sociology Politics students project with external organisation</t>
        </is>
      </c>
      <c r="F209" s="77" t="inlineStr">
        <is>
          <t>https://surrey.ac.uk/faculty-arts-social-sciences/education/projects</t>
        </is>
      </c>
      <c r="G209" s="77" t="inlineStr">
        <is>
          <t>Only isolated law/teaching-fund pilots and placement/dissertation routes; no qualifying scheme verified.</t>
        </is>
      </c>
    </row>
    <row r="210">
      <c r="A210" s="77" t="inlineStr">
        <is>
          <t>UK07</t>
        </is>
      </c>
      <c r="B210" s="77" t="inlineStr">
        <is>
          <t>Surrey</t>
        </is>
      </c>
      <c r="C210" s="77" t="inlineStr">
        <is>
          <t>Other (law, health, design, architecture…)</t>
        </is>
      </c>
      <c r="D210" s="77" t="inlineStr">
        <is>
          <t>Searched</t>
        </is>
      </c>
      <c r="E210" s="77" t="inlineStr">
        <is>
          <t>Surrey Faculty of Health and Medical Sciences students interprofessional team project external organisation NHS charity live brief module; Hospitality, Tourism &amp; Events Consultancy project</t>
        </is>
      </c>
      <c r="F210" s="77" t="inlineStr">
        <is>
          <t>https://www.surrey.ac.uk/faculty-health-medical-sciences/international</t>
        </is>
      </c>
      <c r="G210" s="77" t="inlineStr">
        <is>
          <t>Hospitality/tourism consultancy sits in Business School (S5). Health: clinical placements and an FHMS hackathon only; no qualifying scheme verified.</t>
        </is>
      </c>
    </row>
    <row r="211">
      <c r="A211" s="77" t="inlineStr">
        <is>
          <t>UK08</t>
        </is>
      </c>
      <c r="B211" s="77" t="inlineStr">
        <is>
          <t>Sussex</t>
        </is>
      </c>
      <c r="C211" s="77" t="inlineStr">
        <is>
          <t>Central provision</t>
        </is>
      </c>
      <c r="D211" s="77" t="inlineStr">
        <is>
          <t>Searched</t>
        </is>
      </c>
      <c r="E211" s="77" t="inlineStr">
        <is>
          <t>Sussex student consultancy project real client team (site:sussex.ac.uk); Career Lab Student Consultancy Programme finalists postgraduates teams brief eligibility stipend 2026 (extended)</t>
        </is>
      </c>
      <c r="F211" s="77" t="inlineStr">
        <is>
          <t>https://student.sussex.ac.uk/careers/career-lab/student-consultancy; https://www.sussex.ac.uk/broadcast/read/71127; https://careerhub.sussex.ac.uk/docs/255/Hastings-Direct-Student-Consultancy-Case-Study.pdf</t>
        </is>
      </c>
      <c r="G21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12">
      <c r="A212" s="77" t="inlineStr">
        <is>
          <t>UK08</t>
        </is>
      </c>
      <c r="B212" s="77" t="inlineStr">
        <is>
          <t>Sussex</t>
        </is>
      </c>
      <c r="C212" s="77" t="inlineStr">
        <is>
          <t>Business/management</t>
        </is>
      </c>
      <c r="D212" s="77" t="inlineStr">
        <is>
          <t>Searched</t>
        </is>
      </c>
      <c r="E21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12" s="77" t="inlineStr">
        <is>
          <t>https://www.sussex.ac.uk/study/modules/undergraduate/2026/105316-marketing-consultancy-project-capstone; https://www.sussex.ac.uk/study/modules/postgraduate/2024/90902-consultancy-project; https://www.sussex.ac.uk/study/masters/courses/management-msc</t>
        </is>
      </c>
      <c r="G21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13">
      <c r="A213" s="77" t="inlineStr">
        <is>
          <t>UK08</t>
        </is>
      </c>
      <c r="B213" s="77" t="inlineStr">
        <is>
          <t>Sussex</t>
        </is>
      </c>
      <c r="C213" s="77" t="inlineStr">
        <is>
          <t>Engineering/computing</t>
        </is>
      </c>
      <c r="D213" s="77" t="inlineStr">
        <is>
          <t>Not searched</t>
        </is>
      </c>
      <c r="E213" s="77" t="inlineStr"/>
      <c r="F213" s="77" t="inlineStr"/>
      <c r="G213"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4">
      <c r="A214" s="77" t="inlineStr">
        <is>
          <t>UK08</t>
        </is>
      </c>
      <c r="B214" s="77" t="inlineStr">
        <is>
          <t>Sussex</t>
        </is>
      </c>
      <c r="C214" s="77" t="inlineStr">
        <is>
          <t>Science</t>
        </is>
      </c>
      <c r="D214" s="77" t="inlineStr">
        <is>
          <t>Not searched</t>
        </is>
      </c>
      <c r="E214" s="77" t="inlineStr"/>
      <c r="F214" s="77" t="inlineStr"/>
      <c r="G214"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5">
      <c r="A215" s="77" t="inlineStr">
        <is>
          <t>UK08</t>
        </is>
      </c>
      <c r="B215" s="77" t="inlineStr">
        <is>
          <t>Sussex</t>
        </is>
      </c>
      <c r="C215" s="77" t="inlineStr">
        <is>
          <t>Arts/humanities/social sciences</t>
        </is>
      </c>
      <c r="D215" s="77" t="inlineStr">
        <is>
          <t>Not searched</t>
        </is>
      </c>
      <c r="E215" s="77" t="inlineStr"/>
      <c r="F215" s="77" t="inlineStr"/>
      <c r="G215"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6">
      <c r="A216" s="77" t="inlineStr">
        <is>
          <t>UK08</t>
        </is>
      </c>
      <c r="B216" s="77" t="inlineStr">
        <is>
          <t>Sussex</t>
        </is>
      </c>
      <c r="C216" s="77" t="inlineStr">
        <is>
          <t>Other (law, health, design, architecture…)</t>
        </is>
      </c>
      <c r="D216" s="77" t="inlineStr">
        <is>
          <t>Not searched</t>
        </is>
      </c>
      <c r="E216" s="77" t="inlineStr"/>
      <c r="F216" s="77" t="inlineStr"/>
      <c r="G216"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7">
      <c r="A217" s="77" t="inlineStr">
        <is>
          <t>UK09</t>
        </is>
      </c>
      <c r="B217" s="77" t="inlineStr">
        <is>
          <t>Leicester</t>
        </is>
      </c>
      <c r="C217" s="77" t="inlineStr">
        <is>
          <t>Central provision</t>
        </is>
      </c>
      <c r="D217" s="77" t="inlineStr">
        <is>
          <t>Searched</t>
        </is>
      </c>
      <c r="E21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17" s="77" t="inlineStr">
        <is>
          <t>https://le.ac.uk/study/undergraduates/careers/100-hours; https://le.ac.uk/study/undergraduates/careers/the-leicester-award; https://le.ac.uk/enterprise/recruit-our-students/toolkit</t>
        </is>
      </c>
      <c r="G21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18">
      <c r="A218" s="77" t="inlineStr">
        <is>
          <t>UK09</t>
        </is>
      </c>
      <c r="B218" s="77" t="inlineStr">
        <is>
          <t>Leicester</t>
        </is>
      </c>
      <c r="C218" s="77" t="inlineStr">
        <is>
          <t>Business/management</t>
        </is>
      </c>
      <c r="D218" s="77" t="inlineStr">
        <is>
          <t>Searched</t>
        </is>
      </c>
      <c r="E21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18" s="77" t="inlineStr">
        <is>
          <t>https://le.ac.uk/news/2026/september/businesses-university-leicester-students-ai-economy; https://le.ac.uk/school-of-business/news/events/business-consultancy-competition</t>
        </is>
      </c>
      <c r="G218" s="77" t="inlineStr">
        <is>
          <t>Consultancy Challenge (MK2105) content unverified; new employer-brief AI project (EMPAIP) forthcoming, group format unknown; consultancy competition is a simulation.</t>
        </is>
      </c>
    </row>
    <row r="219">
      <c r="A219" s="77" t="inlineStr">
        <is>
          <t>UK09</t>
        </is>
      </c>
      <c r="B219" s="77" t="inlineStr">
        <is>
          <t>Leicester</t>
        </is>
      </c>
      <c r="C219" s="77" t="inlineStr">
        <is>
          <t>Engineering/computing</t>
        </is>
      </c>
      <c r="D219" s="77" t="inlineStr">
        <is>
          <t>Searched</t>
        </is>
      </c>
      <c r="E21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19" s="77" t="inlineStr">
        <is>
          <t>https://le.ac.uk/computing-and-mathematical-sciences/services-for-business/student-projects; https://le.ac.uk/courses/computer-science-bsc/2027; https://le.ac.uk/courses/space-science-and-engineering-msc/2027</t>
        </is>
      </c>
      <c r="G219" s="77" t="inlineStr">
        <is>
          <t>Second-year software engineering team projects for external clients and the Space MSc industry-supplied Phase A team project are strong routes; engineering MEng group project has only occasional industrial input.</t>
        </is>
      </c>
    </row>
    <row r="220">
      <c r="A220" s="77" t="inlineStr">
        <is>
          <t>UK09</t>
        </is>
      </c>
      <c r="B220" s="77" t="inlineStr">
        <is>
          <t>Leicester</t>
        </is>
      </c>
      <c r="C220" s="77" t="inlineStr">
        <is>
          <t>Science</t>
        </is>
      </c>
      <c r="D220" s="77" t="inlineStr">
        <is>
          <t>Searched</t>
        </is>
      </c>
      <c r="E22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20" s="77" t="inlineStr">
        <is>
          <t>https://le.ac.uk/news/2024/july/green-gown; https://le.ac.uk/about/making-a-difference/sdgs/climate-change; https://le.ac.uk/courses/physics-mphys/2027</t>
        </is>
      </c>
      <c r="G220" s="77" t="inlineStr">
        <is>
          <t>SEPP (NT3100) is a group audit for partner SMEs with 2025/26 delivery evidence; Industrial Mathematics Project is a group project for industrial partners (status unclear); Physics MPhys has a group industrial project option.</t>
        </is>
      </c>
    </row>
    <row r="221">
      <c r="A221" s="77" t="inlineStr">
        <is>
          <t>UK09</t>
        </is>
      </c>
      <c r="B221" s="77" t="inlineStr">
        <is>
          <t>Leicester</t>
        </is>
      </c>
      <c r="C221" s="77" t="inlineStr">
        <is>
          <t>Arts/humanities/social sciences</t>
        </is>
      </c>
      <c r="D221" s="77" t="inlineStr">
        <is>
          <t>Searched</t>
        </is>
      </c>
      <c r="E22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21" s="77" t="inlineStr">
        <is>
          <t>https://le.ac.uk/news/2023/july/nhs-media; https://le.ac.uk/news/2025/april/media-journalism-prestigious-employability-awards</t>
        </is>
      </c>
      <c r="G221" s="77" t="inlineStr">
        <is>
          <t>Client Led Media Production has a documented NHS trust client; team structure not stated. Live Sociology community projects lack external-organisation and group evidence. History/education/archaeology not individually covered by a dedicated search.</t>
        </is>
      </c>
    </row>
    <row r="222">
      <c r="A222" s="77" t="inlineStr">
        <is>
          <t>UK09</t>
        </is>
      </c>
      <c r="B222" s="77" t="inlineStr">
        <is>
          <t>Leicester</t>
        </is>
      </c>
      <c r="C222" s="77" t="inlineStr">
        <is>
          <t>Other (law, health, design, architecture…)</t>
        </is>
      </c>
      <c r="D222" s="77" t="inlineStr">
        <is>
          <t>Searched</t>
        </is>
      </c>
      <c r="E222" s="77" t="inlineStr">
        <is>
          <t>Leicester Law School pro bono clinic students real clients group project; Law in Practice Legal Advice Clinic Community projects module; Leicester pharmacy psychology nursing medicine students project partner organisation team</t>
        </is>
      </c>
      <c r="F222" s="77" t="inlineStr">
        <is>
          <t>https://le.ac.uk/engagement/case-studies/legal-advice; https://le.ac.uk/law/study/careers/pro-bono</t>
        </is>
      </c>
      <c r="G222" s="77" t="inlineStr">
        <is>
          <t>Legal Advice Clinic is individual client casework; Pro Bono Society is extracurricular volunteering; health shows interprofessional simulation only. No qualifying group client project verified.</t>
        </is>
      </c>
    </row>
    <row r="223">
      <c r="A223" s="77" t="inlineStr">
        <is>
          <t>UK10</t>
        </is>
      </c>
      <c r="B223" s="77" t="inlineStr">
        <is>
          <t>Strathclyde</t>
        </is>
      </c>
      <c r="C223" s="77" t="inlineStr">
        <is>
          <t>Central provision</t>
        </is>
      </c>
      <c r="D223" s="77" t="inlineStr">
        <is>
          <t>Searched</t>
        </is>
      </c>
      <c r="E22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23" s="77" t="inlineStr">
        <is>
          <t>https://www.strath.ac.uk/studywithus/verticallyintegratedprojectsforsustainabledevelopment/abouttheprogramme/; https://www.strath.ac.uk/whystrathclyde/employability/employabilityopportunities/; https://www.strath.ac.uk/workwithus/strathclydesolutionsexchange/</t>
        </is>
      </c>
      <c r="G223" s="77" t="inlineStr">
        <is>
          <t>Central provision is VIP4SD (credit-bearing multi-year teams, partner role unclear). Entrepreneurship challenges, Solutions Exchange and Careers employer pages tested and excluded.</t>
        </is>
      </c>
    </row>
    <row r="224">
      <c r="A224" s="77" t="inlineStr">
        <is>
          <t>UK10</t>
        </is>
      </c>
      <c r="B224" s="77" t="inlineStr">
        <is>
          <t>Strathclyde</t>
        </is>
      </c>
      <c r="C224" s="77" t="inlineStr">
        <is>
          <t>Business/management</t>
        </is>
      </c>
      <c r="D224" s="77" t="inlineStr">
        <is>
          <t>Searched</t>
        </is>
      </c>
      <c r="E22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24" s="77" t="inlineStr">
        <is>
          <t>https://www.strath.ac.uk/courses/postgraduatetaught/businessanalysisconsulting/; https://www.sbs.strath.ac.uk/newsletter/2026-03/also-in-the-news/; https://www.strath.ac.uk/business/marketing/industrylinks/; https://www.strath.ac.uk/business/undergraduate/managementdevelopmentprogramme/</t>
        </is>
      </c>
      <c r="G224" s="77" t="inlineStr">
        <is>
          <t>Dense client-project provision in Strathclyde Business School: BEBA (current, 2026 dated), BA Business Analysis &amp; Technology team consultancy, Marketing Works, Consultancy in Practice, MDP (unclear); most pages undated.</t>
        </is>
      </c>
    </row>
    <row r="225">
      <c r="A225" s="77" t="inlineStr">
        <is>
          <t>UK10</t>
        </is>
      </c>
      <c r="B225" s="77" t="inlineStr">
        <is>
          <t>Strathclyde</t>
        </is>
      </c>
      <c r="C225" s="77" t="inlineStr">
        <is>
          <t>Engineering/computing</t>
        </is>
      </c>
      <c r="D225" s="77" t="inlineStr">
        <is>
          <t>Searched</t>
        </is>
      </c>
      <c r="E22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2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2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26">
      <c r="A226" s="77" t="inlineStr">
        <is>
          <t>UK10</t>
        </is>
      </c>
      <c r="B226" s="77" t="inlineStr">
        <is>
          <t>Strathclyde</t>
        </is>
      </c>
      <c r="C226" s="77" t="inlineStr">
        <is>
          <t>Science</t>
        </is>
      </c>
      <c r="D226" s="77" t="inlineStr">
        <is>
          <t>Searched</t>
        </is>
      </c>
      <c r="E226" s="77" t="inlineStr">
        <is>
          <t>physics chemistry mathematics statistics team project industry partner client MSc; Mathematics and Statistics group project external organisation; SIPBS pharmacy biomedical student team project external organisation</t>
        </is>
      </c>
      <c r="F226" s="77" t="inlineStr">
        <is>
          <t>https://www.strath.ac.uk/science/mathematicsstatistics/smart/; https://www.strath.ac.uk/studywithus/verticallyintegratedprojectsforsustainabledevelopment/previousprojects/drugdiscovery/</t>
        </is>
      </c>
      <c r="G226" s="77" t="inlineStr">
        <is>
          <t>No team-based external-client route found; SMART MSc summer projects are individual. Science students participate through VIP4SD (e.g. Drug Discovery team).</t>
        </is>
      </c>
    </row>
    <row r="227">
      <c r="A227" s="77" t="inlineStr">
        <is>
          <t>UK10</t>
        </is>
      </c>
      <c r="B227" s="77" t="inlineStr">
        <is>
          <t>Strathclyde</t>
        </is>
      </c>
      <c r="C227" s="77" t="inlineStr">
        <is>
          <t>Arts/humanities/social sciences</t>
        </is>
      </c>
      <c r="D227" s="77" t="inlineStr">
        <is>
          <t>Searched</t>
        </is>
      </c>
      <c r="E227" s="77" t="inlineStr">
        <is>
          <t>Humanities Social Sciences group project external organisation client consultancy module; Architecture OR Journalism OR Politics live project community client; Psychological Sciences / Education group project partner organisation</t>
        </is>
      </c>
      <c r="F227" s="77" t="inlineStr">
        <is>
          <t>https://www.strath.ac.uk/humanities/engagewithus/consultancy/; https://www.strath.ac.uk/humanities/departmentofhumanities/journalism/</t>
        </is>
      </c>
      <c r="G227" s="77" t="inlineStr">
        <is>
          <t>No verified student group client-project module in HaSS; faculty consultancy is staff-led. Journalism and Politics pages show guest speakers/practice teaching only.</t>
        </is>
      </c>
    </row>
    <row r="228">
      <c r="A228" s="77" t="inlineStr">
        <is>
          <t>UK10</t>
        </is>
      </c>
      <c r="B228" s="77" t="inlineStr">
        <is>
          <t>Strathclyde</t>
        </is>
      </c>
      <c r="C228" s="77" t="inlineStr">
        <is>
          <t>Other (law, health, design, architecture…)</t>
        </is>
      </c>
      <c r="D228" s="77" t="inlineStr">
        <is>
          <t>Searched</t>
        </is>
      </c>
      <c r="E228" s="77" t="inlineStr">
        <is>
          <t>Strathclyde Law Clinic students teams clients; Architecture Individual &amp; Industrial Group Projects live projects; Strathclyde Solutions Exchange</t>
        </is>
      </c>
      <c r="F228" s="77" t="inlineStr">
        <is>
          <t>https://www.strath.ac.uk/humanities/lawschool/lawclinic/; https://www.strath.ac.uk/engineering/architecture/workingwithbusinessorganisations/individualindustrialgroupprojects/</t>
        </is>
      </c>
      <c r="G228" s="77" t="inlineStr">
        <is>
          <t>Law Clinic serves individual members of the public (excluded). Architecture live-project scheme found but group/individual split unclear. Education, health and design partly covered only via VIP4SD.</t>
        </is>
      </c>
    </row>
    <row r="229">
      <c r="A229" s="77" t="inlineStr">
        <is>
          <t>UK11</t>
        </is>
      </c>
      <c r="B229" s="77" t="inlineStr">
        <is>
          <t>Heriot-Watt</t>
        </is>
      </c>
      <c r="C229" s="77" t="inlineStr">
        <is>
          <t>Central provision</t>
        </is>
      </c>
      <c r="D229" s="77" t="inlineStr">
        <is>
          <t>Searched</t>
        </is>
      </c>
      <c r="E229" s="77" t="inlineStr">
        <is>
          <t>Heriot-Watt students team project industry client brief; Heriot-Watt Careers employer challenge students work in teams real business problem</t>
        </is>
      </c>
      <c r="F229" s="77" t="inlineStr">
        <is>
          <t>https://www.hw.ac.uk/news/2025/global-innovation-challenge-2025-celebrates-heriot-watts-next-generation-of-founders; https://www.hw.ac.uk/document-library/recruitment-pack.pdf; https://www.hw.ac.uk/research-enterprise/innovation/global-innovation-challenge</t>
        </is>
      </c>
      <c r="G229" s="77" t="inlineStr">
        <is>
          <t>Only partially searched. Central provision found is the Global Innovation Challenge (student/alumni venture competition, founder-led, no client brief) and Careers micro-placements (two-week placements); no central team employer-project scheme found in two searches.</t>
        </is>
      </c>
    </row>
    <row r="230">
      <c r="A230" s="77" t="inlineStr">
        <is>
          <t>UK11</t>
        </is>
      </c>
      <c r="B230" s="77" t="inlineStr">
        <is>
          <t>Heriot-Watt</t>
        </is>
      </c>
      <c r="C230" s="77" t="inlineStr">
        <is>
          <t>Business/management</t>
        </is>
      </c>
      <c r="D230" s="77" t="inlineStr">
        <is>
          <t>Searched</t>
        </is>
      </c>
      <c r="E230" s="77" t="inlineStr">
        <is>
          <t>Edinburgh Business School Heriot-Watt consultancy project organisation group students course; Curriculum Explorer Heriot-Watt "Consultancy Project" business course group client (extended)</t>
        </is>
      </c>
      <c r="F230" s="77" t="inlineStr">
        <is>
          <t>https://www.hw.ac.uk/study/postgraduate/international-business-management</t>
        </is>
      </c>
      <c r="G230" s="77" t="inlineStr">
        <is>
          <t>Only partially searched. MSc International Business Management ends with a 'company consultancy project'; group format and whether the company is external could not be established before the search budget ran out.</t>
        </is>
      </c>
    </row>
    <row r="231">
      <c r="A231" s="77" t="inlineStr">
        <is>
          <t>UK11</t>
        </is>
      </c>
      <c r="B231" s="77" t="inlineStr">
        <is>
          <t>Heriot-Watt</t>
        </is>
      </c>
      <c r="C231" s="77" t="inlineStr">
        <is>
          <t>Engineering/computing</t>
        </is>
      </c>
      <c r="D231" s="77" t="inlineStr">
        <is>
          <t>Searched</t>
        </is>
      </c>
      <c r="E231" s="77" t="inlineStr">
        <is>
          <t>Heriot-Watt students team project industry client brief (results covered engineering/MACS)</t>
        </is>
      </c>
      <c r="F231" s="77" t="inlineStr">
        <is>
          <t>https://researchportal.hw.ac.uk/en/publications/multidisciplinary-engineering-final-year-project-approaches-and-r/; https://curriculum.hw.ac.uk/coursedetails/B39VS?termcode=202223; https://projects.hw.ac.uk/Proposals/Index</t>
        </is>
      </c>
      <c r="G231" s="77" t="inlineStr">
        <is>
          <t>Incidental results only: a research paper describing a 4th-year multidisciplinary engineering design project to an industrial client's requirements, and the B39VS System Project (team project demonstrated to academic and industry staff, 2022/23). No dedicated engineering/computing searches were run.</t>
        </is>
      </c>
    </row>
    <row r="232">
      <c r="A232" s="77" t="inlineStr">
        <is>
          <t>UK11</t>
        </is>
      </c>
      <c r="B232" s="77" t="inlineStr">
        <is>
          <t>Heriot-Watt</t>
        </is>
      </c>
      <c r="C232" s="77" t="inlineStr">
        <is>
          <t>Science</t>
        </is>
      </c>
      <c r="D232" s="77" t="inlineStr">
        <is>
          <t>Not searched</t>
        </is>
      </c>
      <c r="E232" s="77" t="inlineStr"/>
      <c r="F232" s="77" t="inlineStr"/>
      <c r="G232" s="77" t="inlineStr">
        <is>
          <t>Not searched: shared web-search budget for this turn was exhausted after 4 searches (5th refused).</t>
        </is>
      </c>
    </row>
    <row r="233">
      <c r="A233" s="77" t="inlineStr">
        <is>
          <t>UK11</t>
        </is>
      </c>
      <c r="B233" s="77" t="inlineStr">
        <is>
          <t>Heriot-Watt</t>
        </is>
      </c>
      <c r="C233" s="77" t="inlineStr">
        <is>
          <t>Arts/humanities/social sciences</t>
        </is>
      </c>
      <c r="D233" s="77" t="inlineStr">
        <is>
          <t>Not searched</t>
        </is>
      </c>
      <c r="E233" s="77" t="inlineStr"/>
      <c r="F233" s="77" t="inlineStr"/>
      <c r="G233" s="77" t="inlineStr">
        <is>
          <t>Not searched: shared web-search budget for this turn was exhausted after 4 searches (5th refused).</t>
        </is>
      </c>
    </row>
    <row r="234">
      <c r="A234" s="77" t="inlineStr">
        <is>
          <t>UK11</t>
        </is>
      </c>
      <c r="B234" s="77" t="inlineStr">
        <is>
          <t>Heriot-Watt</t>
        </is>
      </c>
      <c r="C234" s="77" t="inlineStr">
        <is>
          <t>Other (law, health, design, architecture…)</t>
        </is>
      </c>
      <c r="D234" s="77" t="inlineStr">
        <is>
          <t>Not searched</t>
        </is>
      </c>
      <c r="E234" s="77" t="inlineStr"/>
      <c r="F234" s="77" t="inlineStr"/>
      <c r="G234" s="77" t="inlineStr">
        <is>
          <t>Not searched: shared web-search budget for this turn was exhausted after 4 searches (5th refused). Textiles and Design, architecture/built environment and sport (Falkirk FC MoU lead) remain to be searched.</t>
        </is>
      </c>
    </row>
    <row r="235">
      <c r="A235" s="77" t="inlineStr">
        <is>
          <t>UK12</t>
        </is>
      </c>
      <c r="B235" s="77" t="inlineStr">
        <is>
          <t>East Anglia</t>
        </is>
      </c>
      <c r="C235" s="77" t="inlineStr">
        <is>
          <t>Central provision</t>
        </is>
      </c>
      <c r="D235" s="77" t="inlineStr">
        <is>
          <t>Searched</t>
        </is>
      </c>
      <c r="E23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35" s="77" t="inlineStr">
        <is>
          <t>https://mycareercentral.uea.ac.uk/Form.aspx?id=2319836; https://www.uea.ac.uk/web/business/access-entrepreneurship-and-innovation/i-teams; https://www.uea.ac.uk/study/postgraduate/masters-with-placement</t>
        </is>
      </c>
      <c r="G23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36">
      <c r="A236" s="77" t="inlineStr">
        <is>
          <t>UK12</t>
        </is>
      </c>
      <c r="B236" s="77" t="inlineStr">
        <is>
          <t>East Anglia</t>
        </is>
      </c>
      <c r="C236" s="77" t="inlineStr">
        <is>
          <t>Business/management</t>
        </is>
      </c>
      <c r="D236" s="77" t="inlineStr">
        <is>
          <t>Searched</t>
        </is>
      </c>
      <c r="E23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36" s="77" t="inlineStr">
        <is>
          <t>https://www.uea.ac.uk/course/postgraduate/mba-master-of-business-administration-executive-part-time; https://www.uea.ac.uk/course/undergraduate/ba-business-management; https://www.uea.ac.uk/course/postgraduate/msc-business-management</t>
        </is>
      </c>
      <c r="G236" s="77" t="inlineStr">
        <is>
          <t>Executive MBA group consultancy with external client is the clearest qualifying route; full-time MBA live projects, BA Business Management live briefs and MSc industry-sponsored projects are evidenced only at course-page level.</t>
        </is>
      </c>
    </row>
    <row r="237">
      <c r="A237" s="77" t="inlineStr">
        <is>
          <t>UK12</t>
        </is>
      </c>
      <c r="B237" s="77" t="inlineStr">
        <is>
          <t>East Anglia</t>
        </is>
      </c>
      <c r="C237" s="77" t="inlineStr">
        <is>
          <t>Engineering/computing</t>
        </is>
      </c>
      <c r="D237" s="77" t="inlineStr">
        <is>
          <t>Searched</t>
        </is>
      </c>
      <c r="E23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37" s="77" t="inlineStr">
        <is>
          <t>https://www.uea.ac.uk/course/undergraduate/meng-mechanical-engineering; https://www.uea.ac.uk/course/undergraduate/meng-energy-engineering; https://www.uea.ac.uk/course/undergraduate/mcomp-computing-science</t>
        </is>
      </c>
      <c r="G237" s="77" t="inlineStr">
        <is>
          <t>MEng final-year group project is typically built on an industry client brief with site visit and presentation to professional engineers; MComp group project is split between research-group and industry problems.</t>
        </is>
      </c>
    </row>
    <row r="238">
      <c r="A238" s="77" t="inlineStr">
        <is>
          <t>UK12</t>
        </is>
      </c>
      <c r="B238" s="77" t="inlineStr">
        <is>
          <t>East Anglia</t>
        </is>
      </c>
      <c r="C238" s="77" t="inlineStr">
        <is>
          <t>Science</t>
        </is>
      </c>
      <c r="D238" s="77" t="inlineStr">
        <is>
          <t>Searched</t>
        </is>
      </c>
      <c r="E23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38" s="77" t="inlineStr">
        <is>
          <t>https://www.uea.ac.uk/course/postgraduate/msc-sustainability-and-society; https://www.uea.ac.uk/course/postgraduate/msc-applied-ecology-and-conservation</t>
        </is>
      </c>
      <c r="G238" s="77" t="inlineStr">
        <is>
          <t>No verified team project with external client in the natural sciences; MSc Sustainability and Society core modules use partner organisations (details unclear); Data Science MSc dissertations may be with industry partners (individual).</t>
        </is>
      </c>
    </row>
    <row r="239">
      <c r="A239" s="77" t="inlineStr">
        <is>
          <t>UK12</t>
        </is>
      </c>
      <c r="B239" s="77" t="inlineStr">
        <is>
          <t>East Anglia</t>
        </is>
      </c>
      <c r="C239" s="77" t="inlineStr">
        <is>
          <t>Arts/humanities/social sciences</t>
        </is>
      </c>
      <c r="D239" s="77" t="inlineStr">
        <is>
          <t>Searched</t>
        </is>
      </c>
      <c r="E23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39" s="77" t="inlineStr">
        <is>
          <t>https://www.uea.ac.uk/course/undergraduate/bsc-economics; https://www.uea.ac.uk/course/postgraduate/ma-media-and-global-development</t>
        </is>
      </c>
      <c r="G239" s="77" t="inlineStr">
        <is>
          <t>Economics consulting project option and MA Media, Communication and Global Development live partner project (named charities/media bodies) found; group vs individual working not established for either.</t>
        </is>
      </c>
    </row>
    <row r="240">
      <c r="A240" s="77" t="inlineStr">
        <is>
          <t>UK12</t>
        </is>
      </c>
      <c r="B240" s="77" t="inlineStr">
        <is>
          <t>East Anglia</t>
        </is>
      </c>
      <c r="C240" s="77" t="inlineStr">
        <is>
          <t>Other (law, health, design, architecture…)</t>
        </is>
      </c>
      <c r="D240" s="77" t="inlineStr">
        <is>
          <t>Searched</t>
        </is>
      </c>
      <c r="E240" s="77" t="inlineStr">
        <is>
          <t>UEA Law Clinic OR social work OR Education OR Medicine students group project external organisation community partner</t>
        </is>
      </c>
      <c r="F240" s="77" t="inlineStr">
        <is>
          <t>https://lawclinic.uea.ac.uk/what-our-students-do/</t>
        </is>
      </c>
      <c r="G240" s="77" t="inlineStr">
        <is>
          <t>Only the voluntary Law Clinic was found (excluded). A follow-up health sciences/education/social work query was refused by the search limit; those schools remain unsearched.</t>
        </is>
      </c>
    </row>
    <row r="241">
      <c r="A241" s="77" t="inlineStr">
        <is>
          <t>UK14</t>
        </is>
      </c>
      <c r="B241" s="77" t="inlineStr">
        <is>
          <t>Swansea</t>
        </is>
      </c>
      <c r="C241" s="77" t="inlineStr">
        <is>
          <t>Central provision</t>
        </is>
      </c>
      <c r="D241" s="77" t="inlineStr">
        <is>
          <t>Searched</t>
        </is>
      </c>
      <c r="E241" s="77" t="inlineStr">
        <is>
          <t>Swansea University student consultancy project live client team; Swansea Employability Academy employability awards discovery project employer</t>
        </is>
      </c>
      <c r="F241" s="77" t="inlineStr">
        <is>
          <t>https://hwb.swansea.ac.uk/employability-enterprise/employability-awards/; https://hwb.swansea.ac.uk/employability-enterprise/student-enterprise/; https://www.swansea.ac.uk/business-and-industry/recruit-our-talent/go-wales/</t>
        </is>
      </c>
      <c r="G241"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42">
      <c r="A242" s="77" t="inlineStr">
        <is>
          <t>UK14</t>
        </is>
      </c>
      <c r="B242" s="77" t="inlineStr">
        <is>
          <t>Swansea</t>
        </is>
      </c>
      <c r="C242" s="77" t="inlineStr">
        <is>
          <t>Business/management</t>
        </is>
      </c>
      <c r="D242" s="77" t="inlineStr">
        <is>
          <t>Searched</t>
        </is>
      </c>
      <c r="E242" s="77" t="inlineStr">
        <is>
          <t>Swansea School of Management "Business Consultancy Project" module group live client; Swansea University module consultancy project students work in teams with organisation client report presentation</t>
        </is>
      </c>
      <c r="F242" s="77" t="inlineStr">
        <is>
          <t>https://www.swansea.ac.uk/undergraduate/courses/social-sciences/economics/bsc-economics-business/; https://www.swansea.ac.uk/undergraduate/courses/som/marketing/bsc-marketing/; https://www.swansea.ac.uk/postgraduate/taught/som/business-management/msc-project-management/</t>
        </is>
      </c>
      <c r="G242"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43">
      <c r="A243" s="77" t="inlineStr">
        <is>
          <t>UK14</t>
        </is>
      </c>
      <c r="B243" s="77" t="inlineStr">
        <is>
          <t>Swansea</t>
        </is>
      </c>
      <c r="C243" s="77" t="inlineStr">
        <is>
          <t>Engineering/computing</t>
        </is>
      </c>
      <c r="D243" s="77" t="inlineStr">
        <is>
          <t>Searched</t>
        </is>
      </c>
      <c r="E243" s="77" t="inlineStr">
        <is>
          <t>Swansea Computer Science group software engineering project industry client external; Swansea engineering "group project" industry sponsored final year team design</t>
        </is>
      </c>
      <c r="F243" s="77" t="inlineStr">
        <is>
          <t>https://www.swansea.ac.uk/undergraduate/courses/aerospace-civil-electrical-mechanical-engineering/civil-engineering/beng-civil-engineering/; https://www.swansea.ac.uk/undergraduate/courses/maths-comp-sci/computer-science/bsc-computer-science/</t>
        </is>
      </c>
      <c r="G243"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44">
      <c r="A244" s="77" t="inlineStr">
        <is>
          <t>UK14</t>
        </is>
      </c>
      <c r="B244" s="77" t="inlineStr">
        <is>
          <t>Swansea</t>
        </is>
      </c>
      <c r="C244" s="77" t="inlineStr">
        <is>
          <t>Science</t>
        </is>
      </c>
      <c r="D244" s="77" t="inlineStr">
        <is>
          <t>Not searched</t>
        </is>
      </c>
      <c r="E244" s="77" t="inlineStr"/>
      <c r="F244" s="77" t="inlineStr"/>
      <c r="G244" s="77" t="inlineStr">
        <is>
          <t>Not searched: the shared WebSearch budget for the run (200 calls across all agents) ran out after 6 searches on this institution.</t>
        </is>
      </c>
    </row>
    <row r="245">
      <c r="A245" s="77" t="inlineStr">
        <is>
          <t>UK14</t>
        </is>
      </c>
      <c r="B245" s="77" t="inlineStr">
        <is>
          <t>Swansea</t>
        </is>
      </c>
      <c r="C245" s="77" t="inlineStr">
        <is>
          <t>Arts/humanities/social sciences</t>
        </is>
      </c>
      <c r="D245" s="77" t="inlineStr">
        <is>
          <t>Not searched</t>
        </is>
      </c>
      <c r="E245" s="77" t="inlineStr"/>
      <c r="F245" s="77" t="inlineStr"/>
      <c r="G245" s="77" t="inlineStr">
        <is>
          <t>Not searched: the shared WebSearch budget for the run (200 calls across all agents) ran out after 6 searches on this institution. (Economics and Business was covered under business.)</t>
        </is>
      </c>
    </row>
    <row r="246">
      <c r="A246" s="77" t="inlineStr">
        <is>
          <t>UK14</t>
        </is>
      </c>
      <c r="B246" s="77" t="inlineStr">
        <is>
          <t>Swansea</t>
        </is>
      </c>
      <c r="C246" s="77" t="inlineStr">
        <is>
          <t>Other (law, health, design, architecture…)</t>
        </is>
      </c>
      <c r="D246" s="77" t="inlineStr">
        <is>
          <t>Not searched</t>
        </is>
      </c>
      <c r="E246" s="77" t="inlineStr"/>
      <c r="F246" s="77" t="inlineStr"/>
      <c r="G246" s="77" t="inlineStr">
        <is>
          <t>Not searched: the shared WebSearch budget for the run (200 calls across all agents) ran out after 6 searches on this institution. Law, Medicine/Health and Sport were not covered. Only a sport psychology consultancy-skills module (SR-M31) surfaced incidentally, with no client evidence.</t>
        </is>
      </c>
    </row>
    <row r="247">
      <c r="A247" s="77" t="inlineStr">
        <is>
          <t>UK15</t>
        </is>
      </c>
      <c r="B247" s="77" t="inlineStr">
        <is>
          <t>Essex</t>
        </is>
      </c>
      <c r="C247" s="77" t="inlineStr">
        <is>
          <t>Central provision</t>
        </is>
      </c>
      <c r="D247" s="77" t="inlineStr">
        <is>
          <t>Searched</t>
        </is>
      </c>
      <c r="E247"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47" s="77" t="inlineStr">
        <is>
          <t>https://www.essex.ac.uk/events/2025/02/04/iteams-2025; https://www.essex.ac.uk/business/recruit-our-students-and-graduates; https://www.essex.ac.uk/staff/academic-standards-and-quality/work-based-learning; https://www.essex.ac.uk/news/2025/12/17/new-cybersecurity-programme-proves-big-hit-with-businesses</t>
        </is>
      </c>
      <c r="G247"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48">
      <c r="A248" s="77" t="inlineStr">
        <is>
          <t>UK15</t>
        </is>
      </c>
      <c r="B248" s="77" t="inlineStr">
        <is>
          <t>Essex</t>
        </is>
      </c>
      <c r="C248" s="77" t="inlineStr">
        <is>
          <t>Business/management</t>
        </is>
      </c>
      <c r="D248" s="77" t="inlineStr">
        <is>
          <t>Searched</t>
        </is>
      </c>
      <c r="E248"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48"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48" s="77" t="inlineStr">
        <is>
          <t>EBS has consultancy routes with real organisations (MBA project, Marketing Management module, BHRM capstone option) but the MBA and capstone are individual and the Marketing Management project's group status and client role are unclear.</t>
        </is>
      </c>
    </row>
    <row r="249">
      <c r="A249" s="77" t="inlineStr">
        <is>
          <t>UK15</t>
        </is>
      </c>
      <c r="B249" s="77" t="inlineStr">
        <is>
          <t>Essex</t>
        </is>
      </c>
      <c r="C249" s="77" t="inlineStr">
        <is>
          <t>Engineering/computing</t>
        </is>
      </c>
      <c r="D249" s="77" t="inlineStr">
        <is>
          <t>Searched</t>
        </is>
      </c>
      <c r="E249" s="77" t="inlineStr">
        <is>
          <t>Essex Computer Science Team Project Challenge CE206 module small team external client requirement</t>
        </is>
      </c>
      <c r="F249" s="77" t="inlineStr">
        <is>
          <t>https://www1.essex.ac.uk/modules/Default.aspx?coursecode=CE101&amp;level=4&amp;period=FY&amp;campus=CO; https://www.essex.ac.uk/courses/ug00069/1/bsc-computer-science</t>
        </is>
      </c>
      <c r="G249" s="77" t="inlineStr">
        <is>
          <t>CS Team Project Challenge (CE101) is team-based but students choose their project to given attributes (no external client). CS capstone can use external company descriptions with a company mentor but is individual. Engineering not yet searched.</t>
        </is>
      </c>
    </row>
    <row r="250">
      <c r="A250" s="77" t="inlineStr">
        <is>
          <t>UK15</t>
        </is>
      </c>
      <c r="B250" s="77" t="inlineStr">
        <is>
          <t>Essex</t>
        </is>
      </c>
      <c r="C250" s="77" t="inlineStr">
        <is>
          <t>Science</t>
        </is>
      </c>
      <c r="D250" s="77" t="inlineStr">
        <is>
          <t>Searched</t>
        </is>
      </c>
      <c r="E250" s="77" t="inlineStr">
        <is>
          <t>Essex Industry and Placements team work-based learning module live employer projects</t>
        </is>
      </c>
      <c r="F250" s="77" t="inlineStr">
        <is>
          <t>https://www.essex.ac.uk/staff/academic-standards-and-quality/work-based-learning</t>
        </is>
      </c>
      <c r="G250" s="77" t="inlineStr">
        <is>
          <t>Only incidental evidence: Biomedical Science/Actuarial course pages mention WBL modules with live employer projects; not assessed in detail.</t>
        </is>
      </c>
    </row>
    <row r="251">
      <c r="A251" s="77" t="inlineStr">
        <is>
          <t>UK15</t>
        </is>
      </c>
      <c r="B251" s="77" t="inlineStr">
        <is>
          <t>Essex</t>
        </is>
      </c>
      <c r="C251" s="77" t="inlineStr">
        <is>
          <t>Arts/humanities/social sciences</t>
        </is>
      </c>
      <c r="D251" s="77" t="inlineStr">
        <is>
          <t>Not searched</t>
        </is>
      </c>
      <c r="E251" s="77" t="inlineStr"/>
      <c r="F251" s="77" t="inlineStr"/>
      <c r="G251" s="77" t="inlineStr">
        <is>
          <t>Not searched: session search limit reached.</t>
        </is>
      </c>
    </row>
    <row r="252">
      <c r="A252" s="77" t="inlineStr">
        <is>
          <t>UK15</t>
        </is>
      </c>
      <c r="B252" s="77" t="inlineStr">
        <is>
          <t>Essex</t>
        </is>
      </c>
      <c r="C252" s="77" t="inlineStr">
        <is>
          <t>Other (law, health, design, architecture…)</t>
        </is>
      </c>
      <c r="D252" s="77" t="inlineStr">
        <is>
          <t>Not searched</t>
        </is>
      </c>
      <c r="E252" s="77" t="inlineStr"/>
      <c r="F252" s="77" t="inlineStr"/>
      <c r="G252" s="77" t="inlineStr">
        <is>
          <t>Not searched (law, health, nursing, etc.): session search limit reached.</t>
        </is>
      </c>
    </row>
    <row r="253">
      <c r="A253" s="77" t="inlineStr">
        <is>
          <t>UK17</t>
        </is>
      </c>
      <c r="B253" s="77" t="inlineStr">
        <is>
          <t>Brunel</t>
        </is>
      </c>
      <c r="C253" s="77" t="inlineStr">
        <is>
          <t>Central provision</t>
        </is>
      </c>
      <c r="D253" s="77" t="inlineStr">
        <is>
          <t>Searched</t>
        </is>
      </c>
      <c r="E253" s="77" t="inlineStr">
        <is>
          <t>Brunel students employer challenge team project central Student Professional Development 2025</t>
        </is>
      </c>
      <c r="F253" s="77" t="inlineStr">
        <is>
          <t>https://www.brunel.ac.uk/student-professional-development; https://students.brunel.ac.uk/whats-on/enterprise-mobility-challenge-launch; https://www.brunel.ac.uk/Student-Professional-Development/entrepreneur-hub/news-and-events/news/Brunel-Software-Innovation-2025</t>
        </is>
      </c>
      <c r="G253" s="77" t="inlineStr">
        <is>
          <t>Student Professional Development hosts placements, Design+ and one-off employer challenges (Enterprise Mobility Challenge 2025); no university-wide group project route found.</t>
        </is>
      </c>
    </row>
    <row r="254">
      <c r="A254" s="77" t="inlineStr">
        <is>
          <t>UK17</t>
        </is>
      </c>
      <c r="B254" s="77" t="inlineStr">
        <is>
          <t>Brunel</t>
        </is>
      </c>
      <c r="C254" s="77" t="inlineStr">
        <is>
          <t>Business/management</t>
        </is>
      </c>
      <c r="D254" s="77" t="inlineStr">
        <is>
          <t>Searched</t>
        </is>
      </c>
      <c r="E254"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54" s="77" t="inlineStr">
        <is>
          <t>https://www.brunel.ac.uk/about/business-school/why-study-at-brunel-business-school/co-innovate/BBS-Co-Innovate-Collaborative-Projects; https://www.brunel.ac.uk/study/courses/business-management-with-entrepreneurship-bsc; https://www.brunel.ac.uk/study/courses/project-management-msc</t>
        </is>
      </c>
      <c r="G254" s="77" t="inlineStr">
        <is>
          <t>Co-Innovate SME-client projects (individual or small team) are the main route; MSc Project Management and MBA mention live consultancy but evidence is thin.</t>
        </is>
      </c>
    </row>
    <row r="255">
      <c r="A255" s="77" t="inlineStr">
        <is>
          <t>UK17</t>
        </is>
      </c>
      <c r="B255" s="77" t="inlineStr">
        <is>
          <t>Brunel</t>
        </is>
      </c>
      <c r="C255" s="77" t="inlineStr">
        <is>
          <t>Engineering/computing</t>
        </is>
      </c>
      <c r="D255" s="77" t="inlineStr">
        <is>
          <t>Not searched</t>
        </is>
      </c>
      <c r="E255" s="77" t="inlineStr"/>
      <c r="F255" s="77" t="inlineStr"/>
      <c r="G255" s="77" t="inlineStr">
        <is>
          <t>Not searched: search limit.</t>
        </is>
      </c>
    </row>
    <row r="256">
      <c r="A256" s="77" t="inlineStr">
        <is>
          <t>UK17</t>
        </is>
      </c>
      <c r="B256" s="77" t="inlineStr">
        <is>
          <t>Brunel</t>
        </is>
      </c>
      <c r="C256" s="77" t="inlineStr">
        <is>
          <t>Science</t>
        </is>
      </c>
      <c r="D256" s="77" t="inlineStr">
        <is>
          <t>Not searched</t>
        </is>
      </c>
      <c r="E256" s="77" t="inlineStr"/>
      <c r="F256" s="77" t="inlineStr"/>
      <c r="G256" s="77" t="inlineStr">
        <is>
          <t>Not searched: search limit.</t>
        </is>
      </c>
    </row>
    <row r="257">
      <c r="A257" s="77" t="inlineStr">
        <is>
          <t>UK17</t>
        </is>
      </c>
      <c r="B257" s="77" t="inlineStr">
        <is>
          <t>Brunel</t>
        </is>
      </c>
      <c r="C257" s="77" t="inlineStr">
        <is>
          <t>Arts/humanities/social sciences</t>
        </is>
      </c>
      <c r="D257" s="77" t="inlineStr">
        <is>
          <t>Not searched</t>
        </is>
      </c>
      <c r="E257" s="77" t="inlineStr"/>
      <c r="F257" s="77" t="inlineStr">
        <is>
          <t>https://www.brunel.ac.uk/study/courses/global-challenges-basc</t>
        </is>
      </c>
      <c r="G257" s="77" t="inlineStr">
        <is>
          <t>Not searched directly: search limit. Global Challenges BASc surfaced incidentally in a central search.</t>
        </is>
      </c>
    </row>
    <row r="258">
      <c r="A258" s="77" t="inlineStr">
        <is>
          <t>UK17</t>
        </is>
      </c>
      <c r="B258" s="77" t="inlineStr">
        <is>
          <t>Brunel</t>
        </is>
      </c>
      <c r="C258" s="77" t="inlineStr">
        <is>
          <t>Other (law, health, design, architecture…)</t>
        </is>
      </c>
      <c r="D258" s="77" t="inlineStr">
        <is>
          <t>Searched</t>
        </is>
      </c>
      <c r="E258" s="77" t="inlineStr">
        <is>
          <t>Brunel Design Brunel Industrial Design industry sponsored project students external client</t>
        </is>
      </c>
      <c r="F258" s="77" t="inlineStr">
        <is>
          <t>https://www.brunel.ac.uk/brunel-design-school/design-plus/design-plus; https://www.brunel.ac.uk/study/courses/sustainability-entrepreneurship-and-design-msc</t>
        </is>
      </c>
      <c r="G258" s="77" t="inlineStr">
        <is>
          <t>Brunel Design School has Design+ industry final-year projects, live briefs and PG live studio projects; extended evidence not obtained.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45"/>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123 warnings across 44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science: search area status: Not searched</t>
        </is>
      </c>
    </row>
    <row r="73">
      <c r="A73" s="32" t="inlineStr">
        <is>
          <t>WARN RG23</t>
        </is>
      </c>
      <c r="B73" s="32" t="inlineStr">
        <is>
          <t>other: search area status: Not searched</t>
        </is>
      </c>
    </row>
    <row r="74">
      <c r="A74" s="32" t="inlineStr">
        <is>
          <t>WARN RG23</t>
        </is>
      </c>
      <c r="B74" s="32" t="inlineStr">
        <is>
          <t>RG23-S02: employer-connected Yes but partner type Unclear</t>
        </is>
      </c>
    </row>
    <row r="75">
      <c r="A75" s="32" t="inlineStr">
        <is>
          <t>WARN RG23</t>
        </is>
      </c>
      <c r="B75" s="32" t="inlineStr">
        <is>
          <t>RG23-S04: employer-connected Yes but partner type Unclear</t>
        </is>
      </c>
    </row>
    <row r="76">
      <c r="A76" s="32" t="inlineStr">
        <is>
          <t>WARN RG23</t>
        </is>
      </c>
      <c r="B76" s="32" t="inlineStr">
        <is>
          <t>RG23-S10: employer-connected Yes but partner type Unclear</t>
        </is>
      </c>
    </row>
    <row r="77">
      <c r="A77" s="32" t="inlineStr">
        <is>
          <t>WARN RG24</t>
        </is>
      </c>
      <c r="B77" s="32" t="inlineStr">
        <is>
          <t>RG24-S08: group=Yes but group evidence mentions individual work</t>
        </is>
      </c>
    </row>
    <row r="78">
      <c r="A78" s="32" t="inlineStr">
        <is>
          <t>WARN RG24</t>
        </is>
      </c>
      <c r="B78" s="32" t="inlineStr">
        <is>
          <t>RG24-S09: group=Yes but group evidence mentions individual work</t>
        </is>
      </c>
    </row>
    <row r="79">
      <c r="A79" s="32" t="inlineStr">
        <is>
          <t>WARN RG24</t>
        </is>
      </c>
      <c r="B79" s="32" t="inlineStr">
        <is>
          <t>RG24-S12: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other: search area status: Not searched</t>
        </is>
      </c>
    </row>
    <row r="95">
      <c r="A95" s="32" t="inlineStr">
        <is>
          <t>WARN AU03</t>
        </is>
      </c>
      <c r="B95" s="32" t="inlineStr">
        <is>
          <t>AU03-S07: employer-connected Yes but partner type Unclear</t>
        </is>
      </c>
    </row>
    <row r="96">
      <c r="A96" s="32" t="inlineStr">
        <is>
          <t>WARN AU03</t>
        </is>
      </c>
      <c r="B96" s="32" t="inlineStr">
        <is>
          <t>AU03-S09: employer-connected Yes but partner type Unclear</t>
        </is>
      </c>
    </row>
    <row r="97">
      <c r="A97" s="32" t="inlineStr">
        <is>
          <t>WARN AU06</t>
        </is>
      </c>
      <c r="B97" s="32" t="inlineStr">
        <is>
          <t>science: search area status: Not searched</t>
        </is>
      </c>
    </row>
    <row r="98">
      <c r="A98" s="32" t="inlineStr">
        <is>
          <t>WARN AU06</t>
        </is>
      </c>
      <c r="B98" s="32" t="inlineStr">
        <is>
          <t>arts_humanities_social_sciences: search area status: Not searched</t>
        </is>
      </c>
    </row>
    <row r="99">
      <c r="A99" s="32" t="inlineStr">
        <is>
          <t>WARN AU06</t>
        </is>
      </c>
      <c r="B99" s="32" t="inlineStr">
        <is>
          <t>other: search area status: Not searched</t>
        </is>
      </c>
    </row>
    <row r="100">
      <c r="A100" s="32" t="inlineStr">
        <is>
          <t>WARN AU06</t>
        </is>
      </c>
      <c r="B100" s="32" t="inlineStr">
        <is>
          <t>AU06-S02: possible simulation marked employer-connected — check</t>
        </is>
      </c>
    </row>
    <row r="101">
      <c r="A101" s="32" t="inlineStr">
        <is>
          <t>WARN AU09</t>
        </is>
      </c>
      <c r="B101" s="32" t="inlineStr">
        <is>
          <t>business: search area status: Not searched</t>
        </is>
      </c>
    </row>
    <row r="102">
      <c r="A102" s="32" t="inlineStr">
        <is>
          <t>WARN AU09</t>
        </is>
      </c>
      <c r="B102" s="32" t="inlineStr">
        <is>
          <t>engineering_computing: search area status: Not searched</t>
        </is>
      </c>
    </row>
    <row r="103">
      <c r="A103" s="32" t="inlineStr">
        <is>
          <t>WARN AU09</t>
        </is>
      </c>
      <c r="B103" s="32" t="inlineStr">
        <is>
          <t>science: search area status: Not searched</t>
        </is>
      </c>
    </row>
    <row r="104">
      <c r="A104" s="32" t="inlineStr">
        <is>
          <t>WARN AU09</t>
        </is>
      </c>
      <c r="B104" s="32" t="inlineStr">
        <is>
          <t>arts_humanities_social_sciences: search area status: Not searched</t>
        </is>
      </c>
    </row>
    <row r="105">
      <c r="A105" s="32" t="inlineStr">
        <is>
          <t>WARN AU09</t>
        </is>
      </c>
      <c r="B105" s="32" t="inlineStr">
        <is>
          <t>other: search area status: Not searched</t>
        </is>
      </c>
    </row>
    <row r="106">
      <c r="A106" s="32" t="inlineStr">
        <is>
          <t>WARN UK02</t>
        </is>
      </c>
      <c r="B106" s="32" t="inlineStr">
        <is>
          <t>science: search area status: Not searched</t>
        </is>
      </c>
    </row>
    <row r="107">
      <c r="A107" s="32" t="inlineStr">
        <is>
          <t>WARN UK02</t>
        </is>
      </c>
      <c r="B107" s="32" t="inlineStr">
        <is>
          <t>arts_humanities_social_sciences: search area status: Not searched</t>
        </is>
      </c>
    </row>
    <row r="108">
      <c r="A108" s="32" t="inlineStr">
        <is>
          <t>WARN UK02</t>
        </is>
      </c>
      <c r="B108" s="32" t="inlineStr">
        <is>
          <t>other: search area status: Not searched</t>
        </is>
      </c>
    </row>
    <row r="109">
      <c r="A109" s="32" t="inlineStr">
        <is>
          <t>WARN UK03</t>
        </is>
      </c>
      <c r="B109" s="32" t="inlineStr">
        <is>
          <t>UK03-S03: employer-connected Yes but partner type Unclear</t>
        </is>
      </c>
    </row>
    <row r="110">
      <c r="A110" s="32" t="inlineStr">
        <is>
          <t>WARN UK03</t>
        </is>
      </c>
      <c r="B110" s="32" t="inlineStr">
        <is>
          <t>UK03-S11: group=Yes but group evidence mentions individual work</t>
        </is>
      </c>
    </row>
    <row r="111">
      <c r="A111" s="32" t="inlineStr">
        <is>
          <t>WARN UK03</t>
        </is>
      </c>
      <c r="B111" s="32" t="inlineStr">
        <is>
          <t>UK03-S15: employer-connected Yes but partner type Unclear</t>
        </is>
      </c>
    </row>
    <row r="112">
      <c r="A112" s="32" t="inlineStr">
        <is>
          <t>WARN UK05</t>
        </is>
      </c>
      <c r="B112" s="32" t="inlineStr">
        <is>
          <t>business: search area status: Not searched</t>
        </is>
      </c>
    </row>
    <row r="113">
      <c r="A113" s="32" t="inlineStr">
        <is>
          <t>WARN UK05</t>
        </is>
      </c>
      <c r="B113" s="32" t="inlineStr">
        <is>
          <t>science: search area status: Not searched</t>
        </is>
      </c>
    </row>
    <row r="114">
      <c r="A114" s="32" t="inlineStr">
        <is>
          <t>WARN UK05</t>
        </is>
      </c>
      <c r="B114" s="32" t="inlineStr">
        <is>
          <t>arts_humanities_social_sciences: search area status: Not searched</t>
        </is>
      </c>
    </row>
    <row r="115">
      <c r="A115" s="32" t="inlineStr">
        <is>
          <t>WARN UK05</t>
        </is>
      </c>
      <c r="B115" s="32" t="inlineStr">
        <is>
          <t>other: search area status: Not searched</t>
        </is>
      </c>
    </row>
    <row r="116">
      <c r="A116" s="32" t="inlineStr">
        <is>
          <t>WARN UK05</t>
        </is>
      </c>
      <c r="B116" s="32" t="inlineStr">
        <is>
          <t>UK05-S01: employer-connected Yes but partner type Unclear</t>
        </is>
      </c>
    </row>
    <row r="117">
      <c r="A117" s="32" t="inlineStr">
        <is>
          <t>WARN UK05</t>
        </is>
      </c>
      <c r="B117" s="32" t="inlineStr">
        <is>
          <t>UK05-S03: employer-connected Yes but partner type Unclear</t>
        </is>
      </c>
    </row>
    <row r="118">
      <c r="A118" s="32" t="inlineStr">
        <is>
          <t>WARN UK05</t>
        </is>
      </c>
      <c r="B118" s="32" t="inlineStr">
        <is>
          <t>UK05-S04: employer-connected Yes but partner type Unclear</t>
        </is>
      </c>
    </row>
    <row r="119">
      <c r="A119" s="32" t="inlineStr">
        <is>
          <t>WARN UK06</t>
        </is>
      </c>
      <c r="B119" s="32" t="inlineStr">
        <is>
          <t>UK06-S02: group=Yes but group evidence mentions individual work</t>
        </is>
      </c>
    </row>
    <row r="120">
      <c r="A120" s="32" t="inlineStr">
        <is>
          <t>WARN UK06</t>
        </is>
      </c>
      <c r="B120" s="32" t="inlineStr">
        <is>
          <t>UK06-S08: group=Yes but group evidence mentions individual work</t>
        </is>
      </c>
    </row>
    <row r="121">
      <c r="A121" s="32" t="inlineStr">
        <is>
          <t>WARN UK07</t>
        </is>
      </c>
      <c r="B121" s="32" t="inlineStr">
        <is>
          <t>UK07-S01: employer-connected Yes but partner type Unclear</t>
        </is>
      </c>
    </row>
    <row r="122">
      <c r="A122" s="32" t="inlineStr">
        <is>
          <t>WARN UK07</t>
        </is>
      </c>
      <c r="B122" s="32" t="inlineStr">
        <is>
          <t>UK07-S02: employer-connected Yes but partner type Unclear</t>
        </is>
      </c>
    </row>
    <row r="123">
      <c r="A123" s="32" t="inlineStr">
        <is>
          <t>WARN UK08</t>
        </is>
      </c>
      <c r="B123" s="32" t="inlineStr">
        <is>
          <t>engineering_computing: search area status: Not searched</t>
        </is>
      </c>
    </row>
    <row r="124">
      <c r="A124" s="32" t="inlineStr">
        <is>
          <t>WARN UK08</t>
        </is>
      </c>
      <c r="B124" s="32" t="inlineStr">
        <is>
          <t>science: search area status: Not searched</t>
        </is>
      </c>
    </row>
    <row r="125">
      <c r="A125" s="32" t="inlineStr">
        <is>
          <t>WARN UK08</t>
        </is>
      </c>
      <c r="B125" s="32" t="inlineStr">
        <is>
          <t>arts_humanities_social_sciences: search area status: Not searched</t>
        </is>
      </c>
    </row>
    <row r="126">
      <c r="A126" s="32" t="inlineStr">
        <is>
          <t>WARN UK08</t>
        </is>
      </c>
      <c r="B126" s="32" t="inlineStr">
        <is>
          <t>other: search area status: Not searched</t>
        </is>
      </c>
    </row>
    <row r="127">
      <c r="A127" s="32" t="inlineStr">
        <is>
          <t>WARN UK08</t>
        </is>
      </c>
      <c r="B127" s="32" t="inlineStr">
        <is>
          <t>UK08-S03: employer-connected Yes but partner type Unclear</t>
        </is>
      </c>
    </row>
    <row r="128">
      <c r="A128" s="32" t="inlineStr">
        <is>
          <t>WARN UK09</t>
        </is>
      </c>
      <c r="B128" s="32" t="inlineStr">
        <is>
          <t>UK09-S01: employer-connected Yes but partner type Unclear</t>
        </is>
      </c>
    </row>
    <row r="129">
      <c r="A129" s="32" t="inlineStr">
        <is>
          <t>WARN UK09</t>
        </is>
      </c>
      <c r="B129" s="32" t="inlineStr">
        <is>
          <t>UK09-S03: group=Yes but group evidence mentions individual work</t>
        </is>
      </c>
    </row>
    <row r="130">
      <c r="A130" s="32" t="inlineStr">
        <is>
          <t>WARN UK11</t>
        </is>
      </c>
      <c r="B130" s="32" t="inlineStr">
        <is>
          <t>science: search area status: Not searched</t>
        </is>
      </c>
    </row>
    <row r="131">
      <c r="A131" s="32" t="inlineStr">
        <is>
          <t>WARN UK11</t>
        </is>
      </c>
      <c r="B131" s="32" t="inlineStr">
        <is>
          <t>arts_humanities_social_sciences: search area status: Not searched</t>
        </is>
      </c>
    </row>
    <row r="132">
      <c r="A132" s="32" t="inlineStr">
        <is>
          <t>WARN UK11</t>
        </is>
      </c>
      <c r="B132" s="32" t="inlineStr">
        <is>
          <t>other: search area status: Not searched</t>
        </is>
      </c>
    </row>
    <row r="133">
      <c r="A133" s="32" t="inlineStr">
        <is>
          <t>WARN UK12</t>
        </is>
      </c>
      <c r="B133" s="32" t="inlineStr">
        <is>
          <t>UK12-S03: employer-connected Yes but partner type Unclear</t>
        </is>
      </c>
    </row>
    <row r="134">
      <c r="A134" s="32" t="inlineStr">
        <is>
          <t>WARN UK12</t>
        </is>
      </c>
      <c r="B134" s="32" t="inlineStr">
        <is>
          <t>UK12-S07: employer-connected Yes but partner type Unclear</t>
        </is>
      </c>
    </row>
    <row r="135">
      <c r="A135" s="32" t="inlineStr">
        <is>
          <t>WARN UK12</t>
        </is>
      </c>
      <c r="B135" s="32" t="inlineStr">
        <is>
          <t>UK12-S12: employer-connected Yes but partner type Unclear</t>
        </is>
      </c>
    </row>
    <row r="136">
      <c r="A136" s="32" t="inlineStr">
        <is>
          <t>WARN UK14</t>
        </is>
      </c>
      <c r="B136" s="32" t="inlineStr">
        <is>
          <t>science: search area status: Not searched</t>
        </is>
      </c>
    </row>
    <row r="137">
      <c r="A137" s="32" t="inlineStr">
        <is>
          <t>WARN UK14</t>
        </is>
      </c>
      <c r="B137" s="32" t="inlineStr">
        <is>
          <t>arts_humanities_social_sciences: search area status: Not searched</t>
        </is>
      </c>
    </row>
    <row r="138">
      <c r="A138" s="32" t="inlineStr">
        <is>
          <t>WARN UK14</t>
        </is>
      </c>
      <c r="B138" s="32" t="inlineStr">
        <is>
          <t>other: search area status: Not searched</t>
        </is>
      </c>
    </row>
    <row r="139">
      <c r="A139" s="32" t="inlineStr">
        <is>
          <t>WARN UK14</t>
        </is>
      </c>
      <c r="B139" s="32" t="inlineStr">
        <is>
          <t>UK14-S03: employer-connected Yes but partner type Unclear</t>
        </is>
      </c>
    </row>
    <row r="140">
      <c r="A140" s="32" t="inlineStr">
        <is>
          <t>WARN UK15</t>
        </is>
      </c>
      <c r="B140" s="32" t="inlineStr">
        <is>
          <t>arts_humanities_social_sciences: search area status: Not searched</t>
        </is>
      </c>
    </row>
    <row r="141">
      <c r="A141" s="32" t="inlineStr">
        <is>
          <t>WARN UK15</t>
        </is>
      </c>
      <c r="B141" s="32" t="inlineStr">
        <is>
          <t>other: search area status: Not searched</t>
        </is>
      </c>
    </row>
    <row r="142">
      <c r="A142" s="32" t="inlineStr">
        <is>
          <t>WARN UK17</t>
        </is>
      </c>
      <c r="B142" s="32" t="inlineStr">
        <is>
          <t>engineering_computing: search area status: Not searched</t>
        </is>
      </c>
    </row>
    <row r="143">
      <c r="A143" s="32" t="inlineStr">
        <is>
          <t>WARN UK17</t>
        </is>
      </c>
      <c r="B143" s="32" t="inlineStr">
        <is>
          <t>science: search area status: Not searched</t>
        </is>
      </c>
    </row>
    <row r="144">
      <c r="A144" s="32" t="inlineStr">
        <is>
          <t>WARN UK17</t>
        </is>
      </c>
      <c r="B144" s="32" t="inlineStr">
        <is>
          <t>arts_humanities_social_sciences: search area status: Not searched</t>
        </is>
      </c>
    </row>
    <row r="145">
      <c r="A145" s="32" t="inlineStr">
        <is>
          <t>WARN UK17</t>
        </is>
      </c>
      <c r="B145" s="32" t="inlineStr">
        <is>
          <t>UK17-S05: group=Yes but group evidence mentions individual work</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2026-10-13T11:40:29Z</dcterms:created>
  <dcterms:modified xmlns:dcterms="http://purl.org/dc/terms/" xmlns:xsi="http://www.w3.org/2001/XMLSchema-instance" xsi:type="dcterms:W3CDTF">2026-10-13T11:40:31Z</dcterms:modified>
</cp:coreProperties>
</file>