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53" headerRowCount="1">
  <autoFilter ref="A6:AS53"/>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28" headerRowCount="1">
  <autoFilter ref="A6:K28"/>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15" headerRowCount="1">
  <autoFilter ref="A6:L115"/>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18" headerRowCount="1">
  <autoFilter ref="A6:G18"/>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register'!$AJ$7:$AJ$53,"Yes")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register'!$AJ$7:$AJ$53,"Yes")</f>
        <v/>
      </c>
      <c r="C11" s="72">
        <f>COUNTA('EL scheme register'!$D$7:$D$53)</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register'!$C$7:$C$53,A17,'EL scheme register'!$AJ$7:$AJ$53,"Yes")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register'!$AP$7:$AP$53,H17,'EL scheme register'!$AJ$7:$AJ$53,"Yes")</f>
        <v/>
      </c>
      <c r="M17">
        <f>COUNTIFS('EL scheme register'!$AP$7:$AP$53,H17,'EL scheme register'!$AJ$7:$AJ$53,"Yes",'EL scheme register'!$C$7:$C$53,"University-wide")</f>
        <v/>
      </c>
    </row>
    <row r="18">
      <c r="A18" s="24" t="inlineStr">
        <is>
          <t>Cross-faculty</t>
        </is>
      </c>
      <c r="B18" s="32">
        <f>COUNTIFS('EL scheme register'!$C$7:$C$53,A18,'EL scheme register'!$AJ$7:$AJ$53,"Yes")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register'!$AP$7:$AP$53,H18,'EL scheme register'!$AJ$7:$AJ$53,"Yes")</f>
        <v/>
      </c>
      <c r="M18">
        <f>COUNTIFS('EL scheme register'!$AP$7:$AP$53,H18,'EL scheme register'!$AJ$7:$AJ$53,"Yes",'EL scheme register'!$C$7:$C$53,"University-wide")</f>
        <v/>
      </c>
    </row>
    <row r="19">
      <c r="A19" s="24" t="inlineStr">
        <is>
          <t>Faculty/school</t>
        </is>
      </c>
      <c r="B19" s="32">
        <f>COUNTIFS('EL scheme register'!$C$7:$C$53,A19,'EL scheme register'!$AJ$7:$AJ$53,"Yes")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register'!$AP$7:$AP$53,H19,'EL scheme register'!$AJ$7:$AJ$53,"Yes")</f>
        <v/>
      </c>
      <c r="M19">
        <f>COUNTIFS('EL scheme register'!$AP$7:$AP$53,H19,'EL scheme register'!$AJ$7:$AJ$53,"Yes",'EL scheme register'!$C$7:$C$53,"University-wide")</f>
        <v/>
      </c>
    </row>
    <row r="20">
      <c r="A20" s="24" t="inlineStr">
        <is>
          <t>Programme/course</t>
        </is>
      </c>
      <c r="B20" s="32">
        <f>COUNTIFS('EL scheme register'!$C$7:$C$53,A20,'EL scheme register'!$AJ$7:$AJ$53,"Yes")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register'!$AP$7:$AP$53,H20,'EL scheme register'!$AJ$7:$AJ$53,"Yes")</f>
        <v/>
      </c>
      <c r="M20">
        <f>COUNTIFS('EL scheme register'!$AP$7:$AP$53,H20,'EL scheme register'!$AJ$7:$AJ$53,"Yes",'EL scheme register'!$C$7:$C$53,"University-wide")</f>
        <v/>
      </c>
    </row>
    <row r="21">
      <c r="A21" s="24" t="inlineStr">
        <is>
          <t>Unclear</t>
        </is>
      </c>
      <c r="B21" s="32">
        <f>COUNTIFS('EL scheme register'!$C$7:$C$53,A21,'EL scheme register'!$AJ$7:$AJ$53,"Yes")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register'!$AP$7:$AP$53,H21,'EL scheme register'!$AJ$7:$AJ$53,"Yes")</f>
        <v/>
      </c>
      <c r="M21">
        <f>COUNTIFS('EL scheme register'!$AP$7:$AP$53,H21,'EL scheme register'!$AJ$7:$AJ$53,"Yes",'EL scheme register'!$C$7:$C$53,"University-wide")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register'!$C$7:$C$53,"University-wide",'EL scheme register'!$Q$7:$Q$53,A26,'EL scheme register'!$AJ$7:$AJ$53,"Yes")</f>
        <v/>
      </c>
      <c r="C26" s="32">
        <f>SUMPRODUCT(('EL institution summary'!$A$7:$A$130&lt;&gt;"")/COUNTIF('EL institution summary'!$A$7:$A$130,'EL institution summary'!$A$7:$A$130&amp;"")*(COUNTIFS('EL scheme register'!$A$7:$A$53,'EL institution summary'!$A$7:$A$130,'EL scheme register'!$C$7:$C$53,"University-wide",'EL scheme register'!$Q$7:$Q$53,A26,'EL scheme register'!$AJ$7:$AJ$53,"Yes")&gt;0))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register'!$C$7:$C$53,"University-wide",'EL scheme register'!$Q$7:$Q$53,A27,'EL scheme register'!$AJ$7:$AJ$53,"Yes")</f>
        <v/>
      </c>
      <c r="C27" s="32">
        <f>SUMPRODUCT(('EL institution summary'!$A$7:$A$130&lt;&gt;"")/COUNTIF('EL institution summary'!$A$7:$A$130,'EL institution summary'!$A$7:$A$130&amp;"")*(COUNTIFS('EL scheme register'!$A$7:$A$53,'EL institution summary'!$A$7:$A$130,'EL scheme register'!$C$7:$C$53,"University-wide",'EL scheme register'!$Q$7:$Q$53,A27,'EL scheme register'!$AJ$7:$AJ$53,"Yes")&gt;0))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register'!$AO$7:$AO$53,H27,'EL scheme register'!$AJ$7:$AJ$53,"Yes")</f>
        <v/>
      </c>
    </row>
    <row r="28">
      <c r="A28" s="24" t="inlineStr">
        <is>
          <t>Optional/elective</t>
        </is>
      </c>
      <c r="B28" s="32">
        <f>COUNTIFS('EL scheme register'!$C$7:$C$53,"University-wide",'EL scheme register'!$Q$7:$Q$53,A28,'EL scheme register'!$AJ$7:$AJ$53,"Yes")</f>
        <v/>
      </c>
      <c r="C28" s="32">
        <f>SUMPRODUCT(('EL institution summary'!$A$7:$A$130&lt;&gt;"")/COUNTIF('EL institution summary'!$A$7:$A$130,'EL institution summary'!$A$7:$A$130&amp;"")*(COUNTIFS('EL scheme register'!$A$7:$A$53,'EL institution summary'!$A$7:$A$130,'EL scheme register'!$C$7:$C$53,"University-wide",'EL scheme register'!$Q$7:$Q$53,A28,'EL scheme register'!$AJ$7:$AJ$53,"Yes")&gt;0))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register'!$AO$7:$AO$53,H28,'EL scheme register'!$AJ$7:$AJ$53,"Yes")</f>
        <v/>
      </c>
    </row>
    <row r="29">
      <c r="A29" s="24" t="inlineStr">
        <is>
          <t>Selective/competitive</t>
        </is>
      </c>
      <c r="B29" s="32">
        <f>COUNTIFS('EL scheme register'!$C$7:$C$53,"University-wide",'EL scheme register'!$Q$7:$Q$53,A29,'EL scheme register'!$AJ$7:$AJ$53,"Yes")</f>
        <v/>
      </c>
      <c r="C29" s="32">
        <f>SUMPRODUCT(('EL institution summary'!$A$7:$A$130&lt;&gt;"")/COUNTIF('EL institution summary'!$A$7:$A$130,'EL institution summary'!$A$7:$A$130&amp;"")*(COUNTIFS('EL scheme register'!$A$7:$A$53,'EL institution summary'!$A$7:$A$130,'EL scheme register'!$C$7:$C$53,"University-wide",'EL scheme register'!$Q$7:$Q$53,A29,'EL scheme register'!$AJ$7:$AJ$53,"Yes")&gt;0))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register'!$AO$7:$AO$53,H29,'EL scheme register'!$AJ$7:$AJ$53,"Yes")</f>
        <v/>
      </c>
    </row>
    <row r="30">
      <c r="A30" s="24" t="inlineStr">
        <is>
          <t>Unclear</t>
        </is>
      </c>
      <c r="B30" s="32">
        <f>COUNTIFS('EL scheme register'!$C$7:$C$53,"University-wide",'EL scheme register'!$Q$7:$Q$53,A30,'EL scheme register'!$AJ$7:$AJ$53,"Yes")</f>
        <v/>
      </c>
      <c r="C30" s="32">
        <f>SUMPRODUCT(('EL institution summary'!$A$7:$A$130&lt;&gt;"")/COUNTIF('EL institution summary'!$A$7:$A$130,'EL institution summary'!$A$7:$A$130&amp;"")*(COUNTIFS('EL scheme register'!$A$7:$A$53,'EL institution summary'!$A$7:$A$130,'EL scheme register'!$C$7:$C$53,"University-wide",'EL scheme register'!$Q$7:$Q$53,A30,'EL scheme register'!$AJ$7:$AJ$53,"Yes")&gt;0))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register'!$AO$7:$AO$53,H30,'EL scheme register'!$AJ$7:$AJ$53,"Yes")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register'!$AO$7:$AO$53,H31,'EL scheme register'!$AJ$7:$AJ$53,"Yes")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register'!$AO$7:$AO$53,H32,'EL scheme register'!$AJ$7:$AJ$53,"Yes")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register'!$AO$7:$AO$53,H33,'EL scheme register'!$AJ$7:$AJ$53,"Yes")</f>
        <v/>
      </c>
    </row>
    <row r="34">
      <c r="A34" s="24" t="inlineStr">
        <is>
          <t>Business/commercial</t>
        </is>
      </c>
      <c r="B34" s="32">
        <f>COUNTIFS('EL scheme register'!$AB$7:$AB$53,A34,'EL scheme register'!$AJ$7:$AJ$53,"Yes")</f>
        <v/>
      </c>
      <c r="C34" s="32">
        <f>SUMPRODUCT(('EL institution summary'!$A$7:$A$130&lt;&gt;"")/COUNTIF('EL institution summary'!$A$7:$A$130,'EL institution summary'!$A$7:$A$130&amp;"")*(COUNTIFS('EL scheme register'!$A$7:$A$53,'EL institution summary'!$A$7:$A$130,'EL scheme register'!$AB$7:$AB$53,A34,'EL scheme register'!$AJ$7:$AJ$53,"Yes")&gt;0))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register'!$AO$7:$AO$53,H34,'EL scheme register'!$AJ$7:$AJ$53,"Yes")</f>
        <v/>
      </c>
    </row>
    <row r="35">
      <c r="A35" s="24" t="inlineStr">
        <is>
          <t>Public sector</t>
        </is>
      </c>
      <c r="B35" s="32">
        <f>COUNTIFS('EL scheme register'!$AB$7:$AB$53,A35,'EL scheme register'!$AJ$7:$AJ$53,"Yes")</f>
        <v/>
      </c>
      <c r="C35" s="32">
        <f>SUMPRODUCT(('EL institution summary'!$A$7:$A$130&lt;&gt;"")/COUNTIF('EL institution summary'!$A$7:$A$130,'EL institution summary'!$A$7:$A$130&amp;"")*(COUNTIFS('EL scheme register'!$A$7:$A$53,'EL institution summary'!$A$7:$A$130,'EL scheme register'!$AB$7:$AB$53,A35,'EL scheme register'!$AJ$7:$AJ$53,"Yes")&gt;0))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register'!$AO$7:$AO$53,H35,'EL scheme register'!$AJ$7:$AJ$53,"Yes")</f>
        <v/>
      </c>
    </row>
    <row r="36">
      <c r="A36" s="24" t="inlineStr">
        <is>
          <t>Charity/community</t>
        </is>
      </c>
      <c r="B36" s="32">
        <f>COUNTIFS('EL scheme register'!$AB$7:$AB$53,A36,'EL scheme register'!$AJ$7:$AJ$53,"Yes")</f>
        <v/>
      </c>
      <c r="C36" s="32">
        <f>SUMPRODUCT(('EL institution summary'!$A$7:$A$130&lt;&gt;"")/COUNTIF('EL institution summary'!$A$7:$A$130,'EL institution summary'!$A$7:$A$130&amp;"")*(COUNTIFS('EL scheme register'!$A$7:$A$53,'EL institution summary'!$A$7:$A$130,'EL scheme register'!$AB$7:$AB$53,A36,'EL scheme register'!$AJ$7:$AJ$53,"Yes")&gt;0))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register'!$AO$7:$AO$53,H36,'EL scheme register'!$AJ$7:$AJ$53,"Yes")</f>
        <v/>
      </c>
    </row>
    <row r="37">
      <c r="A37" s="24" t="inlineStr">
        <is>
          <t>Mixed</t>
        </is>
      </c>
      <c r="B37" s="32">
        <f>COUNTIFS('EL scheme register'!$AB$7:$AB$53,A37,'EL scheme register'!$AJ$7:$AJ$53,"Yes")</f>
        <v/>
      </c>
      <c r="C37" s="32">
        <f>SUMPRODUCT(('EL institution summary'!$A$7:$A$130&lt;&gt;"")/COUNTIF('EL institution summary'!$A$7:$A$130,'EL institution summary'!$A$7:$A$130&amp;"")*(COUNTIFS('EL scheme register'!$A$7:$A$53,'EL institution summary'!$A$7:$A$130,'EL scheme register'!$AB$7:$AB$53,A37,'EL scheme register'!$AJ$7:$AJ$53,"Yes")&gt;0))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register'!$AO$7:$AO$53,H37,'EL scheme register'!$AJ$7:$AJ$53,"Yes")</f>
        <v/>
      </c>
    </row>
    <row r="38">
      <c r="A38" s="24" t="inlineStr">
        <is>
          <t>Other</t>
        </is>
      </c>
      <c r="B38" s="32">
        <f>COUNTIFS('EL scheme register'!$AB$7:$AB$53,A38,'EL scheme register'!$AJ$7:$AJ$53,"Yes")</f>
        <v/>
      </c>
      <c r="C38" s="32">
        <f>SUMPRODUCT(('EL institution summary'!$A$7:$A$130&lt;&gt;"")/COUNTIF('EL institution summary'!$A$7:$A$130,'EL institution summary'!$A$7:$A$130&amp;"")*(COUNTIFS('EL scheme register'!$A$7:$A$53,'EL institution summary'!$A$7:$A$130,'EL scheme register'!$AB$7:$AB$53,A38,'EL scheme register'!$AJ$7:$AJ$53,"Yes")&gt;0))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register'!$AO$7:$AO$53,H38,'EL scheme register'!$AJ$7:$AJ$53,"Yes")</f>
        <v/>
      </c>
    </row>
    <row r="39">
      <c r="A39" s="24" t="inlineStr">
        <is>
          <t>Unclear</t>
        </is>
      </c>
      <c r="B39" s="32">
        <f>COUNTIFS('EL scheme register'!$AB$7:$AB$53,A39,'EL scheme register'!$AJ$7:$AJ$53,"Yes")</f>
        <v/>
      </c>
      <c r="C39" s="32">
        <f>SUMPRODUCT(('EL institution summary'!$A$7:$A$130&lt;&gt;"")/COUNTIF('EL institution summary'!$A$7:$A$130,'EL institution summary'!$A$7:$A$130&amp;"")*(COUNTIFS('EL scheme register'!$A$7:$A$53,'EL institution summary'!$A$7:$A$130,'EL scheme register'!$AB$7:$AB$53,A39,'EL scheme register'!$AJ$7:$AJ$53,"Yes")&gt;0))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register'!$AO$7:$AO$53,H39,'EL scheme register'!$AJ$7:$AJ$53,"Yes")</f>
        <v/>
      </c>
    </row>
    <row r="40">
      <c r="A40" s="24" t="inlineStr">
        <is>
          <t>None</t>
        </is>
      </c>
      <c r="B40" s="32">
        <f>COUNTIFS('EL scheme register'!$AB$7:$AB$53,A40,'EL scheme register'!$AJ$7:$AJ$53,"Yes")</f>
        <v/>
      </c>
      <c r="C40" s="32">
        <f>SUMPRODUCT(('EL institution summary'!$A$7:$A$130&lt;&gt;"")/COUNTIF('EL institution summary'!$A$7:$A$130,'EL institution summary'!$A$7:$A$130&amp;"")*(COUNTIFS('EL scheme register'!$A$7:$A$53,'EL institution summary'!$A$7:$A$130,'EL scheme register'!$AB$7:$AB$53,A40,'EL scheme register'!$AJ$7:$AJ$53,"Yes")&gt;0))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register'!$AF$7:$AF$53,"Meets all three",'EL scheme register'!$AG$7:$AG$53,"Current delivery confirmed",'EL scheme register'!$AI$7:$AI$53,"Yes")</f>
        <v/>
      </c>
    </row>
    <row r="45">
      <c r="A45" s="24" t="inlineStr">
        <is>
          <t>Meets all three; current status unclear</t>
        </is>
      </c>
      <c r="B45" s="32">
        <f>COUNTIFS('EL scheme register'!$AF$7:$AF$53,"Meets all three",'EL scheme register'!$AG$7:$AG$53,"Current status unclear",'EL scheme register'!$AI$7:$AI$53,"Yes")</f>
        <v/>
      </c>
    </row>
    <row r="46">
      <c r="A46" s="24" t="inlineStr">
        <is>
          <t>Meets all three; historical / paused only</t>
        </is>
      </c>
      <c r="B46" s="32">
        <f>COUNTIFS('EL scheme register'!$AF$7:$AF$53,"Meets all three",'EL scheme register'!$AG$7:$AG$53,"Historical delivery only",'EL scheme register'!$AI$7:$AI$53,"Yes")+COUNTIFS('EL scheme register'!$AF$7:$AF$53,"Meets all three",'EL scheme register'!$AG$7:$AG$53,"Paused/discontinued",'EL scheme register'!$AI$7:$AI$53,"Yes")</f>
        <v/>
      </c>
    </row>
    <row r="47">
      <c r="A47" s="24" t="inlineStr">
        <is>
          <t>Meets all three; announced / forthcoming</t>
        </is>
      </c>
      <c r="B47" s="32">
        <f>COUNTIFS('EL scheme register'!$AF$7:$AF$53,"Meets all three",'EL scheme register'!$AG$7:$AG$53,"Announced/forthcoming",'EL scheme register'!$AI$7:$AI$53,"Yes")</f>
        <v/>
      </c>
    </row>
    <row r="48">
      <c r="A48" s="24" t="inlineStr">
        <is>
          <t>Potentially relevant; evidence incomplete</t>
        </is>
      </c>
      <c r="B48" s="32">
        <f>COUNTIFS('EL scheme register'!$AF$7:$AF$53,"Potentially relevant; evidence incomplete",'EL scheme register'!$AI$7:$AI$53,"Yes")</f>
        <v/>
      </c>
    </row>
    <row r="49">
      <c r="A49" s="24" t="inlineStr">
        <is>
          <t>Outside strict definition (kept in register as near-miss)</t>
        </is>
      </c>
      <c r="B49" s="32">
        <f>COUNTIFS('EL scheme register'!$AF$7:$AF$53,"Outside strict definition",'EL scheme register'!$AI$7:$AI$53,"Yes")</f>
        <v/>
      </c>
    </row>
    <row r="50">
      <c r="A50" s="24" t="inlineStr">
        <is>
          <t xml:space="preserve">  memo: current qualifying schemes lasting &lt;1 week</t>
        </is>
      </c>
      <c r="B50" s="32">
        <f>COUNTIFS('EL scheme register'!$AQ$7:$AQ$53,"&lt;1 week",'EL scheme register'!$AJ$7:$AJ$53,"Yes")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Not started</t>
        </is>
      </c>
      <c r="I7" s="77">
        <f>COUNTIFS('EL scheme register'!$A$7:$A$53,$A7,'EL scheme register'!$C$7:$C$53,"University-wide",'EL scheme register'!$AJ$7:$AJ$53,"Yes")</f>
        <v/>
      </c>
      <c r="J7" s="77">
        <f>COUNTIFS('EL scheme register'!$A$7:$A$53,$A7,'EL scheme register'!$C$7:$C$53,"Cross-faculty",'EL scheme register'!$AJ$7:$AJ$53,"Yes")</f>
        <v/>
      </c>
      <c r="K7" s="77">
        <f>COUNTIFS('EL scheme register'!$A$7:$A$53,$A7,'EL scheme register'!$C$7:$C$53,"Faculty/school",'EL scheme register'!$AJ$7:$AJ$53,"Yes")</f>
        <v/>
      </c>
      <c r="L7" s="77">
        <f>COUNTIFS('EL scheme register'!$A$7:$A$53,$A7,'EL scheme register'!$C$7:$C$53,"Programme/course",'EL scheme register'!$AJ$7:$AJ$53,"Yes")</f>
        <v/>
      </c>
      <c r="M7" s="77">
        <f>COUNTIFS('EL scheme register'!$A$7:$A$53,$A7,'EL scheme register'!$C$7:$C$53,"Unclear",'EL scheme register'!$AJ$7:$AJ$53,"Yes")</f>
        <v/>
      </c>
      <c r="N7" s="77">
        <f>SUM(I7:M7)</f>
        <v/>
      </c>
      <c r="O7" s="77">
        <f>COUNTIFS('EL scheme register'!$A$7:$A$53,$A7,'EL scheme register'!$AF$7:$AF$53,"Potentially relevant; evidence incomplete",'EL scheme register'!$AI$7:$AI$53,"Yes")</f>
        <v/>
      </c>
      <c r="P7" s="77">
        <f>COUNTIFS('EL scheme register'!$A$7:$A$53,$A7,'EL scheme register'!$AF$7:$AF$53,"Outside strict definition")</f>
        <v/>
      </c>
      <c r="Q7" s="77">
        <f>COUNTIF('EL exclusions &amp; gaps'!$B$7:$B$5000,$A7)</f>
        <v/>
      </c>
      <c r="R7" s="77" t="inlineStr">
        <is>
          <t>Not reviewed</t>
        </is>
      </c>
      <c r="S7" s="77" t="inlineStr">
        <is>
          <t>Not reviewed</t>
        </is>
      </c>
      <c r="T7" s="77" t="inlineStr"/>
      <c r="U7" s="77" t="inlineStr"/>
      <c r="V7" s="77" t="inlineStr">
        <is>
          <t>Not reviewed</t>
        </is>
      </c>
      <c r="W7" s="77" t="inlineStr"/>
      <c r="X7" s="77" t="inlineStr"/>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Not started</t>
        </is>
      </c>
      <c r="I8" s="77">
        <f>COUNTIFS('EL scheme register'!$A$7:$A$53,$A8,'EL scheme register'!$C$7:$C$53,"University-wide",'EL scheme register'!$AJ$7:$AJ$53,"Yes")</f>
        <v/>
      </c>
      <c r="J8" s="77">
        <f>COUNTIFS('EL scheme register'!$A$7:$A$53,$A8,'EL scheme register'!$C$7:$C$53,"Cross-faculty",'EL scheme register'!$AJ$7:$AJ$53,"Yes")</f>
        <v/>
      </c>
      <c r="K8" s="77">
        <f>COUNTIFS('EL scheme register'!$A$7:$A$53,$A8,'EL scheme register'!$C$7:$C$53,"Faculty/school",'EL scheme register'!$AJ$7:$AJ$53,"Yes")</f>
        <v/>
      </c>
      <c r="L8" s="77">
        <f>COUNTIFS('EL scheme register'!$A$7:$A$53,$A8,'EL scheme register'!$C$7:$C$53,"Programme/course",'EL scheme register'!$AJ$7:$AJ$53,"Yes")</f>
        <v/>
      </c>
      <c r="M8" s="77">
        <f>COUNTIFS('EL scheme register'!$A$7:$A$53,$A8,'EL scheme register'!$C$7:$C$53,"Unclear",'EL scheme register'!$AJ$7:$AJ$53,"Yes")</f>
        <v/>
      </c>
      <c r="N8" s="77">
        <f>SUM(I8:M8)</f>
        <v/>
      </c>
      <c r="O8" s="77">
        <f>COUNTIFS('EL scheme register'!$A$7:$A$53,$A8,'EL scheme register'!$AF$7:$AF$53,"Potentially relevant; evidence incomplete",'EL scheme register'!$AI$7:$AI$53,"Yes")</f>
        <v/>
      </c>
      <c r="P8" s="77">
        <f>COUNTIFS('EL scheme register'!$A$7:$A$53,$A8,'EL scheme register'!$AF$7:$AF$53,"Outside strict definition")</f>
        <v/>
      </c>
      <c r="Q8" s="77">
        <f>COUNTIF('EL exclusions &amp; gaps'!$B$7:$B$5000,$A8)</f>
        <v/>
      </c>
      <c r="R8" s="77" t="inlineStr">
        <is>
          <t>Not reviewed</t>
        </is>
      </c>
      <c r="S8" s="77" t="inlineStr">
        <is>
          <t>Not reviewed</t>
        </is>
      </c>
      <c r="T8" s="77" t="inlineStr"/>
      <c r="U8" s="77" t="inlineStr"/>
      <c r="V8" s="77" t="inlineStr">
        <is>
          <t>Not reviewed</t>
        </is>
      </c>
      <c r="W8" s="77" t="inlineStr"/>
      <c r="X8" s="77" t="inlineStr"/>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Not started</t>
        </is>
      </c>
      <c r="I9" s="77">
        <f>COUNTIFS('EL scheme register'!$A$7:$A$53,$A9,'EL scheme register'!$C$7:$C$53,"University-wide",'EL scheme register'!$AJ$7:$AJ$53,"Yes")</f>
        <v/>
      </c>
      <c r="J9" s="77">
        <f>COUNTIFS('EL scheme register'!$A$7:$A$53,$A9,'EL scheme register'!$C$7:$C$53,"Cross-faculty",'EL scheme register'!$AJ$7:$AJ$53,"Yes")</f>
        <v/>
      </c>
      <c r="K9" s="77">
        <f>COUNTIFS('EL scheme register'!$A$7:$A$53,$A9,'EL scheme register'!$C$7:$C$53,"Faculty/school",'EL scheme register'!$AJ$7:$AJ$53,"Yes")</f>
        <v/>
      </c>
      <c r="L9" s="77">
        <f>COUNTIFS('EL scheme register'!$A$7:$A$53,$A9,'EL scheme register'!$C$7:$C$53,"Programme/course",'EL scheme register'!$AJ$7:$AJ$53,"Yes")</f>
        <v/>
      </c>
      <c r="M9" s="77">
        <f>COUNTIFS('EL scheme register'!$A$7:$A$53,$A9,'EL scheme register'!$C$7:$C$53,"Unclear",'EL scheme register'!$AJ$7:$AJ$53,"Yes")</f>
        <v/>
      </c>
      <c r="N9" s="77">
        <f>SUM(I9:M9)</f>
        <v/>
      </c>
      <c r="O9" s="77">
        <f>COUNTIFS('EL scheme register'!$A$7:$A$53,$A9,'EL scheme register'!$AF$7:$AF$53,"Potentially relevant; evidence incomplete",'EL scheme register'!$AI$7:$AI$53,"Yes")</f>
        <v/>
      </c>
      <c r="P9" s="77">
        <f>COUNTIFS('EL scheme register'!$A$7:$A$53,$A9,'EL scheme register'!$AF$7:$AF$53,"Outside strict definition")</f>
        <v/>
      </c>
      <c r="Q9" s="77">
        <f>COUNTIF('EL exclusions &amp; gaps'!$B$7:$B$5000,$A9)</f>
        <v/>
      </c>
      <c r="R9" s="77" t="inlineStr">
        <is>
          <t>Not reviewed</t>
        </is>
      </c>
      <c r="S9" s="77" t="inlineStr">
        <is>
          <t>Not reviewed</t>
        </is>
      </c>
      <c r="T9" s="77" t="inlineStr"/>
      <c r="U9" s="77" t="inlineStr"/>
      <c r="V9" s="77" t="inlineStr">
        <is>
          <t>Not reviewed</t>
        </is>
      </c>
      <c r="W9" s="77" t="inlineStr"/>
      <c r="X9" s="77" t="inlineStr"/>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Not started</t>
        </is>
      </c>
      <c r="I10" s="77">
        <f>COUNTIFS('EL scheme register'!$A$7:$A$53,$A10,'EL scheme register'!$C$7:$C$53,"University-wide",'EL scheme register'!$AJ$7:$AJ$53,"Yes")</f>
        <v/>
      </c>
      <c r="J10" s="77">
        <f>COUNTIFS('EL scheme register'!$A$7:$A$53,$A10,'EL scheme register'!$C$7:$C$53,"Cross-faculty",'EL scheme register'!$AJ$7:$AJ$53,"Yes")</f>
        <v/>
      </c>
      <c r="K10" s="77">
        <f>COUNTIFS('EL scheme register'!$A$7:$A$53,$A10,'EL scheme register'!$C$7:$C$53,"Faculty/school",'EL scheme register'!$AJ$7:$AJ$53,"Yes")</f>
        <v/>
      </c>
      <c r="L10" s="77">
        <f>COUNTIFS('EL scheme register'!$A$7:$A$53,$A10,'EL scheme register'!$C$7:$C$53,"Programme/course",'EL scheme register'!$AJ$7:$AJ$53,"Yes")</f>
        <v/>
      </c>
      <c r="M10" s="77">
        <f>COUNTIFS('EL scheme register'!$A$7:$A$53,$A10,'EL scheme register'!$C$7:$C$53,"Unclear",'EL scheme register'!$AJ$7:$AJ$53,"Yes")</f>
        <v/>
      </c>
      <c r="N10" s="77">
        <f>SUM(I10:M10)</f>
        <v/>
      </c>
      <c r="O10" s="77">
        <f>COUNTIFS('EL scheme register'!$A$7:$A$53,$A10,'EL scheme register'!$AF$7:$AF$53,"Potentially relevant; evidence incomplete",'EL scheme register'!$AI$7:$AI$53,"Yes")</f>
        <v/>
      </c>
      <c r="P10" s="77">
        <f>COUNTIFS('EL scheme register'!$A$7:$A$53,$A10,'EL scheme register'!$AF$7:$AF$53,"Outside strict definition")</f>
        <v/>
      </c>
      <c r="Q10" s="77">
        <f>COUNTIF('EL exclusions &amp; gaps'!$B$7:$B$5000,$A10)</f>
        <v/>
      </c>
      <c r="R10" s="77" t="inlineStr">
        <is>
          <t>Not reviewed</t>
        </is>
      </c>
      <c r="S10" s="77" t="inlineStr">
        <is>
          <t>Not reviewed</t>
        </is>
      </c>
      <c r="T10" s="77" t="inlineStr"/>
      <c r="U10" s="77" t="inlineStr"/>
      <c r="V10" s="77" t="inlineStr">
        <is>
          <t>Not reviewed</t>
        </is>
      </c>
      <c r="W10" s="77" t="inlineStr"/>
      <c r="X10" s="77" t="inlineStr"/>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Not started</t>
        </is>
      </c>
      <c r="I11" s="77">
        <f>COUNTIFS('EL scheme register'!$A$7:$A$53,$A11,'EL scheme register'!$C$7:$C$53,"University-wide",'EL scheme register'!$AJ$7:$AJ$53,"Yes")</f>
        <v/>
      </c>
      <c r="J11" s="77">
        <f>COUNTIFS('EL scheme register'!$A$7:$A$53,$A11,'EL scheme register'!$C$7:$C$53,"Cross-faculty",'EL scheme register'!$AJ$7:$AJ$53,"Yes")</f>
        <v/>
      </c>
      <c r="K11" s="77">
        <f>COUNTIFS('EL scheme register'!$A$7:$A$53,$A11,'EL scheme register'!$C$7:$C$53,"Faculty/school",'EL scheme register'!$AJ$7:$AJ$53,"Yes")</f>
        <v/>
      </c>
      <c r="L11" s="77">
        <f>COUNTIFS('EL scheme register'!$A$7:$A$53,$A11,'EL scheme register'!$C$7:$C$53,"Programme/course",'EL scheme register'!$AJ$7:$AJ$53,"Yes")</f>
        <v/>
      </c>
      <c r="M11" s="77">
        <f>COUNTIFS('EL scheme register'!$A$7:$A$53,$A11,'EL scheme register'!$C$7:$C$53,"Unclear",'EL scheme register'!$AJ$7:$AJ$53,"Yes")</f>
        <v/>
      </c>
      <c r="N11" s="77">
        <f>SUM(I11:M11)</f>
        <v/>
      </c>
      <c r="O11" s="77">
        <f>COUNTIFS('EL scheme register'!$A$7:$A$53,$A11,'EL scheme register'!$AF$7:$AF$53,"Potentially relevant; evidence incomplete",'EL scheme register'!$AI$7:$AI$53,"Yes")</f>
        <v/>
      </c>
      <c r="P11" s="77">
        <f>COUNTIFS('EL scheme register'!$A$7:$A$53,$A11,'EL scheme register'!$AF$7:$AF$53,"Outside strict definition")</f>
        <v/>
      </c>
      <c r="Q11" s="77">
        <f>COUNTIF('EL exclusions &amp; gaps'!$B$7:$B$5000,$A11)</f>
        <v/>
      </c>
      <c r="R11" s="77" t="inlineStr">
        <is>
          <t>Not reviewed</t>
        </is>
      </c>
      <c r="S11" s="77" t="inlineStr">
        <is>
          <t>Not reviewed</t>
        </is>
      </c>
      <c r="T11" s="77" t="inlineStr"/>
      <c r="U11" s="77" t="inlineStr"/>
      <c r="V11" s="77" t="inlineStr">
        <is>
          <t>Not reviewed</t>
        </is>
      </c>
      <c r="W11" s="77" t="inlineStr"/>
      <c r="X11" s="77" t="inlineStr"/>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Not started</t>
        </is>
      </c>
      <c r="I12" s="77">
        <f>COUNTIFS('EL scheme register'!$A$7:$A$53,$A12,'EL scheme register'!$C$7:$C$53,"University-wide",'EL scheme register'!$AJ$7:$AJ$53,"Yes")</f>
        <v/>
      </c>
      <c r="J12" s="77">
        <f>COUNTIFS('EL scheme register'!$A$7:$A$53,$A12,'EL scheme register'!$C$7:$C$53,"Cross-faculty",'EL scheme register'!$AJ$7:$AJ$53,"Yes")</f>
        <v/>
      </c>
      <c r="K12" s="77">
        <f>COUNTIFS('EL scheme register'!$A$7:$A$53,$A12,'EL scheme register'!$C$7:$C$53,"Faculty/school",'EL scheme register'!$AJ$7:$AJ$53,"Yes")</f>
        <v/>
      </c>
      <c r="L12" s="77">
        <f>COUNTIFS('EL scheme register'!$A$7:$A$53,$A12,'EL scheme register'!$C$7:$C$53,"Programme/course",'EL scheme register'!$AJ$7:$AJ$53,"Yes")</f>
        <v/>
      </c>
      <c r="M12" s="77">
        <f>COUNTIFS('EL scheme register'!$A$7:$A$53,$A12,'EL scheme register'!$C$7:$C$53,"Unclear",'EL scheme register'!$AJ$7:$AJ$53,"Yes")</f>
        <v/>
      </c>
      <c r="N12" s="77">
        <f>SUM(I12:M12)</f>
        <v/>
      </c>
      <c r="O12" s="77">
        <f>COUNTIFS('EL scheme register'!$A$7:$A$53,$A12,'EL scheme register'!$AF$7:$AF$53,"Potentially relevant; evidence incomplete",'EL scheme register'!$AI$7:$AI$53,"Yes")</f>
        <v/>
      </c>
      <c r="P12" s="77">
        <f>COUNTIFS('EL scheme register'!$A$7:$A$53,$A12,'EL scheme register'!$AF$7:$AF$53,"Outside strict definition")</f>
        <v/>
      </c>
      <c r="Q12" s="77">
        <f>COUNTIF('EL exclusions &amp; gaps'!$B$7:$B$5000,$A12)</f>
        <v/>
      </c>
      <c r="R12" s="77" t="inlineStr">
        <is>
          <t>Not reviewed</t>
        </is>
      </c>
      <c r="S12" s="77" t="inlineStr">
        <is>
          <t>Not reviewed</t>
        </is>
      </c>
      <c r="T12" s="77" t="inlineStr"/>
      <c r="U12" s="77" t="inlineStr"/>
      <c r="V12" s="77" t="inlineStr">
        <is>
          <t>Not reviewed</t>
        </is>
      </c>
      <c r="W12" s="77" t="inlineStr"/>
      <c r="X12" s="77" t="inlineStr"/>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Not started</t>
        </is>
      </c>
      <c r="I13" s="77">
        <f>COUNTIFS('EL scheme register'!$A$7:$A$53,$A13,'EL scheme register'!$C$7:$C$53,"University-wide",'EL scheme register'!$AJ$7:$AJ$53,"Yes")</f>
        <v/>
      </c>
      <c r="J13" s="77">
        <f>COUNTIFS('EL scheme register'!$A$7:$A$53,$A13,'EL scheme register'!$C$7:$C$53,"Cross-faculty",'EL scheme register'!$AJ$7:$AJ$53,"Yes")</f>
        <v/>
      </c>
      <c r="K13" s="77">
        <f>COUNTIFS('EL scheme register'!$A$7:$A$53,$A13,'EL scheme register'!$C$7:$C$53,"Faculty/school",'EL scheme register'!$AJ$7:$AJ$53,"Yes")</f>
        <v/>
      </c>
      <c r="L13" s="77">
        <f>COUNTIFS('EL scheme register'!$A$7:$A$53,$A13,'EL scheme register'!$C$7:$C$53,"Programme/course",'EL scheme register'!$AJ$7:$AJ$53,"Yes")</f>
        <v/>
      </c>
      <c r="M13" s="77">
        <f>COUNTIFS('EL scheme register'!$A$7:$A$53,$A13,'EL scheme register'!$C$7:$C$53,"Unclear",'EL scheme register'!$AJ$7:$AJ$53,"Yes")</f>
        <v/>
      </c>
      <c r="N13" s="77">
        <f>SUM(I13:M13)</f>
        <v/>
      </c>
      <c r="O13" s="77">
        <f>COUNTIFS('EL scheme register'!$A$7:$A$53,$A13,'EL scheme register'!$AF$7:$AF$53,"Potentially relevant; evidence incomplete",'EL scheme register'!$AI$7:$AI$53,"Yes")</f>
        <v/>
      </c>
      <c r="P13" s="77">
        <f>COUNTIFS('EL scheme register'!$A$7:$A$53,$A13,'EL scheme register'!$AF$7:$AF$53,"Outside strict definition")</f>
        <v/>
      </c>
      <c r="Q13" s="77">
        <f>COUNTIF('EL exclusions &amp; gaps'!$B$7:$B$5000,$A13)</f>
        <v/>
      </c>
      <c r="R13" s="77" t="inlineStr">
        <is>
          <t>Not reviewed</t>
        </is>
      </c>
      <c r="S13" s="77" t="inlineStr">
        <is>
          <t>Not reviewed</t>
        </is>
      </c>
      <c r="T13" s="77" t="inlineStr"/>
      <c r="U13" s="77" t="inlineStr"/>
      <c r="V13" s="77" t="inlineStr">
        <is>
          <t>Not reviewed</t>
        </is>
      </c>
      <c r="W13" s="77" t="inlineStr"/>
      <c r="X13" s="77" t="inlineStr"/>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Not started</t>
        </is>
      </c>
      <c r="I14" s="77">
        <f>COUNTIFS('EL scheme register'!$A$7:$A$53,$A14,'EL scheme register'!$C$7:$C$53,"University-wide",'EL scheme register'!$AJ$7:$AJ$53,"Yes")</f>
        <v/>
      </c>
      <c r="J14" s="77">
        <f>COUNTIFS('EL scheme register'!$A$7:$A$53,$A14,'EL scheme register'!$C$7:$C$53,"Cross-faculty",'EL scheme register'!$AJ$7:$AJ$53,"Yes")</f>
        <v/>
      </c>
      <c r="K14" s="77">
        <f>COUNTIFS('EL scheme register'!$A$7:$A$53,$A14,'EL scheme register'!$C$7:$C$53,"Faculty/school",'EL scheme register'!$AJ$7:$AJ$53,"Yes")</f>
        <v/>
      </c>
      <c r="L14" s="77">
        <f>COUNTIFS('EL scheme register'!$A$7:$A$53,$A14,'EL scheme register'!$C$7:$C$53,"Programme/course",'EL scheme register'!$AJ$7:$AJ$53,"Yes")</f>
        <v/>
      </c>
      <c r="M14" s="77">
        <f>COUNTIFS('EL scheme register'!$A$7:$A$53,$A14,'EL scheme register'!$C$7:$C$53,"Unclear",'EL scheme register'!$AJ$7:$AJ$53,"Yes")</f>
        <v/>
      </c>
      <c r="N14" s="77">
        <f>SUM(I14:M14)</f>
        <v/>
      </c>
      <c r="O14" s="77">
        <f>COUNTIFS('EL scheme register'!$A$7:$A$53,$A14,'EL scheme register'!$AF$7:$AF$53,"Potentially relevant; evidence incomplete",'EL scheme register'!$AI$7:$AI$53,"Yes")</f>
        <v/>
      </c>
      <c r="P14" s="77">
        <f>COUNTIFS('EL scheme register'!$A$7:$A$53,$A14,'EL scheme register'!$AF$7:$AF$53,"Outside strict definition")</f>
        <v/>
      </c>
      <c r="Q14" s="77">
        <f>COUNTIF('EL exclusions &amp; gaps'!$B$7:$B$5000,$A14)</f>
        <v/>
      </c>
      <c r="R14" s="77" t="inlineStr">
        <is>
          <t>Not reviewed</t>
        </is>
      </c>
      <c r="S14" s="77" t="inlineStr">
        <is>
          <t>Not reviewed</t>
        </is>
      </c>
      <c r="T14" s="77" t="inlineStr"/>
      <c r="U14" s="77" t="inlineStr"/>
      <c r="V14" s="77" t="inlineStr">
        <is>
          <t>Not reviewed</t>
        </is>
      </c>
      <c r="W14" s="77" t="inlineStr"/>
      <c r="X14" s="77" t="inlineStr"/>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Not started</t>
        </is>
      </c>
      <c r="I15" s="77">
        <f>COUNTIFS('EL scheme register'!$A$7:$A$53,$A15,'EL scheme register'!$C$7:$C$53,"University-wide",'EL scheme register'!$AJ$7:$AJ$53,"Yes")</f>
        <v/>
      </c>
      <c r="J15" s="77">
        <f>COUNTIFS('EL scheme register'!$A$7:$A$53,$A15,'EL scheme register'!$C$7:$C$53,"Cross-faculty",'EL scheme register'!$AJ$7:$AJ$53,"Yes")</f>
        <v/>
      </c>
      <c r="K15" s="77">
        <f>COUNTIFS('EL scheme register'!$A$7:$A$53,$A15,'EL scheme register'!$C$7:$C$53,"Faculty/school",'EL scheme register'!$AJ$7:$AJ$53,"Yes")</f>
        <v/>
      </c>
      <c r="L15" s="77">
        <f>COUNTIFS('EL scheme register'!$A$7:$A$53,$A15,'EL scheme register'!$C$7:$C$53,"Programme/course",'EL scheme register'!$AJ$7:$AJ$53,"Yes")</f>
        <v/>
      </c>
      <c r="M15" s="77">
        <f>COUNTIFS('EL scheme register'!$A$7:$A$53,$A15,'EL scheme register'!$C$7:$C$53,"Unclear",'EL scheme register'!$AJ$7:$AJ$53,"Yes")</f>
        <v/>
      </c>
      <c r="N15" s="77">
        <f>SUM(I15:M15)</f>
        <v/>
      </c>
      <c r="O15" s="77">
        <f>COUNTIFS('EL scheme register'!$A$7:$A$53,$A15,'EL scheme register'!$AF$7:$AF$53,"Potentially relevant; evidence incomplete",'EL scheme register'!$AI$7:$AI$53,"Yes")</f>
        <v/>
      </c>
      <c r="P15" s="77">
        <f>COUNTIFS('EL scheme register'!$A$7:$A$53,$A15,'EL scheme register'!$AF$7:$AF$53,"Outside strict definition")</f>
        <v/>
      </c>
      <c r="Q15" s="77">
        <f>COUNTIF('EL exclusions &amp; gaps'!$B$7:$B$5000,$A15)</f>
        <v/>
      </c>
      <c r="R15" s="77" t="inlineStr">
        <is>
          <t>Not reviewed</t>
        </is>
      </c>
      <c r="S15" s="77" t="inlineStr">
        <is>
          <t>Not reviewed</t>
        </is>
      </c>
      <c r="T15" s="77" t="inlineStr"/>
      <c r="U15" s="77" t="inlineStr"/>
      <c r="V15" s="77" t="inlineStr">
        <is>
          <t>Not reviewed</t>
        </is>
      </c>
      <c r="W15" s="77" t="inlineStr"/>
      <c r="X15" s="77" t="inlineStr"/>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Not started</t>
        </is>
      </c>
      <c r="I16" s="77">
        <f>COUNTIFS('EL scheme register'!$A$7:$A$53,$A16,'EL scheme register'!$C$7:$C$53,"University-wide",'EL scheme register'!$AJ$7:$AJ$53,"Yes")</f>
        <v/>
      </c>
      <c r="J16" s="77">
        <f>COUNTIFS('EL scheme register'!$A$7:$A$53,$A16,'EL scheme register'!$C$7:$C$53,"Cross-faculty",'EL scheme register'!$AJ$7:$AJ$53,"Yes")</f>
        <v/>
      </c>
      <c r="K16" s="77">
        <f>COUNTIFS('EL scheme register'!$A$7:$A$53,$A16,'EL scheme register'!$C$7:$C$53,"Faculty/school",'EL scheme register'!$AJ$7:$AJ$53,"Yes")</f>
        <v/>
      </c>
      <c r="L16" s="77">
        <f>COUNTIFS('EL scheme register'!$A$7:$A$53,$A16,'EL scheme register'!$C$7:$C$53,"Programme/course",'EL scheme register'!$AJ$7:$AJ$53,"Yes")</f>
        <v/>
      </c>
      <c r="M16" s="77">
        <f>COUNTIFS('EL scheme register'!$A$7:$A$53,$A16,'EL scheme register'!$C$7:$C$53,"Unclear",'EL scheme register'!$AJ$7:$AJ$53,"Yes")</f>
        <v/>
      </c>
      <c r="N16" s="77">
        <f>SUM(I16:M16)</f>
        <v/>
      </c>
      <c r="O16" s="77">
        <f>COUNTIFS('EL scheme register'!$A$7:$A$53,$A16,'EL scheme register'!$AF$7:$AF$53,"Potentially relevant; evidence incomplete",'EL scheme register'!$AI$7:$AI$53,"Yes")</f>
        <v/>
      </c>
      <c r="P16" s="77">
        <f>COUNTIFS('EL scheme register'!$A$7:$A$53,$A16,'EL scheme register'!$AF$7:$AF$53,"Outside strict definition")</f>
        <v/>
      </c>
      <c r="Q16" s="77">
        <f>COUNTIF('EL exclusions &amp; gaps'!$B$7:$B$5000,$A16)</f>
        <v/>
      </c>
      <c r="R16" s="77" t="inlineStr">
        <is>
          <t>Not reviewed</t>
        </is>
      </c>
      <c r="S16" s="77" t="inlineStr">
        <is>
          <t>Not reviewed</t>
        </is>
      </c>
      <c r="T16" s="77" t="inlineStr"/>
      <c r="U16" s="77" t="inlineStr"/>
      <c r="V16" s="77" t="inlineStr">
        <is>
          <t>Not reviewed</t>
        </is>
      </c>
      <c r="W16" s="77" t="inlineStr"/>
      <c r="X16" s="77" t="inlineStr"/>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Not started</t>
        </is>
      </c>
      <c r="I17" s="77">
        <f>COUNTIFS('EL scheme register'!$A$7:$A$53,$A17,'EL scheme register'!$C$7:$C$53,"University-wide",'EL scheme register'!$AJ$7:$AJ$53,"Yes")</f>
        <v/>
      </c>
      <c r="J17" s="77">
        <f>COUNTIFS('EL scheme register'!$A$7:$A$53,$A17,'EL scheme register'!$C$7:$C$53,"Cross-faculty",'EL scheme register'!$AJ$7:$AJ$53,"Yes")</f>
        <v/>
      </c>
      <c r="K17" s="77">
        <f>COUNTIFS('EL scheme register'!$A$7:$A$53,$A17,'EL scheme register'!$C$7:$C$53,"Faculty/school",'EL scheme register'!$AJ$7:$AJ$53,"Yes")</f>
        <v/>
      </c>
      <c r="L17" s="77">
        <f>COUNTIFS('EL scheme register'!$A$7:$A$53,$A17,'EL scheme register'!$C$7:$C$53,"Programme/course",'EL scheme register'!$AJ$7:$AJ$53,"Yes")</f>
        <v/>
      </c>
      <c r="M17" s="77">
        <f>COUNTIFS('EL scheme register'!$A$7:$A$53,$A17,'EL scheme register'!$C$7:$C$53,"Unclear",'EL scheme register'!$AJ$7:$AJ$53,"Yes")</f>
        <v/>
      </c>
      <c r="N17" s="77">
        <f>SUM(I17:M17)</f>
        <v/>
      </c>
      <c r="O17" s="77">
        <f>COUNTIFS('EL scheme register'!$A$7:$A$53,$A17,'EL scheme register'!$AF$7:$AF$53,"Potentially relevant; evidence incomplete",'EL scheme register'!$AI$7:$AI$53,"Yes")</f>
        <v/>
      </c>
      <c r="P17" s="77">
        <f>COUNTIFS('EL scheme register'!$A$7:$A$53,$A17,'EL scheme register'!$AF$7:$AF$53,"Outside strict definition")</f>
        <v/>
      </c>
      <c r="Q17" s="77">
        <f>COUNTIF('EL exclusions &amp; gaps'!$B$7:$B$5000,$A17)</f>
        <v/>
      </c>
      <c r="R17" s="77" t="inlineStr">
        <is>
          <t>Not reviewed</t>
        </is>
      </c>
      <c r="S17" s="77" t="inlineStr">
        <is>
          <t>Not reviewed</t>
        </is>
      </c>
      <c r="T17" s="77" t="inlineStr"/>
      <c r="U17" s="77" t="inlineStr"/>
      <c r="V17" s="77" t="inlineStr">
        <is>
          <t>Not reviewed</t>
        </is>
      </c>
      <c r="W17" s="77" t="inlineStr"/>
      <c r="X17" s="77" t="inlineStr"/>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Not started</t>
        </is>
      </c>
      <c r="I18" s="77">
        <f>COUNTIFS('EL scheme register'!$A$7:$A$53,$A18,'EL scheme register'!$C$7:$C$53,"University-wide",'EL scheme register'!$AJ$7:$AJ$53,"Yes")</f>
        <v/>
      </c>
      <c r="J18" s="77">
        <f>COUNTIFS('EL scheme register'!$A$7:$A$53,$A18,'EL scheme register'!$C$7:$C$53,"Cross-faculty",'EL scheme register'!$AJ$7:$AJ$53,"Yes")</f>
        <v/>
      </c>
      <c r="K18" s="77">
        <f>COUNTIFS('EL scheme register'!$A$7:$A$53,$A18,'EL scheme register'!$C$7:$C$53,"Faculty/school",'EL scheme register'!$AJ$7:$AJ$53,"Yes")</f>
        <v/>
      </c>
      <c r="L18" s="77">
        <f>COUNTIFS('EL scheme register'!$A$7:$A$53,$A18,'EL scheme register'!$C$7:$C$53,"Programme/course",'EL scheme register'!$AJ$7:$AJ$53,"Yes")</f>
        <v/>
      </c>
      <c r="M18" s="77">
        <f>COUNTIFS('EL scheme register'!$A$7:$A$53,$A18,'EL scheme register'!$C$7:$C$53,"Unclear",'EL scheme register'!$AJ$7:$AJ$53,"Yes")</f>
        <v/>
      </c>
      <c r="N18" s="77">
        <f>SUM(I18:M18)</f>
        <v/>
      </c>
      <c r="O18" s="77">
        <f>COUNTIFS('EL scheme register'!$A$7:$A$53,$A18,'EL scheme register'!$AF$7:$AF$53,"Potentially relevant; evidence incomplete",'EL scheme register'!$AI$7:$AI$53,"Yes")</f>
        <v/>
      </c>
      <c r="P18" s="77">
        <f>COUNTIFS('EL scheme register'!$A$7:$A$53,$A18,'EL scheme register'!$AF$7:$AF$53,"Outside strict definition")</f>
        <v/>
      </c>
      <c r="Q18" s="77">
        <f>COUNTIF('EL exclusions &amp; gaps'!$B$7:$B$5000,$A18)</f>
        <v/>
      </c>
      <c r="R18" s="77" t="inlineStr">
        <is>
          <t>Not reviewed</t>
        </is>
      </c>
      <c r="S18" s="77" t="inlineStr">
        <is>
          <t>Not reviewed</t>
        </is>
      </c>
      <c r="T18" s="77" t="inlineStr"/>
      <c r="U18" s="77" t="inlineStr"/>
      <c r="V18" s="77" t="inlineStr">
        <is>
          <t>Not reviewed</t>
        </is>
      </c>
      <c r="W18" s="77" t="inlineStr"/>
      <c r="X18" s="77" t="inlineStr"/>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register'!$A$7:$A$53,$A19,'EL scheme register'!$C$7:$C$53,"University-wide",'EL scheme register'!$AJ$7:$AJ$53,"Yes")</f>
        <v/>
      </c>
      <c r="J19" s="77">
        <f>COUNTIFS('EL scheme register'!$A$7:$A$53,$A19,'EL scheme register'!$C$7:$C$53,"Cross-faculty",'EL scheme register'!$AJ$7:$AJ$53,"Yes")</f>
        <v/>
      </c>
      <c r="K19" s="77">
        <f>COUNTIFS('EL scheme register'!$A$7:$A$53,$A19,'EL scheme register'!$C$7:$C$53,"Faculty/school",'EL scheme register'!$AJ$7:$AJ$53,"Yes")</f>
        <v/>
      </c>
      <c r="L19" s="77">
        <f>COUNTIFS('EL scheme register'!$A$7:$A$53,$A19,'EL scheme register'!$C$7:$C$53,"Programme/course",'EL scheme register'!$AJ$7:$AJ$53,"Yes")</f>
        <v/>
      </c>
      <c r="M19" s="77">
        <f>COUNTIFS('EL scheme register'!$A$7:$A$53,$A19,'EL scheme register'!$C$7:$C$53,"Unclear",'EL scheme register'!$AJ$7:$AJ$53,"Yes")</f>
        <v/>
      </c>
      <c r="N19" s="77">
        <f>SUM(I19:M19)</f>
        <v/>
      </c>
      <c r="O19" s="77">
        <f>COUNTIFS('EL scheme register'!$A$7:$A$53,$A19,'EL scheme register'!$AF$7:$AF$53,"Potentially relevant; evidence incomplete",'EL scheme register'!$AI$7:$AI$53,"Yes")</f>
        <v/>
      </c>
      <c r="P19" s="77">
        <f>COUNTIFS('EL scheme register'!$A$7:$A$53,$A19,'EL scheme register'!$AF$7:$AF$53,"Outside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Not started</t>
        </is>
      </c>
      <c r="I20" s="77">
        <f>COUNTIFS('EL scheme register'!$A$7:$A$53,$A20,'EL scheme register'!$C$7:$C$53,"University-wide",'EL scheme register'!$AJ$7:$AJ$53,"Yes")</f>
        <v/>
      </c>
      <c r="J20" s="77">
        <f>COUNTIFS('EL scheme register'!$A$7:$A$53,$A20,'EL scheme register'!$C$7:$C$53,"Cross-faculty",'EL scheme register'!$AJ$7:$AJ$53,"Yes")</f>
        <v/>
      </c>
      <c r="K20" s="77">
        <f>COUNTIFS('EL scheme register'!$A$7:$A$53,$A20,'EL scheme register'!$C$7:$C$53,"Faculty/school",'EL scheme register'!$AJ$7:$AJ$53,"Yes")</f>
        <v/>
      </c>
      <c r="L20" s="77">
        <f>COUNTIFS('EL scheme register'!$A$7:$A$53,$A20,'EL scheme register'!$C$7:$C$53,"Programme/course",'EL scheme register'!$AJ$7:$AJ$53,"Yes")</f>
        <v/>
      </c>
      <c r="M20" s="77">
        <f>COUNTIFS('EL scheme register'!$A$7:$A$53,$A20,'EL scheme register'!$C$7:$C$53,"Unclear",'EL scheme register'!$AJ$7:$AJ$53,"Yes")</f>
        <v/>
      </c>
      <c r="N20" s="77">
        <f>SUM(I20:M20)</f>
        <v/>
      </c>
      <c r="O20" s="77">
        <f>COUNTIFS('EL scheme register'!$A$7:$A$53,$A20,'EL scheme register'!$AF$7:$AF$53,"Potentially relevant; evidence incomplete",'EL scheme register'!$AI$7:$AI$53,"Yes")</f>
        <v/>
      </c>
      <c r="P20" s="77">
        <f>COUNTIFS('EL scheme register'!$A$7:$A$53,$A20,'EL scheme register'!$AF$7:$AF$53,"Outside strict definition")</f>
        <v/>
      </c>
      <c r="Q20" s="77">
        <f>COUNTIF('EL exclusions &amp; gaps'!$B$7:$B$5000,$A20)</f>
        <v/>
      </c>
      <c r="R20" s="77" t="inlineStr">
        <is>
          <t>Not reviewed</t>
        </is>
      </c>
      <c r="S20" s="77" t="inlineStr">
        <is>
          <t>Not reviewed</t>
        </is>
      </c>
      <c r="T20" s="77" t="inlineStr"/>
      <c r="U20" s="77" t="inlineStr"/>
      <c r="V20" s="77" t="inlineStr">
        <is>
          <t>Not reviewed</t>
        </is>
      </c>
      <c r="W20" s="77" t="inlineStr"/>
      <c r="X20" s="77" t="inlineStr"/>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Not started</t>
        </is>
      </c>
      <c r="I21" s="77">
        <f>COUNTIFS('EL scheme register'!$A$7:$A$53,$A21,'EL scheme register'!$C$7:$C$53,"University-wide",'EL scheme register'!$AJ$7:$AJ$53,"Yes")</f>
        <v/>
      </c>
      <c r="J21" s="77">
        <f>COUNTIFS('EL scheme register'!$A$7:$A$53,$A21,'EL scheme register'!$C$7:$C$53,"Cross-faculty",'EL scheme register'!$AJ$7:$AJ$53,"Yes")</f>
        <v/>
      </c>
      <c r="K21" s="77">
        <f>COUNTIFS('EL scheme register'!$A$7:$A$53,$A21,'EL scheme register'!$C$7:$C$53,"Faculty/school",'EL scheme register'!$AJ$7:$AJ$53,"Yes")</f>
        <v/>
      </c>
      <c r="L21" s="77">
        <f>COUNTIFS('EL scheme register'!$A$7:$A$53,$A21,'EL scheme register'!$C$7:$C$53,"Programme/course",'EL scheme register'!$AJ$7:$AJ$53,"Yes")</f>
        <v/>
      </c>
      <c r="M21" s="77">
        <f>COUNTIFS('EL scheme register'!$A$7:$A$53,$A21,'EL scheme register'!$C$7:$C$53,"Unclear",'EL scheme register'!$AJ$7:$AJ$53,"Yes")</f>
        <v/>
      </c>
      <c r="N21" s="77">
        <f>SUM(I21:M21)</f>
        <v/>
      </c>
      <c r="O21" s="77">
        <f>COUNTIFS('EL scheme register'!$A$7:$A$53,$A21,'EL scheme register'!$AF$7:$AF$53,"Potentially relevant; evidence incomplete",'EL scheme register'!$AI$7:$AI$53,"Yes")</f>
        <v/>
      </c>
      <c r="P21" s="77">
        <f>COUNTIFS('EL scheme register'!$A$7:$A$53,$A21,'EL scheme register'!$AF$7:$AF$53,"Outside strict definition")</f>
        <v/>
      </c>
      <c r="Q21" s="77">
        <f>COUNTIF('EL exclusions &amp; gaps'!$B$7:$B$5000,$A21)</f>
        <v/>
      </c>
      <c r="R21" s="77" t="inlineStr">
        <is>
          <t>Not reviewed</t>
        </is>
      </c>
      <c r="S21" s="77" t="inlineStr">
        <is>
          <t>Not reviewed</t>
        </is>
      </c>
      <c r="T21" s="77" t="inlineStr"/>
      <c r="U21" s="77" t="inlineStr"/>
      <c r="V21" s="77" t="inlineStr">
        <is>
          <t>Not reviewed</t>
        </is>
      </c>
      <c r="W21" s="77" t="inlineStr"/>
      <c r="X21" s="77" t="inlineStr"/>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Not started</t>
        </is>
      </c>
      <c r="I22" s="77">
        <f>COUNTIFS('EL scheme register'!$A$7:$A$53,$A22,'EL scheme register'!$C$7:$C$53,"University-wide",'EL scheme register'!$AJ$7:$AJ$53,"Yes")</f>
        <v/>
      </c>
      <c r="J22" s="77">
        <f>COUNTIFS('EL scheme register'!$A$7:$A$53,$A22,'EL scheme register'!$C$7:$C$53,"Cross-faculty",'EL scheme register'!$AJ$7:$AJ$53,"Yes")</f>
        <v/>
      </c>
      <c r="K22" s="77">
        <f>COUNTIFS('EL scheme register'!$A$7:$A$53,$A22,'EL scheme register'!$C$7:$C$53,"Faculty/school",'EL scheme register'!$AJ$7:$AJ$53,"Yes")</f>
        <v/>
      </c>
      <c r="L22" s="77">
        <f>COUNTIFS('EL scheme register'!$A$7:$A$53,$A22,'EL scheme register'!$C$7:$C$53,"Programme/course",'EL scheme register'!$AJ$7:$AJ$53,"Yes")</f>
        <v/>
      </c>
      <c r="M22" s="77">
        <f>COUNTIFS('EL scheme register'!$A$7:$A$53,$A22,'EL scheme register'!$C$7:$C$53,"Unclear",'EL scheme register'!$AJ$7:$AJ$53,"Yes")</f>
        <v/>
      </c>
      <c r="N22" s="77">
        <f>SUM(I22:M22)</f>
        <v/>
      </c>
      <c r="O22" s="77">
        <f>COUNTIFS('EL scheme register'!$A$7:$A$53,$A22,'EL scheme register'!$AF$7:$AF$53,"Potentially relevant; evidence incomplete",'EL scheme register'!$AI$7:$AI$53,"Yes")</f>
        <v/>
      </c>
      <c r="P22" s="77">
        <f>COUNTIFS('EL scheme register'!$A$7:$A$53,$A22,'EL scheme register'!$AF$7:$AF$53,"Outside strict definition")</f>
        <v/>
      </c>
      <c r="Q22" s="77">
        <f>COUNTIF('EL exclusions &amp; gaps'!$B$7:$B$5000,$A22)</f>
        <v/>
      </c>
      <c r="R22" s="77" t="inlineStr">
        <is>
          <t>Not reviewed</t>
        </is>
      </c>
      <c r="S22" s="77" t="inlineStr">
        <is>
          <t>Not reviewed</t>
        </is>
      </c>
      <c r="T22" s="77" t="inlineStr"/>
      <c r="U22" s="77" t="inlineStr"/>
      <c r="V22" s="77" t="inlineStr">
        <is>
          <t>Not reviewed</t>
        </is>
      </c>
      <c r="W22" s="77" t="inlineStr"/>
      <c r="X22" s="77" t="inlineStr"/>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Not started</t>
        </is>
      </c>
      <c r="I23" s="77">
        <f>COUNTIFS('EL scheme register'!$A$7:$A$53,$A23,'EL scheme register'!$C$7:$C$53,"University-wide",'EL scheme register'!$AJ$7:$AJ$53,"Yes")</f>
        <v/>
      </c>
      <c r="J23" s="77">
        <f>COUNTIFS('EL scheme register'!$A$7:$A$53,$A23,'EL scheme register'!$C$7:$C$53,"Cross-faculty",'EL scheme register'!$AJ$7:$AJ$53,"Yes")</f>
        <v/>
      </c>
      <c r="K23" s="77">
        <f>COUNTIFS('EL scheme register'!$A$7:$A$53,$A23,'EL scheme register'!$C$7:$C$53,"Faculty/school",'EL scheme register'!$AJ$7:$AJ$53,"Yes")</f>
        <v/>
      </c>
      <c r="L23" s="77">
        <f>COUNTIFS('EL scheme register'!$A$7:$A$53,$A23,'EL scheme register'!$C$7:$C$53,"Programme/course",'EL scheme register'!$AJ$7:$AJ$53,"Yes")</f>
        <v/>
      </c>
      <c r="M23" s="77">
        <f>COUNTIFS('EL scheme register'!$A$7:$A$53,$A23,'EL scheme register'!$C$7:$C$53,"Unclear",'EL scheme register'!$AJ$7:$AJ$53,"Yes")</f>
        <v/>
      </c>
      <c r="N23" s="77">
        <f>SUM(I23:M23)</f>
        <v/>
      </c>
      <c r="O23" s="77">
        <f>COUNTIFS('EL scheme register'!$A$7:$A$53,$A23,'EL scheme register'!$AF$7:$AF$53,"Potentially relevant; evidence incomplete",'EL scheme register'!$AI$7:$AI$53,"Yes")</f>
        <v/>
      </c>
      <c r="P23" s="77">
        <f>COUNTIFS('EL scheme register'!$A$7:$A$53,$A23,'EL scheme register'!$AF$7:$AF$53,"Outside strict definition")</f>
        <v/>
      </c>
      <c r="Q23" s="77">
        <f>COUNTIF('EL exclusions &amp; gaps'!$B$7:$B$5000,$A23)</f>
        <v/>
      </c>
      <c r="R23" s="77" t="inlineStr">
        <is>
          <t>Not reviewed</t>
        </is>
      </c>
      <c r="S23" s="77" t="inlineStr">
        <is>
          <t>Not reviewed</t>
        </is>
      </c>
      <c r="T23" s="77" t="inlineStr"/>
      <c r="U23" s="77" t="inlineStr"/>
      <c r="V23" s="77" t="inlineStr">
        <is>
          <t>Not reviewed</t>
        </is>
      </c>
      <c r="W23" s="77" t="inlineStr"/>
      <c r="X23" s="77" t="inlineStr"/>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Not started</t>
        </is>
      </c>
      <c r="I24" s="77">
        <f>COUNTIFS('EL scheme register'!$A$7:$A$53,$A24,'EL scheme register'!$C$7:$C$53,"University-wide",'EL scheme register'!$AJ$7:$AJ$53,"Yes")</f>
        <v/>
      </c>
      <c r="J24" s="77">
        <f>COUNTIFS('EL scheme register'!$A$7:$A$53,$A24,'EL scheme register'!$C$7:$C$53,"Cross-faculty",'EL scheme register'!$AJ$7:$AJ$53,"Yes")</f>
        <v/>
      </c>
      <c r="K24" s="77">
        <f>COUNTIFS('EL scheme register'!$A$7:$A$53,$A24,'EL scheme register'!$C$7:$C$53,"Faculty/school",'EL scheme register'!$AJ$7:$AJ$53,"Yes")</f>
        <v/>
      </c>
      <c r="L24" s="77">
        <f>COUNTIFS('EL scheme register'!$A$7:$A$53,$A24,'EL scheme register'!$C$7:$C$53,"Programme/course",'EL scheme register'!$AJ$7:$AJ$53,"Yes")</f>
        <v/>
      </c>
      <c r="M24" s="77">
        <f>COUNTIFS('EL scheme register'!$A$7:$A$53,$A24,'EL scheme register'!$C$7:$C$53,"Unclear",'EL scheme register'!$AJ$7:$AJ$53,"Yes")</f>
        <v/>
      </c>
      <c r="N24" s="77">
        <f>SUM(I24:M24)</f>
        <v/>
      </c>
      <c r="O24" s="77">
        <f>COUNTIFS('EL scheme register'!$A$7:$A$53,$A24,'EL scheme register'!$AF$7:$AF$53,"Potentially relevant; evidence incomplete",'EL scheme register'!$AI$7:$AI$53,"Yes")</f>
        <v/>
      </c>
      <c r="P24" s="77">
        <f>COUNTIFS('EL scheme register'!$A$7:$A$53,$A24,'EL scheme register'!$AF$7:$AF$53,"Outside strict definition")</f>
        <v/>
      </c>
      <c r="Q24" s="77">
        <f>COUNTIF('EL exclusions &amp; gaps'!$B$7:$B$5000,$A24)</f>
        <v/>
      </c>
      <c r="R24" s="77" t="inlineStr">
        <is>
          <t>Not reviewed</t>
        </is>
      </c>
      <c r="S24" s="77" t="inlineStr">
        <is>
          <t>Not reviewed</t>
        </is>
      </c>
      <c r="T24" s="77" t="inlineStr"/>
      <c r="U24" s="77" t="inlineStr"/>
      <c r="V24" s="77" t="inlineStr">
        <is>
          <t>Not reviewed</t>
        </is>
      </c>
      <c r="W24" s="77" t="inlineStr"/>
      <c r="X24" s="77" t="inlineStr"/>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Not started</t>
        </is>
      </c>
      <c r="I25" s="77">
        <f>COUNTIFS('EL scheme register'!$A$7:$A$53,$A25,'EL scheme register'!$C$7:$C$53,"University-wide",'EL scheme register'!$AJ$7:$AJ$53,"Yes")</f>
        <v/>
      </c>
      <c r="J25" s="77">
        <f>COUNTIFS('EL scheme register'!$A$7:$A$53,$A25,'EL scheme register'!$C$7:$C$53,"Cross-faculty",'EL scheme register'!$AJ$7:$AJ$53,"Yes")</f>
        <v/>
      </c>
      <c r="K25" s="77">
        <f>COUNTIFS('EL scheme register'!$A$7:$A$53,$A25,'EL scheme register'!$C$7:$C$53,"Faculty/school",'EL scheme register'!$AJ$7:$AJ$53,"Yes")</f>
        <v/>
      </c>
      <c r="L25" s="77">
        <f>COUNTIFS('EL scheme register'!$A$7:$A$53,$A25,'EL scheme register'!$C$7:$C$53,"Programme/course",'EL scheme register'!$AJ$7:$AJ$53,"Yes")</f>
        <v/>
      </c>
      <c r="M25" s="77">
        <f>COUNTIFS('EL scheme register'!$A$7:$A$53,$A25,'EL scheme register'!$C$7:$C$53,"Unclear",'EL scheme register'!$AJ$7:$AJ$53,"Yes")</f>
        <v/>
      </c>
      <c r="N25" s="77">
        <f>SUM(I25:M25)</f>
        <v/>
      </c>
      <c r="O25" s="77">
        <f>COUNTIFS('EL scheme register'!$A$7:$A$53,$A25,'EL scheme register'!$AF$7:$AF$53,"Potentially relevant; evidence incomplete",'EL scheme register'!$AI$7:$AI$53,"Yes")</f>
        <v/>
      </c>
      <c r="P25" s="77">
        <f>COUNTIFS('EL scheme register'!$A$7:$A$53,$A25,'EL scheme register'!$AF$7:$AF$53,"Outside strict definition")</f>
        <v/>
      </c>
      <c r="Q25" s="77">
        <f>COUNTIF('EL exclusions &amp; gaps'!$B$7:$B$5000,$A25)</f>
        <v/>
      </c>
      <c r="R25" s="77" t="inlineStr">
        <is>
          <t>Not reviewed</t>
        </is>
      </c>
      <c r="S25" s="77" t="inlineStr">
        <is>
          <t>Not reviewed</t>
        </is>
      </c>
      <c r="T25" s="77" t="inlineStr"/>
      <c r="U25" s="77" t="inlineStr"/>
      <c r="V25" s="77" t="inlineStr">
        <is>
          <t>Not reviewed</t>
        </is>
      </c>
      <c r="W25" s="77" t="inlineStr"/>
      <c r="X25" s="77" t="inlineStr"/>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Not started</t>
        </is>
      </c>
      <c r="I26" s="77">
        <f>COUNTIFS('EL scheme register'!$A$7:$A$53,$A26,'EL scheme register'!$C$7:$C$53,"University-wide",'EL scheme register'!$AJ$7:$AJ$53,"Yes")</f>
        <v/>
      </c>
      <c r="J26" s="77">
        <f>COUNTIFS('EL scheme register'!$A$7:$A$53,$A26,'EL scheme register'!$C$7:$C$53,"Cross-faculty",'EL scheme register'!$AJ$7:$AJ$53,"Yes")</f>
        <v/>
      </c>
      <c r="K26" s="77">
        <f>COUNTIFS('EL scheme register'!$A$7:$A$53,$A26,'EL scheme register'!$C$7:$C$53,"Faculty/school",'EL scheme register'!$AJ$7:$AJ$53,"Yes")</f>
        <v/>
      </c>
      <c r="L26" s="77">
        <f>COUNTIFS('EL scheme register'!$A$7:$A$53,$A26,'EL scheme register'!$C$7:$C$53,"Programme/course",'EL scheme register'!$AJ$7:$AJ$53,"Yes")</f>
        <v/>
      </c>
      <c r="M26" s="77">
        <f>COUNTIFS('EL scheme register'!$A$7:$A$53,$A26,'EL scheme register'!$C$7:$C$53,"Unclear",'EL scheme register'!$AJ$7:$AJ$53,"Yes")</f>
        <v/>
      </c>
      <c r="N26" s="77">
        <f>SUM(I26:M26)</f>
        <v/>
      </c>
      <c r="O26" s="77">
        <f>COUNTIFS('EL scheme register'!$A$7:$A$53,$A26,'EL scheme register'!$AF$7:$AF$53,"Potentially relevant; evidence incomplete",'EL scheme register'!$AI$7:$AI$53,"Yes")</f>
        <v/>
      </c>
      <c r="P26" s="77">
        <f>COUNTIFS('EL scheme register'!$A$7:$A$53,$A26,'EL scheme register'!$AF$7:$AF$53,"Outside strict definition")</f>
        <v/>
      </c>
      <c r="Q26" s="77">
        <f>COUNTIF('EL exclusions &amp; gaps'!$B$7:$B$5000,$A26)</f>
        <v/>
      </c>
      <c r="R26" s="77" t="inlineStr">
        <is>
          <t>Not reviewed</t>
        </is>
      </c>
      <c r="S26" s="77" t="inlineStr">
        <is>
          <t>Not reviewed</t>
        </is>
      </c>
      <c r="T26" s="77" t="inlineStr"/>
      <c r="U26" s="77" t="inlineStr"/>
      <c r="V26" s="77" t="inlineStr">
        <is>
          <t>Not reviewed</t>
        </is>
      </c>
      <c r="W26" s="77" t="inlineStr"/>
      <c r="X26" s="77" t="inlineStr"/>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Not started</t>
        </is>
      </c>
      <c r="I27" s="77">
        <f>COUNTIFS('EL scheme register'!$A$7:$A$53,$A27,'EL scheme register'!$C$7:$C$53,"University-wide",'EL scheme register'!$AJ$7:$AJ$53,"Yes")</f>
        <v/>
      </c>
      <c r="J27" s="77">
        <f>COUNTIFS('EL scheme register'!$A$7:$A$53,$A27,'EL scheme register'!$C$7:$C$53,"Cross-faculty",'EL scheme register'!$AJ$7:$AJ$53,"Yes")</f>
        <v/>
      </c>
      <c r="K27" s="77">
        <f>COUNTIFS('EL scheme register'!$A$7:$A$53,$A27,'EL scheme register'!$C$7:$C$53,"Faculty/school",'EL scheme register'!$AJ$7:$AJ$53,"Yes")</f>
        <v/>
      </c>
      <c r="L27" s="77">
        <f>COUNTIFS('EL scheme register'!$A$7:$A$53,$A27,'EL scheme register'!$C$7:$C$53,"Programme/course",'EL scheme register'!$AJ$7:$AJ$53,"Yes")</f>
        <v/>
      </c>
      <c r="M27" s="77">
        <f>COUNTIFS('EL scheme register'!$A$7:$A$53,$A27,'EL scheme register'!$C$7:$C$53,"Unclear",'EL scheme register'!$AJ$7:$AJ$53,"Yes")</f>
        <v/>
      </c>
      <c r="N27" s="77">
        <f>SUM(I27:M27)</f>
        <v/>
      </c>
      <c r="O27" s="77">
        <f>COUNTIFS('EL scheme register'!$A$7:$A$53,$A27,'EL scheme register'!$AF$7:$AF$53,"Potentially relevant; evidence incomplete",'EL scheme register'!$AI$7:$AI$53,"Yes")</f>
        <v/>
      </c>
      <c r="P27" s="77">
        <f>COUNTIFS('EL scheme register'!$A$7:$A$53,$A27,'EL scheme register'!$AF$7:$AF$53,"Outside strict definition")</f>
        <v/>
      </c>
      <c r="Q27" s="77">
        <f>COUNTIF('EL exclusions &amp; gaps'!$B$7:$B$5000,$A27)</f>
        <v/>
      </c>
      <c r="R27" s="77" t="inlineStr">
        <is>
          <t>Not reviewed</t>
        </is>
      </c>
      <c r="S27" s="77" t="inlineStr">
        <is>
          <t>Not reviewed</t>
        </is>
      </c>
      <c r="T27" s="77" t="inlineStr"/>
      <c r="U27" s="77" t="inlineStr"/>
      <c r="V27" s="77" t="inlineStr">
        <is>
          <t>Not reviewed</t>
        </is>
      </c>
      <c r="W27" s="77" t="inlineStr"/>
      <c r="X27" s="77" t="inlineStr"/>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Not started</t>
        </is>
      </c>
      <c r="I28" s="77">
        <f>COUNTIFS('EL scheme register'!$A$7:$A$53,$A28,'EL scheme register'!$C$7:$C$53,"University-wide",'EL scheme register'!$AJ$7:$AJ$53,"Yes")</f>
        <v/>
      </c>
      <c r="J28" s="77">
        <f>COUNTIFS('EL scheme register'!$A$7:$A$53,$A28,'EL scheme register'!$C$7:$C$53,"Cross-faculty",'EL scheme register'!$AJ$7:$AJ$53,"Yes")</f>
        <v/>
      </c>
      <c r="K28" s="77">
        <f>COUNTIFS('EL scheme register'!$A$7:$A$53,$A28,'EL scheme register'!$C$7:$C$53,"Faculty/school",'EL scheme register'!$AJ$7:$AJ$53,"Yes")</f>
        <v/>
      </c>
      <c r="L28" s="77">
        <f>COUNTIFS('EL scheme register'!$A$7:$A$53,$A28,'EL scheme register'!$C$7:$C$53,"Programme/course",'EL scheme register'!$AJ$7:$AJ$53,"Yes")</f>
        <v/>
      </c>
      <c r="M28" s="77">
        <f>COUNTIFS('EL scheme register'!$A$7:$A$53,$A28,'EL scheme register'!$C$7:$C$53,"Unclear",'EL scheme register'!$AJ$7:$AJ$53,"Yes")</f>
        <v/>
      </c>
      <c r="N28" s="77">
        <f>SUM(I28:M28)</f>
        <v/>
      </c>
      <c r="O28" s="77">
        <f>COUNTIFS('EL scheme register'!$A$7:$A$53,$A28,'EL scheme register'!$AF$7:$AF$53,"Potentially relevant; evidence incomplete",'EL scheme register'!$AI$7:$AI$53,"Yes")</f>
        <v/>
      </c>
      <c r="P28" s="77">
        <f>COUNTIFS('EL scheme register'!$A$7:$A$53,$A28,'EL scheme register'!$AF$7:$AF$53,"Outside strict definition")</f>
        <v/>
      </c>
      <c r="Q28" s="77">
        <f>COUNTIF('EL exclusions &amp; gaps'!$B$7:$B$5000,$A28)</f>
        <v/>
      </c>
      <c r="R28" s="77" t="inlineStr">
        <is>
          <t>Not reviewed</t>
        </is>
      </c>
      <c r="S28" s="77" t="inlineStr">
        <is>
          <t>Not reviewed</t>
        </is>
      </c>
      <c r="T28" s="77" t="inlineStr"/>
      <c r="U28" s="77" t="inlineStr"/>
      <c r="V28" s="77" t="inlineStr">
        <is>
          <t>Not reviewed</t>
        </is>
      </c>
      <c r="W28" s="77" t="inlineStr"/>
      <c r="X28" s="77" t="inlineStr"/>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Not started</t>
        </is>
      </c>
      <c r="I29" s="77">
        <f>COUNTIFS('EL scheme register'!$A$7:$A$53,$A29,'EL scheme register'!$C$7:$C$53,"University-wide",'EL scheme register'!$AJ$7:$AJ$53,"Yes")</f>
        <v/>
      </c>
      <c r="J29" s="77">
        <f>COUNTIFS('EL scheme register'!$A$7:$A$53,$A29,'EL scheme register'!$C$7:$C$53,"Cross-faculty",'EL scheme register'!$AJ$7:$AJ$53,"Yes")</f>
        <v/>
      </c>
      <c r="K29" s="77">
        <f>COUNTIFS('EL scheme register'!$A$7:$A$53,$A29,'EL scheme register'!$C$7:$C$53,"Faculty/school",'EL scheme register'!$AJ$7:$AJ$53,"Yes")</f>
        <v/>
      </c>
      <c r="L29" s="77">
        <f>COUNTIFS('EL scheme register'!$A$7:$A$53,$A29,'EL scheme register'!$C$7:$C$53,"Programme/course",'EL scheme register'!$AJ$7:$AJ$53,"Yes")</f>
        <v/>
      </c>
      <c r="M29" s="77">
        <f>COUNTIFS('EL scheme register'!$A$7:$A$53,$A29,'EL scheme register'!$C$7:$C$53,"Unclear",'EL scheme register'!$AJ$7:$AJ$53,"Yes")</f>
        <v/>
      </c>
      <c r="N29" s="77">
        <f>SUM(I29:M29)</f>
        <v/>
      </c>
      <c r="O29" s="77">
        <f>COUNTIFS('EL scheme register'!$A$7:$A$53,$A29,'EL scheme register'!$AF$7:$AF$53,"Potentially relevant; evidence incomplete",'EL scheme register'!$AI$7:$AI$53,"Yes")</f>
        <v/>
      </c>
      <c r="P29" s="77">
        <f>COUNTIFS('EL scheme register'!$A$7:$A$53,$A29,'EL scheme register'!$AF$7:$AF$53,"Outside strict definition")</f>
        <v/>
      </c>
      <c r="Q29" s="77">
        <f>COUNTIF('EL exclusions &amp; gaps'!$B$7:$B$5000,$A29)</f>
        <v/>
      </c>
      <c r="R29" s="77" t="inlineStr">
        <is>
          <t>Not reviewed</t>
        </is>
      </c>
      <c r="S29" s="77" t="inlineStr">
        <is>
          <t>Not reviewed</t>
        </is>
      </c>
      <c r="T29" s="77" t="inlineStr"/>
      <c r="U29" s="77" t="inlineStr"/>
      <c r="V29" s="77" t="inlineStr">
        <is>
          <t>Not reviewed</t>
        </is>
      </c>
      <c r="W29" s="77" t="inlineStr"/>
      <c r="X29" s="77" t="inlineStr"/>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Not started</t>
        </is>
      </c>
      <c r="I30" s="77">
        <f>COUNTIFS('EL scheme register'!$A$7:$A$53,$A30,'EL scheme register'!$C$7:$C$53,"University-wide",'EL scheme register'!$AJ$7:$AJ$53,"Yes")</f>
        <v/>
      </c>
      <c r="J30" s="77">
        <f>COUNTIFS('EL scheme register'!$A$7:$A$53,$A30,'EL scheme register'!$C$7:$C$53,"Cross-faculty",'EL scheme register'!$AJ$7:$AJ$53,"Yes")</f>
        <v/>
      </c>
      <c r="K30" s="77">
        <f>COUNTIFS('EL scheme register'!$A$7:$A$53,$A30,'EL scheme register'!$C$7:$C$53,"Faculty/school",'EL scheme register'!$AJ$7:$AJ$53,"Yes")</f>
        <v/>
      </c>
      <c r="L30" s="77">
        <f>COUNTIFS('EL scheme register'!$A$7:$A$53,$A30,'EL scheme register'!$C$7:$C$53,"Programme/course",'EL scheme register'!$AJ$7:$AJ$53,"Yes")</f>
        <v/>
      </c>
      <c r="M30" s="77">
        <f>COUNTIFS('EL scheme register'!$A$7:$A$53,$A30,'EL scheme register'!$C$7:$C$53,"Unclear",'EL scheme register'!$AJ$7:$AJ$53,"Yes")</f>
        <v/>
      </c>
      <c r="N30" s="77">
        <f>SUM(I30:M30)</f>
        <v/>
      </c>
      <c r="O30" s="77">
        <f>COUNTIFS('EL scheme register'!$A$7:$A$53,$A30,'EL scheme register'!$AF$7:$AF$53,"Potentially relevant; evidence incomplete",'EL scheme register'!$AI$7:$AI$53,"Yes")</f>
        <v/>
      </c>
      <c r="P30" s="77">
        <f>COUNTIFS('EL scheme register'!$A$7:$A$53,$A30,'EL scheme register'!$AF$7:$AF$53,"Outside strict definition")</f>
        <v/>
      </c>
      <c r="Q30" s="77">
        <f>COUNTIF('EL exclusions &amp; gaps'!$B$7:$B$5000,$A30)</f>
        <v/>
      </c>
      <c r="R30" s="77" t="inlineStr">
        <is>
          <t>Not reviewed</t>
        </is>
      </c>
      <c r="S30" s="77" t="inlineStr">
        <is>
          <t>Not reviewed</t>
        </is>
      </c>
      <c r="T30" s="77" t="inlineStr"/>
      <c r="U30" s="77" t="inlineStr"/>
      <c r="V30" s="77" t="inlineStr">
        <is>
          <t>Not reviewed</t>
        </is>
      </c>
      <c r="W30" s="77" t="inlineStr"/>
      <c r="X30" s="77" t="inlineStr"/>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register'!$A$7:$A$53,$A31,'EL scheme register'!$C$7:$C$53,"University-wide",'EL scheme register'!$AJ$7:$AJ$53,"Yes")</f>
        <v/>
      </c>
      <c r="J31" s="77">
        <f>COUNTIFS('EL scheme register'!$A$7:$A$53,$A31,'EL scheme register'!$C$7:$C$53,"Cross-faculty",'EL scheme register'!$AJ$7:$AJ$53,"Yes")</f>
        <v/>
      </c>
      <c r="K31" s="77">
        <f>COUNTIFS('EL scheme register'!$A$7:$A$53,$A31,'EL scheme register'!$C$7:$C$53,"Faculty/school",'EL scheme register'!$AJ$7:$AJ$53,"Yes")</f>
        <v/>
      </c>
      <c r="L31" s="77">
        <f>COUNTIFS('EL scheme register'!$A$7:$A$53,$A31,'EL scheme register'!$C$7:$C$53,"Programme/course",'EL scheme register'!$AJ$7:$AJ$53,"Yes")</f>
        <v/>
      </c>
      <c r="M31" s="77">
        <f>COUNTIFS('EL scheme register'!$A$7:$A$53,$A31,'EL scheme register'!$C$7:$C$53,"Unclear",'EL scheme register'!$AJ$7:$AJ$53,"Yes")</f>
        <v/>
      </c>
      <c r="N31" s="77">
        <f>SUM(I31:M31)</f>
        <v/>
      </c>
      <c r="O31" s="77">
        <f>COUNTIFS('EL scheme register'!$A$7:$A$53,$A31,'EL scheme register'!$AF$7:$AF$53,"Potentially relevant; evidence incomplete",'EL scheme register'!$AI$7:$AI$53,"Yes")</f>
        <v/>
      </c>
      <c r="P31" s="77">
        <f>COUNTIFS('EL scheme register'!$A$7:$A$53,$A31,'EL scheme register'!$AF$7:$AF$53,"Outside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register'!$A$7:$A$53,$A32,'EL scheme register'!$C$7:$C$53,"University-wide",'EL scheme register'!$AJ$7:$AJ$53,"Yes")</f>
        <v/>
      </c>
      <c r="J32" s="77">
        <f>COUNTIFS('EL scheme register'!$A$7:$A$53,$A32,'EL scheme register'!$C$7:$C$53,"Cross-faculty",'EL scheme register'!$AJ$7:$AJ$53,"Yes")</f>
        <v/>
      </c>
      <c r="K32" s="77">
        <f>COUNTIFS('EL scheme register'!$A$7:$A$53,$A32,'EL scheme register'!$C$7:$C$53,"Faculty/school",'EL scheme register'!$AJ$7:$AJ$53,"Yes")</f>
        <v/>
      </c>
      <c r="L32" s="77">
        <f>COUNTIFS('EL scheme register'!$A$7:$A$53,$A32,'EL scheme register'!$C$7:$C$53,"Programme/course",'EL scheme register'!$AJ$7:$AJ$53,"Yes")</f>
        <v/>
      </c>
      <c r="M32" s="77">
        <f>COUNTIFS('EL scheme register'!$A$7:$A$53,$A32,'EL scheme register'!$C$7:$C$53,"Unclear",'EL scheme register'!$AJ$7:$AJ$53,"Yes")</f>
        <v/>
      </c>
      <c r="N32" s="77">
        <f>SUM(I32:M32)</f>
        <v/>
      </c>
      <c r="O32" s="77">
        <f>COUNTIFS('EL scheme register'!$A$7:$A$53,$A32,'EL scheme register'!$AF$7:$AF$53,"Potentially relevant; evidence incomplete",'EL scheme register'!$AI$7:$AI$53,"Yes")</f>
        <v/>
      </c>
      <c r="P32" s="77">
        <f>COUNTIFS('EL scheme register'!$A$7:$A$53,$A32,'EL scheme register'!$AF$7:$AF$53,"Outside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Not started</t>
        </is>
      </c>
      <c r="I33" s="77">
        <f>COUNTIFS('EL scheme register'!$A$7:$A$53,$A33,'EL scheme register'!$C$7:$C$53,"University-wide",'EL scheme register'!$AJ$7:$AJ$53,"Yes")</f>
        <v/>
      </c>
      <c r="J33" s="77">
        <f>COUNTIFS('EL scheme register'!$A$7:$A$53,$A33,'EL scheme register'!$C$7:$C$53,"Cross-faculty",'EL scheme register'!$AJ$7:$AJ$53,"Yes")</f>
        <v/>
      </c>
      <c r="K33" s="77">
        <f>COUNTIFS('EL scheme register'!$A$7:$A$53,$A33,'EL scheme register'!$C$7:$C$53,"Faculty/school",'EL scheme register'!$AJ$7:$AJ$53,"Yes")</f>
        <v/>
      </c>
      <c r="L33" s="77">
        <f>COUNTIFS('EL scheme register'!$A$7:$A$53,$A33,'EL scheme register'!$C$7:$C$53,"Programme/course",'EL scheme register'!$AJ$7:$AJ$53,"Yes")</f>
        <v/>
      </c>
      <c r="M33" s="77">
        <f>COUNTIFS('EL scheme register'!$A$7:$A$53,$A33,'EL scheme register'!$C$7:$C$53,"Unclear",'EL scheme register'!$AJ$7:$AJ$53,"Yes")</f>
        <v/>
      </c>
      <c r="N33" s="77">
        <f>SUM(I33:M33)</f>
        <v/>
      </c>
      <c r="O33" s="77">
        <f>COUNTIFS('EL scheme register'!$A$7:$A$53,$A33,'EL scheme register'!$AF$7:$AF$53,"Potentially relevant; evidence incomplete",'EL scheme register'!$AI$7:$AI$53,"Yes")</f>
        <v/>
      </c>
      <c r="P33" s="77">
        <f>COUNTIFS('EL scheme register'!$A$7:$A$53,$A33,'EL scheme register'!$AF$7:$AF$53,"Outside strict definition")</f>
        <v/>
      </c>
      <c r="Q33" s="77">
        <f>COUNTIF('EL exclusions &amp; gaps'!$B$7:$B$5000,$A33)</f>
        <v/>
      </c>
      <c r="R33" s="77" t="inlineStr">
        <is>
          <t>Not reviewed</t>
        </is>
      </c>
      <c r="S33" s="77" t="inlineStr">
        <is>
          <t>Not reviewed</t>
        </is>
      </c>
      <c r="T33" s="77" t="inlineStr"/>
      <c r="U33" s="77" t="inlineStr"/>
      <c r="V33" s="77" t="inlineStr">
        <is>
          <t>Not reviewed</t>
        </is>
      </c>
      <c r="W33" s="77" t="inlineStr"/>
      <c r="X33" s="77" t="inlineStr"/>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register'!$A$7:$A$53,$A34,'EL scheme register'!$C$7:$C$53,"University-wide",'EL scheme register'!$AJ$7:$AJ$53,"Yes")</f>
        <v/>
      </c>
      <c r="J34" s="77">
        <f>COUNTIFS('EL scheme register'!$A$7:$A$53,$A34,'EL scheme register'!$C$7:$C$53,"Cross-faculty",'EL scheme register'!$AJ$7:$AJ$53,"Yes")</f>
        <v/>
      </c>
      <c r="K34" s="77">
        <f>COUNTIFS('EL scheme register'!$A$7:$A$53,$A34,'EL scheme register'!$C$7:$C$53,"Faculty/school",'EL scheme register'!$AJ$7:$AJ$53,"Yes")</f>
        <v/>
      </c>
      <c r="L34" s="77">
        <f>COUNTIFS('EL scheme register'!$A$7:$A$53,$A34,'EL scheme register'!$C$7:$C$53,"Programme/course",'EL scheme register'!$AJ$7:$AJ$53,"Yes")</f>
        <v/>
      </c>
      <c r="M34" s="77">
        <f>COUNTIFS('EL scheme register'!$A$7:$A$53,$A34,'EL scheme register'!$C$7:$C$53,"Unclear",'EL scheme register'!$AJ$7:$AJ$53,"Yes")</f>
        <v/>
      </c>
      <c r="N34" s="77">
        <f>SUM(I34:M34)</f>
        <v/>
      </c>
      <c r="O34" s="77">
        <f>COUNTIFS('EL scheme register'!$A$7:$A$53,$A34,'EL scheme register'!$AF$7:$AF$53,"Potentially relevant; evidence incomplete",'EL scheme register'!$AI$7:$AI$53,"Yes")</f>
        <v/>
      </c>
      <c r="P34" s="77">
        <f>COUNTIFS('EL scheme register'!$A$7:$A$53,$A34,'EL scheme register'!$AF$7:$AF$53,"Outside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register'!$A$7:$A$53,$A35,'EL scheme register'!$C$7:$C$53,"University-wide",'EL scheme register'!$AJ$7:$AJ$53,"Yes")</f>
        <v/>
      </c>
      <c r="J35" s="77">
        <f>COUNTIFS('EL scheme register'!$A$7:$A$53,$A35,'EL scheme register'!$C$7:$C$53,"Cross-faculty",'EL scheme register'!$AJ$7:$AJ$53,"Yes")</f>
        <v/>
      </c>
      <c r="K35" s="77">
        <f>COUNTIFS('EL scheme register'!$A$7:$A$53,$A35,'EL scheme register'!$C$7:$C$53,"Faculty/school",'EL scheme register'!$AJ$7:$AJ$53,"Yes")</f>
        <v/>
      </c>
      <c r="L35" s="77">
        <f>COUNTIFS('EL scheme register'!$A$7:$A$53,$A35,'EL scheme register'!$C$7:$C$53,"Programme/course",'EL scheme register'!$AJ$7:$AJ$53,"Yes")</f>
        <v/>
      </c>
      <c r="M35" s="77">
        <f>COUNTIFS('EL scheme register'!$A$7:$A$53,$A35,'EL scheme register'!$C$7:$C$53,"Unclear",'EL scheme register'!$AJ$7:$AJ$53,"Yes")</f>
        <v/>
      </c>
      <c r="N35" s="77">
        <f>SUM(I35:M35)</f>
        <v/>
      </c>
      <c r="O35" s="77">
        <f>COUNTIFS('EL scheme register'!$A$7:$A$53,$A35,'EL scheme register'!$AF$7:$AF$53,"Potentially relevant; evidence incomplete",'EL scheme register'!$AI$7:$AI$53,"Yes")</f>
        <v/>
      </c>
      <c r="P35" s="77">
        <f>COUNTIFS('EL scheme register'!$A$7:$A$53,$A35,'EL scheme register'!$AF$7:$AF$53,"Outside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Not started</t>
        </is>
      </c>
      <c r="I36" s="77">
        <f>COUNTIFS('EL scheme register'!$A$7:$A$53,$A36,'EL scheme register'!$C$7:$C$53,"University-wide",'EL scheme register'!$AJ$7:$AJ$53,"Yes")</f>
        <v/>
      </c>
      <c r="J36" s="77">
        <f>COUNTIFS('EL scheme register'!$A$7:$A$53,$A36,'EL scheme register'!$C$7:$C$53,"Cross-faculty",'EL scheme register'!$AJ$7:$AJ$53,"Yes")</f>
        <v/>
      </c>
      <c r="K36" s="77">
        <f>COUNTIFS('EL scheme register'!$A$7:$A$53,$A36,'EL scheme register'!$C$7:$C$53,"Faculty/school",'EL scheme register'!$AJ$7:$AJ$53,"Yes")</f>
        <v/>
      </c>
      <c r="L36" s="77">
        <f>COUNTIFS('EL scheme register'!$A$7:$A$53,$A36,'EL scheme register'!$C$7:$C$53,"Programme/course",'EL scheme register'!$AJ$7:$AJ$53,"Yes")</f>
        <v/>
      </c>
      <c r="M36" s="77">
        <f>COUNTIFS('EL scheme register'!$A$7:$A$53,$A36,'EL scheme register'!$C$7:$C$53,"Unclear",'EL scheme register'!$AJ$7:$AJ$53,"Yes")</f>
        <v/>
      </c>
      <c r="N36" s="77">
        <f>SUM(I36:M36)</f>
        <v/>
      </c>
      <c r="O36" s="77">
        <f>COUNTIFS('EL scheme register'!$A$7:$A$53,$A36,'EL scheme register'!$AF$7:$AF$53,"Potentially relevant; evidence incomplete",'EL scheme register'!$AI$7:$AI$53,"Yes")</f>
        <v/>
      </c>
      <c r="P36" s="77">
        <f>COUNTIFS('EL scheme register'!$A$7:$A$53,$A36,'EL scheme register'!$AF$7:$AF$53,"Outside strict definition")</f>
        <v/>
      </c>
      <c r="Q36" s="77">
        <f>COUNTIF('EL exclusions &amp; gaps'!$B$7:$B$5000,$A36)</f>
        <v/>
      </c>
      <c r="R36" s="77" t="inlineStr">
        <is>
          <t>Not reviewed</t>
        </is>
      </c>
      <c r="S36" s="77" t="inlineStr">
        <is>
          <t>Not reviewed</t>
        </is>
      </c>
      <c r="T36" s="77" t="inlineStr"/>
      <c r="U36" s="77" t="inlineStr"/>
      <c r="V36" s="77" t="inlineStr">
        <is>
          <t>Not reviewed</t>
        </is>
      </c>
      <c r="W36" s="77" t="inlineStr"/>
      <c r="X36" s="77" t="inlineStr"/>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register'!$A$7:$A$53,$A37,'EL scheme register'!$C$7:$C$53,"University-wide",'EL scheme register'!$AJ$7:$AJ$53,"Yes")</f>
        <v/>
      </c>
      <c r="J37" s="77">
        <f>COUNTIFS('EL scheme register'!$A$7:$A$53,$A37,'EL scheme register'!$C$7:$C$53,"Cross-faculty",'EL scheme register'!$AJ$7:$AJ$53,"Yes")</f>
        <v/>
      </c>
      <c r="K37" s="77">
        <f>COUNTIFS('EL scheme register'!$A$7:$A$53,$A37,'EL scheme register'!$C$7:$C$53,"Faculty/school",'EL scheme register'!$AJ$7:$AJ$53,"Yes")</f>
        <v/>
      </c>
      <c r="L37" s="77">
        <f>COUNTIFS('EL scheme register'!$A$7:$A$53,$A37,'EL scheme register'!$C$7:$C$53,"Programme/course",'EL scheme register'!$AJ$7:$AJ$53,"Yes")</f>
        <v/>
      </c>
      <c r="M37" s="77">
        <f>COUNTIFS('EL scheme register'!$A$7:$A$53,$A37,'EL scheme register'!$C$7:$C$53,"Unclear",'EL scheme register'!$AJ$7:$AJ$53,"Yes")</f>
        <v/>
      </c>
      <c r="N37" s="77">
        <f>SUM(I37:M37)</f>
        <v/>
      </c>
      <c r="O37" s="77">
        <f>COUNTIFS('EL scheme register'!$A$7:$A$53,$A37,'EL scheme register'!$AF$7:$AF$53,"Potentially relevant; evidence incomplete",'EL scheme register'!$AI$7:$AI$53,"Yes")</f>
        <v/>
      </c>
      <c r="P37" s="77">
        <f>COUNTIFS('EL scheme register'!$A$7:$A$53,$A37,'EL scheme register'!$AF$7:$AF$53,"Outside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register'!$A$7:$A$53,$A38,'EL scheme register'!$C$7:$C$53,"University-wide",'EL scheme register'!$AJ$7:$AJ$53,"Yes")</f>
        <v/>
      </c>
      <c r="J38" s="77">
        <f>COUNTIFS('EL scheme register'!$A$7:$A$53,$A38,'EL scheme register'!$C$7:$C$53,"Cross-faculty",'EL scheme register'!$AJ$7:$AJ$53,"Yes")</f>
        <v/>
      </c>
      <c r="K38" s="77">
        <f>COUNTIFS('EL scheme register'!$A$7:$A$53,$A38,'EL scheme register'!$C$7:$C$53,"Faculty/school",'EL scheme register'!$AJ$7:$AJ$53,"Yes")</f>
        <v/>
      </c>
      <c r="L38" s="77">
        <f>COUNTIFS('EL scheme register'!$A$7:$A$53,$A38,'EL scheme register'!$C$7:$C$53,"Programme/course",'EL scheme register'!$AJ$7:$AJ$53,"Yes")</f>
        <v/>
      </c>
      <c r="M38" s="77">
        <f>COUNTIFS('EL scheme register'!$A$7:$A$53,$A38,'EL scheme register'!$C$7:$C$53,"Unclear",'EL scheme register'!$AJ$7:$AJ$53,"Yes")</f>
        <v/>
      </c>
      <c r="N38" s="77">
        <f>SUM(I38:M38)</f>
        <v/>
      </c>
      <c r="O38" s="77">
        <f>COUNTIFS('EL scheme register'!$A$7:$A$53,$A38,'EL scheme register'!$AF$7:$AF$53,"Potentially relevant; evidence incomplete",'EL scheme register'!$AI$7:$AI$53,"Yes")</f>
        <v/>
      </c>
      <c r="P38" s="77">
        <f>COUNTIFS('EL scheme register'!$A$7:$A$53,$A38,'EL scheme register'!$AF$7:$AF$53,"Outside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Not started</t>
        </is>
      </c>
      <c r="I39" s="77">
        <f>COUNTIFS('EL scheme register'!$A$7:$A$53,$A39,'EL scheme register'!$C$7:$C$53,"University-wide",'EL scheme register'!$AJ$7:$AJ$53,"Yes")</f>
        <v/>
      </c>
      <c r="J39" s="77">
        <f>COUNTIFS('EL scheme register'!$A$7:$A$53,$A39,'EL scheme register'!$C$7:$C$53,"Cross-faculty",'EL scheme register'!$AJ$7:$AJ$53,"Yes")</f>
        <v/>
      </c>
      <c r="K39" s="77">
        <f>COUNTIFS('EL scheme register'!$A$7:$A$53,$A39,'EL scheme register'!$C$7:$C$53,"Faculty/school",'EL scheme register'!$AJ$7:$AJ$53,"Yes")</f>
        <v/>
      </c>
      <c r="L39" s="77">
        <f>COUNTIFS('EL scheme register'!$A$7:$A$53,$A39,'EL scheme register'!$C$7:$C$53,"Programme/course",'EL scheme register'!$AJ$7:$AJ$53,"Yes")</f>
        <v/>
      </c>
      <c r="M39" s="77">
        <f>COUNTIFS('EL scheme register'!$A$7:$A$53,$A39,'EL scheme register'!$C$7:$C$53,"Unclear",'EL scheme register'!$AJ$7:$AJ$53,"Yes")</f>
        <v/>
      </c>
      <c r="N39" s="77">
        <f>SUM(I39:M39)</f>
        <v/>
      </c>
      <c r="O39" s="77">
        <f>COUNTIFS('EL scheme register'!$A$7:$A$53,$A39,'EL scheme register'!$AF$7:$AF$53,"Potentially relevant; evidence incomplete",'EL scheme register'!$AI$7:$AI$53,"Yes")</f>
        <v/>
      </c>
      <c r="P39" s="77">
        <f>COUNTIFS('EL scheme register'!$A$7:$A$53,$A39,'EL scheme register'!$AF$7:$AF$53,"Outside strict definition")</f>
        <v/>
      </c>
      <c r="Q39" s="77">
        <f>COUNTIF('EL exclusions &amp; gaps'!$B$7:$B$5000,$A39)</f>
        <v/>
      </c>
      <c r="R39" s="77" t="inlineStr">
        <is>
          <t>Not reviewed</t>
        </is>
      </c>
      <c r="S39" s="77" t="inlineStr">
        <is>
          <t>Not reviewed</t>
        </is>
      </c>
      <c r="T39" s="77" t="inlineStr"/>
      <c r="U39" s="77" t="inlineStr"/>
      <c r="V39" s="77" t="inlineStr">
        <is>
          <t>Not reviewed</t>
        </is>
      </c>
      <c r="W39" s="77" t="inlineStr"/>
      <c r="X39" s="77" t="inlineStr"/>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register'!$A$7:$A$53,$A40,'EL scheme register'!$C$7:$C$53,"University-wide",'EL scheme register'!$AJ$7:$AJ$53,"Yes")</f>
        <v/>
      </c>
      <c r="J40" s="77">
        <f>COUNTIFS('EL scheme register'!$A$7:$A$53,$A40,'EL scheme register'!$C$7:$C$53,"Cross-faculty",'EL scheme register'!$AJ$7:$AJ$53,"Yes")</f>
        <v/>
      </c>
      <c r="K40" s="77">
        <f>COUNTIFS('EL scheme register'!$A$7:$A$53,$A40,'EL scheme register'!$C$7:$C$53,"Faculty/school",'EL scheme register'!$AJ$7:$AJ$53,"Yes")</f>
        <v/>
      </c>
      <c r="L40" s="77">
        <f>COUNTIFS('EL scheme register'!$A$7:$A$53,$A40,'EL scheme register'!$C$7:$C$53,"Programme/course",'EL scheme register'!$AJ$7:$AJ$53,"Yes")</f>
        <v/>
      </c>
      <c r="M40" s="77">
        <f>COUNTIFS('EL scheme register'!$A$7:$A$53,$A40,'EL scheme register'!$C$7:$C$53,"Unclear",'EL scheme register'!$AJ$7:$AJ$53,"Yes")</f>
        <v/>
      </c>
      <c r="N40" s="77">
        <f>SUM(I40:M40)</f>
        <v/>
      </c>
      <c r="O40" s="77">
        <f>COUNTIFS('EL scheme register'!$A$7:$A$53,$A40,'EL scheme register'!$AF$7:$AF$53,"Potentially relevant; evidence incomplete",'EL scheme register'!$AI$7:$AI$53,"Yes")</f>
        <v/>
      </c>
      <c r="P40" s="77">
        <f>COUNTIFS('EL scheme register'!$A$7:$A$53,$A40,'EL scheme register'!$AF$7:$AF$53,"Outside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register'!$A$7:$A$53,$A41,'EL scheme register'!$C$7:$C$53,"University-wide",'EL scheme register'!$AJ$7:$AJ$53,"Yes")</f>
        <v/>
      </c>
      <c r="J41" s="77">
        <f>COUNTIFS('EL scheme register'!$A$7:$A$53,$A41,'EL scheme register'!$C$7:$C$53,"Cross-faculty",'EL scheme register'!$AJ$7:$AJ$53,"Yes")</f>
        <v/>
      </c>
      <c r="K41" s="77">
        <f>COUNTIFS('EL scheme register'!$A$7:$A$53,$A41,'EL scheme register'!$C$7:$C$53,"Faculty/school",'EL scheme register'!$AJ$7:$AJ$53,"Yes")</f>
        <v/>
      </c>
      <c r="L41" s="77">
        <f>COUNTIFS('EL scheme register'!$A$7:$A$53,$A41,'EL scheme register'!$C$7:$C$53,"Programme/course",'EL scheme register'!$AJ$7:$AJ$53,"Yes")</f>
        <v/>
      </c>
      <c r="M41" s="77">
        <f>COUNTIFS('EL scheme register'!$A$7:$A$53,$A41,'EL scheme register'!$C$7:$C$53,"Unclear",'EL scheme register'!$AJ$7:$AJ$53,"Yes")</f>
        <v/>
      </c>
      <c r="N41" s="77">
        <f>SUM(I41:M41)</f>
        <v/>
      </c>
      <c r="O41" s="77">
        <f>COUNTIFS('EL scheme register'!$A$7:$A$53,$A41,'EL scheme register'!$AF$7:$AF$53,"Potentially relevant; evidence incomplete",'EL scheme register'!$AI$7:$AI$53,"Yes")</f>
        <v/>
      </c>
      <c r="P41" s="77">
        <f>COUNTIFS('EL scheme register'!$A$7:$A$53,$A41,'EL scheme register'!$AF$7:$AF$53,"Outside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Not started</t>
        </is>
      </c>
      <c r="I42" s="77">
        <f>COUNTIFS('EL scheme register'!$A$7:$A$53,$A42,'EL scheme register'!$C$7:$C$53,"University-wide",'EL scheme register'!$AJ$7:$AJ$53,"Yes")</f>
        <v/>
      </c>
      <c r="J42" s="77">
        <f>COUNTIFS('EL scheme register'!$A$7:$A$53,$A42,'EL scheme register'!$C$7:$C$53,"Cross-faculty",'EL scheme register'!$AJ$7:$AJ$53,"Yes")</f>
        <v/>
      </c>
      <c r="K42" s="77">
        <f>COUNTIFS('EL scheme register'!$A$7:$A$53,$A42,'EL scheme register'!$C$7:$C$53,"Faculty/school",'EL scheme register'!$AJ$7:$AJ$53,"Yes")</f>
        <v/>
      </c>
      <c r="L42" s="77">
        <f>COUNTIFS('EL scheme register'!$A$7:$A$53,$A42,'EL scheme register'!$C$7:$C$53,"Programme/course",'EL scheme register'!$AJ$7:$AJ$53,"Yes")</f>
        <v/>
      </c>
      <c r="M42" s="77">
        <f>COUNTIFS('EL scheme register'!$A$7:$A$53,$A42,'EL scheme register'!$C$7:$C$53,"Unclear",'EL scheme register'!$AJ$7:$AJ$53,"Yes")</f>
        <v/>
      </c>
      <c r="N42" s="77">
        <f>SUM(I42:M42)</f>
        <v/>
      </c>
      <c r="O42" s="77">
        <f>COUNTIFS('EL scheme register'!$A$7:$A$53,$A42,'EL scheme register'!$AF$7:$AF$53,"Potentially relevant; evidence incomplete",'EL scheme register'!$AI$7:$AI$53,"Yes")</f>
        <v/>
      </c>
      <c r="P42" s="77">
        <f>COUNTIFS('EL scheme register'!$A$7:$A$53,$A42,'EL scheme register'!$AF$7:$AF$53,"Outside strict definition")</f>
        <v/>
      </c>
      <c r="Q42" s="77">
        <f>COUNTIF('EL exclusions &amp; gaps'!$B$7:$B$5000,$A42)</f>
        <v/>
      </c>
      <c r="R42" s="77" t="inlineStr">
        <is>
          <t>Not reviewed</t>
        </is>
      </c>
      <c r="S42" s="77" t="inlineStr">
        <is>
          <t>Not reviewed</t>
        </is>
      </c>
      <c r="T42" s="77" t="inlineStr"/>
      <c r="U42" s="77" t="inlineStr"/>
      <c r="V42" s="77" t="inlineStr">
        <is>
          <t>Not reviewed</t>
        </is>
      </c>
      <c r="W42" s="77" t="inlineStr"/>
      <c r="X42" s="77" t="inlineStr"/>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Not started</t>
        </is>
      </c>
      <c r="I43" s="77">
        <f>COUNTIFS('EL scheme register'!$A$7:$A$53,$A43,'EL scheme register'!$C$7:$C$53,"University-wide",'EL scheme register'!$AJ$7:$AJ$53,"Yes")</f>
        <v/>
      </c>
      <c r="J43" s="77">
        <f>COUNTIFS('EL scheme register'!$A$7:$A$53,$A43,'EL scheme register'!$C$7:$C$53,"Cross-faculty",'EL scheme register'!$AJ$7:$AJ$53,"Yes")</f>
        <v/>
      </c>
      <c r="K43" s="77">
        <f>COUNTIFS('EL scheme register'!$A$7:$A$53,$A43,'EL scheme register'!$C$7:$C$53,"Faculty/school",'EL scheme register'!$AJ$7:$AJ$53,"Yes")</f>
        <v/>
      </c>
      <c r="L43" s="77">
        <f>COUNTIFS('EL scheme register'!$A$7:$A$53,$A43,'EL scheme register'!$C$7:$C$53,"Programme/course",'EL scheme register'!$AJ$7:$AJ$53,"Yes")</f>
        <v/>
      </c>
      <c r="M43" s="77">
        <f>COUNTIFS('EL scheme register'!$A$7:$A$53,$A43,'EL scheme register'!$C$7:$C$53,"Unclear",'EL scheme register'!$AJ$7:$AJ$53,"Yes")</f>
        <v/>
      </c>
      <c r="N43" s="77">
        <f>SUM(I43:M43)</f>
        <v/>
      </c>
      <c r="O43" s="77">
        <f>COUNTIFS('EL scheme register'!$A$7:$A$53,$A43,'EL scheme register'!$AF$7:$AF$53,"Potentially relevant; evidence incomplete",'EL scheme register'!$AI$7:$AI$53,"Yes")</f>
        <v/>
      </c>
      <c r="P43" s="77">
        <f>COUNTIFS('EL scheme register'!$A$7:$A$53,$A43,'EL scheme register'!$AF$7:$AF$53,"Outside strict definition")</f>
        <v/>
      </c>
      <c r="Q43" s="77">
        <f>COUNTIF('EL exclusions &amp; gaps'!$B$7:$B$5000,$A43)</f>
        <v/>
      </c>
      <c r="R43" s="77" t="inlineStr">
        <is>
          <t>Not reviewed</t>
        </is>
      </c>
      <c r="S43" s="77" t="inlineStr">
        <is>
          <t>Not reviewed</t>
        </is>
      </c>
      <c r="T43" s="77" t="inlineStr"/>
      <c r="U43" s="77" t="inlineStr"/>
      <c r="V43" s="77" t="inlineStr">
        <is>
          <t>Not reviewed</t>
        </is>
      </c>
      <c r="W43" s="77" t="inlineStr"/>
      <c r="X43" s="77" t="inlineStr"/>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Not started</t>
        </is>
      </c>
      <c r="I44" s="77">
        <f>COUNTIFS('EL scheme register'!$A$7:$A$53,$A44,'EL scheme register'!$C$7:$C$53,"University-wide",'EL scheme register'!$AJ$7:$AJ$53,"Yes")</f>
        <v/>
      </c>
      <c r="J44" s="77">
        <f>COUNTIFS('EL scheme register'!$A$7:$A$53,$A44,'EL scheme register'!$C$7:$C$53,"Cross-faculty",'EL scheme register'!$AJ$7:$AJ$53,"Yes")</f>
        <v/>
      </c>
      <c r="K44" s="77">
        <f>COUNTIFS('EL scheme register'!$A$7:$A$53,$A44,'EL scheme register'!$C$7:$C$53,"Faculty/school",'EL scheme register'!$AJ$7:$AJ$53,"Yes")</f>
        <v/>
      </c>
      <c r="L44" s="77">
        <f>COUNTIFS('EL scheme register'!$A$7:$A$53,$A44,'EL scheme register'!$C$7:$C$53,"Programme/course",'EL scheme register'!$AJ$7:$AJ$53,"Yes")</f>
        <v/>
      </c>
      <c r="M44" s="77">
        <f>COUNTIFS('EL scheme register'!$A$7:$A$53,$A44,'EL scheme register'!$C$7:$C$53,"Unclear",'EL scheme register'!$AJ$7:$AJ$53,"Yes")</f>
        <v/>
      </c>
      <c r="N44" s="77">
        <f>SUM(I44:M44)</f>
        <v/>
      </c>
      <c r="O44" s="77">
        <f>COUNTIFS('EL scheme register'!$A$7:$A$53,$A44,'EL scheme register'!$AF$7:$AF$53,"Potentially relevant; evidence incomplete",'EL scheme register'!$AI$7:$AI$53,"Yes")</f>
        <v/>
      </c>
      <c r="P44" s="77">
        <f>COUNTIFS('EL scheme register'!$A$7:$A$53,$A44,'EL scheme register'!$AF$7:$AF$53,"Outside strict definition")</f>
        <v/>
      </c>
      <c r="Q44" s="77">
        <f>COUNTIF('EL exclusions &amp; gaps'!$B$7:$B$5000,$A44)</f>
        <v/>
      </c>
      <c r="R44" s="77" t="inlineStr">
        <is>
          <t>Not reviewed</t>
        </is>
      </c>
      <c r="S44" s="77" t="inlineStr">
        <is>
          <t>Not reviewed</t>
        </is>
      </c>
      <c r="T44" s="77" t="inlineStr"/>
      <c r="U44" s="77" t="inlineStr"/>
      <c r="V44" s="77" t="inlineStr">
        <is>
          <t>Not reviewed</t>
        </is>
      </c>
      <c r="W44" s="77" t="inlineStr"/>
      <c r="X44" s="77" t="inlineStr"/>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Not started</t>
        </is>
      </c>
      <c r="I45" s="77">
        <f>COUNTIFS('EL scheme register'!$A$7:$A$53,$A45,'EL scheme register'!$C$7:$C$53,"University-wide",'EL scheme register'!$AJ$7:$AJ$53,"Yes")</f>
        <v/>
      </c>
      <c r="J45" s="77">
        <f>COUNTIFS('EL scheme register'!$A$7:$A$53,$A45,'EL scheme register'!$C$7:$C$53,"Cross-faculty",'EL scheme register'!$AJ$7:$AJ$53,"Yes")</f>
        <v/>
      </c>
      <c r="K45" s="77">
        <f>COUNTIFS('EL scheme register'!$A$7:$A$53,$A45,'EL scheme register'!$C$7:$C$53,"Faculty/school",'EL scheme register'!$AJ$7:$AJ$53,"Yes")</f>
        <v/>
      </c>
      <c r="L45" s="77">
        <f>COUNTIFS('EL scheme register'!$A$7:$A$53,$A45,'EL scheme register'!$C$7:$C$53,"Programme/course",'EL scheme register'!$AJ$7:$AJ$53,"Yes")</f>
        <v/>
      </c>
      <c r="M45" s="77">
        <f>COUNTIFS('EL scheme register'!$A$7:$A$53,$A45,'EL scheme register'!$C$7:$C$53,"Unclear",'EL scheme register'!$AJ$7:$AJ$53,"Yes")</f>
        <v/>
      </c>
      <c r="N45" s="77">
        <f>SUM(I45:M45)</f>
        <v/>
      </c>
      <c r="O45" s="77">
        <f>COUNTIFS('EL scheme register'!$A$7:$A$53,$A45,'EL scheme register'!$AF$7:$AF$53,"Potentially relevant; evidence incomplete",'EL scheme register'!$AI$7:$AI$53,"Yes")</f>
        <v/>
      </c>
      <c r="P45" s="77">
        <f>COUNTIFS('EL scheme register'!$A$7:$A$53,$A45,'EL scheme register'!$AF$7:$AF$53,"Outside strict definition")</f>
        <v/>
      </c>
      <c r="Q45" s="77">
        <f>COUNTIF('EL exclusions &amp; gaps'!$B$7:$B$5000,$A45)</f>
        <v/>
      </c>
      <c r="R45" s="77" t="inlineStr">
        <is>
          <t>Not reviewed</t>
        </is>
      </c>
      <c r="S45" s="77" t="inlineStr">
        <is>
          <t>Not reviewed</t>
        </is>
      </c>
      <c r="T45" s="77" t="inlineStr"/>
      <c r="U45" s="77" t="inlineStr"/>
      <c r="V45" s="77" t="inlineStr">
        <is>
          <t>Not reviewed</t>
        </is>
      </c>
      <c r="W45" s="77" t="inlineStr"/>
      <c r="X45" s="77" t="inlineStr"/>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Not started</t>
        </is>
      </c>
      <c r="I46" s="77">
        <f>COUNTIFS('EL scheme register'!$A$7:$A$53,$A46,'EL scheme register'!$C$7:$C$53,"University-wide",'EL scheme register'!$AJ$7:$AJ$53,"Yes")</f>
        <v/>
      </c>
      <c r="J46" s="77">
        <f>COUNTIFS('EL scheme register'!$A$7:$A$53,$A46,'EL scheme register'!$C$7:$C$53,"Cross-faculty",'EL scheme register'!$AJ$7:$AJ$53,"Yes")</f>
        <v/>
      </c>
      <c r="K46" s="77">
        <f>COUNTIFS('EL scheme register'!$A$7:$A$53,$A46,'EL scheme register'!$C$7:$C$53,"Faculty/school",'EL scheme register'!$AJ$7:$AJ$53,"Yes")</f>
        <v/>
      </c>
      <c r="L46" s="77">
        <f>COUNTIFS('EL scheme register'!$A$7:$A$53,$A46,'EL scheme register'!$C$7:$C$53,"Programme/course",'EL scheme register'!$AJ$7:$AJ$53,"Yes")</f>
        <v/>
      </c>
      <c r="M46" s="77">
        <f>COUNTIFS('EL scheme register'!$A$7:$A$53,$A46,'EL scheme register'!$C$7:$C$53,"Unclear",'EL scheme register'!$AJ$7:$AJ$53,"Yes")</f>
        <v/>
      </c>
      <c r="N46" s="77">
        <f>SUM(I46:M46)</f>
        <v/>
      </c>
      <c r="O46" s="77">
        <f>COUNTIFS('EL scheme register'!$A$7:$A$53,$A46,'EL scheme register'!$AF$7:$AF$53,"Potentially relevant; evidence incomplete",'EL scheme register'!$AI$7:$AI$53,"Yes")</f>
        <v/>
      </c>
      <c r="P46" s="77">
        <f>COUNTIFS('EL scheme register'!$A$7:$A$53,$A46,'EL scheme register'!$AF$7:$AF$53,"Outside strict definition")</f>
        <v/>
      </c>
      <c r="Q46" s="77">
        <f>COUNTIF('EL exclusions &amp; gaps'!$B$7:$B$5000,$A46)</f>
        <v/>
      </c>
      <c r="R46" s="77" t="inlineStr">
        <is>
          <t>Not reviewed</t>
        </is>
      </c>
      <c r="S46" s="77" t="inlineStr">
        <is>
          <t>Not reviewed</t>
        </is>
      </c>
      <c r="T46" s="77" t="inlineStr"/>
      <c r="U46" s="77" t="inlineStr"/>
      <c r="V46" s="77" t="inlineStr">
        <is>
          <t>Not reviewed</t>
        </is>
      </c>
      <c r="W46" s="77" t="inlineStr"/>
      <c r="X46" s="77" t="inlineStr"/>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Not started</t>
        </is>
      </c>
      <c r="I47" s="77">
        <f>COUNTIFS('EL scheme register'!$A$7:$A$53,$A47,'EL scheme register'!$C$7:$C$53,"University-wide",'EL scheme register'!$AJ$7:$AJ$53,"Yes")</f>
        <v/>
      </c>
      <c r="J47" s="77">
        <f>COUNTIFS('EL scheme register'!$A$7:$A$53,$A47,'EL scheme register'!$C$7:$C$53,"Cross-faculty",'EL scheme register'!$AJ$7:$AJ$53,"Yes")</f>
        <v/>
      </c>
      <c r="K47" s="77">
        <f>COUNTIFS('EL scheme register'!$A$7:$A$53,$A47,'EL scheme register'!$C$7:$C$53,"Faculty/school",'EL scheme register'!$AJ$7:$AJ$53,"Yes")</f>
        <v/>
      </c>
      <c r="L47" s="77">
        <f>COUNTIFS('EL scheme register'!$A$7:$A$53,$A47,'EL scheme register'!$C$7:$C$53,"Programme/course",'EL scheme register'!$AJ$7:$AJ$53,"Yes")</f>
        <v/>
      </c>
      <c r="M47" s="77">
        <f>COUNTIFS('EL scheme register'!$A$7:$A$53,$A47,'EL scheme register'!$C$7:$C$53,"Unclear",'EL scheme register'!$AJ$7:$AJ$53,"Yes")</f>
        <v/>
      </c>
      <c r="N47" s="77">
        <f>SUM(I47:M47)</f>
        <v/>
      </c>
      <c r="O47" s="77">
        <f>COUNTIFS('EL scheme register'!$A$7:$A$53,$A47,'EL scheme register'!$AF$7:$AF$53,"Potentially relevant; evidence incomplete",'EL scheme register'!$AI$7:$AI$53,"Yes")</f>
        <v/>
      </c>
      <c r="P47" s="77">
        <f>COUNTIFS('EL scheme register'!$A$7:$A$53,$A47,'EL scheme register'!$AF$7:$AF$53,"Outside strict definition")</f>
        <v/>
      </c>
      <c r="Q47" s="77">
        <f>COUNTIF('EL exclusions &amp; gaps'!$B$7:$B$5000,$A47)</f>
        <v/>
      </c>
      <c r="R47" s="77" t="inlineStr">
        <is>
          <t>Not reviewed</t>
        </is>
      </c>
      <c r="S47" s="77" t="inlineStr">
        <is>
          <t>Not reviewed</t>
        </is>
      </c>
      <c r="T47" s="77" t="inlineStr"/>
      <c r="U47" s="77" t="inlineStr"/>
      <c r="V47" s="77" t="inlineStr">
        <is>
          <t>Not reviewed</t>
        </is>
      </c>
      <c r="W47" s="77" t="inlineStr"/>
      <c r="X47" s="77" t="inlineStr"/>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Not started</t>
        </is>
      </c>
      <c r="I48" s="77">
        <f>COUNTIFS('EL scheme register'!$A$7:$A$53,$A48,'EL scheme register'!$C$7:$C$53,"University-wide",'EL scheme register'!$AJ$7:$AJ$53,"Yes")</f>
        <v/>
      </c>
      <c r="J48" s="77">
        <f>COUNTIFS('EL scheme register'!$A$7:$A$53,$A48,'EL scheme register'!$C$7:$C$53,"Cross-faculty",'EL scheme register'!$AJ$7:$AJ$53,"Yes")</f>
        <v/>
      </c>
      <c r="K48" s="77">
        <f>COUNTIFS('EL scheme register'!$A$7:$A$53,$A48,'EL scheme register'!$C$7:$C$53,"Faculty/school",'EL scheme register'!$AJ$7:$AJ$53,"Yes")</f>
        <v/>
      </c>
      <c r="L48" s="77">
        <f>COUNTIFS('EL scheme register'!$A$7:$A$53,$A48,'EL scheme register'!$C$7:$C$53,"Programme/course",'EL scheme register'!$AJ$7:$AJ$53,"Yes")</f>
        <v/>
      </c>
      <c r="M48" s="77">
        <f>COUNTIFS('EL scheme register'!$A$7:$A$53,$A48,'EL scheme register'!$C$7:$C$53,"Unclear",'EL scheme register'!$AJ$7:$AJ$53,"Yes")</f>
        <v/>
      </c>
      <c r="N48" s="77">
        <f>SUM(I48:M48)</f>
        <v/>
      </c>
      <c r="O48" s="77">
        <f>COUNTIFS('EL scheme register'!$A$7:$A$53,$A48,'EL scheme register'!$AF$7:$AF$53,"Potentially relevant; evidence incomplete",'EL scheme register'!$AI$7:$AI$53,"Yes")</f>
        <v/>
      </c>
      <c r="P48" s="77">
        <f>COUNTIFS('EL scheme register'!$A$7:$A$53,$A48,'EL scheme register'!$AF$7:$AF$53,"Outside strict definition")</f>
        <v/>
      </c>
      <c r="Q48" s="77">
        <f>COUNTIF('EL exclusions &amp; gaps'!$B$7:$B$5000,$A48)</f>
        <v/>
      </c>
      <c r="R48" s="77" t="inlineStr">
        <is>
          <t>Not reviewed</t>
        </is>
      </c>
      <c r="S48" s="77" t="inlineStr">
        <is>
          <t>Not reviewed</t>
        </is>
      </c>
      <c r="T48" s="77" t="inlineStr"/>
      <c r="U48" s="77" t="inlineStr"/>
      <c r="V48" s="77" t="inlineStr">
        <is>
          <t>Not reviewed</t>
        </is>
      </c>
      <c r="W48" s="77" t="inlineStr"/>
      <c r="X48" s="77" t="inlineStr"/>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Not started</t>
        </is>
      </c>
      <c r="I49" s="77">
        <f>COUNTIFS('EL scheme register'!$A$7:$A$53,$A49,'EL scheme register'!$C$7:$C$53,"University-wide",'EL scheme register'!$AJ$7:$AJ$53,"Yes")</f>
        <v/>
      </c>
      <c r="J49" s="77">
        <f>COUNTIFS('EL scheme register'!$A$7:$A$53,$A49,'EL scheme register'!$C$7:$C$53,"Cross-faculty",'EL scheme register'!$AJ$7:$AJ$53,"Yes")</f>
        <v/>
      </c>
      <c r="K49" s="77">
        <f>COUNTIFS('EL scheme register'!$A$7:$A$53,$A49,'EL scheme register'!$C$7:$C$53,"Faculty/school",'EL scheme register'!$AJ$7:$AJ$53,"Yes")</f>
        <v/>
      </c>
      <c r="L49" s="77">
        <f>COUNTIFS('EL scheme register'!$A$7:$A$53,$A49,'EL scheme register'!$C$7:$C$53,"Programme/course",'EL scheme register'!$AJ$7:$AJ$53,"Yes")</f>
        <v/>
      </c>
      <c r="M49" s="77">
        <f>COUNTIFS('EL scheme register'!$A$7:$A$53,$A49,'EL scheme register'!$C$7:$C$53,"Unclear",'EL scheme register'!$AJ$7:$AJ$53,"Yes")</f>
        <v/>
      </c>
      <c r="N49" s="77">
        <f>SUM(I49:M49)</f>
        <v/>
      </c>
      <c r="O49" s="77">
        <f>COUNTIFS('EL scheme register'!$A$7:$A$53,$A49,'EL scheme register'!$AF$7:$AF$53,"Potentially relevant; evidence incomplete",'EL scheme register'!$AI$7:$AI$53,"Yes")</f>
        <v/>
      </c>
      <c r="P49" s="77">
        <f>COUNTIFS('EL scheme register'!$A$7:$A$53,$A49,'EL scheme register'!$AF$7:$AF$53,"Outside strict definition")</f>
        <v/>
      </c>
      <c r="Q49" s="77">
        <f>COUNTIF('EL exclusions &amp; gaps'!$B$7:$B$5000,$A49)</f>
        <v/>
      </c>
      <c r="R49" s="77" t="inlineStr">
        <is>
          <t>Not reviewed</t>
        </is>
      </c>
      <c r="S49" s="77" t="inlineStr">
        <is>
          <t>Not reviewed</t>
        </is>
      </c>
      <c r="T49" s="77" t="inlineStr"/>
      <c r="U49" s="77" t="inlineStr"/>
      <c r="V49" s="77" t="inlineStr">
        <is>
          <t>Not reviewed</t>
        </is>
      </c>
      <c r="W49" s="77" t="inlineStr"/>
      <c r="X49" s="77" t="inlineStr"/>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Not started</t>
        </is>
      </c>
      <c r="I50" s="77">
        <f>COUNTIFS('EL scheme register'!$A$7:$A$53,$A50,'EL scheme register'!$C$7:$C$53,"University-wide",'EL scheme register'!$AJ$7:$AJ$53,"Yes")</f>
        <v/>
      </c>
      <c r="J50" s="77">
        <f>COUNTIFS('EL scheme register'!$A$7:$A$53,$A50,'EL scheme register'!$C$7:$C$53,"Cross-faculty",'EL scheme register'!$AJ$7:$AJ$53,"Yes")</f>
        <v/>
      </c>
      <c r="K50" s="77">
        <f>COUNTIFS('EL scheme register'!$A$7:$A$53,$A50,'EL scheme register'!$C$7:$C$53,"Faculty/school",'EL scheme register'!$AJ$7:$AJ$53,"Yes")</f>
        <v/>
      </c>
      <c r="L50" s="77">
        <f>COUNTIFS('EL scheme register'!$A$7:$A$53,$A50,'EL scheme register'!$C$7:$C$53,"Programme/course",'EL scheme register'!$AJ$7:$AJ$53,"Yes")</f>
        <v/>
      </c>
      <c r="M50" s="77">
        <f>COUNTIFS('EL scheme register'!$A$7:$A$53,$A50,'EL scheme register'!$C$7:$C$53,"Unclear",'EL scheme register'!$AJ$7:$AJ$53,"Yes")</f>
        <v/>
      </c>
      <c r="N50" s="77">
        <f>SUM(I50:M50)</f>
        <v/>
      </c>
      <c r="O50" s="77">
        <f>COUNTIFS('EL scheme register'!$A$7:$A$53,$A50,'EL scheme register'!$AF$7:$AF$53,"Potentially relevant; evidence incomplete",'EL scheme register'!$AI$7:$AI$53,"Yes")</f>
        <v/>
      </c>
      <c r="P50" s="77">
        <f>COUNTIFS('EL scheme register'!$A$7:$A$53,$A50,'EL scheme register'!$AF$7:$AF$53,"Outside strict definition")</f>
        <v/>
      </c>
      <c r="Q50" s="77">
        <f>COUNTIF('EL exclusions &amp; gaps'!$B$7:$B$5000,$A50)</f>
        <v/>
      </c>
      <c r="R50" s="77" t="inlineStr">
        <is>
          <t>Not reviewed</t>
        </is>
      </c>
      <c r="S50" s="77" t="inlineStr">
        <is>
          <t>Not reviewed</t>
        </is>
      </c>
      <c r="T50" s="77" t="inlineStr"/>
      <c r="U50" s="77" t="inlineStr"/>
      <c r="V50" s="77" t="inlineStr">
        <is>
          <t>Not reviewed</t>
        </is>
      </c>
      <c r="W50" s="77" t="inlineStr"/>
      <c r="X50" s="77" t="inlineStr"/>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Not started</t>
        </is>
      </c>
      <c r="I51" s="77">
        <f>COUNTIFS('EL scheme register'!$A$7:$A$53,$A51,'EL scheme register'!$C$7:$C$53,"University-wide",'EL scheme register'!$AJ$7:$AJ$53,"Yes")</f>
        <v/>
      </c>
      <c r="J51" s="77">
        <f>COUNTIFS('EL scheme register'!$A$7:$A$53,$A51,'EL scheme register'!$C$7:$C$53,"Cross-faculty",'EL scheme register'!$AJ$7:$AJ$53,"Yes")</f>
        <v/>
      </c>
      <c r="K51" s="77">
        <f>COUNTIFS('EL scheme register'!$A$7:$A$53,$A51,'EL scheme register'!$C$7:$C$53,"Faculty/school",'EL scheme register'!$AJ$7:$AJ$53,"Yes")</f>
        <v/>
      </c>
      <c r="L51" s="77">
        <f>COUNTIFS('EL scheme register'!$A$7:$A$53,$A51,'EL scheme register'!$C$7:$C$53,"Programme/course",'EL scheme register'!$AJ$7:$AJ$53,"Yes")</f>
        <v/>
      </c>
      <c r="M51" s="77">
        <f>COUNTIFS('EL scheme register'!$A$7:$A$53,$A51,'EL scheme register'!$C$7:$C$53,"Unclear",'EL scheme register'!$AJ$7:$AJ$53,"Yes")</f>
        <v/>
      </c>
      <c r="N51" s="77">
        <f>SUM(I51:M51)</f>
        <v/>
      </c>
      <c r="O51" s="77">
        <f>COUNTIFS('EL scheme register'!$A$7:$A$53,$A51,'EL scheme register'!$AF$7:$AF$53,"Potentially relevant; evidence incomplete",'EL scheme register'!$AI$7:$AI$53,"Yes")</f>
        <v/>
      </c>
      <c r="P51" s="77">
        <f>COUNTIFS('EL scheme register'!$A$7:$A$53,$A51,'EL scheme register'!$AF$7:$AF$53,"Outside strict definition")</f>
        <v/>
      </c>
      <c r="Q51" s="77">
        <f>COUNTIF('EL exclusions &amp; gaps'!$B$7:$B$5000,$A51)</f>
        <v/>
      </c>
      <c r="R51" s="77" t="inlineStr">
        <is>
          <t>Not reviewed</t>
        </is>
      </c>
      <c r="S51" s="77" t="inlineStr">
        <is>
          <t>Not reviewed</t>
        </is>
      </c>
      <c r="T51" s="77" t="inlineStr"/>
      <c r="U51" s="77" t="inlineStr"/>
      <c r="V51" s="77" t="inlineStr">
        <is>
          <t>Not reviewed</t>
        </is>
      </c>
      <c r="W51" s="77" t="inlineStr"/>
      <c r="X51" s="77" t="inlineStr"/>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Not started</t>
        </is>
      </c>
      <c r="I52" s="77">
        <f>COUNTIFS('EL scheme register'!$A$7:$A$53,$A52,'EL scheme register'!$C$7:$C$53,"University-wide",'EL scheme register'!$AJ$7:$AJ$53,"Yes")</f>
        <v/>
      </c>
      <c r="J52" s="77">
        <f>COUNTIFS('EL scheme register'!$A$7:$A$53,$A52,'EL scheme register'!$C$7:$C$53,"Cross-faculty",'EL scheme register'!$AJ$7:$AJ$53,"Yes")</f>
        <v/>
      </c>
      <c r="K52" s="77">
        <f>COUNTIFS('EL scheme register'!$A$7:$A$53,$A52,'EL scheme register'!$C$7:$C$53,"Faculty/school",'EL scheme register'!$AJ$7:$AJ$53,"Yes")</f>
        <v/>
      </c>
      <c r="L52" s="77">
        <f>COUNTIFS('EL scheme register'!$A$7:$A$53,$A52,'EL scheme register'!$C$7:$C$53,"Programme/course",'EL scheme register'!$AJ$7:$AJ$53,"Yes")</f>
        <v/>
      </c>
      <c r="M52" s="77">
        <f>COUNTIFS('EL scheme register'!$A$7:$A$53,$A52,'EL scheme register'!$C$7:$C$53,"Unclear",'EL scheme register'!$AJ$7:$AJ$53,"Yes")</f>
        <v/>
      </c>
      <c r="N52" s="77">
        <f>SUM(I52:M52)</f>
        <v/>
      </c>
      <c r="O52" s="77">
        <f>COUNTIFS('EL scheme register'!$A$7:$A$53,$A52,'EL scheme register'!$AF$7:$AF$53,"Potentially relevant; evidence incomplete",'EL scheme register'!$AI$7:$AI$53,"Yes")</f>
        <v/>
      </c>
      <c r="P52" s="77">
        <f>COUNTIFS('EL scheme register'!$A$7:$A$53,$A52,'EL scheme register'!$AF$7:$AF$53,"Outside strict definition")</f>
        <v/>
      </c>
      <c r="Q52" s="77">
        <f>COUNTIF('EL exclusions &amp; gaps'!$B$7:$B$5000,$A52)</f>
        <v/>
      </c>
      <c r="R52" s="77" t="inlineStr">
        <is>
          <t>Not reviewed</t>
        </is>
      </c>
      <c r="S52" s="77" t="inlineStr">
        <is>
          <t>Not reviewed</t>
        </is>
      </c>
      <c r="T52" s="77" t="inlineStr"/>
      <c r="U52" s="77" t="inlineStr"/>
      <c r="V52" s="77" t="inlineStr">
        <is>
          <t>Not reviewed</t>
        </is>
      </c>
      <c r="W52" s="77" t="inlineStr"/>
      <c r="X52" s="77" t="inlineStr"/>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register'!$A$7:$A$53,$A53,'EL scheme register'!$C$7:$C$53,"University-wide",'EL scheme register'!$AJ$7:$AJ$53,"Yes")</f>
        <v/>
      </c>
      <c r="J53" s="77">
        <f>COUNTIFS('EL scheme register'!$A$7:$A$53,$A53,'EL scheme register'!$C$7:$C$53,"Cross-faculty",'EL scheme register'!$AJ$7:$AJ$53,"Yes")</f>
        <v/>
      </c>
      <c r="K53" s="77">
        <f>COUNTIFS('EL scheme register'!$A$7:$A$53,$A53,'EL scheme register'!$C$7:$C$53,"Faculty/school",'EL scheme register'!$AJ$7:$AJ$53,"Yes")</f>
        <v/>
      </c>
      <c r="L53" s="77">
        <f>COUNTIFS('EL scheme register'!$A$7:$A$53,$A53,'EL scheme register'!$C$7:$C$53,"Programme/course",'EL scheme register'!$AJ$7:$AJ$53,"Yes")</f>
        <v/>
      </c>
      <c r="M53" s="77">
        <f>COUNTIFS('EL scheme register'!$A$7:$A$53,$A53,'EL scheme register'!$C$7:$C$53,"Unclear",'EL scheme register'!$AJ$7:$AJ$53,"Yes")</f>
        <v/>
      </c>
      <c r="N53" s="77">
        <f>SUM(I53:M53)</f>
        <v/>
      </c>
      <c r="O53" s="77">
        <f>COUNTIFS('EL scheme register'!$A$7:$A$53,$A53,'EL scheme register'!$AF$7:$AF$53,"Potentially relevant; evidence incomplete",'EL scheme register'!$AI$7:$AI$53,"Yes")</f>
        <v/>
      </c>
      <c r="P53" s="77">
        <f>COUNTIFS('EL scheme register'!$A$7:$A$53,$A53,'EL scheme register'!$AF$7:$AF$53,"Outside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Not started</t>
        </is>
      </c>
      <c r="I54" s="77">
        <f>COUNTIFS('EL scheme register'!$A$7:$A$53,$A54,'EL scheme register'!$C$7:$C$53,"University-wide",'EL scheme register'!$AJ$7:$AJ$53,"Yes")</f>
        <v/>
      </c>
      <c r="J54" s="77">
        <f>COUNTIFS('EL scheme register'!$A$7:$A$53,$A54,'EL scheme register'!$C$7:$C$53,"Cross-faculty",'EL scheme register'!$AJ$7:$AJ$53,"Yes")</f>
        <v/>
      </c>
      <c r="K54" s="77">
        <f>COUNTIFS('EL scheme register'!$A$7:$A$53,$A54,'EL scheme register'!$C$7:$C$53,"Faculty/school",'EL scheme register'!$AJ$7:$AJ$53,"Yes")</f>
        <v/>
      </c>
      <c r="L54" s="77">
        <f>COUNTIFS('EL scheme register'!$A$7:$A$53,$A54,'EL scheme register'!$C$7:$C$53,"Programme/course",'EL scheme register'!$AJ$7:$AJ$53,"Yes")</f>
        <v/>
      </c>
      <c r="M54" s="77">
        <f>COUNTIFS('EL scheme register'!$A$7:$A$53,$A54,'EL scheme register'!$C$7:$C$53,"Unclear",'EL scheme register'!$AJ$7:$AJ$53,"Yes")</f>
        <v/>
      </c>
      <c r="N54" s="77">
        <f>SUM(I54:M54)</f>
        <v/>
      </c>
      <c r="O54" s="77">
        <f>COUNTIFS('EL scheme register'!$A$7:$A$53,$A54,'EL scheme register'!$AF$7:$AF$53,"Potentially relevant; evidence incomplete",'EL scheme register'!$AI$7:$AI$53,"Yes")</f>
        <v/>
      </c>
      <c r="P54" s="77">
        <f>COUNTIFS('EL scheme register'!$A$7:$A$53,$A54,'EL scheme register'!$AF$7:$AF$53,"Outside strict definition")</f>
        <v/>
      </c>
      <c r="Q54" s="77">
        <f>COUNTIF('EL exclusions &amp; gaps'!$B$7:$B$5000,$A54)</f>
        <v/>
      </c>
      <c r="R54" s="77" t="inlineStr">
        <is>
          <t>Not reviewed</t>
        </is>
      </c>
      <c r="S54" s="77" t="inlineStr">
        <is>
          <t>Not reviewed</t>
        </is>
      </c>
      <c r="T54" s="77" t="inlineStr"/>
      <c r="U54" s="77" t="inlineStr"/>
      <c r="V54" s="77" t="inlineStr">
        <is>
          <t>Not reviewed</t>
        </is>
      </c>
      <c r="W54" s="77" t="inlineStr"/>
      <c r="X54" s="77" t="inlineStr"/>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Not started</t>
        </is>
      </c>
      <c r="I55" s="77">
        <f>COUNTIFS('EL scheme register'!$A$7:$A$53,$A55,'EL scheme register'!$C$7:$C$53,"University-wide",'EL scheme register'!$AJ$7:$AJ$53,"Yes")</f>
        <v/>
      </c>
      <c r="J55" s="77">
        <f>COUNTIFS('EL scheme register'!$A$7:$A$53,$A55,'EL scheme register'!$C$7:$C$53,"Cross-faculty",'EL scheme register'!$AJ$7:$AJ$53,"Yes")</f>
        <v/>
      </c>
      <c r="K55" s="77">
        <f>COUNTIFS('EL scheme register'!$A$7:$A$53,$A55,'EL scheme register'!$C$7:$C$53,"Faculty/school",'EL scheme register'!$AJ$7:$AJ$53,"Yes")</f>
        <v/>
      </c>
      <c r="L55" s="77">
        <f>COUNTIFS('EL scheme register'!$A$7:$A$53,$A55,'EL scheme register'!$C$7:$C$53,"Programme/course",'EL scheme register'!$AJ$7:$AJ$53,"Yes")</f>
        <v/>
      </c>
      <c r="M55" s="77">
        <f>COUNTIFS('EL scheme register'!$A$7:$A$53,$A55,'EL scheme register'!$C$7:$C$53,"Unclear",'EL scheme register'!$AJ$7:$AJ$53,"Yes")</f>
        <v/>
      </c>
      <c r="N55" s="77">
        <f>SUM(I55:M55)</f>
        <v/>
      </c>
      <c r="O55" s="77">
        <f>COUNTIFS('EL scheme register'!$A$7:$A$53,$A55,'EL scheme register'!$AF$7:$AF$53,"Potentially relevant; evidence incomplete",'EL scheme register'!$AI$7:$AI$53,"Yes")</f>
        <v/>
      </c>
      <c r="P55" s="77">
        <f>COUNTIFS('EL scheme register'!$A$7:$A$53,$A55,'EL scheme register'!$AF$7:$AF$53,"Outside strict definition")</f>
        <v/>
      </c>
      <c r="Q55" s="77">
        <f>COUNTIF('EL exclusions &amp; gaps'!$B$7:$B$5000,$A55)</f>
        <v/>
      </c>
      <c r="R55" s="77" t="inlineStr">
        <is>
          <t>Not reviewed</t>
        </is>
      </c>
      <c r="S55" s="77" t="inlineStr">
        <is>
          <t>Not reviewed</t>
        </is>
      </c>
      <c r="T55" s="77" t="inlineStr"/>
      <c r="U55" s="77" t="inlineStr"/>
      <c r="V55" s="77" t="inlineStr">
        <is>
          <t>Not reviewed</t>
        </is>
      </c>
      <c r="W55" s="77" t="inlineStr"/>
      <c r="X55" s="77" t="inlineStr"/>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register'!$A$7:$A$53,$A56,'EL scheme register'!$C$7:$C$53,"University-wide",'EL scheme register'!$AJ$7:$AJ$53,"Yes")</f>
        <v/>
      </c>
      <c r="J56" s="77">
        <f>COUNTIFS('EL scheme register'!$A$7:$A$53,$A56,'EL scheme register'!$C$7:$C$53,"Cross-faculty",'EL scheme register'!$AJ$7:$AJ$53,"Yes")</f>
        <v/>
      </c>
      <c r="K56" s="77">
        <f>COUNTIFS('EL scheme register'!$A$7:$A$53,$A56,'EL scheme register'!$C$7:$C$53,"Faculty/school",'EL scheme register'!$AJ$7:$AJ$53,"Yes")</f>
        <v/>
      </c>
      <c r="L56" s="77">
        <f>COUNTIFS('EL scheme register'!$A$7:$A$53,$A56,'EL scheme register'!$C$7:$C$53,"Programme/course",'EL scheme register'!$AJ$7:$AJ$53,"Yes")</f>
        <v/>
      </c>
      <c r="M56" s="77">
        <f>COUNTIFS('EL scheme register'!$A$7:$A$53,$A56,'EL scheme register'!$C$7:$C$53,"Unclear",'EL scheme register'!$AJ$7:$AJ$53,"Yes")</f>
        <v/>
      </c>
      <c r="N56" s="77">
        <f>SUM(I56:M56)</f>
        <v/>
      </c>
      <c r="O56" s="77">
        <f>COUNTIFS('EL scheme register'!$A$7:$A$53,$A56,'EL scheme register'!$AF$7:$AF$53,"Potentially relevant; evidence incomplete",'EL scheme register'!$AI$7:$AI$53,"Yes")</f>
        <v/>
      </c>
      <c r="P56" s="77">
        <f>COUNTIFS('EL scheme register'!$A$7:$A$53,$A56,'EL scheme register'!$AF$7:$AF$53,"Outside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Not started</t>
        </is>
      </c>
      <c r="I57" s="77">
        <f>COUNTIFS('EL scheme register'!$A$7:$A$53,$A57,'EL scheme register'!$C$7:$C$53,"University-wide",'EL scheme register'!$AJ$7:$AJ$53,"Yes")</f>
        <v/>
      </c>
      <c r="J57" s="77">
        <f>COUNTIFS('EL scheme register'!$A$7:$A$53,$A57,'EL scheme register'!$C$7:$C$53,"Cross-faculty",'EL scheme register'!$AJ$7:$AJ$53,"Yes")</f>
        <v/>
      </c>
      <c r="K57" s="77">
        <f>COUNTIFS('EL scheme register'!$A$7:$A$53,$A57,'EL scheme register'!$C$7:$C$53,"Faculty/school",'EL scheme register'!$AJ$7:$AJ$53,"Yes")</f>
        <v/>
      </c>
      <c r="L57" s="77">
        <f>COUNTIFS('EL scheme register'!$A$7:$A$53,$A57,'EL scheme register'!$C$7:$C$53,"Programme/course",'EL scheme register'!$AJ$7:$AJ$53,"Yes")</f>
        <v/>
      </c>
      <c r="M57" s="77">
        <f>COUNTIFS('EL scheme register'!$A$7:$A$53,$A57,'EL scheme register'!$C$7:$C$53,"Unclear",'EL scheme register'!$AJ$7:$AJ$53,"Yes")</f>
        <v/>
      </c>
      <c r="N57" s="77">
        <f>SUM(I57:M57)</f>
        <v/>
      </c>
      <c r="O57" s="77">
        <f>COUNTIFS('EL scheme register'!$A$7:$A$53,$A57,'EL scheme register'!$AF$7:$AF$53,"Potentially relevant; evidence incomplete",'EL scheme register'!$AI$7:$AI$53,"Yes")</f>
        <v/>
      </c>
      <c r="P57" s="77">
        <f>COUNTIFS('EL scheme register'!$A$7:$A$53,$A57,'EL scheme register'!$AF$7:$AF$53,"Outside strict definition")</f>
        <v/>
      </c>
      <c r="Q57" s="77">
        <f>COUNTIF('EL exclusions &amp; gaps'!$B$7:$B$5000,$A57)</f>
        <v/>
      </c>
      <c r="R57" s="77" t="inlineStr">
        <is>
          <t>Not reviewed</t>
        </is>
      </c>
      <c r="S57" s="77" t="inlineStr">
        <is>
          <t>Not reviewed</t>
        </is>
      </c>
      <c r="T57" s="77" t="inlineStr"/>
      <c r="U57" s="77" t="inlineStr"/>
      <c r="V57" s="77" t="inlineStr">
        <is>
          <t>Not reviewed</t>
        </is>
      </c>
      <c r="W57" s="77" t="inlineStr"/>
      <c r="X57" s="77" t="inlineStr"/>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register'!$A$7:$A$53,$A58,'EL scheme register'!$C$7:$C$53,"University-wide",'EL scheme register'!$AJ$7:$AJ$53,"Yes")</f>
        <v/>
      </c>
      <c r="J58" s="77">
        <f>COUNTIFS('EL scheme register'!$A$7:$A$53,$A58,'EL scheme register'!$C$7:$C$53,"Cross-faculty",'EL scheme register'!$AJ$7:$AJ$53,"Yes")</f>
        <v/>
      </c>
      <c r="K58" s="77">
        <f>COUNTIFS('EL scheme register'!$A$7:$A$53,$A58,'EL scheme register'!$C$7:$C$53,"Faculty/school",'EL scheme register'!$AJ$7:$AJ$53,"Yes")</f>
        <v/>
      </c>
      <c r="L58" s="77">
        <f>COUNTIFS('EL scheme register'!$A$7:$A$53,$A58,'EL scheme register'!$C$7:$C$53,"Programme/course",'EL scheme register'!$AJ$7:$AJ$53,"Yes")</f>
        <v/>
      </c>
      <c r="M58" s="77">
        <f>COUNTIFS('EL scheme register'!$A$7:$A$53,$A58,'EL scheme register'!$C$7:$C$53,"Unclear",'EL scheme register'!$AJ$7:$AJ$53,"Yes")</f>
        <v/>
      </c>
      <c r="N58" s="77">
        <f>SUM(I58:M58)</f>
        <v/>
      </c>
      <c r="O58" s="77">
        <f>COUNTIFS('EL scheme register'!$A$7:$A$53,$A58,'EL scheme register'!$AF$7:$AF$53,"Potentially relevant; evidence incomplete",'EL scheme register'!$AI$7:$AI$53,"Yes")</f>
        <v/>
      </c>
      <c r="P58" s="77">
        <f>COUNTIFS('EL scheme register'!$A$7:$A$53,$A58,'EL scheme register'!$AF$7:$AF$53,"Outside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register'!$A$7:$A$53,$A59,'EL scheme register'!$C$7:$C$53,"University-wide",'EL scheme register'!$AJ$7:$AJ$53,"Yes")</f>
        <v/>
      </c>
      <c r="J59" s="77">
        <f>COUNTIFS('EL scheme register'!$A$7:$A$53,$A59,'EL scheme register'!$C$7:$C$53,"Cross-faculty",'EL scheme register'!$AJ$7:$AJ$53,"Yes")</f>
        <v/>
      </c>
      <c r="K59" s="77">
        <f>COUNTIFS('EL scheme register'!$A$7:$A$53,$A59,'EL scheme register'!$C$7:$C$53,"Faculty/school",'EL scheme register'!$AJ$7:$AJ$53,"Yes")</f>
        <v/>
      </c>
      <c r="L59" s="77">
        <f>COUNTIFS('EL scheme register'!$A$7:$A$53,$A59,'EL scheme register'!$C$7:$C$53,"Programme/course",'EL scheme register'!$AJ$7:$AJ$53,"Yes")</f>
        <v/>
      </c>
      <c r="M59" s="77">
        <f>COUNTIFS('EL scheme register'!$A$7:$A$53,$A59,'EL scheme register'!$C$7:$C$53,"Unclear",'EL scheme register'!$AJ$7:$AJ$53,"Yes")</f>
        <v/>
      </c>
      <c r="N59" s="77">
        <f>SUM(I59:M59)</f>
        <v/>
      </c>
      <c r="O59" s="77">
        <f>COUNTIFS('EL scheme register'!$A$7:$A$53,$A59,'EL scheme register'!$AF$7:$AF$53,"Potentially relevant; evidence incomplete",'EL scheme register'!$AI$7:$AI$53,"Yes")</f>
        <v/>
      </c>
      <c r="P59" s="77">
        <f>COUNTIFS('EL scheme register'!$A$7:$A$53,$A59,'EL scheme register'!$AF$7:$AF$53,"Outside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register'!$A$7:$A$53,$A60,'EL scheme register'!$C$7:$C$53,"University-wide",'EL scheme register'!$AJ$7:$AJ$53,"Yes")</f>
        <v/>
      </c>
      <c r="J60" s="77">
        <f>COUNTIFS('EL scheme register'!$A$7:$A$53,$A60,'EL scheme register'!$C$7:$C$53,"Cross-faculty",'EL scheme register'!$AJ$7:$AJ$53,"Yes")</f>
        <v/>
      </c>
      <c r="K60" s="77">
        <f>COUNTIFS('EL scheme register'!$A$7:$A$53,$A60,'EL scheme register'!$C$7:$C$53,"Faculty/school",'EL scheme register'!$AJ$7:$AJ$53,"Yes")</f>
        <v/>
      </c>
      <c r="L60" s="77">
        <f>COUNTIFS('EL scheme register'!$A$7:$A$53,$A60,'EL scheme register'!$C$7:$C$53,"Programme/course",'EL scheme register'!$AJ$7:$AJ$53,"Yes")</f>
        <v/>
      </c>
      <c r="M60" s="77">
        <f>COUNTIFS('EL scheme register'!$A$7:$A$53,$A60,'EL scheme register'!$C$7:$C$53,"Unclear",'EL scheme register'!$AJ$7:$AJ$53,"Yes")</f>
        <v/>
      </c>
      <c r="N60" s="77">
        <f>SUM(I60:M60)</f>
        <v/>
      </c>
      <c r="O60" s="77">
        <f>COUNTIFS('EL scheme register'!$A$7:$A$53,$A60,'EL scheme register'!$AF$7:$AF$53,"Potentially relevant; evidence incomplete",'EL scheme register'!$AI$7:$AI$53,"Yes")</f>
        <v/>
      </c>
      <c r="P60" s="77">
        <f>COUNTIFS('EL scheme register'!$A$7:$A$53,$A60,'EL scheme register'!$AF$7:$AF$53,"Outside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register'!$A$7:$A$53,$A61,'EL scheme register'!$C$7:$C$53,"University-wide",'EL scheme register'!$AJ$7:$AJ$53,"Yes")</f>
        <v/>
      </c>
      <c r="J61" s="77">
        <f>COUNTIFS('EL scheme register'!$A$7:$A$53,$A61,'EL scheme register'!$C$7:$C$53,"Cross-faculty",'EL scheme register'!$AJ$7:$AJ$53,"Yes")</f>
        <v/>
      </c>
      <c r="K61" s="77">
        <f>COUNTIFS('EL scheme register'!$A$7:$A$53,$A61,'EL scheme register'!$C$7:$C$53,"Faculty/school",'EL scheme register'!$AJ$7:$AJ$53,"Yes")</f>
        <v/>
      </c>
      <c r="L61" s="77">
        <f>COUNTIFS('EL scheme register'!$A$7:$A$53,$A61,'EL scheme register'!$C$7:$C$53,"Programme/course",'EL scheme register'!$AJ$7:$AJ$53,"Yes")</f>
        <v/>
      </c>
      <c r="M61" s="77">
        <f>COUNTIFS('EL scheme register'!$A$7:$A$53,$A61,'EL scheme register'!$C$7:$C$53,"Unclear",'EL scheme register'!$AJ$7:$AJ$53,"Yes")</f>
        <v/>
      </c>
      <c r="N61" s="77">
        <f>SUM(I61:M61)</f>
        <v/>
      </c>
      <c r="O61" s="77">
        <f>COUNTIFS('EL scheme register'!$A$7:$A$53,$A61,'EL scheme register'!$AF$7:$AF$53,"Potentially relevant; evidence incomplete",'EL scheme register'!$AI$7:$AI$53,"Yes")</f>
        <v/>
      </c>
      <c r="P61" s="77">
        <f>COUNTIFS('EL scheme register'!$A$7:$A$53,$A61,'EL scheme register'!$AF$7:$AF$53,"Outside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register'!$A$7:$A$53,$A62,'EL scheme register'!$C$7:$C$53,"University-wide",'EL scheme register'!$AJ$7:$AJ$53,"Yes")</f>
        <v/>
      </c>
      <c r="J62" s="77">
        <f>COUNTIFS('EL scheme register'!$A$7:$A$53,$A62,'EL scheme register'!$C$7:$C$53,"Cross-faculty",'EL scheme register'!$AJ$7:$AJ$53,"Yes")</f>
        <v/>
      </c>
      <c r="K62" s="77">
        <f>COUNTIFS('EL scheme register'!$A$7:$A$53,$A62,'EL scheme register'!$C$7:$C$53,"Faculty/school",'EL scheme register'!$AJ$7:$AJ$53,"Yes")</f>
        <v/>
      </c>
      <c r="L62" s="77">
        <f>COUNTIFS('EL scheme register'!$A$7:$A$53,$A62,'EL scheme register'!$C$7:$C$53,"Programme/course",'EL scheme register'!$AJ$7:$AJ$53,"Yes")</f>
        <v/>
      </c>
      <c r="M62" s="77">
        <f>COUNTIFS('EL scheme register'!$A$7:$A$53,$A62,'EL scheme register'!$C$7:$C$53,"Unclear",'EL scheme register'!$AJ$7:$AJ$53,"Yes")</f>
        <v/>
      </c>
      <c r="N62" s="77">
        <f>SUM(I62:M62)</f>
        <v/>
      </c>
      <c r="O62" s="77">
        <f>COUNTIFS('EL scheme register'!$A$7:$A$53,$A62,'EL scheme register'!$AF$7:$AF$53,"Potentially relevant; evidence incomplete",'EL scheme register'!$AI$7:$AI$53,"Yes")</f>
        <v/>
      </c>
      <c r="P62" s="77">
        <f>COUNTIFS('EL scheme register'!$A$7:$A$53,$A62,'EL scheme register'!$AF$7:$AF$53,"Outside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register'!$A$7:$A$53,$A63,'EL scheme register'!$C$7:$C$53,"University-wide",'EL scheme register'!$AJ$7:$AJ$53,"Yes")</f>
        <v/>
      </c>
      <c r="J63" s="77">
        <f>COUNTIFS('EL scheme register'!$A$7:$A$53,$A63,'EL scheme register'!$C$7:$C$53,"Cross-faculty",'EL scheme register'!$AJ$7:$AJ$53,"Yes")</f>
        <v/>
      </c>
      <c r="K63" s="77">
        <f>COUNTIFS('EL scheme register'!$A$7:$A$53,$A63,'EL scheme register'!$C$7:$C$53,"Faculty/school",'EL scheme register'!$AJ$7:$AJ$53,"Yes")</f>
        <v/>
      </c>
      <c r="L63" s="77">
        <f>COUNTIFS('EL scheme register'!$A$7:$A$53,$A63,'EL scheme register'!$C$7:$C$53,"Programme/course",'EL scheme register'!$AJ$7:$AJ$53,"Yes")</f>
        <v/>
      </c>
      <c r="M63" s="77">
        <f>COUNTIFS('EL scheme register'!$A$7:$A$53,$A63,'EL scheme register'!$C$7:$C$53,"Unclear",'EL scheme register'!$AJ$7:$AJ$53,"Yes")</f>
        <v/>
      </c>
      <c r="N63" s="77">
        <f>SUM(I63:M63)</f>
        <v/>
      </c>
      <c r="O63" s="77">
        <f>COUNTIFS('EL scheme register'!$A$7:$A$53,$A63,'EL scheme register'!$AF$7:$AF$53,"Potentially relevant; evidence incomplete",'EL scheme register'!$AI$7:$AI$53,"Yes")</f>
        <v/>
      </c>
      <c r="P63" s="77">
        <f>COUNTIFS('EL scheme register'!$A$7:$A$53,$A63,'EL scheme register'!$AF$7:$AF$53,"Outside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register'!$A$7:$A$53,$A64,'EL scheme register'!$C$7:$C$53,"University-wide",'EL scheme register'!$AJ$7:$AJ$53,"Yes")</f>
        <v/>
      </c>
      <c r="J64" s="77">
        <f>COUNTIFS('EL scheme register'!$A$7:$A$53,$A64,'EL scheme register'!$C$7:$C$53,"Cross-faculty",'EL scheme register'!$AJ$7:$AJ$53,"Yes")</f>
        <v/>
      </c>
      <c r="K64" s="77">
        <f>COUNTIFS('EL scheme register'!$A$7:$A$53,$A64,'EL scheme register'!$C$7:$C$53,"Faculty/school",'EL scheme register'!$AJ$7:$AJ$53,"Yes")</f>
        <v/>
      </c>
      <c r="L64" s="77">
        <f>COUNTIFS('EL scheme register'!$A$7:$A$53,$A64,'EL scheme register'!$C$7:$C$53,"Programme/course",'EL scheme register'!$AJ$7:$AJ$53,"Yes")</f>
        <v/>
      </c>
      <c r="M64" s="77">
        <f>COUNTIFS('EL scheme register'!$A$7:$A$53,$A64,'EL scheme register'!$C$7:$C$53,"Unclear",'EL scheme register'!$AJ$7:$AJ$53,"Yes")</f>
        <v/>
      </c>
      <c r="N64" s="77">
        <f>SUM(I64:M64)</f>
        <v/>
      </c>
      <c r="O64" s="77">
        <f>COUNTIFS('EL scheme register'!$A$7:$A$53,$A64,'EL scheme register'!$AF$7:$AF$53,"Potentially relevant; evidence incomplete",'EL scheme register'!$AI$7:$AI$53,"Yes")</f>
        <v/>
      </c>
      <c r="P64" s="77">
        <f>COUNTIFS('EL scheme register'!$A$7:$A$53,$A64,'EL scheme register'!$AF$7:$AF$53,"Outside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register'!$A$7:$A$53,$A65,'EL scheme register'!$C$7:$C$53,"University-wide",'EL scheme register'!$AJ$7:$AJ$53,"Yes")</f>
        <v/>
      </c>
      <c r="J65" s="77">
        <f>COUNTIFS('EL scheme register'!$A$7:$A$53,$A65,'EL scheme register'!$C$7:$C$53,"Cross-faculty",'EL scheme register'!$AJ$7:$AJ$53,"Yes")</f>
        <v/>
      </c>
      <c r="K65" s="77">
        <f>COUNTIFS('EL scheme register'!$A$7:$A$53,$A65,'EL scheme register'!$C$7:$C$53,"Faculty/school",'EL scheme register'!$AJ$7:$AJ$53,"Yes")</f>
        <v/>
      </c>
      <c r="L65" s="77">
        <f>COUNTIFS('EL scheme register'!$A$7:$A$53,$A65,'EL scheme register'!$C$7:$C$53,"Programme/course",'EL scheme register'!$AJ$7:$AJ$53,"Yes")</f>
        <v/>
      </c>
      <c r="M65" s="77">
        <f>COUNTIFS('EL scheme register'!$A$7:$A$53,$A65,'EL scheme register'!$C$7:$C$53,"Unclear",'EL scheme register'!$AJ$7:$AJ$53,"Yes")</f>
        <v/>
      </c>
      <c r="N65" s="77">
        <f>SUM(I65:M65)</f>
        <v/>
      </c>
      <c r="O65" s="77">
        <f>COUNTIFS('EL scheme register'!$A$7:$A$53,$A65,'EL scheme register'!$AF$7:$AF$53,"Potentially relevant; evidence incomplete",'EL scheme register'!$AI$7:$AI$53,"Yes")</f>
        <v/>
      </c>
      <c r="P65" s="77">
        <f>COUNTIFS('EL scheme register'!$A$7:$A$53,$A65,'EL scheme register'!$AF$7:$AF$53,"Outside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register'!$A$7:$A$53,$A66,'EL scheme register'!$C$7:$C$53,"University-wide",'EL scheme register'!$AJ$7:$AJ$53,"Yes")</f>
        <v/>
      </c>
      <c r="J66" s="77">
        <f>COUNTIFS('EL scheme register'!$A$7:$A$53,$A66,'EL scheme register'!$C$7:$C$53,"Cross-faculty",'EL scheme register'!$AJ$7:$AJ$53,"Yes")</f>
        <v/>
      </c>
      <c r="K66" s="77">
        <f>COUNTIFS('EL scheme register'!$A$7:$A$53,$A66,'EL scheme register'!$C$7:$C$53,"Faculty/school",'EL scheme register'!$AJ$7:$AJ$53,"Yes")</f>
        <v/>
      </c>
      <c r="L66" s="77">
        <f>COUNTIFS('EL scheme register'!$A$7:$A$53,$A66,'EL scheme register'!$C$7:$C$53,"Programme/course",'EL scheme register'!$AJ$7:$AJ$53,"Yes")</f>
        <v/>
      </c>
      <c r="M66" s="77">
        <f>COUNTIFS('EL scheme register'!$A$7:$A$53,$A66,'EL scheme register'!$C$7:$C$53,"Unclear",'EL scheme register'!$AJ$7:$AJ$53,"Yes")</f>
        <v/>
      </c>
      <c r="N66" s="77">
        <f>SUM(I66:M66)</f>
        <v/>
      </c>
      <c r="O66" s="77">
        <f>COUNTIFS('EL scheme register'!$A$7:$A$53,$A66,'EL scheme register'!$AF$7:$AF$53,"Potentially relevant; evidence incomplete",'EL scheme register'!$AI$7:$AI$53,"Yes")</f>
        <v/>
      </c>
      <c r="P66" s="77">
        <f>COUNTIFS('EL scheme register'!$A$7:$A$53,$A66,'EL scheme register'!$AF$7:$AF$53,"Outside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register'!$A$7:$A$53,$A67,'EL scheme register'!$C$7:$C$53,"University-wide",'EL scheme register'!$AJ$7:$AJ$53,"Yes")</f>
        <v/>
      </c>
      <c r="J67" s="77">
        <f>COUNTIFS('EL scheme register'!$A$7:$A$53,$A67,'EL scheme register'!$C$7:$C$53,"Cross-faculty",'EL scheme register'!$AJ$7:$AJ$53,"Yes")</f>
        <v/>
      </c>
      <c r="K67" s="77">
        <f>COUNTIFS('EL scheme register'!$A$7:$A$53,$A67,'EL scheme register'!$C$7:$C$53,"Faculty/school",'EL scheme register'!$AJ$7:$AJ$53,"Yes")</f>
        <v/>
      </c>
      <c r="L67" s="77">
        <f>COUNTIFS('EL scheme register'!$A$7:$A$53,$A67,'EL scheme register'!$C$7:$C$53,"Programme/course",'EL scheme register'!$AJ$7:$AJ$53,"Yes")</f>
        <v/>
      </c>
      <c r="M67" s="77">
        <f>COUNTIFS('EL scheme register'!$A$7:$A$53,$A67,'EL scheme register'!$C$7:$C$53,"Unclear",'EL scheme register'!$AJ$7:$AJ$53,"Yes")</f>
        <v/>
      </c>
      <c r="N67" s="77">
        <f>SUM(I67:M67)</f>
        <v/>
      </c>
      <c r="O67" s="77">
        <f>COUNTIFS('EL scheme register'!$A$7:$A$53,$A67,'EL scheme register'!$AF$7:$AF$53,"Potentially relevant; evidence incomplete",'EL scheme register'!$AI$7:$AI$53,"Yes")</f>
        <v/>
      </c>
      <c r="P67" s="77">
        <f>COUNTIFS('EL scheme register'!$A$7:$A$53,$A67,'EL scheme register'!$AF$7:$AF$53,"Outside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register'!$A$7:$A$53,$A68,'EL scheme register'!$C$7:$C$53,"University-wide",'EL scheme register'!$AJ$7:$AJ$53,"Yes")</f>
        <v/>
      </c>
      <c r="J68" s="77">
        <f>COUNTIFS('EL scheme register'!$A$7:$A$53,$A68,'EL scheme register'!$C$7:$C$53,"Cross-faculty",'EL scheme register'!$AJ$7:$AJ$53,"Yes")</f>
        <v/>
      </c>
      <c r="K68" s="77">
        <f>COUNTIFS('EL scheme register'!$A$7:$A$53,$A68,'EL scheme register'!$C$7:$C$53,"Faculty/school",'EL scheme register'!$AJ$7:$AJ$53,"Yes")</f>
        <v/>
      </c>
      <c r="L68" s="77">
        <f>COUNTIFS('EL scheme register'!$A$7:$A$53,$A68,'EL scheme register'!$C$7:$C$53,"Programme/course",'EL scheme register'!$AJ$7:$AJ$53,"Yes")</f>
        <v/>
      </c>
      <c r="M68" s="77">
        <f>COUNTIFS('EL scheme register'!$A$7:$A$53,$A68,'EL scheme register'!$C$7:$C$53,"Unclear",'EL scheme register'!$AJ$7:$AJ$53,"Yes")</f>
        <v/>
      </c>
      <c r="N68" s="77">
        <f>SUM(I68:M68)</f>
        <v/>
      </c>
      <c r="O68" s="77">
        <f>COUNTIFS('EL scheme register'!$A$7:$A$53,$A68,'EL scheme register'!$AF$7:$AF$53,"Potentially relevant; evidence incomplete",'EL scheme register'!$AI$7:$AI$53,"Yes")</f>
        <v/>
      </c>
      <c r="P68" s="77">
        <f>COUNTIFS('EL scheme register'!$A$7:$A$53,$A68,'EL scheme register'!$AF$7:$AF$53,"Outside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register'!$A$7:$A$53,$A69,'EL scheme register'!$C$7:$C$53,"University-wide",'EL scheme register'!$AJ$7:$AJ$53,"Yes")</f>
        <v/>
      </c>
      <c r="J69" s="77">
        <f>COUNTIFS('EL scheme register'!$A$7:$A$53,$A69,'EL scheme register'!$C$7:$C$53,"Cross-faculty",'EL scheme register'!$AJ$7:$AJ$53,"Yes")</f>
        <v/>
      </c>
      <c r="K69" s="77">
        <f>COUNTIFS('EL scheme register'!$A$7:$A$53,$A69,'EL scheme register'!$C$7:$C$53,"Faculty/school",'EL scheme register'!$AJ$7:$AJ$53,"Yes")</f>
        <v/>
      </c>
      <c r="L69" s="77">
        <f>COUNTIFS('EL scheme register'!$A$7:$A$53,$A69,'EL scheme register'!$C$7:$C$53,"Programme/course",'EL scheme register'!$AJ$7:$AJ$53,"Yes")</f>
        <v/>
      </c>
      <c r="M69" s="77">
        <f>COUNTIFS('EL scheme register'!$A$7:$A$53,$A69,'EL scheme register'!$C$7:$C$53,"Unclear",'EL scheme register'!$AJ$7:$AJ$53,"Yes")</f>
        <v/>
      </c>
      <c r="N69" s="77">
        <f>SUM(I69:M69)</f>
        <v/>
      </c>
      <c r="O69" s="77">
        <f>COUNTIFS('EL scheme register'!$A$7:$A$53,$A69,'EL scheme register'!$AF$7:$AF$53,"Potentially relevant; evidence incomplete",'EL scheme register'!$AI$7:$AI$53,"Yes")</f>
        <v/>
      </c>
      <c r="P69" s="77">
        <f>COUNTIFS('EL scheme register'!$A$7:$A$53,$A69,'EL scheme register'!$AF$7:$AF$53,"Outside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register'!$A$7:$A$53,$A70,'EL scheme register'!$C$7:$C$53,"University-wide",'EL scheme register'!$AJ$7:$AJ$53,"Yes")</f>
        <v/>
      </c>
      <c r="J70" s="77">
        <f>COUNTIFS('EL scheme register'!$A$7:$A$53,$A70,'EL scheme register'!$C$7:$C$53,"Cross-faculty",'EL scheme register'!$AJ$7:$AJ$53,"Yes")</f>
        <v/>
      </c>
      <c r="K70" s="77">
        <f>COUNTIFS('EL scheme register'!$A$7:$A$53,$A70,'EL scheme register'!$C$7:$C$53,"Faculty/school",'EL scheme register'!$AJ$7:$AJ$53,"Yes")</f>
        <v/>
      </c>
      <c r="L70" s="77">
        <f>COUNTIFS('EL scheme register'!$A$7:$A$53,$A70,'EL scheme register'!$C$7:$C$53,"Programme/course",'EL scheme register'!$AJ$7:$AJ$53,"Yes")</f>
        <v/>
      </c>
      <c r="M70" s="77">
        <f>COUNTIFS('EL scheme register'!$A$7:$A$53,$A70,'EL scheme register'!$C$7:$C$53,"Unclear",'EL scheme register'!$AJ$7:$AJ$53,"Yes")</f>
        <v/>
      </c>
      <c r="N70" s="77">
        <f>SUM(I70:M70)</f>
        <v/>
      </c>
      <c r="O70" s="77">
        <f>COUNTIFS('EL scheme register'!$A$7:$A$53,$A70,'EL scheme register'!$AF$7:$AF$53,"Potentially relevant; evidence incomplete",'EL scheme register'!$AI$7:$AI$53,"Yes")</f>
        <v/>
      </c>
      <c r="P70" s="77">
        <f>COUNTIFS('EL scheme register'!$A$7:$A$53,$A70,'EL scheme register'!$AF$7:$AF$53,"Outside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register'!$A$7:$A$53,$A71,'EL scheme register'!$C$7:$C$53,"University-wide",'EL scheme register'!$AJ$7:$AJ$53,"Yes")</f>
        <v/>
      </c>
      <c r="J71" s="77">
        <f>COUNTIFS('EL scheme register'!$A$7:$A$53,$A71,'EL scheme register'!$C$7:$C$53,"Cross-faculty",'EL scheme register'!$AJ$7:$AJ$53,"Yes")</f>
        <v/>
      </c>
      <c r="K71" s="77">
        <f>COUNTIFS('EL scheme register'!$A$7:$A$53,$A71,'EL scheme register'!$C$7:$C$53,"Faculty/school",'EL scheme register'!$AJ$7:$AJ$53,"Yes")</f>
        <v/>
      </c>
      <c r="L71" s="77">
        <f>COUNTIFS('EL scheme register'!$A$7:$A$53,$A71,'EL scheme register'!$C$7:$C$53,"Programme/course",'EL scheme register'!$AJ$7:$AJ$53,"Yes")</f>
        <v/>
      </c>
      <c r="M71" s="77">
        <f>COUNTIFS('EL scheme register'!$A$7:$A$53,$A71,'EL scheme register'!$C$7:$C$53,"Unclear",'EL scheme register'!$AJ$7:$AJ$53,"Yes")</f>
        <v/>
      </c>
      <c r="N71" s="77">
        <f>SUM(I71:M71)</f>
        <v/>
      </c>
      <c r="O71" s="77">
        <f>COUNTIFS('EL scheme register'!$A$7:$A$53,$A71,'EL scheme register'!$AF$7:$AF$53,"Potentially relevant; evidence incomplete",'EL scheme register'!$AI$7:$AI$53,"Yes")</f>
        <v/>
      </c>
      <c r="P71" s="77">
        <f>COUNTIFS('EL scheme register'!$A$7:$A$53,$A71,'EL scheme register'!$AF$7:$AF$53,"Outside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register'!$A$7:$A$53,$A72,'EL scheme register'!$C$7:$C$53,"University-wide",'EL scheme register'!$AJ$7:$AJ$53,"Yes")</f>
        <v/>
      </c>
      <c r="J72" s="77">
        <f>COUNTIFS('EL scheme register'!$A$7:$A$53,$A72,'EL scheme register'!$C$7:$C$53,"Cross-faculty",'EL scheme register'!$AJ$7:$AJ$53,"Yes")</f>
        <v/>
      </c>
      <c r="K72" s="77">
        <f>COUNTIFS('EL scheme register'!$A$7:$A$53,$A72,'EL scheme register'!$C$7:$C$53,"Faculty/school",'EL scheme register'!$AJ$7:$AJ$53,"Yes")</f>
        <v/>
      </c>
      <c r="L72" s="77">
        <f>COUNTIFS('EL scheme register'!$A$7:$A$53,$A72,'EL scheme register'!$C$7:$C$53,"Programme/course",'EL scheme register'!$AJ$7:$AJ$53,"Yes")</f>
        <v/>
      </c>
      <c r="M72" s="77">
        <f>COUNTIFS('EL scheme register'!$A$7:$A$53,$A72,'EL scheme register'!$C$7:$C$53,"Unclear",'EL scheme register'!$AJ$7:$AJ$53,"Yes")</f>
        <v/>
      </c>
      <c r="N72" s="77">
        <f>SUM(I72:M72)</f>
        <v/>
      </c>
      <c r="O72" s="77">
        <f>COUNTIFS('EL scheme register'!$A$7:$A$53,$A72,'EL scheme register'!$AF$7:$AF$53,"Potentially relevant; evidence incomplete",'EL scheme register'!$AI$7:$AI$53,"Yes")</f>
        <v/>
      </c>
      <c r="P72" s="77">
        <f>COUNTIFS('EL scheme register'!$A$7:$A$53,$A72,'EL scheme register'!$AF$7:$AF$53,"Outside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register'!$A$7:$A$53,$A73,'EL scheme register'!$C$7:$C$53,"University-wide",'EL scheme register'!$AJ$7:$AJ$53,"Yes")</f>
        <v/>
      </c>
      <c r="J73" s="77">
        <f>COUNTIFS('EL scheme register'!$A$7:$A$53,$A73,'EL scheme register'!$C$7:$C$53,"Cross-faculty",'EL scheme register'!$AJ$7:$AJ$53,"Yes")</f>
        <v/>
      </c>
      <c r="K73" s="77">
        <f>COUNTIFS('EL scheme register'!$A$7:$A$53,$A73,'EL scheme register'!$C$7:$C$53,"Faculty/school",'EL scheme register'!$AJ$7:$AJ$53,"Yes")</f>
        <v/>
      </c>
      <c r="L73" s="77">
        <f>COUNTIFS('EL scheme register'!$A$7:$A$53,$A73,'EL scheme register'!$C$7:$C$53,"Programme/course",'EL scheme register'!$AJ$7:$AJ$53,"Yes")</f>
        <v/>
      </c>
      <c r="M73" s="77">
        <f>COUNTIFS('EL scheme register'!$A$7:$A$53,$A73,'EL scheme register'!$C$7:$C$53,"Unclear",'EL scheme register'!$AJ$7:$AJ$53,"Yes")</f>
        <v/>
      </c>
      <c r="N73" s="77">
        <f>SUM(I73:M73)</f>
        <v/>
      </c>
      <c r="O73" s="77">
        <f>COUNTIFS('EL scheme register'!$A$7:$A$53,$A73,'EL scheme register'!$AF$7:$AF$53,"Potentially relevant; evidence incomplete",'EL scheme register'!$AI$7:$AI$53,"Yes")</f>
        <v/>
      </c>
      <c r="P73" s="77">
        <f>COUNTIFS('EL scheme register'!$A$7:$A$53,$A73,'EL scheme register'!$AF$7:$AF$53,"Outside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register'!$A$7:$A$53,$A74,'EL scheme register'!$C$7:$C$53,"University-wide",'EL scheme register'!$AJ$7:$AJ$53,"Yes")</f>
        <v/>
      </c>
      <c r="J74" s="77">
        <f>COUNTIFS('EL scheme register'!$A$7:$A$53,$A74,'EL scheme register'!$C$7:$C$53,"Cross-faculty",'EL scheme register'!$AJ$7:$AJ$53,"Yes")</f>
        <v/>
      </c>
      <c r="K74" s="77">
        <f>COUNTIFS('EL scheme register'!$A$7:$A$53,$A74,'EL scheme register'!$C$7:$C$53,"Faculty/school",'EL scheme register'!$AJ$7:$AJ$53,"Yes")</f>
        <v/>
      </c>
      <c r="L74" s="77">
        <f>COUNTIFS('EL scheme register'!$A$7:$A$53,$A74,'EL scheme register'!$C$7:$C$53,"Programme/course",'EL scheme register'!$AJ$7:$AJ$53,"Yes")</f>
        <v/>
      </c>
      <c r="M74" s="77">
        <f>COUNTIFS('EL scheme register'!$A$7:$A$53,$A74,'EL scheme register'!$C$7:$C$53,"Unclear",'EL scheme register'!$AJ$7:$AJ$53,"Yes")</f>
        <v/>
      </c>
      <c r="N74" s="77">
        <f>SUM(I74:M74)</f>
        <v/>
      </c>
      <c r="O74" s="77">
        <f>COUNTIFS('EL scheme register'!$A$7:$A$53,$A74,'EL scheme register'!$AF$7:$AF$53,"Potentially relevant; evidence incomplete",'EL scheme register'!$AI$7:$AI$53,"Yes")</f>
        <v/>
      </c>
      <c r="P74" s="77">
        <f>COUNTIFS('EL scheme register'!$A$7:$A$53,$A74,'EL scheme register'!$AF$7:$AF$53,"Outside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register'!$A$7:$A$53,$A75,'EL scheme register'!$C$7:$C$53,"University-wide",'EL scheme register'!$AJ$7:$AJ$53,"Yes")</f>
        <v/>
      </c>
      <c r="J75" s="77">
        <f>COUNTIFS('EL scheme register'!$A$7:$A$53,$A75,'EL scheme register'!$C$7:$C$53,"Cross-faculty",'EL scheme register'!$AJ$7:$AJ$53,"Yes")</f>
        <v/>
      </c>
      <c r="K75" s="77">
        <f>COUNTIFS('EL scheme register'!$A$7:$A$53,$A75,'EL scheme register'!$C$7:$C$53,"Faculty/school",'EL scheme register'!$AJ$7:$AJ$53,"Yes")</f>
        <v/>
      </c>
      <c r="L75" s="77">
        <f>COUNTIFS('EL scheme register'!$A$7:$A$53,$A75,'EL scheme register'!$C$7:$C$53,"Programme/course",'EL scheme register'!$AJ$7:$AJ$53,"Yes")</f>
        <v/>
      </c>
      <c r="M75" s="77">
        <f>COUNTIFS('EL scheme register'!$A$7:$A$53,$A75,'EL scheme register'!$C$7:$C$53,"Unclear",'EL scheme register'!$AJ$7:$AJ$53,"Yes")</f>
        <v/>
      </c>
      <c r="N75" s="77">
        <f>SUM(I75:M75)</f>
        <v/>
      </c>
      <c r="O75" s="77">
        <f>COUNTIFS('EL scheme register'!$A$7:$A$53,$A75,'EL scheme register'!$AF$7:$AF$53,"Potentially relevant; evidence incomplete",'EL scheme register'!$AI$7:$AI$53,"Yes")</f>
        <v/>
      </c>
      <c r="P75" s="77">
        <f>COUNTIFS('EL scheme register'!$A$7:$A$53,$A75,'EL scheme register'!$AF$7:$AF$53,"Outside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register'!$A$7:$A$53,$A76,'EL scheme register'!$C$7:$C$53,"University-wide",'EL scheme register'!$AJ$7:$AJ$53,"Yes")</f>
        <v/>
      </c>
      <c r="J76" s="77">
        <f>COUNTIFS('EL scheme register'!$A$7:$A$53,$A76,'EL scheme register'!$C$7:$C$53,"Cross-faculty",'EL scheme register'!$AJ$7:$AJ$53,"Yes")</f>
        <v/>
      </c>
      <c r="K76" s="77">
        <f>COUNTIFS('EL scheme register'!$A$7:$A$53,$A76,'EL scheme register'!$C$7:$C$53,"Faculty/school",'EL scheme register'!$AJ$7:$AJ$53,"Yes")</f>
        <v/>
      </c>
      <c r="L76" s="77">
        <f>COUNTIFS('EL scheme register'!$A$7:$A$53,$A76,'EL scheme register'!$C$7:$C$53,"Programme/course",'EL scheme register'!$AJ$7:$AJ$53,"Yes")</f>
        <v/>
      </c>
      <c r="M76" s="77">
        <f>COUNTIFS('EL scheme register'!$A$7:$A$53,$A76,'EL scheme register'!$C$7:$C$53,"Unclear",'EL scheme register'!$AJ$7:$AJ$53,"Yes")</f>
        <v/>
      </c>
      <c r="N76" s="77">
        <f>SUM(I76:M76)</f>
        <v/>
      </c>
      <c r="O76" s="77">
        <f>COUNTIFS('EL scheme register'!$A$7:$A$53,$A76,'EL scheme register'!$AF$7:$AF$53,"Potentially relevant; evidence incomplete",'EL scheme register'!$AI$7:$AI$53,"Yes")</f>
        <v/>
      </c>
      <c r="P76" s="77">
        <f>COUNTIFS('EL scheme register'!$A$7:$A$53,$A76,'EL scheme register'!$AF$7:$AF$53,"Outside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register'!$A$7:$A$53,$A77,'EL scheme register'!$C$7:$C$53,"University-wide",'EL scheme register'!$AJ$7:$AJ$53,"Yes")</f>
        <v/>
      </c>
      <c r="J77" s="77">
        <f>COUNTIFS('EL scheme register'!$A$7:$A$53,$A77,'EL scheme register'!$C$7:$C$53,"Cross-faculty",'EL scheme register'!$AJ$7:$AJ$53,"Yes")</f>
        <v/>
      </c>
      <c r="K77" s="77">
        <f>COUNTIFS('EL scheme register'!$A$7:$A$53,$A77,'EL scheme register'!$C$7:$C$53,"Faculty/school",'EL scheme register'!$AJ$7:$AJ$53,"Yes")</f>
        <v/>
      </c>
      <c r="L77" s="77">
        <f>COUNTIFS('EL scheme register'!$A$7:$A$53,$A77,'EL scheme register'!$C$7:$C$53,"Programme/course",'EL scheme register'!$AJ$7:$AJ$53,"Yes")</f>
        <v/>
      </c>
      <c r="M77" s="77">
        <f>COUNTIFS('EL scheme register'!$A$7:$A$53,$A77,'EL scheme register'!$C$7:$C$53,"Unclear",'EL scheme register'!$AJ$7:$AJ$53,"Yes")</f>
        <v/>
      </c>
      <c r="N77" s="77">
        <f>SUM(I77:M77)</f>
        <v/>
      </c>
      <c r="O77" s="77">
        <f>COUNTIFS('EL scheme register'!$A$7:$A$53,$A77,'EL scheme register'!$AF$7:$AF$53,"Potentially relevant; evidence incomplete",'EL scheme register'!$AI$7:$AI$53,"Yes")</f>
        <v/>
      </c>
      <c r="P77" s="77">
        <f>COUNTIFS('EL scheme register'!$A$7:$A$53,$A77,'EL scheme register'!$AF$7:$AF$53,"Outside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register'!$A$7:$A$53,$A78,'EL scheme register'!$C$7:$C$53,"University-wide",'EL scheme register'!$AJ$7:$AJ$53,"Yes")</f>
        <v/>
      </c>
      <c r="J78" s="77">
        <f>COUNTIFS('EL scheme register'!$A$7:$A$53,$A78,'EL scheme register'!$C$7:$C$53,"Cross-faculty",'EL scheme register'!$AJ$7:$AJ$53,"Yes")</f>
        <v/>
      </c>
      <c r="K78" s="77">
        <f>COUNTIFS('EL scheme register'!$A$7:$A$53,$A78,'EL scheme register'!$C$7:$C$53,"Faculty/school",'EL scheme register'!$AJ$7:$AJ$53,"Yes")</f>
        <v/>
      </c>
      <c r="L78" s="77">
        <f>COUNTIFS('EL scheme register'!$A$7:$A$53,$A78,'EL scheme register'!$C$7:$C$53,"Programme/course",'EL scheme register'!$AJ$7:$AJ$53,"Yes")</f>
        <v/>
      </c>
      <c r="M78" s="77">
        <f>COUNTIFS('EL scheme register'!$A$7:$A$53,$A78,'EL scheme register'!$C$7:$C$53,"Unclear",'EL scheme register'!$AJ$7:$AJ$53,"Yes")</f>
        <v/>
      </c>
      <c r="N78" s="77">
        <f>SUM(I78:M78)</f>
        <v/>
      </c>
      <c r="O78" s="77">
        <f>COUNTIFS('EL scheme register'!$A$7:$A$53,$A78,'EL scheme register'!$AF$7:$AF$53,"Potentially relevant; evidence incomplete",'EL scheme register'!$AI$7:$AI$53,"Yes")</f>
        <v/>
      </c>
      <c r="P78" s="77">
        <f>COUNTIFS('EL scheme register'!$A$7:$A$53,$A78,'EL scheme register'!$AF$7:$AF$53,"Outside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register'!$A$7:$A$53,$A79,'EL scheme register'!$C$7:$C$53,"University-wide",'EL scheme register'!$AJ$7:$AJ$53,"Yes")</f>
        <v/>
      </c>
      <c r="J79" s="77">
        <f>COUNTIFS('EL scheme register'!$A$7:$A$53,$A79,'EL scheme register'!$C$7:$C$53,"Cross-faculty",'EL scheme register'!$AJ$7:$AJ$53,"Yes")</f>
        <v/>
      </c>
      <c r="K79" s="77">
        <f>COUNTIFS('EL scheme register'!$A$7:$A$53,$A79,'EL scheme register'!$C$7:$C$53,"Faculty/school",'EL scheme register'!$AJ$7:$AJ$53,"Yes")</f>
        <v/>
      </c>
      <c r="L79" s="77">
        <f>COUNTIFS('EL scheme register'!$A$7:$A$53,$A79,'EL scheme register'!$C$7:$C$53,"Programme/course",'EL scheme register'!$AJ$7:$AJ$53,"Yes")</f>
        <v/>
      </c>
      <c r="M79" s="77">
        <f>COUNTIFS('EL scheme register'!$A$7:$A$53,$A79,'EL scheme register'!$C$7:$C$53,"Unclear",'EL scheme register'!$AJ$7:$AJ$53,"Yes")</f>
        <v/>
      </c>
      <c r="N79" s="77">
        <f>SUM(I79:M79)</f>
        <v/>
      </c>
      <c r="O79" s="77">
        <f>COUNTIFS('EL scheme register'!$A$7:$A$53,$A79,'EL scheme register'!$AF$7:$AF$53,"Potentially relevant; evidence incomplete",'EL scheme register'!$AI$7:$AI$53,"Yes")</f>
        <v/>
      </c>
      <c r="P79" s="77">
        <f>COUNTIFS('EL scheme register'!$A$7:$A$53,$A79,'EL scheme register'!$AF$7:$AF$53,"Outside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register'!$A$7:$A$53,$A80,'EL scheme register'!$C$7:$C$53,"University-wide",'EL scheme register'!$AJ$7:$AJ$53,"Yes")</f>
        <v/>
      </c>
      <c r="J80" s="77">
        <f>COUNTIFS('EL scheme register'!$A$7:$A$53,$A80,'EL scheme register'!$C$7:$C$53,"Cross-faculty",'EL scheme register'!$AJ$7:$AJ$53,"Yes")</f>
        <v/>
      </c>
      <c r="K80" s="77">
        <f>COUNTIFS('EL scheme register'!$A$7:$A$53,$A80,'EL scheme register'!$C$7:$C$53,"Faculty/school",'EL scheme register'!$AJ$7:$AJ$53,"Yes")</f>
        <v/>
      </c>
      <c r="L80" s="77">
        <f>COUNTIFS('EL scheme register'!$A$7:$A$53,$A80,'EL scheme register'!$C$7:$C$53,"Programme/course",'EL scheme register'!$AJ$7:$AJ$53,"Yes")</f>
        <v/>
      </c>
      <c r="M80" s="77">
        <f>COUNTIFS('EL scheme register'!$A$7:$A$53,$A80,'EL scheme register'!$C$7:$C$53,"Unclear",'EL scheme register'!$AJ$7:$AJ$53,"Yes")</f>
        <v/>
      </c>
      <c r="N80" s="77">
        <f>SUM(I80:M80)</f>
        <v/>
      </c>
      <c r="O80" s="77">
        <f>COUNTIFS('EL scheme register'!$A$7:$A$53,$A80,'EL scheme register'!$AF$7:$AF$53,"Potentially relevant; evidence incomplete",'EL scheme register'!$AI$7:$AI$53,"Yes")</f>
        <v/>
      </c>
      <c r="P80" s="77">
        <f>COUNTIFS('EL scheme register'!$A$7:$A$53,$A80,'EL scheme register'!$AF$7:$AF$53,"Outside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register'!$A$7:$A$53,$A81,'EL scheme register'!$C$7:$C$53,"University-wide",'EL scheme register'!$AJ$7:$AJ$53,"Yes")</f>
        <v/>
      </c>
      <c r="J81" s="77">
        <f>COUNTIFS('EL scheme register'!$A$7:$A$53,$A81,'EL scheme register'!$C$7:$C$53,"Cross-faculty",'EL scheme register'!$AJ$7:$AJ$53,"Yes")</f>
        <v/>
      </c>
      <c r="K81" s="77">
        <f>COUNTIFS('EL scheme register'!$A$7:$A$53,$A81,'EL scheme register'!$C$7:$C$53,"Faculty/school",'EL scheme register'!$AJ$7:$AJ$53,"Yes")</f>
        <v/>
      </c>
      <c r="L81" s="77">
        <f>COUNTIFS('EL scheme register'!$A$7:$A$53,$A81,'EL scheme register'!$C$7:$C$53,"Programme/course",'EL scheme register'!$AJ$7:$AJ$53,"Yes")</f>
        <v/>
      </c>
      <c r="M81" s="77">
        <f>COUNTIFS('EL scheme register'!$A$7:$A$53,$A81,'EL scheme register'!$C$7:$C$53,"Unclear",'EL scheme register'!$AJ$7:$AJ$53,"Yes")</f>
        <v/>
      </c>
      <c r="N81" s="77">
        <f>SUM(I81:M81)</f>
        <v/>
      </c>
      <c r="O81" s="77">
        <f>COUNTIFS('EL scheme register'!$A$7:$A$53,$A81,'EL scheme register'!$AF$7:$AF$53,"Potentially relevant; evidence incomplete",'EL scheme register'!$AI$7:$AI$53,"Yes")</f>
        <v/>
      </c>
      <c r="P81" s="77">
        <f>COUNTIFS('EL scheme register'!$A$7:$A$53,$A81,'EL scheme register'!$AF$7:$AF$53,"Outside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register'!$A$7:$A$53,$A82,'EL scheme register'!$C$7:$C$53,"University-wide",'EL scheme register'!$AJ$7:$AJ$53,"Yes")</f>
        <v/>
      </c>
      <c r="J82" s="77">
        <f>COUNTIFS('EL scheme register'!$A$7:$A$53,$A82,'EL scheme register'!$C$7:$C$53,"Cross-faculty",'EL scheme register'!$AJ$7:$AJ$53,"Yes")</f>
        <v/>
      </c>
      <c r="K82" s="77">
        <f>COUNTIFS('EL scheme register'!$A$7:$A$53,$A82,'EL scheme register'!$C$7:$C$53,"Faculty/school",'EL scheme register'!$AJ$7:$AJ$53,"Yes")</f>
        <v/>
      </c>
      <c r="L82" s="77">
        <f>COUNTIFS('EL scheme register'!$A$7:$A$53,$A82,'EL scheme register'!$C$7:$C$53,"Programme/course",'EL scheme register'!$AJ$7:$AJ$53,"Yes")</f>
        <v/>
      </c>
      <c r="M82" s="77">
        <f>COUNTIFS('EL scheme register'!$A$7:$A$53,$A82,'EL scheme register'!$C$7:$C$53,"Unclear",'EL scheme register'!$AJ$7:$AJ$53,"Yes")</f>
        <v/>
      </c>
      <c r="N82" s="77">
        <f>SUM(I82:M82)</f>
        <v/>
      </c>
      <c r="O82" s="77">
        <f>COUNTIFS('EL scheme register'!$A$7:$A$53,$A82,'EL scheme register'!$AF$7:$AF$53,"Potentially relevant; evidence incomplete",'EL scheme register'!$AI$7:$AI$53,"Yes")</f>
        <v/>
      </c>
      <c r="P82" s="77">
        <f>COUNTIFS('EL scheme register'!$A$7:$A$53,$A82,'EL scheme register'!$AF$7:$AF$53,"Outside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register'!$A$7:$A$53,$A83,'EL scheme register'!$C$7:$C$53,"University-wide",'EL scheme register'!$AJ$7:$AJ$53,"Yes")</f>
        <v/>
      </c>
      <c r="J83" s="77">
        <f>COUNTIFS('EL scheme register'!$A$7:$A$53,$A83,'EL scheme register'!$C$7:$C$53,"Cross-faculty",'EL scheme register'!$AJ$7:$AJ$53,"Yes")</f>
        <v/>
      </c>
      <c r="K83" s="77">
        <f>COUNTIFS('EL scheme register'!$A$7:$A$53,$A83,'EL scheme register'!$C$7:$C$53,"Faculty/school",'EL scheme register'!$AJ$7:$AJ$53,"Yes")</f>
        <v/>
      </c>
      <c r="L83" s="77">
        <f>COUNTIFS('EL scheme register'!$A$7:$A$53,$A83,'EL scheme register'!$C$7:$C$53,"Programme/course",'EL scheme register'!$AJ$7:$AJ$53,"Yes")</f>
        <v/>
      </c>
      <c r="M83" s="77">
        <f>COUNTIFS('EL scheme register'!$A$7:$A$53,$A83,'EL scheme register'!$C$7:$C$53,"Unclear",'EL scheme register'!$AJ$7:$AJ$53,"Yes")</f>
        <v/>
      </c>
      <c r="N83" s="77">
        <f>SUM(I83:M83)</f>
        <v/>
      </c>
      <c r="O83" s="77">
        <f>COUNTIFS('EL scheme register'!$A$7:$A$53,$A83,'EL scheme register'!$AF$7:$AF$53,"Potentially relevant; evidence incomplete",'EL scheme register'!$AI$7:$AI$53,"Yes")</f>
        <v/>
      </c>
      <c r="P83" s="77">
        <f>COUNTIFS('EL scheme register'!$A$7:$A$53,$A83,'EL scheme register'!$AF$7:$AF$53,"Outside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register'!$A$7:$A$53,$A84,'EL scheme register'!$C$7:$C$53,"University-wide",'EL scheme register'!$AJ$7:$AJ$53,"Yes")</f>
        <v/>
      </c>
      <c r="J84" s="77">
        <f>COUNTIFS('EL scheme register'!$A$7:$A$53,$A84,'EL scheme register'!$C$7:$C$53,"Cross-faculty",'EL scheme register'!$AJ$7:$AJ$53,"Yes")</f>
        <v/>
      </c>
      <c r="K84" s="77">
        <f>COUNTIFS('EL scheme register'!$A$7:$A$53,$A84,'EL scheme register'!$C$7:$C$53,"Faculty/school",'EL scheme register'!$AJ$7:$AJ$53,"Yes")</f>
        <v/>
      </c>
      <c r="L84" s="77">
        <f>COUNTIFS('EL scheme register'!$A$7:$A$53,$A84,'EL scheme register'!$C$7:$C$53,"Programme/course",'EL scheme register'!$AJ$7:$AJ$53,"Yes")</f>
        <v/>
      </c>
      <c r="M84" s="77">
        <f>COUNTIFS('EL scheme register'!$A$7:$A$53,$A84,'EL scheme register'!$C$7:$C$53,"Unclear",'EL scheme register'!$AJ$7:$AJ$53,"Yes")</f>
        <v/>
      </c>
      <c r="N84" s="77">
        <f>SUM(I84:M84)</f>
        <v/>
      </c>
      <c r="O84" s="77">
        <f>COUNTIFS('EL scheme register'!$A$7:$A$53,$A84,'EL scheme register'!$AF$7:$AF$53,"Potentially relevant; evidence incomplete",'EL scheme register'!$AI$7:$AI$53,"Yes")</f>
        <v/>
      </c>
      <c r="P84" s="77">
        <f>COUNTIFS('EL scheme register'!$A$7:$A$53,$A84,'EL scheme register'!$AF$7:$AF$53,"Outside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register'!$A$7:$A$53,$A85,'EL scheme register'!$C$7:$C$53,"University-wide",'EL scheme register'!$AJ$7:$AJ$53,"Yes")</f>
        <v/>
      </c>
      <c r="J85" s="77">
        <f>COUNTIFS('EL scheme register'!$A$7:$A$53,$A85,'EL scheme register'!$C$7:$C$53,"Cross-faculty",'EL scheme register'!$AJ$7:$AJ$53,"Yes")</f>
        <v/>
      </c>
      <c r="K85" s="77">
        <f>COUNTIFS('EL scheme register'!$A$7:$A$53,$A85,'EL scheme register'!$C$7:$C$53,"Faculty/school",'EL scheme register'!$AJ$7:$AJ$53,"Yes")</f>
        <v/>
      </c>
      <c r="L85" s="77">
        <f>COUNTIFS('EL scheme register'!$A$7:$A$53,$A85,'EL scheme register'!$C$7:$C$53,"Programme/course",'EL scheme register'!$AJ$7:$AJ$53,"Yes")</f>
        <v/>
      </c>
      <c r="M85" s="77">
        <f>COUNTIFS('EL scheme register'!$A$7:$A$53,$A85,'EL scheme register'!$C$7:$C$53,"Unclear",'EL scheme register'!$AJ$7:$AJ$53,"Yes")</f>
        <v/>
      </c>
      <c r="N85" s="77">
        <f>SUM(I85:M85)</f>
        <v/>
      </c>
      <c r="O85" s="77">
        <f>COUNTIFS('EL scheme register'!$A$7:$A$53,$A85,'EL scheme register'!$AF$7:$AF$53,"Potentially relevant; evidence incomplete",'EL scheme register'!$AI$7:$AI$53,"Yes")</f>
        <v/>
      </c>
      <c r="P85" s="77">
        <f>COUNTIFS('EL scheme register'!$A$7:$A$53,$A85,'EL scheme register'!$AF$7:$AF$53,"Outside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register'!$A$7:$A$53,$A86,'EL scheme register'!$C$7:$C$53,"University-wide",'EL scheme register'!$AJ$7:$AJ$53,"Yes")</f>
        <v/>
      </c>
      <c r="J86" s="77">
        <f>COUNTIFS('EL scheme register'!$A$7:$A$53,$A86,'EL scheme register'!$C$7:$C$53,"Cross-faculty",'EL scheme register'!$AJ$7:$AJ$53,"Yes")</f>
        <v/>
      </c>
      <c r="K86" s="77">
        <f>COUNTIFS('EL scheme register'!$A$7:$A$53,$A86,'EL scheme register'!$C$7:$C$53,"Faculty/school",'EL scheme register'!$AJ$7:$AJ$53,"Yes")</f>
        <v/>
      </c>
      <c r="L86" s="77">
        <f>COUNTIFS('EL scheme register'!$A$7:$A$53,$A86,'EL scheme register'!$C$7:$C$53,"Programme/course",'EL scheme register'!$AJ$7:$AJ$53,"Yes")</f>
        <v/>
      </c>
      <c r="M86" s="77">
        <f>COUNTIFS('EL scheme register'!$A$7:$A$53,$A86,'EL scheme register'!$C$7:$C$53,"Unclear",'EL scheme register'!$AJ$7:$AJ$53,"Yes")</f>
        <v/>
      </c>
      <c r="N86" s="77">
        <f>SUM(I86:M86)</f>
        <v/>
      </c>
      <c r="O86" s="77">
        <f>COUNTIFS('EL scheme register'!$A$7:$A$53,$A86,'EL scheme register'!$AF$7:$AF$53,"Potentially relevant; evidence incomplete",'EL scheme register'!$AI$7:$AI$53,"Yes")</f>
        <v/>
      </c>
      <c r="P86" s="77">
        <f>COUNTIFS('EL scheme register'!$A$7:$A$53,$A86,'EL scheme register'!$AF$7:$AF$53,"Outside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register'!$A$7:$A$53,$A87,'EL scheme register'!$C$7:$C$53,"University-wide",'EL scheme register'!$AJ$7:$AJ$53,"Yes")</f>
        <v/>
      </c>
      <c r="J87" s="77">
        <f>COUNTIFS('EL scheme register'!$A$7:$A$53,$A87,'EL scheme register'!$C$7:$C$53,"Cross-faculty",'EL scheme register'!$AJ$7:$AJ$53,"Yes")</f>
        <v/>
      </c>
      <c r="K87" s="77">
        <f>COUNTIFS('EL scheme register'!$A$7:$A$53,$A87,'EL scheme register'!$C$7:$C$53,"Faculty/school",'EL scheme register'!$AJ$7:$AJ$53,"Yes")</f>
        <v/>
      </c>
      <c r="L87" s="77">
        <f>COUNTIFS('EL scheme register'!$A$7:$A$53,$A87,'EL scheme register'!$C$7:$C$53,"Programme/course",'EL scheme register'!$AJ$7:$AJ$53,"Yes")</f>
        <v/>
      </c>
      <c r="M87" s="77">
        <f>COUNTIFS('EL scheme register'!$A$7:$A$53,$A87,'EL scheme register'!$C$7:$C$53,"Unclear",'EL scheme register'!$AJ$7:$AJ$53,"Yes")</f>
        <v/>
      </c>
      <c r="N87" s="77">
        <f>SUM(I87:M87)</f>
        <v/>
      </c>
      <c r="O87" s="77">
        <f>COUNTIFS('EL scheme register'!$A$7:$A$53,$A87,'EL scheme register'!$AF$7:$AF$53,"Potentially relevant; evidence incomplete",'EL scheme register'!$AI$7:$AI$53,"Yes")</f>
        <v/>
      </c>
      <c r="P87" s="77">
        <f>COUNTIFS('EL scheme register'!$A$7:$A$53,$A87,'EL scheme register'!$AF$7:$AF$53,"Outside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register'!$A$7:$A$53,$A88,'EL scheme register'!$C$7:$C$53,"University-wide",'EL scheme register'!$AJ$7:$AJ$53,"Yes")</f>
        <v/>
      </c>
      <c r="J88" s="77">
        <f>COUNTIFS('EL scheme register'!$A$7:$A$53,$A88,'EL scheme register'!$C$7:$C$53,"Cross-faculty",'EL scheme register'!$AJ$7:$AJ$53,"Yes")</f>
        <v/>
      </c>
      <c r="K88" s="77">
        <f>COUNTIFS('EL scheme register'!$A$7:$A$53,$A88,'EL scheme register'!$C$7:$C$53,"Faculty/school",'EL scheme register'!$AJ$7:$AJ$53,"Yes")</f>
        <v/>
      </c>
      <c r="L88" s="77">
        <f>COUNTIFS('EL scheme register'!$A$7:$A$53,$A88,'EL scheme register'!$C$7:$C$53,"Programme/course",'EL scheme register'!$AJ$7:$AJ$53,"Yes")</f>
        <v/>
      </c>
      <c r="M88" s="77">
        <f>COUNTIFS('EL scheme register'!$A$7:$A$53,$A88,'EL scheme register'!$C$7:$C$53,"Unclear",'EL scheme register'!$AJ$7:$AJ$53,"Yes")</f>
        <v/>
      </c>
      <c r="N88" s="77">
        <f>SUM(I88:M88)</f>
        <v/>
      </c>
      <c r="O88" s="77">
        <f>COUNTIFS('EL scheme register'!$A$7:$A$53,$A88,'EL scheme register'!$AF$7:$AF$53,"Potentially relevant; evidence incomplete",'EL scheme register'!$AI$7:$AI$53,"Yes")</f>
        <v/>
      </c>
      <c r="P88" s="77">
        <f>COUNTIFS('EL scheme register'!$A$7:$A$53,$A88,'EL scheme register'!$AF$7:$AF$53,"Outside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register'!$A$7:$A$53,$A89,'EL scheme register'!$C$7:$C$53,"University-wide",'EL scheme register'!$AJ$7:$AJ$53,"Yes")</f>
        <v/>
      </c>
      <c r="J89" s="77">
        <f>COUNTIFS('EL scheme register'!$A$7:$A$53,$A89,'EL scheme register'!$C$7:$C$53,"Cross-faculty",'EL scheme register'!$AJ$7:$AJ$53,"Yes")</f>
        <v/>
      </c>
      <c r="K89" s="77">
        <f>COUNTIFS('EL scheme register'!$A$7:$A$53,$A89,'EL scheme register'!$C$7:$C$53,"Faculty/school",'EL scheme register'!$AJ$7:$AJ$53,"Yes")</f>
        <v/>
      </c>
      <c r="L89" s="77">
        <f>COUNTIFS('EL scheme register'!$A$7:$A$53,$A89,'EL scheme register'!$C$7:$C$53,"Programme/course",'EL scheme register'!$AJ$7:$AJ$53,"Yes")</f>
        <v/>
      </c>
      <c r="M89" s="77">
        <f>COUNTIFS('EL scheme register'!$A$7:$A$53,$A89,'EL scheme register'!$C$7:$C$53,"Unclear",'EL scheme register'!$AJ$7:$AJ$53,"Yes")</f>
        <v/>
      </c>
      <c r="N89" s="77">
        <f>SUM(I89:M89)</f>
        <v/>
      </c>
      <c r="O89" s="77">
        <f>COUNTIFS('EL scheme register'!$A$7:$A$53,$A89,'EL scheme register'!$AF$7:$AF$53,"Potentially relevant; evidence incomplete",'EL scheme register'!$AI$7:$AI$53,"Yes")</f>
        <v/>
      </c>
      <c r="P89" s="77">
        <f>COUNTIFS('EL scheme register'!$A$7:$A$53,$A89,'EL scheme register'!$AF$7:$AF$53,"Outside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register'!$A$7:$A$53,$A90,'EL scheme register'!$C$7:$C$53,"University-wide",'EL scheme register'!$AJ$7:$AJ$53,"Yes")</f>
        <v/>
      </c>
      <c r="J90" s="77">
        <f>COUNTIFS('EL scheme register'!$A$7:$A$53,$A90,'EL scheme register'!$C$7:$C$53,"Cross-faculty",'EL scheme register'!$AJ$7:$AJ$53,"Yes")</f>
        <v/>
      </c>
      <c r="K90" s="77">
        <f>COUNTIFS('EL scheme register'!$A$7:$A$53,$A90,'EL scheme register'!$C$7:$C$53,"Faculty/school",'EL scheme register'!$AJ$7:$AJ$53,"Yes")</f>
        <v/>
      </c>
      <c r="L90" s="77">
        <f>COUNTIFS('EL scheme register'!$A$7:$A$53,$A90,'EL scheme register'!$C$7:$C$53,"Programme/course",'EL scheme register'!$AJ$7:$AJ$53,"Yes")</f>
        <v/>
      </c>
      <c r="M90" s="77">
        <f>COUNTIFS('EL scheme register'!$A$7:$A$53,$A90,'EL scheme register'!$C$7:$C$53,"Unclear",'EL scheme register'!$AJ$7:$AJ$53,"Yes")</f>
        <v/>
      </c>
      <c r="N90" s="77">
        <f>SUM(I90:M90)</f>
        <v/>
      </c>
      <c r="O90" s="77">
        <f>COUNTIFS('EL scheme register'!$A$7:$A$53,$A90,'EL scheme register'!$AF$7:$AF$53,"Potentially relevant; evidence incomplete",'EL scheme register'!$AI$7:$AI$53,"Yes")</f>
        <v/>
      </c>
      <c r="P90" s="77">
        <f>COUNTIFS('EL scheme register'!$A$7:$A$53,$A90,'EL scheme register'!$AF$7:$AF$53,"Outside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register'!$A$7:$A$53,$A91,'EL scheme register'!$C$7:$C$53,"University-wide",'EL scheme register'!$AJ$7:$AJ$53,"Yes")</f>
        <v/>
      </c>
      <c r="J91" s="77">
        <f>COUNTIFS('EL scheme register'!$A$7:$A$53,$A91,'EL scheme register'!$C$7:$C$53,"Cross-faculty",'EL scheme register'!$AJ$7:$AJ$53,"Yes")</f>
        <v/>
      </c>
      <c r="K91" s="77">
        <f>COUNTIFS('EL scheme register'!$A$7:$A$53,$A91,'EL scheme register'!$C$7:$C$53,"Faculty/school",'EL scheme register'!$AJ$7:$AJ$53,"Yes")</f>
        <v/>
      </c>
      <c r="L91" s="77">
        <f>COUNTIFS('EL scheme register'!$A$7:$A$53,$A91,'EL scheme register'!$C$7:$C$53,"Programme/course",'EL scheme register'!$AJ$7:$AJ$53,"Yes")</f>
        <v/>
      </c>
      <c r="M91" s="77">
        <f>COUNTIFS('EL scheme register'!$A$7:$A$53,$A91,'EL scheme register'!$C$7:$C$53,"Unclear",'EL scheme register'!$AJ$7:$AJ$53,"Yes")</f>
        <v/>
      </c>
      <c r="N91" s="77">
        <f>SUM(I91:M91)</f>
        <v/>
      </c>
      <c r="O91" s="77">
        <f>COUNTIFS('EL scheme register'!$A$7:$A$53,$A91,'EL scheme register'!$AF$7:$AF$53,"Potentially relevant; evidence incomplete",'EL scheme register'!$AI$7:$AI$53,"Yes")</f>
        <v/>
      </c>
      <c r="P91" s="77">
        <f>COUNTIFS('EL scheme register'!$A$7:$A$53,$A91,'EL scheme register'!$AF$7:$AF$53,"Outside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register'!$A$7:$A$53,$A92,'EL scheme register'!$C$7:$C$53,"University-wide",'EL scheme register'!$AJ$7:$AJ$53,"Yes")</f>
        <v/>
      </c>
      <c r="J92" s="77">
        <f>COUNTIFS('EL scheme register'!$A$7:$A$53,$A92,'EL scheme register'!$C$7:$C$53,"Cross-faculty",'EL scheme register'!$AJ$7:$AJ$53,"Yes")</f>
        <v/>
      </c>
      <c r="K92" s="77">
        <f>COUNTIFS('EL scheme register'!$A$7:$A$53,$A92,'EL scheme register'!$C$7:$C$53,"Faculty/school",'EL scheme register'!$AJ$7:$AJ$53,"Yes")</f>
        <v/>
      </c>
      <c r="L92" s="77">
        <f>COUNTIFS('EL scheme register'!$A$7:$A$53,$A92,'EL scheme register'!$C$7:$C$53,"Programme/course",'EL scheme register'!$AJ$7:$AJ$53,"Yes")</f>
        <v/>
      </c>
      <c r="M92" s="77">
        <f>COUNTIFS('EL scheme register'!$A$7:$A$53,$A92,'EL scheme register'!$C$7:$C$53,"Unclear",'EL scheme register'!$AJ$7:$AJ$53,"Yes")</f>
        <v/>
      </c>
      <c r="N92" s="77">
        <f>SUM(I92:M92)</f>
        <v/>
      </c>
      <c r="O92" s="77">
        <f>COUNTIFS('EL scheme register'!$A$7:$A$53,$A92,'EL scheme register'!$AF$7:$AF$53,"Potentially relevant; evidence incomplete",'EL scheme register'!$AI$7:$AI$53,"Yes")</f>
        <v/>
      </c>
      <c r="P92" s="77">
        <f>COUNTIFS('EL scheme register'!$A$7:$A$53,$A92,'EL scheme register'!$AF$7:$AF$53,"Outside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register'!$A$7:$A$53,$A93,'EL scheme register'!$C$7:$C$53,"University-wide",'EL scheme register'!$AJ$7:$AJ$53,"Yes")</f>
        <v/>
      </c>
      <c r="J93" s="77">
        <f>COUNTIFS('EL scheme register'!$A$7:$A$53,$A93,'EL scheme register'!$C$7:$C$53,"Cross-faculty",'EL scheme register'!$AJ$7:$AJ$53,"Yes")</f>
        <v/>
      </c>
      <c r="K93" s="77">
        <f>COUNTIFS('EL scheme register'!$A$7:$A$53,$A93,'EL scheme register'!$C$7:$C$53,"Faculty/school",'EL scheme register'!$AJ$7:$AJ$53,"Yes")</f>
        <v/>
      </c>
      <c r="L93" s="77">
        <f>COUNTIFS('EL scheme register'!$A$7:$A$53,$A93,'EL scheme register'!$C$7:$C$53,"Programme/course",'EL scheme register'!$AJ$7:$AJ$53,"Yes")</f>
        <v/>
      </c>
      <c r="M93" s="77">
        <f>COUNTIFS('EL scheme register'!$A$7:$A$53,$A93,'EL scheme register'!$C$7:$C$53,"Unclear",'EL scheme register'!$AJ$7:$AJ$53,"Yes")</f>
        <v/>
      </c>
      <c r="N93" s="77">
        <f>SUM(I93:M93)</f>
        <v/>
      </c>
      <c r="O93" s="77">
        <f>COUNTIFS('EL scheme register'!$A$7:$A$53,$A93,'EL scheme register'!$AF$7:$AF$53,"Potentially relevant; evidence incomplete",'EL scheme register'!$AI$7:$AI$53,"Yes")</f>
        <v/>
      </c>
      <c r="P93" s="77">
        <f>COUNTIFS('EL scheme register'!$A$7:$A$53,$A93,'EL scheme register'!$AF$7:$AF$53,"Outside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register'!$A$7:$A$53,$A94,'EL scheme register'!$C$7:$C$53,"University-wide",'EL scheme register'!$AJ$7:$AJ$53,"Yes")</f>
        <v/>
      </c>
      <c r="J94" s="77">
        <f>COUNTIFS('EL scheme register'!$A$7:$A$53,$A94,'EL scheme register'!$C$7:$C$53,"Cross-faculty",'EL scheme register'!$AJ$7:$AJ$53,"Yes")</f>
        <v/>
      </c>
      <c r="K94" s="77">
        <f>COUNTIFS('EL scheme register'!$A$7:$A$53,$A94,'EL scheme register'!$C$7:$C$53,"Faculty/school",'EL scheme register'!$AJ$7:$AJ$53,"Yes")</f>
        <v/>
      </c>
      <c r="L94" s="77">
        <f>COUNTIFS('EL scheme register'!$A$7:$A$53,$A94,'EL scheme register'!$C$7:$C$53,"Programme/course",'EL scheme register'!$AJ$7:$AJ$53,"Yes")</f>
        <v/>
      </c>
      <c r="M94" s="77">
        <f>COUNTIFS('EL scheme register'!$A$7:$A$53,$A94,'EL scheme register'!$C$7:$C$53,"Unclear",'EL scheme register'!$AJ$7:$AJ$53,"Yes")</f>
        <v/>
      </c>
      <c r="N94" s="77">
        <f>SUM(I94:M94)</f>
        <v/>
      </c>
      <c r="O94" s="77">
        <f>COUNTIFS('EL scheme register'!$A$7:$A$53,$A94,'EL scheme register'!$AF$7:$AF$53,"Potentially relevant; evidence incomplete",'EL scheme register'!$AI$7:$AI$53,"Yes")</f>
        <v/>
      </c>
      <c r="P94" s="77">
        <f>COUNTIFS('EL scheme register'!$A$7:$A$53,$A94,'EL scheme register'!$AF$7:$AF$53,"Outside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register'!$A$7:$A$53,$A95,'EL scheme register'!$C$7:$C$53,"University-wide",'EL scheme register'!$AJ$7:$AJ$53,"Yes")</f>
        <v/>
      </c>
      <c r="J95" s="77">
        <f>COUNTIFS('EL scheme register'!$A$7:$A$53,$A95,'EL scheme register'!$C$7:$C$53,"Cross-faculty",'EL scheme register'!$AJ$7:$AJ$53,"Yes")</f>
        <v/>
      </c>
      <c r="K95" s="77">
        <f>COUNTIFS('EL scheme register'!$A$7:$A$53,$A95,'EL scheme register'!$C$7:$C$53,"Faculty/school",'EL scheme register'!$AJ$7:$AJ$53,"Yes")</f>
        <v/>
      </c>
      <c r="L95" s="77">
        <f>COUNTIFS('EL scheme register'!$A$7:$A$53,$A95,'EL scheme register'!$C$7:$C$53,"Programme/course",'EL scheme register'!$AJ$7:$AJ$53,"Yes")</f>
        <v/>
      </c>
      <c r="M95" s="77">
        <f>COUNTIFS('EL scheme register'!$A$7:$A$53,$A95,'EL scheme register'!$C$7:$C$53,"Unclear",'EL scheme register'!$AJ$7:$AJ$53,"Yes")</f>
        <v/>
      </c>
      <c r="N95" s="77">
        <f>SUM(I95:M95)</f>
        <v/>
      </c>
      <c r="O95" s="77">
        <f>COUNTIFS('EL scheme register'!$A$7:$A$53,$A95,'EL scheme register'!$AF$7:$AF$53,"Potentially relevant; evidence incomplete",'EL scheme register'!$AI$7:$AI$53,"Yes")</f>
        <v/>
      </c>
      <c r="P95" s="77">
        <f>COUNTIFS('EL scheme register'!$A$7:$A$53,$A95,'EL scheme register'!$AF$7:$AF$53,"Outside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register'!$A$7:$A$53,$A96,'EL scheme register'!$C$7:$C$53,"University-wide",'EL scheme register'!$AJ$7:$AJ$53,"Yes")</f>
        <v/>
      </c>
      <c r="J96" s="77">
        <f>COUNTIFS('EL scheme register'!$A$7:$A$53,$A96,'EL scheme register'!$C$7:$C$53,"Cross-faculty",'EL scheme register'!$AJ$7:$AJ$53,"Yes")</f>
        <v/>
      </c>
      <c r="K96" s="77">
        <f>COUNTIFS('EL scheme register'!$A$7:$A$53,$A96,'EL scheme register'!$C$7:$C$53,"Faculty/school",'EL scheme register'!$AJ$7:$AJ$53,"Yes")</f>
        <v/>
      </c>
      <c r="L96" s="77">
        <f>COUNTIFS('EL scheme register'!$A$7:$A$53,$A96,'EL scheme register'!$C$7:$C$53,"Programme/course",'EL scheme register'!$AJ$7:$AJ$53,"Yes")</f>
        <v/>
      </c>
      <c r="M96" s="77">
        <f>COUNTIFS('EL scheme register'!$A$7:$A$53,$A96,'EL scheme register'!$C$7:$C$53,"Unclear",'EL scheme register'!$AJ$7:$AJ$53,"Yes")</f>
        <v/>
      </c>
      <c r="N96" s="77">
        <f>SUM(I96:M96)</f>
        <v/>
      </c>
      <c r="O96" s="77">
        <f>COUNTIFS('EL scheme register'!$A$7:$A$53,$A96,'EL scheme register'!$AF$7:$AF$53,"Potentially relevant; evidence incomplete",'EL scheme register'!$AI$7:$AI$53,"Yes")</f>
        <v/>
      </c>
      <c r="P96" s="77">
        <f>COUNTIFS('EL scheme register'!$A$7:$A$53,$A96,'EL scheme register'!$AF$7:$AF$53,"Outside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register'!$A$7:$A$53,$A97,'EL scheme register'!$C$7:$C$53,"University-wide",'EL scheme register'!$AJ$7:$AJ$53,"Yes")</f>
        <v/>
      </c>
      <c r="J97" s="77">
        <f>COUNTIFS('EL scheme register'!$A$7:$A$53,$A97,'EL scheme register'!$C$7:$C$53,"Cross-faculty",'EL scheme register'!$AJ$7:$AJ$53,"Yes")</f>
        <v/>
      </c>
      <c r="K97" s="77">
        <f>COUNTIFS('EL scheme register'!$A$7:$A$53,$A97,'EL scheme register'!$C$7:$C$53,"Faculty/school",'EL scheme register'!$AJ$7:$AJ$53,"Yes")</f>
        <v/>
      </c>
      <c r="L97" s="77">
        <f>COUNTIFS('EL scheme register'!$A$7:$A$53,$A97,'EL scheme register'!$C$7:$C$53,"Programme/course",'EL scheme register'!$AJ$7:$AJ$53,"Yes")</f>
        <v/>
      </c>
      <c r="M97" s="77">
        <f>COUNTIFS('EL scheme register'!$A$7:$A$53,$A97,'EL scheme register'!$C$7:$C$53,"Unclear",'EL scheme register'!$AJ$7:$AJ$53,"Yes")</f>
        <v/>
      </c>
      <c r="N97" s="77">
        <f>SUM(I97:M97)</f>
        <v/>
      </c>
      <c r="O97" s="77">
        <f>COUNTIFS('EL scheme register'!$A$7:$A$53,$A97,'EL scheme register'!$AF$7:$AF$53,"Potentially relevant; evidence incomplete",'EL scheme register'!$AI$7:$AI$53,"Yes")</f>
        <v/>
      </c>
      <c r="P97" s="77">
        <f>COUNTIFS('EL scheme register'!$A$7:$A$53,$A97,'EL scheme register'!$AF$7:$AF$53,"Outside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register'!$A$7:$A$53,$A98,'EL scheme register'!$C$7:$C$53,"University-wide",'EL scheme register'!$AJ$7:$AJ$53,"Yes")</f>
        <v/>
      </c>
      <c r="J98" s="77">
        <f>COUNTIFS('EL scheme register'!$A$7:$A$53,$A98,'EL scheme register'!$C$7:$C$53,"Cross-faculty",'EL scheme register'!$AJ$7:$AJ$53,"Yes")</f>
        <v/>
      </c>
      <c r="K98" s="77">
        <f>COUNTIFS('EL scheme register'!$A$7:$A$53,$A98,'EL scheme register'!$C$7:$C$53,"Faculty/school",'EL scheme register'!$AJ$7:$AJ$53,"Yes")</f>
        <v/>
      </c>
      <c r="L98" s="77">
        <f>COUNTIFS('EL scheme register'!$A$7:$A$53,$A98,'EL scheme register'!$C$7:$C$53,"Programme/course",'EL scheme register'!$AJ$7:$AJ$53,"Yes")</f>
        <v/>
      </c>
      <c r="M98" s="77">
        <f>COUNTIFS('EL scheme register'!$A$7:$A$53,$A98,'EL scheme register'!$C$7:$C$53,"Unclear",'EL scheme register'!$AJ$7:$AJ$53,"Yes")</f>
        <v/>
      </c>
      <c r="N98" s="77">
        <f>SUM(I98:M98)</f>
        <v/>
      </c>
      <c r="O98" s="77">
        <f>COUNTIFS('EL scheme register'!$A$7:$A$53,$A98,'EL scheme register'!$AF$7:$AF$53,"Potentially relevant; evidence incomplete",'EL scheme register'!$AI$7:$AI$53,"Yes")</f>
        <v/>
      </c>
      <c r="P98" s="77">
        <f>COUNTIFS('EL scheme register'!$A$7:$A$53,$A98,'EL scheme register'!$AF$7:$AF$53,"Outside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register'!$A$7:$A$53,$A99,'EL scheme register'!$C$7:$C$53,"University-wide",'EL scheme register'!$AJ$7:$AJ$53,"Yes")</f>
        <v/>
      </c>
      <c r="J99" s="77">
        <f>COUNTIFS('EL scheme register'!$A$7:$A$53,$A99,'EL scheme register'!$C$7:$C$53,"Cross-faculty",'EL scheme register'!$AJ$7:$AJ$53,"Yes")</f>
        <v/>
      </c>
      <c r="K99" s="77">
        <f>COUNTIFS('EL scheme register'!$A$7:$A$53,$A99,'EL scheme register'!$C$7:$C$53,"Faculty/school",'EL scheme register'!$AJ$7:$AJ$53,"Yes")</f>
        <v/>
      </c>
      <c r="L99" s="77">
        <f>COUNTIFS('EL scheme register'!$A$7:$A$53,$A99,'EL scheme register'!$C$7:$C$53,"Programme/course",'EL scheme register'!$AJ$7:$AJ$53,"Yes")</f>
        <v/>
      </c>
      <c r="M99" s="77">
        <f>COUNTIFS('EL scheme register'!$A$7:$A$53,$A99,'EL scheme register'!$C$7:$C$53,"Unclear",'EL scheme register'!$AJ$7:$AJ$53,"Yes")</f>
        <v/>
      </c>
      <c r="N99" s="77">
        <f>SUM(I99:M99)</f>
        <v/>
      </c>
      <c r="O99" s="77">
        <f>COUNTIFS('EL scheme register'!$A$7:$A$53,$A99,'EL scheme register'!$AF$7:$AF$53,"Potentially relevant; evidence incomplete",'EL scheme register'!$AI$7:$AI$53,"Yes")</f>
        <v/>
      </c>
      <c r="P99" s="77">
        <f>COUNTIFS('EL scheme register'!$A$7:$A$53,$A99,'EL scheme register'!$AF$7:$AF$53,"Outside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register'!$A$7:$A$53,$A100,'EL scheme register'!$C$7:$C$53,"University-wide",'EL scheme register'!$AJ$7:$AJ$53,"Yes")</f>
        <v/>
      </c>
      <c r="J100" s="77">
        <f>COUNTIFS('EL scheme register'!$A$7:$A$53,$A100,'EL scheme register'!$C$7:$C$53,"Cross-faculty",'EL scheme register'!$AJ$7:$AJ$53,"Yes")</f>
        <v/>
      </c>
      <c r="K100" s="77">
        <f>COUNTIFS('EL scheme register'!$A$7:$A$53,$A100,'EL scheme register'!$C$7:$C$53,"Faculty/school",'EL scheme register'!$AJ$7:$AJ$53,"Yes")</f>
        <v/>
      </c>
      <c r="L100" s="77">
        <f>COUNTIFS('EL scheme register'!$A$7:$A$53,$A100,'EL scheme register'!$C$7:$C$53,"Programme/course",'EL scheme register'!$AJ$7:$AJ$53,"Yes")</f>
        <v/>
      </c>
      <c r="M100" s="77">
        <f>COUNTIFS('EL scheme register'!$A$7:$A$53,$A100,'EL scheme register'!$C$7:$C$53,"Unclear",'EL scheme register'!$AJ$7:$AJ$53,"Yes")</f>
        <v/>
      </c>
      <c r="N100" s="77">
        <f>SUM(I100:M100)</f>
        <v/>
      </c>
      <c r="O100" s="77">
        <f>COUNTIFS('EL scheme register'!$A$7:$A$53,$A100,'EL scheme register'!$AF$7:$AF$53,"Potentially relevant; evidence incomplete",'EL scheme register'!$AI$7:$AI$53,"Yes")</f>
        <v/>
      </c>
      <c r="P100" s="77">
        <f>COUNTIFS('EL scheme register'!$A$7:$A$53,$A100,'EL scheme register'!$AF$7:$AF$53,"Outside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register'!$A$7:$A$53,$A101,'EL scheme register'!$C$7:$C$53,"University-wide",'EL scheme register'!$AJ$7:$AJ$53,"Yes")</f>
        <v/>
      </c>
      <c r="J101" s="77">
        <f>COUNTIFS('EL scheme register'!$A$7:$A$53,$A101,'EL scheme register'!$C$7:$C$53,"Cross-faculty",'EL scheme register'!$AJ$7:$AJ$53,"Yes")</f>
        <v/>
      </c>
      <c r="K101" s="77">
        <f>COUNTIFS('EL scheme register'!$A$7:$A$53,$A101,'EL scheme register'!$C$7:$C$53,"Faculty/school",'EL scheme register'!$AJ$7:$AJ$53,"Yes")</f>
        <v/>
      </c>
      <c r="L101" s="77">
        <f>COUNTIFS('EL scheme register'!$A$7:$A$53,$A101,'EL scheme register'!$C$7:$C$53,"Programme/course",'EL scheme register'!$AJ$7:$AJ$53,"Yes")</f>
        <v/>
      </c>
      <c r="M101" s="77">
        <f>COUNTIFS('EL scheme register'!$A$7:$A$53,$A101,'EL scheme register'!$C$7:$C$53,"Unclear",'EL scheme register'!$AJ$7:$AJ$53,"Yes")</f>
        <v/>
      </c>
      <c r="N101" s="77">
        <f>SUM(I101:M101)</f>
        <v/>
      </c>
      <c r="O101" s="77">
        <f>COUNTIFS('EL scheme register'!$A$7:$A$53,$A101,'EL scheme register'!$AF$7:$AF$53,"Potentially relevant; evidence incomplete",'EL scheme register'!$AI$7:$AI$53,"Yes")</f>
        <v/>
      </c>
      <c r="P101" s="77">
        <f>COUNTIFS('EL scheme register'!$A$7:$A$53,$A101,'EL scheme register'!$AF$7:$AF$53,"Outside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register'!$A$7:$A$53,$A102,'EL scheme register'!$C$7:$C$53,"University-wide",'EL scheme register'!$AJ$7:$AJ$53,"Yes")</f>
        <v/>
      </c>
      <c r="J102" s="77">
        <f>COUNTIFS('EL scheme register'!$A$7:$A$53,$A102,'EL scheme register'!$C$7:$C$53,"Cross-faculty",'EL scheme register'!$AJ$7:$AJ$53,"Yes")</f>
        <v/>
      </c>
      <c r="K102" s="77">
        <f>COUNTIFS('EL scheme register'!$A$7:$A$53,$A102,'EL scheme register'!$C$7:$C$53,"Faculty/school",'EL scheme register'!$AJ$7:$AJ$53,"Yes")</f>
        <v/>
      </c>
      <c r="L102" s="77">
        <f>COUNTIFS('EL scheme register'!$A$7:$A$53,$A102,'EL scheme register'!$C$7:$C$53,"Programme/course",'EL scheme register'!$AJ$7:$AJ$53,"Yes")</f>
        <v/>
      </c>
      <c r="M102" s="77">
        <f>COUNTIFS('EL scheme register'!$A$7:$A$53,$A102,'EL scheme register'!$C$7:$C$53,"Unclear",'EL scheme register'!$AJ$7:$AJ$53,"Yes")</f>
        <v/>
      </c>
      <c r="N102" s="77">
        <f>SUM(I102:M102)</f>
        <v/>
      </c>
      <c r="O102" s="77">
        <f>COUNTIFS('EL scheme register'!$A$7:$A$53,$A102,'EL scheme register'!$AF$7:$AF$53,"Potentially relevant; evidence incomplete",'EL scheme register'!$AI$7:$AI$53,"Yes")</f>
        <v/>
      </c>
      <c r="P102" s="77">
        <f>COUNTIFS('EL scheme register'!$A$7:$A$53,$A102,'EL scheme register'!$AF$7:$AF$53,"Outside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register'!$A$7:$A$53,$A103,'EL scheme register'!$C$7:$C$53,"University-wide",'EL scheme register'!$AJ$7:$AJ$53,"Yes")</f>
        <v/>
      </c>
      <c r="J103" s="77">
        <f>COUNTIFS('EL scheme register'!$A$7:$A$53,$A103,'EL scheme register'!$C$7:$C$53,"Cross-faculty",'EL scheme register'!$AJ$7:$AJ$53,"Yes")</f>
        <v/>
      </c>
      <c r="K103" s="77">
        <f>COUNTIFS('EL scheme register'!$A$7:$A$53,$A103,'EL scheme register'!$C$7:$C$53,"Faculty/school",'EL scheme register'!$AJ$7:$AJ$53,"Yes")</f>
        <v/>
      </c>
      <c r="L103" s="77">
        <f>COUNTIFS('EL scheme register'!$A$7:$A$53,$A103,'EL scheme register'!$C$7:$C$53,"Programme/course",'EL scheme register'!$AJ$7:$AJ$53,"Yes")</f>
        <v/>
      </c>
      <c r="M103" s="77">
        <f>COUNTIFS('EL scheme register'!$A$7:$A$53,$A103,'EL scheme register'!$C$7:$C$53,"Unclear",'EL scheme register'!$AJ$7:$AJ$53,"Yes")</f>
        <v/>
      </c>
      <c r="N103" s="77">
        <f>SUM(I103:M103)</f>
        <v/>
      </c>
      <c r="O103" s="77">
        <f>COUNTIFS('EL scheme register'!$A$7:$A$53,$A103,'EL scheme register'!$AF$7:$AF$53,"Potentially relevant; evidence incomplete",'EL scheme register'!$AI$7:$AI$53,"Yes")</f>
        <v/>
      </c>
      <c r="P103" s="77">
        <f>COUNTIFS('EL scheme register'!$A$7:$A$53,$A103,'EL scheme register'!$AF$7:$AF$53,"Outside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register'!$A$7:$A$53,$A104,'EL scheme register'!$C$7:$C$53,"University-wide",'EL scheme register'!$AJ$7:$AJ$53,"Yes")</f>
        <v/>
      </c>
      <c r="J104" s="77">
        <f>COUNTIFS('EL scheme register'!$A$7:$A$53,$A104,'EL scheme register'!$C$7:$C$53,"Cross-faculty",'EL scheme register'!$AJ$7:$AJ$53,"Yes")</f>
        <v/>
      </c>
      <c r="K104" s="77">
        <f>COUNTIFS('EL scheme register'!$A$7:$A$53,$A104,'EL scheme register'!$C$7:$C$53,"Faculty/school",'EL scheme register'!$AJ$7:$AJ$53,"Yes")</f>
        <v/>
      </c>
      <c r="L104" s="77">
        <f>COUNTIFS('EL scheme register'!$A$7:$A$53,$A104,'EL scheme register'!$C$7:$C$53,"Programme/course",'EL scheme register'!$AJ$7:$AJ$53,"Yes")</f>
        <v/>
      </c>
      <c r="M104" s="77">
        <f>COUNTIFS('EL scheme register'!$A$7:$A$53,$A104,'EL scheme register'!$C$7:$C$53,"Unclear",'EL scheme register'!$AJ$7:$AJ$53,"Yes")</f>
        <v/>
      </c>
      <c r="N104" s="77">
        <f>SUM(I104:M104)</f>
        <v/>
      </c>
      <c r="O104" s="77">
        <f>COUNTIFS('EL scheme register'!$A$7:$A$53,$A104,'EL scheme register'!$AF$7:$AF$53,"Potentially relevant; evidence incomplete",'EL scheme register'!$AI$7:$AI$53,"Yes")</f>
        <v/>
      </c>
      <c r="P104" s="77">
        <f>COUNTIFS('EL scheme register'!$A$7:$A$53,$A104,'EL scheme register'!$AF$7:$AF$53,"Outside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register'!$A$7:$A$53,$A105,'EL scheme register'!$C$7:$C$53,"University-wide",'EL scheme register'!$AJ$7:$AJ$53,"Yes")</f>
        <v/>
      </c>
      <c r="J105" s="77">
        <f>COUNTIFS('EL scheme register'!$A$7:$A$53,$A105,'EL scheme register'!$C$7:$C$53,"Cross-faculty",'EL scheme register'!$AJ$7:$AJ$53,"Yes")</f>
        <v/>
      </c>
      <c r="K105" s="77">
        <f>COUNTIFS('EL scheme register'!$A$7:$A$53,$A105,'EL scheme register'!$C$7:$C$53,"Faculty/school",'EL scheme register'!$AJ$7:$AJ$53,"Yes")</f>
        <v/>
      </c>
      <c r="L105" s="77">
        <f>COUNTIFS('EL scheme register'!$A$7:$A$53,$A105,'EL scheme register'!$C$7:$C$53,"Programme/course",'EL scheme register'!$AJ$7:$AJ$53,"Yes")</f>
        <v/>
      </c>
      <c r="M105" s="77">
        <f>COUNTIFS('EL scheme register'!$A$7:$A$53,$A105,'EL scheme register'!$C$7:$C$53,"Unclear",'EL scheme register'!$AJ$7:$AJ$53,"Yes")</f>
        <v/>
      </c>
      <c r="N105" s="77">
        <f>SUM(I105:M105)</f>
        <v/>
      </c>
      <c r="O105" s="77">
        <f>COUNTIFS('EL scheme register'!$A$7:$A$53,$A105,'EL scheme register'!$AF$7:$AF$53,"Potentially relevant; evidence incomplete",'EL scheme register'!$AI$7:$AI$53,"Yes")</f>
        <v/>
      </c>
      <c r="P105" s="77">
        <f>COUNTIFS('EL scheme register'!$A$7:$A$53,$A105,'EL scheme register'!$AF$7:$AF$53,"Outside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register'!$A$7:$A$53,$A106,'EL scheme register'!$C$7:$C$53,"University-wide",'EL scheme register'!$AJ$7:$AJ$53,"Yes")</f>
        <v/>
      </c>
      <c r="J106" s="77">
        <f>COUNTIFS('EL scheme register'!$A$7:$A$53,$A106,'EL scheme register'!$C$7:$C$53,"Cross-faculty",'EL scheme register'!$AJ$7:$AJ$53,"Yes")</f>
        <v/>
      </c>
      <c r="K106" s="77">
        <f>COUNTIFS('EL scheme register'!$A$7:$A$53,$A106,'EL scheme register'!$C$7:$C$53,"Faculty/school",'EL scheme register'!$AJ$7:$AJ$53,"Yes")</f>
        <v/>
      </c>
      <c r="L106" s="77">
        <f>COUNTIFS('EL scheme register'!$A$7:$A$53,$A106,'EL scheme register'!$C$7:$C$53,"Programme/course",'EL scheme register'!$AJ$7:$AJ$53,"Yes")</f>
        <v/>
      </c>
      <c r="M106" s="77">
        <f>COUNTIFS('EL scheme register'!$A$7:$A$53,$A106,'EL scheme register'!$C$7:$C$53,"Unclear",'EL scheme register'!$AJ$7:$AJ$53,"Yes")</f>
        <v/>
      </c>
      <c r="N106" s="77">
        <f>SUM(I106:M106)</f>
        <v/>
      </c>
      <c r="O106" s="77">
        <f>COUNTIFS('EL scheme register'!$A$7:$A$53,$A106,'EL scheme register'!$AF$7:$AF$53,"Potentially relevant; evidence incomplete",'EL scheme register'!$AI$7:$AI$53,"Yes")</f>
        <v/>
      </c>
      <c r="P106" s="77">
        <f>COUNTIFS('EL scheme register'!$A$7:$A$53,$A106,'EL scheme register'!$AF$7:$AF$53,"Outside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register'!$A$7:$A$53,$A107,'EL scheme register'!$C$7:$C$53,"University-wide",'EL scheme register'!$AJ$7:$AJ$53,"Yes")</f>
        <v/>
      </c>
      <c r="J107" s="77">
        <f>COUNTIFS('EL scheme register'!$A$7:$A$53,$A107,'EL scheme register'!$C$7:$C$53,"Cross-faculty",'EL scheme register'!$AJ$7:$AJ$53,"Yes")</f>
        <v/>
      </c>
      <c r="K107" s="77">
        <f>COUNTIFS('EL scheme register'!$A$7:$A$53,$A107,'EL scheme register'!$C$7:$C$53,"Faculty/school",'EL scheme register'!$AJ$7:$AJ$53,"Yes")</f>
        <v/>
      </c>
      <c r="L107" s="77">
        <f>COUNTIFS('EL scheme register'!$A$7:$A$53,$A107,'EL scheme register'!$C$7:$C$53,"Programme/course",'EL scheme register'!$AJ$7:$AJ$53,"Yes")</f>
        <v/>
      </c>
      <c r="M107" s="77">
        <f>COUNTIFS('EL scheme register'!$A$7:$A$53,$A107,'EL scheme register'!$C$7:$C$53,"Unclear",'EL scheme register'!$AJ$7:$AJ$53,"Yes")</f>
        <v/>
      </c>
      <c r="N107" s="77">
        <f>SUM(I107:M107)</f>
        <v/>
      </c>
      <c r="O107" s="77">
        <f>COUNTIFS('EL scheme register'!$A$7:$A$53,$A107,'EL scheme register'!$AF$7:$AF$53,"Potentially relevant; evidence incomplete",'EL scheme register'!$AI$7:$AI$53,"Yes")</f>
        <v/>
      </c>
      <c r="P107" s="77">
        <f>COUNTIFS('EL scheme register'!$A$7:$A$53,$A107,'EL scheme register'!$AF$7:$AF$53,"Outside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register'!$A$7:$A$53,$A108,'EL scheme register'!$C$7:$C$53,"University-wide",'EL scheme register'!$AJ$7:$AJ$53,"Yes")</f>
        <v/>
      </c>
      <c r="J108" s="77">
        <f>COUNTIFS('EL scheme register'!$A$7:$A$53,$A108,'EL scheme register'!$C$7:$C$53,"Cross-faculty",'EL scheme register'!$AJ$7:$AJ$53,"Yes")</f>
        <v/>
      </c>
      <c r="K108" s="77">
        <f>COUNTIFS('EL scheme register'!$A$7:$A$53,$A108,'EL scheme register'!$C$7:$C$53,"Faculty/school",'EL scheme register'!$AJ$7:$AJ$53,"Yes")</f>
        <v/>
      </c>
      <c r="L108" s="77">
        <f>COUNTIFS('EL scheme register'!$A$7:$A$53,$A108,'EL scheme register'!$C$7:$C$53,"Programme/course",'EL scheme register'!$AJ$7:$AJ$53,"Yes")</f>
        <v/>
      </c>
      <c r="M108" s="77">
        <f>COUNTIFS('EL scheme register'!$A$7:$A$53,$A108,'EL scheme register'!$C$7:$C$53,"Unclear",'EL scheme register'!$AJ$7:$AJ$53,"Yes")</f>
        <v/>
      </c>
      <c r="N108" s="77">
        <f>SUM(I108:M108)</f>
        <v/>
      </c>
      <c r="O108" s="77">
        <f>COUNTIFS('EL scheme register'!$A$7:$A$53,$A108,'EL scheme register'!$AF$7:$AF$53,"Potentially relevant; evidence incomplete",'EL scheme register'!$AI$7:$AI$53,"Yes")</f>
        <v/>
      </c>
      <c r="P108" s="77">
        <f>COUNTIFS('EL scheme register'!$A$7:$A$53,$A108,'EL scheme register'!$AF$7:$AF$53,"Outside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register'!$A$7:$A$53,$A109,'EL scheme register'!$C$7:$C$53,"University-wide",'EL scheme register'!$AJ$7:$AJ$53,"Yes")</f>
        <v/>
      </c>
      <c r="J109" s="77">
        <f>COUNTIFS('EL scheme register'!$A$7:$A$53,$A109,'EL scheme register'!$C$7:$C$53,"Cross-faculty",'EL scheme register'!$AJ$7:$AJ$53,"Yes")</f>
        <v/>
      </c>
      <c r="K109" s="77">
        <f>COUNTIFS('EL scheme register'!$A$7:$A$53,$A109,'EL scheme register'!$C$7:$C$53,"Faculty/school",'EL scheme register'!$AJ$7:$AJ$53,"Yes")</f>
        <v/>
      </c>
      <c r="L109" s="77">
        <f>COUNTIFS('EL scheme register'!$A$7:$A$53,$A109,'EL scheme register'!$C$7:$C$53,"Programme/course",'EL scheme register'!$AJ$7:$AJ$53,"Yes")</f>
        <v/>
      </c>
      <c r="M109" s="77">
        <f>COUNTIFS('EL scheme register'!$A$7:$A$53,$A109,'EL scheme register'!$C$7:$C$53,"Unclear",'EL scheme register'!$AJ$7:$AJ$53,"Yes")</f>
        <v/>
      </c>
      <c r="N109" s="77">
        <f>SUM(I109:M109)</f>
        <v/>
      </c>
      <c r="O109" s="77">
        <f>COUNTIFS('EL scheme register'!$A$7:$A$53,$A109,'EL scheme register'!$AF$7:$AF$53,"Potentially relevant; evidence incomplete",'EL scheme register'!$AI$7:$AI$53,"Yes")</f>
        <v/>
      </c>
      <c r="P109" s="77">
        <f>COUNTIFS('EL scheme register'!$A$7:$A$53,$A109,'EL scheme register'!$AF$7:$AF$53,"Outside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register'!$A$7:$A$53,$A110,'EL scheme register'!$C$7:$C$53,"University-wide",'EL scheme register'!$AJ$7:$AJ$53,"Yes")</f>
        <v/>
      </c>
      <c r="J110" s="77">
        <f>COUNTIFS('EL scheme register'!$A$7:$A$53,$A110,'EL scheme register'!$C$7:$C$53,"Cross-faculty",'EL scheme register'!$AJ$7:$AJ$53,"Yes")</f>
        <v/>
      </c>
      <c r="K110" s="77">
        <f>COUNTIFS('EL scheme register'!$A$7:$A$53,$A110,'EL scheme register'!$C$7:$C$53,"Faculty/school",'EL scheme register'!$AJ$7:$AJ$53,"Yes")</f>
        <v/>
      </c>
      <c r="L110" s="77">
        <f>COUNTIFS('EL scheme register'!$A$7:$A$53,$A110,'EL scheme register'!$C$7:$C$53,"Programme/course",'EL scheme register'!$AJ$7:$AJ$53,"Yes")</f>
        <v/>
      </c>
      <c r="M110" s="77">
        <f>COUNTIFS('EL scheme register'!$A$7:$A$53,$A110,'EL scheme register'!$C$7:$C$53,"Unclear",'EL scheme register'!$AJ$7:$AJ$53,"Yes")</f>
        <v/>
      </c>
      <c r="N110" s="77">
        <f>SUM(I110:M110)</f>
        <v/>
      </c>
      <c r="O110" s="77">
        <f>COUNTIFS('EL scheme register'!$A$7:$A$53,$A110,'EL scheme register'!$AF$7:$AF$53,"Potentially relevant; evidence incomplete",'EL scheme register'!$AI$7:$AI$53,"Yes")</f>
        <v/>
      </c>
      <c r="P110" s="77">
        <f>COUNTIFS('EL scheme register'!$A$7:$A$53,$A110,'EL scheme register'!$AF$7:$AF$53,"Outside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register'!$A$7:$A$53,$A111,'EL scheme register'!$C$7:$C$53,"University-wide",'EL scheme register'!$AJ$7:$AJ$53,"Yes")</f>
        <v/>
      </c>
      <c r="J111" s="77">
        <f>COUNTIFS('EL scheme register'!$A$7:$A$53,$A111,'EL scheme register'!$C$7:$C$53,"Cross-faculty",'EL scheme register'!$AJ$7:$AJ$53,"Yes")</f>
        <v/>
      </c>
      <c r="K111" s="77">
        <f>COUNTIFS('EL scheme register'!$A$7:$A$53,$A111,'EL scheme register'!$C$7:$C$53,"Faculty/school",'EL scheme register'!$AJ$7:$AJ$53,"Yes")</f>
        <v/>
      </c>
      <c r="L111" s="77">
        <f>COUNTIFS('EL scheme register'!$A$7:$A$53,$A111,'EL scheme register'!$C$7:$C$53,"Programme/course",'EL scheme register'!$AJ$7:$AJ$53,"Yes")</f>
        <v/>
      </c>
      <c r="M111" s="77">
        <f>COUNTIFS('EL scheme register'!$A$7:$A$53,$A111,'EL scheme register'!$C$7:$C$53,"Unclear",'EL scheme register'!$AJ$7:$AJ$53,"Yes")</f>
        <v/>
      </c>
      <c r="N111" s="77">
        <f>SUM(I111:M111)</f>
        <v/>
      </c>
      <c r="O111" s="77">
        <f>COUNTIFS('EL scheme register'!$A$7:$A$53,$A111,'EL scheme register'!$AF$7:$AF$53,"Potentially relevant; evidence incomplete",'EL scheme register'!$AI$7:$AI$53,"Yes")</f>
        <v/>
      </c>
      <c r="P111" s="77">
        <f>COUNTIFS('EL scheme register'!$A$7:$A$53,$A111,'EL scheme register'!$AF$7:$AF$53,"Outside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register'!$A$7:$A$53,$A112,'EL scheme register'!$C$7:$C$53,"University-wide",'EL scheme register'!$AJ$7:$AJ$53,"Yes")</f>
        <v/>
      </c>
      <c r="J112" s="77">
        <f>COUNTIFS('EL scheme register'!$A$7:$A$53,$A112,'EL scheme register'!$C$7:$C$53,"Cross-faculty",'EL scheme register'!$AJ$7:$AJ$53,"Yes")</f>
        <v/>
      </c>
      <c r="K112" s="77">
        <f>COUNTIFS('EL scheme register'!$A$7:$A$53,$A112,'EL scheme register'!$C$7:$C$53,"Faculty/school",'EL scheme register'!$AJ$7:$AJ$53,"Yes")</f>
        <v/>
      </c>
      <c r="L112" s="77">
        <f>COUNTIFS('EL scheme register'!$A$7:$A$53,$A112,'EL scheme register'!$C$7:$C$53,"Programme/course",'EL scheme register'!$AJ$7:$AJ$53,"Yes")</f>
        <v/>
      </c>
      <c r="M112" s="77">
        <f>COUNTIFS('EL scheme register'!$A$7:$A$53,$A112,'EL scheme register'!$C$7:$C$53,"Unclear",'EL scheme register'!$AJ$7:$AJ$53,"Yes")</f>
        <v/>
      </c>
      <c r="N112" s="77">
        <f>SUM(I112:M112)</f>
        <v/>
      </c>
      <c r="O112" s="77">
        <f>COUNTIFS('EL scheme register'!$A$7:$A$53,$A112,'EL scheme register'!$AF$7:$AF$53,"Potentially relevant; evidence incomplete",'EL scheme register'!$AI$7:$AI$53,"Yes")</f>
        <v/>
      </c>
      <c r="P112" s="77">
        <f>COUNTIFS('EL scheme register'!$A$7:$A$53,$A112,'EL scheme register'!$AF$7:$AF$53,"Outside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register'!$A$7:$A$53,$A113,'EL scheme register'!$C$7:$C$53,"University-wide",'EL scheme register'!$AJ$7:$AJ$53,"Yes")</f>
        <v/>
      </c>
      <c r="J113" s="77">
        <f>COUNTIFS('EL scheme register'!$A$7:$A$53,$A113,'EL scheme register'!$C$7:$C$53,"Cross-faculty",'EL scheme register'!$AJ$7:$AJ$53,"Yes")</f>
        <v/>
      </c>
      <c r="K113" s="77">
        <f>COUNTIFS('EL scheme register'!$A$7:$A$53,$A113,'EL scheme register'!$C$7:$C$53,"Faculty/school",'EL scheme register'!$AJ$7:$AJ$53,"Yes")</f>
        <v/>
      </c>
      <c r="L113" s="77">
        <f>COUNTIFS('EL scheme register'!$A$7:$A$53,$A113,'EL scheme register'!$C$7:$C$53,"Programme/course",'EL scheme register'!$AJ$7:$AJ$53,"Yes")</f>
        <v/>
      </c>
      <c r="M113" s="77">
        <f>COUNTIFS('EL scheme register'!$A$7:$A$53,$A113,'EL scheme register'!$C$7:$C$53,"Unclear",'EL scheme register'!$AJ$7:$AJ$53,"Yes")</f>
        <v/>
      </c>
      <c r="N113" s="77">
        <f>SUM(I113:M113)</f>
        <v/>
      </c>
      <c r="O113" s="77">
        <f>COUNTIFS('EL scheme register'!$A$7:$A$53,$A113,'EL scheme register'!$AF$7:$AF$53,"Potentially relevant; evidence incomplete",'EL scheme register'!$AI$7:$AI$53,"Yes")</f>
        <v/>
      </c>
      <c r="P113" s="77">
        <f>COUNTIFS('EL scheme register'!$A$7:$A$53,$A113,'EL scheme register'!$AF$7:$AF$53,"Outside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register'!$A$7:$A$53,$A114,'EL scheme register'!$C$7:$C$53,"University-wide",'EL scheme register'!$AJ$7:$AJ$53,"Yes")</f>
        <v/>
      </c>
      <c r="J114" s="77">
        <f>COUNTIFS('EL scheme register'!$A$7:$A$53,$A114,'EL scheme register'!$C$7:$C$53,"Cross-faculty",'EL scheme register'!$AJ$7:$AJ$53,"Yes")</f>
        <v/>
      </c>
      <c r="K114" s="77">
        <f>COUNTIFS('EL scheme register'!$A$7:$A$53,$A114,'EL scheme register'!$C$7:$C$53,"Faculty/school",'EL scheme register'!$AJ$7:$AJ$53,"Yes")</f>
        <v/>
      </c>
      <c r="L114" s="77">
        <f>COUNTIFS('EL scheme register'!$A$7:$A$53,$A114,'EL scheme register'!$C$7:$C$53,"Programme/course",'EL scheme register'!$AJ$7:$AJ$53,"Yes")</f>
        <v/>
      </c>
      <c r="M114" s="77">
        <f>COUNTIFS('EL scheme register'!$A$7:$A$53,$A114,'EL scheme register'!$C$7:$C$53,"Unclear",'EL scheme register'!$AJ$7:$AJ$53,"Yes")</f>
        <v/>
      </c>
      <c r="N114" s="77">
        <f>SUM(I114:M114)</f>
        <v/>
      </c>
      <c r="O114" s="77">
        <f>COUNTIFS('EL scheme register'!$A$7:$A$53,$A114,'EL scheme register'!$AF$7:$AF$53,"Potentially relevant; evidence incomplete",'EL scheme register'!$AI$7:$AI$53,"Yes")</f>
        <v/>
      </c>
      <c r="P114" s="77">
        <f>COUNTIFS('EL scheme register'!$A$7:$A$53,$A114,'EL scheme register'!$AF$7:$AF$53,"Outside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register'!$A$7:$A$53,$A115,'EL scheme register'!$C$7:$C$53,"University-wide",'EL scheme register'!$AJ$7:$AJ$53,"Yes")</f>
        <v/>
      </c>
      <c r="J115" s="77">
        <f>COUNTIFS('EL scheme register'!$A$7:$A$53,$A115,'EL scheme register'!$C$7:$C$53,"Cross-faculty",'EL scheme register'!$AJ$7:$AJ$53,"Yes")</f>
        <v/>
      </c>
      <c r="K115" s="77">
        <f>COUNTIFS('EL scheme register'!$A$7:$A$53,$A115,'EL scheme register'!$C$7:$C$53,"Faculty/school",'EL scheme register'!$AJ$7:$AJ$53,"Yes")</f>
        <v/>
      </c>
      <c r="L115" s="77">
        <f>COUNTIFS('EL scheme register'!$A$7:$A$53,$A115,'EL scheme register'!$C$7:$C$53,"Programme/course",'EL scheme register'!$AJ$7:$AJ$53,"Yes")</f>
        <v/>
      </c>
      <c r="M115" s="77">
        <f>COUNTIFS('EL scheme register'!$A$7:$A$53,$A115,'EL scheme register'!$C$7:$C$53,"Unclear",'EL scheme register'!$AJ$7:$AJ$53,"Yes")</f>
        <v/>
      </c>
      <c r="N115" s="77">
        <f>SUM(I115:M115)</f>
        <v/>
      </c>
      <c r="O115" s="77">
        <f>COUNTIFS('EL scheme register'!$A$7:$A$53,$A115,'EL scheme register'!$AF$7:$AF$53,"Potentially relevant; evidence incomplete",'EL scheme register'!$AI$7:$AI$53,"Yes")</f>
        <v/>
      </c>
      <c r="P115" s="77">
        <f>COUNTIFS('EL scheme register'!$A$7:$A$53,$A115,'EL scheme register'!$AF$7:$AF$53,"Outside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register'!$A$7:$A$53,$A116,'EL scheme register'!$C$7:$C$53,"University-wide",'EL scheme register'!$AJ$7:$AJ$53,"Yes")</f>
        <v/>
      </c>
      <c r="J116" s="77">
        <f>COUNTIFS('EL scheme register'!$A$7:$A$53,$A116,'EL scheme register'!$C$7:$C$53,"Cross-faculty",'EL scheme register'!$AJ$7:$AJ$53,"Yes")</f>
        <v/>
      </c>
      <c r="K116" s="77">
        <f>COUNTIFS('EL scheme register'!$A$7:$A$53,$A116,'EL scheme register'!$C$7:$C$53,"Faculty/school",'EL scheme register'!$AJ$7:$AJ$53,"Yes")</f>
        <v/>
      </c>
      <c r="L116" s="77">
        <f>COUNTIFS('EL scheme register'!$A$7:$A$53,$A116,'EL scheme register'!$C$7:$C$53,"Programme/course",'EL scheme register'!$AJ$7:$AJ$53,"Yes")</f>
        <v/>
      </c>
      <c r="M116" s="77">
        <f>COUNTIFS('EL scheme register'!$A$7:$A$53,$A116,'EL scheme register'!$C$7:$C$53,"Unclear",'EL scheme register'!$AJ$7:$AJ$53,"Yes")</f>
        <v/>
      </c>
      <c r="N116" s="77">
        <f>SUM(I116:M116)</f>
        <v/>
      </c>
      <c r="O116" s="77">
        <f>COUNTIFS('EL scheme register'!$A$7:$A$53,$A116,'EL scheme register'!$AF$7:$AF$53,"Potentially relevant; evidence incomplete",'EL scheme register'!$AI$7:$AI$53,"Yes")</f>
        <v/>
      </c>
      <c r="P116" s="77">
        <f>COUNTIFS('EL scheme register'!$A$7:$A$53,$A116,'EL scheme register'!$AF$7:$AF$53,"Outside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register'!$A$7:$A$53,$A117,'EL scheme register'!$C$7:$C$53,"University-wide",'EL scheme register'!$AJ$7:$AJ$53,"Yes")</f>
        <v/>
      </c>
      <c r="J117" s="77">
        <f>COUNTIFS('EL scheme register'!$A$7:$A$53,$A117,'EL scheme register'!$C$7:$C$53,"Cross-faculty",'EL scheme register'!$AJ$7:$AJ$53,"Yes")</f>
        <v/>
      </c>
      <c r="K117" s="77">
        <f>COUNTIFS('EL scheme register'!$A$7:$A$53,$A117,'EL scheme register'!$C$7:$C$53,"Faculty/school",'EL scheme register'!$AJ$7:$AJ$53,"Yes")</f>
        <v/>
      </c>
      <c r="L117" s="77">
        <f>COUNTIFS('EL scheme register'!$A$7:$A$53,$A117,'EL scheme register'!$C$7:$C$53,"Programme/course",'EL scheme register'!$AJ$7:$AJ$53,"Yes")</f>
        <v/>
      </c>
      <c r="M117" s="77">
        <f>COUNTIFS('EL scheme register'!$A$7:$A$53,$A117,'EL scheme register'!$C$7:$C$53,"Unclear",'EL scheme register'!$AJ$7:$AJ$53,"Yes")</f>
        <v/>
      </c>
      <c r="N117" s="77">
        <f>SUM(I117:M117)</f>
        <v/>
      </c>
      <c r="O117" s="77">
        <f>COUNTIFS('EL scheme register'!$A$7:$A$53,$A117,'EL scheme register'!$AF$7:$AF$53,"Potentially relevant; evidence incomplete",'EL scheme register'!$AI$7:$AI$53,"Yes")</f>
        <v/>
      </c>
      <c r="P117" s="77">
        <f>COUNTIFS('EL scheme register'!$A$7:$A$53,$A117,'EL scheme register'!$AF$7:$AF$53,"Outside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register'!$A$7:$A$53,$A118,'EL scheme register'!$C$7:$C$53,"University-wide",'EL scheme register'!$AJ$7:$AJ$53,"Yes")</f>
        <v/>
      </c>
      <c r="J118" s="77">
        <f>COUNTIFS('EL scheme register'!$A$7:$A$53,$A118,'EL scheme register'!$C$7:$C$53,"Cross-faculty",'EL scheme register'!$AJ$7:$AJ$53,"Yes")</f>
        <v/>
      </c>
      <c r="K118" s="77">
        <f>COUNTIFS('EL scheme register'!$A$7:$A$53,$A118,'EL scheme register'!$C$7:$C$53,"Faculty/school",'EL scheme register'!$AJ$7:$AJ$53,"Yes")</f>
        <v/>
      </c>
      <c r="L118" s="77">
        <f>COUNTIFS('EL scheme register'!$A$7:$A$53,$A118,'EL scheme register'!$C$7:$C$53,"Programme/course",'EL scheme register'!$AJ$7:$AJ$53,"Yes")</f>
        <v/>
      </c>
      <c r="M118" s="77">
        <f>COUNTIFS('EL scheme register'!$A$7:$A$53,$A118,'EL scheme register'!$C$7:$C$53,"Unclear",'EL scheme register'!$AJ$7:$AJ$53,"Yes")</f>
        <v/>
      </c>
      <c r="N118" s="77">
        <f>SUM(I118:M118)</f>
        <v/>
      </c>
      <c r="O118" s="77">
        <f>COUNTIFS('EL scheme register'!$A$7:$A$53,$A118,'EL scheme register'!$AF$7:$AF$53,"Potentially relevant; evidence incomplete",'EL scheme register'!$AI$7:$AI$53,"Yes")</f>
        <v/>
      </c>
      <c r="P118" s="77">
        <f>COUNTIFS('EL scheme register'!$A$7:$A$53,$A118,'EL scheme register'!$AF$7:$AF$53,"Outside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register'!$A$7:$A$53,$A119,'EL scheme register'!$C$7:$C$53,"University-wide",'EL scheme register'!$AJ$7:$AJ$53,"Yes")</f>
        <v/>
      </c>
      <c r="J119" s="77">
        <f>COUNTIFS('EL scheme register'!$A$7:$A$53,$A119,'EL scheme register'!$C$7:$C$53,"Cross-faculty",'EL scheme register'!$AJ$7:$AJ$53,"Yes")</f>
        <v/>
      </c>
      <c r="K119" s="77">
        <f>COUNTIFS('EL scheme register'!$A$7:$A$53,$A119,'EL scheme register'!$C$7:$C$53,"Faculty/school",'EL scheme register'!$AJ$7:$AJ$53,"Yes")</f>
        <v/>
      </c>
      <c r="L119" s="77">
        <f>COUNTIFS('EL scheme register'!$A$7:$A$53,$A119,'EL scheme register'!$C$7:$C$53,"Programme/course",'EL scheme register'!$AJ$7:$AJ$53,"Yes")</f>
        <v/>
      </c>
      <c r="M119" s="77">
        <f>COUNTIFS('EL scheme register'!$A$7:$A$53,$A119,'EL scheme register'!$C$7:$C$53,"Unclear",'EL scheme register'!$AJ$7:$AJ$53,"Yes")</f>
        <v/>
      </c>
      <c r="N119" s="77">
        <f>SUM(I119:M119)</f>
        <v/>
      </c>
      <c r="O119" s="77">
        <f>COUNTIFS('EL scheme register'!$A$7:$A$53,$A119,'EL scheme register'!$AF$7:$AF$53,"Potentially relevant; evidence incomplete",'EL scheme register'!$AI$7:$AI$53,"Yes")</f>
        <v/>
      </c>
      <c r="P119" s="77">
        <f>COUNTIFS('EL scheme register'!$A$7:$A$53,$A119,'EL scheme register'!$AF$7:$AF$53,"Outside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register'!$A$7:$A$53,$A120,'EL scheme register'!$C$7:$C$53,"University-wide",'EL scheme register'!$AJ$7:$AJ$53,"Yes")</f>
        <v/>
      </c>
      <c r="J120" s="77">
        <f>COUNTIFS('EL scheme register'!$A$7:$A$53,$A120,'EL scheme register'!$C$7:$C$53,"Cross-faculty",'EL scheme register'!$AJ$7:$AJ$53,"Yes")</f>
        <v/>
      </c>
      <c r="K120" s="77">
        <f>COUNTIFS('EL scheme register'!$A$7:$A$53,$A120,'EL scheme register'!$C$7:$C$53,"Faculty/school",'EL scheme register'!$AJ$7:$AJ$53,"Yes")</f>
        <v/>
      </c>
      <c r="L120" s="77">
        <f>COUNTIFS('EL scheme register'!$A$7:$A$53,$A120,'EL scheme register'!$C$7:$C$53,"Programme/course",'EL scheme register'!$AJ$7:$AJ$53,"Yes")</f>
        <v/>
      </c>
      <c r="M120" s="77">
        <f>COUNTIFS('EL scheme register'!$A$7:$A$53,$A120,'EL scheme register'!$C$7:$C$53,"Unclear",'EL scheme register'!$AJ$7:$AJ$53,"Yes")</f>
        <v/>
      </c>
      <c r="N120" s="77">
        <f>SUM(I120:M120)</f>
        <v/>
      </c>
      <c r="O120" s="77">
        <f>COUNTIFS('EL scheme register'!$A$7:$A$53,$A120,'EL scheme register'!$AF$7:$AF$53,"Potentially relevant; evidence incomplete",'EL scheme register'!$AI$7:$AI$53,"Yes")</f>
        <v/>
      </c>
      <c r="P120" s="77">
        <f>COUNTIFS('EL scheme register'!$A$7:$A$53,$A120,'EL scheme register'!$AF$7:$AF$53,"Outside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register'!$A$7:$A$53,$A121,'EL scheme register'!$C$7:$C$53,"University-wide",'EL scheme register'!$AJ$7:$AJ$53,"Yes")</f>
        <v/>
      </c>
      <c r="J121" s="77">
        <f>COUNTIFS('EL scheme register'!$A$7:$A$53,$A121,'EL scheme register'!$C$7:$C$53,"Cross-faculty",'EL scheme register'!$AJ$7:$AJ$53,"Yes")</f>
        <v/>
      </c>
      <c r="K121" s="77">
        <f>COUNTIFS('EL scheme register'!$A$7:$A$53,$A121,'EL scheme register'!$C$7:$C$53,"Faculty/school",'EL scheme register'!$AJ$7:$AJ$53,"Yes")</f>
        <v/>
      </c>
      <c r="L121" s="77">
        <f>COUNTIFS('EL scheme register'!$A$7:$A$53,$A121,'EL scheme register'!$C$7:$C$53,"Programme/course",'EL scheme register'!$AJ$7:$AJ$53,"Yes")</f>
        <v/>
      </c>
      <c r="M121" s="77">
        <f>COUNTIFS('EL scheme register'!$A$7:$A$53,$A121,'EL scheme register'!$C$7:$C$53,"Unclear",'EL scheme register'!$AJ$7:$AJ$53,"Yes")</f>
        <v/>
      </c>
      <c r="N121" s="77">
        <f>SUM(I121:M121)</f>
        <v/>
      </c>
      <c r="O121" s="77">
        <f>COUNTIFS('EL scheme register'!$A$7:$A$53,$A121,'EL scheme register'!$AF$7:$AF$53,"Potentially relevant; evidence incomplete",'EL scheme register'!$AI$7:$AI$53,"Yes")</f>
        <v/>
      </c>
      <c r="P121" s="77">
        <f>COUNTIFS('EL scheme register'!$A$7:$A$53,$A121,'EL scheme register'!$AF$7:$AF$53,"Outside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register'!$A$7:$A$53,$A122,'EL scheme register'!$C$7:$C$53,"University-wide",'EL scheme register'!$AJ$7:$AJ$53,"Yes")</f>
        <v/>
      </c>
      <c r="J122" s="77">
        <f>COUNTIFS('EL scheme register'!$A$7:$A$53,$A122,'EL scheme register'!$C$7:$C$53,"Cross-faculty",'EL scheme register'!$AJ$7:$AJ$53,"Yes")</f>
        <v/>
      </c>
      <c r="K122" s="77">
        <f>COUNTIFS('EL scheme register'!$A$7:$A$53,$A122,'EL scheme register'!$C$7:$C$53,"Faculty/school",'EL scheme register'!$AJ$7:$AJ$53,"Yes")</f>
        <v/>
      </c>
      <c r="L122" s="77">
        <f>COUNTIFS('EL scheme register'!$A$7:$A$53,$A122,'EL scheme register'!$C$7:$C$53,"Programme/course",'EL scheme register'!$AJ$7:$AJ$53,"Yes")</f>
        <v/>
      </c>
      <c r="M122" s="77">
        <f>COUNTIFS('EL scheme register'!$A$7:$A$53,$A122,'EL scheme register'!$C$7:$C$53,"Unclear",'EL scheme register'!$AJ$7:$AJ$53,"Yes")</f>
        <v/>
      </c>
      <c r="N122" s="77">
        <f>SUM(I122:M122)</f>
        <v/>
      </c>
      <c r="O122" s="77">
        <f>COUNTIFS('EL scheme register'!$A$7:$A$53,$A122,'EL scheme register'!$AF$7:$AF$53,"Potentially relevant; evidence incomplete",'EL scheme register'!$AI$7:$AI$53,"Yes")</f>
        <v/>
      </c>
      <c r="P122" s="77">
        <f>COUNTIFS('EL scheme register'!$A$7:$A$53,$A122,'EL scheme register'!$AF$7:$AF$53,"Outside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register'!$A$7:$A$53,$A123,'EL scheme register'!$C$7:$C$53,"University-wide",'EL scheme register'!$AJ$7:$AJ$53,"Yes")</f>
        <v/>
      </c>
      <c r="J123" s="77">
        <f>COUNTIFS('EL scheme register'!$A$7:$A$53,$A123,'EL scheme register'!$C$7:$C$53,"Cross-faculty",'EL scheme register'!$AJ$7:$AJ$53,"Yes")</f>
        <v/>
      </c>
      <c r="K123" s="77">
        <f>COUNTIFS('EL scheme register'!$A$7:$A$53,$A123,'EL scheme register'!$C$7:$C$53,"Faculty/school",'EL scheme register'!$AJ$7:$AJ$53,"Yes")</f>
        <v/>
      </c>
      <c r="L123" s="77">
        <f>COUNTIFS('EL scheme register'!$A$7:$A$53,$A123,'EL scheme register'!$C$7:$C$53,"Programme/course",'EL scheme register'!$AJ$7:$AJ$53,"Yes")</f>
        <v/>
      </c>
      <c r="M123" s="77">
        <f>COUNTIFS('EL scheme register'!$A$7:$A$53,$A123,'EL scheme register'!$C$7:$C$53,"Unclear",'EL scheme register'!$AJ$7:$AJ$53,"Yes")</f>
        <v/>
      </c>
      <c r="N123" s="77">
        <f>SUM(I123:M123)</f>
        <v/>
      </c>
      <c r="O123" s="77">
        <f>COUNTIFS('EL scheme register'!$A$7:$A$53,$A123,'EL scheme register'!$AF$7:$AF$53,"Potentially relevant; evidence incomplete",'EL scheme register'!$AI$7:$AI$53,"Yes")</f>
        <v/>
      </c>
      <c r="P123" s="77">
        <f>COUNTIFS('EL scheme register'!$A$7:$A$53,$A123,'EL scheme register'!$AF$7:$AF$53,"Outside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register'!$A$7:$A$53,$A124,'EL scheme register'!$C$7:$C$53,"University-wide",'EL scheme register'!$AJ$7:$AJ$53,"Yes")</f>
        <v/>
      </c>
      <c r="J124" s="77">
        <f>COUNTIFS('EL scheme register'!$A$7:$A$53,$A124,'EL scheme register'!$C$7:$C$53,"Cross-faculty",'EL scheme register'!$AJ$7:$AJ$53,"Yes")</f>
        <v/>
      </c>
      <c r="K124" s="77">
        <f>COUNTIFS('EL scheme register'!$A$7:$A$53,$A124,'EL scheme register'!$C$7:$C$53,"Faculty/school",'EL scheme register'!$AJ$7:$AJ$53,"Yes")</f>
        <v/>
      </c>
      <c r="L124" s="77">
        <f>COUNTIFS('EL scheme register'!$A$7:$A$53,$A124,'EL scheme register'!$C$7:$C$53,"Programme/course",'EL scheme register'!$AJ$7:$AJ$53,"Yes")</f>
        <v/>
      </c>
      <c r="M124" s="77">
        <f>COUNTIFS('EL scheme register'!$A$7:$A$53,$A124,'EL scheme register'!$C$7:$C$53,"Unclear",'EL scheme register'!$AJ$7:$AJ$53,"Yes")</f>
        <v/>
      </c>
      <c r="N124" s="77">
        <f>SUM(I124:M124)</f>
        <v/>
      </c>
      <c r="O124" s="77">
        <f>COUNTIFS('EL scheme register'!$A$7:$A$53,$A124,'EL scheme register'!$AF$7:$AF$53,"Potentially relevant; evidence incomplete",'EL scheme register'!$AI$7:$AI$53,"Yes")</f>
        <v/>
      </c>
      <c r="P124" s="77">
        <f>COUNTIFS('EL scheme register'!$A$7:$A$53,$A124,'EL scheme register'!$AF$7:$AF$53,"Outside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register'!$A$7:$A$53,$A125,'EL scheme register'!$C$7:$C$53,"University-wide",'EL scheme register'!$AJ$7:$AJ$53,"Yes")</f>
        <v/>
      </c>
      <c r="J125" s="77">
        <f>COUNTIFS('EL scheme register'!$A$7:$A$53,$A125,'EL scheme register'!$C$7:$C$53,"Cross-faculty",'EL scheme register'!$AJ$7:$AJ$53,"Yes")</f>
        <v/>
      </c>
      <c r="K125" s="77">
        <f>COUNTIFS('EL scheme register'!$A$7:$A$53,$A125,'EL scheme register'!$C$7:$C$53,"Faculty/school",'EL scheme register'!$AJ$7:$AJ$53,"Yes")</f>
        <v/>
      </c>
      <c r="L125" s="77">
        <f>COUNTIFS('EL scheme register'!$A$7:$A$53,$A125,'EL scheme register'!$C$7:$C$53,"Programme/course",'EL scheme register'!$AJ$7:$AJ$53,"Yes")</f>
        <v/>
      </c>
      <c r="M125" s="77">
        <f>COUNTIFS('EL scheme register'!$A$7:$A$53,$A125,'EL scheme register'!$C$7:$C$53,"Unclear",'EL scheme register'!$AJ$7:$AJ$53,"Yes")</f>
        <v/>
      </c>
      <c r="N125" s="77">
        <f>SUM(I125:M125)</f>
        <v/>
      </c>
      <c r="O125" s="77">
        <f>COUNTIFS('EL scheme register'!$A$7:$A$53,$A125,'EL scheme register'!$AF$7:$AF$53,"Potentially relevant; evidence incomplete",'EL scheme register'!$AI$7:$AI$53,"Yes")</f>
        <v/>
      </c>
      <c r="P125" s="77">
        <f>COUNTIFS('EL scheme register'!$A$7:$A$53,$A125,'EL scheme register'!$AF$7:$AF$53,"Outside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register'!$A$7:$A$53,$A126,'EL scheme register'!$C$7:$C$53,"University-wide",'EL scheme register'!$AJ$7:$AJ$53,"Yes")</f>
        <v/>
      </c>
      <c r="J126" s="77">
        <f>COUNTIFS('EL scheme register'!$A$7:$A$53,$A126,'EL scheme register'!$C$7:$C$53,"Cross-faculty",'EL scheme register'!$AJ$7:$AJ$53,"Yes")</f>
        <v/>
      </c>
      <c r="K126" s="77">
        <f>COUNTIFS('EL scheme register'!$A$7:$A$53,$A126,'EL scheme register'!$C$7:$C$53,"Faculty/school",'EL scheme register'!$AJ$7:$AJ$53,"Yes")</f>
        <v/>
      </c>
      <c r="L126" s="77">
        <f>COUNTIFS('EL scheme register'!$A$7:$A$53,$A126,'EL scheme register'!$C$7:$C$53,"Programme/course",'EL scheme register'!$AJ$7:$AJ$53,"Yes")</f>
        <v/>
      </c>
      <c r="M126" s="77">
        <f>COUNTIFS('EL scheme register'!$A$7:$A$53,$A126,'EL scheme register'!$C$7:$C$53,"Unclear",'EL scheme register'!$AJ$7:$AJ$53,"Yes")</f>
        <v/>
      </c>
      <c r="N126" s="77">
        <f>SUM(I126:M126)</f>
        <v/>
      </c>
      <c r="O126" s="77">
        <f>COUNTIFS('EL scheme register'!$A$7:$A$53,$A126,'EL scheme register'!$AF$7:$AF$53,"Potentially relevant; evidence incomplete",'EL scheme register'!$AI$7:$AI$53,"Yes")</f>
        <v/>
      </c>
      <c r="P126" s="77">
        <f>COUNTIFS('EL scheme register'!$A$7:$A$53,$A126,'EL scheme register'!$AF$7:$AF$53,"Outside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register'!$A$7:$A$53,$A127,'EL scheme register'!$C$7:$C$53,"University-wide",'EL scheme register'!$AJ$7:$AJ$53,"Yes")</f>
        <v/>
      </c>
      <c r="J127" s="77">
        <f>COUNTIFS('EL scheme register'!$A$7:$A$53,$A127,'EL scheme register'!$C$7:$C$53,"Cross-faculty",'EL scheme register'!$AJ$7:$AJ$53,"Yes")</f>
        <v/>
      </c>
      <c r="K127" s="77">
        <f>COUNTIFS('EL scheme register'!$A$7:$A$53,$A127,'EL scheme register'!$C$7:$C$53,"Faculty/school",'EL scheme register'!$AJ$7:$AJ$53,"Yes")</f>
        <v/>
      </c>
      <c r="L127" s="77">
        <f>COUNTIFS('EL scheme register'!$A$7:$A$53,$A127,'EL scheme register'!$C$7:$C$53,"Programme/course",'EL scheme register'!$AJ$7:$AJ$53,"Yes")</f>
        <v/>
      </c>
      <c r="M127" s="77">
        <f>COUNTIFS('EL scheme register'!$A$7:$A$53,$A127,'EL scheme register'!$C$7:$C$53,"Unclear",'EL scheme register'!$AJ$7:$AJ$53,"Yes")</f>
        <v/>
      </c>
      <c r="N127" s="77">
        <f>SUM(I127:M127)</f>
        <v/>
      </c>
      <c r="O127" s="77">
        <f>COUNTIFS('EL scheme register'!$A$7:$A$53,$A127,'EL scheme register'!$AF$7:$AF$53,"Potentially relevant; evidence incomplete",'EL scheme register'!$AI$7:$AI$53,"Yes")</f>
        <v/>
      </c>
      <c r="P127" s="77">
        <f>COUNTIFS('EL scheme register'!$A$7:$A$53,$A127,'EL scheme register'!$AF$7:$AF$53,"Outside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register'!$A$7:$A$53,$A128,'EL scheme register'!$C$7:$C$53,"University-wide",'EL scheme register'!$AJ$7:$AJ$53,"Yes")</f>
        <v/>
      </c>
      <c r="J128" s="77">
        <f>COUNTIFS('EL scheme register'!$A$7:$A$53,$A128,'EL scheme register'!$C$7:$C$53,"Cross-faculty",'EL scheme register'!$AJ$7:$AJ$53,"Yes")</f>
        <v/>
      </c>
      <c r="K128" s="77">
        <f>COUNTIFS('EL scheme register'!$A$7:$A$53,$A128,'EL scheme register'!$C$7:$C$53,"Faculty/school",'EL scheme register'!$AJ$7:$AJ$53,"Yes")</f>
        <v/>
      </c>
      <c r="L128" s="77">
        <f>COUNTIFS('EL scheme register'!$A$7:$A$53,$A128,'EL scheme register'!$C$7:$C$53,"Programme/course",'EL scheme register'!$AJ$7:$AJ$53,"Yes")</f>
        <v/>
      </c>
      <c r="M128" s="77">
        <f>COUNTIFS('EL scheme register'!$A$7:$A$53,$A128,'EL scheme register'!$C$7:$C$53,"Unclear",'EL scheme register'!$AJ$7:$AJ$53,"Yes")</f>
        <v/>
      </c>
      <c r="N128" s="77">
        <f>SUM(I128:M128)</f>
        <v/>
      </c>
      <c r="O128" s="77">
        <f>COUNTIFS('EL scheme register'!$A$7:$A$53,$A128,'EL scheme register'!$AF$7:$AF$53,"Potentially relevant; evidence incomplete",'EL scheme register'!$AI$7:$AI$53,"Yes")</f>
        <v/>
      </c>
      <c r="P128" s="77">
        <f>COUNTIFS('EL scheme register'!$A$7:$A$53,$A128,'EL scheme register'!$AF$7:$AF$53,"Outside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register'!$A$7:$A$53,$A129,'EL scheme register'!$C$7:$C$53,"University-wide",'EL scheme register'!$AJ$7:$AJ$53,"Yes")</f>
        <v/>
      </c>
      <c r="J129" s="77">
        <f>COUNTIFS('EL scheme register'!$A$7:$A$53,$A129,'EL scheme register'!$C$7:$C$53,"Cross-faculty",'EL scheme register'!$AJ$7:$AJ$53,"Yes")</f>
        <v/>
      </c>
      <c r="K129" s="77">
        <f>COUNTIFS('EL scheme register'!$A$7:$A$53,$A129,'EL scheme register'!$C$7:$C$53,"Faculty/school",'EL scheme register'!$AJ$7:$AJ$53,"Yes")</f>
        <v/>
      </c>
      <c r="L129" s="77">
        <f>COUNTIFS('EL scheme register'!$A$7:$A$53,$A129,'EL scheme register'!$C$7:$C$53,"Programme/course",'EL scheme register'!$AJ$7:$AJ$53,"Yes")</f>
        <v/>
      </c>
      <c r="M129" s="77">
        <f>COUNTIFS('EL scheme register'!$A$7:$A$53,$A129,'EL scheme register'!$C$7:$C$53,"Unclear",'EL scheme register'!$AJ$7:$AJ$53,"Yes")</f>
        <v/>
      </c>
      <c r="N129" s="77">
        <f>SUM(I129:M129)</f>
        <v/>
      </c>
      <c r="O129" s="77">
        <f>COUNTIFS('EL scheme register'!$A$7:$A$53,$A129,'EL scheme register'!$AF$7:$AF$53,"Potentially relevant; evidence incomplete",'EL scheme register'!$AI$7:$AI$53,"Yes")</f>
        <v/>
      </c>
      <c r="P129" s="77">
        <f>COUNTIFS('EL scheme register'!$A$7:$A$53,$A129,'EL scheme register'!$AF$7:$AF$53,"Outside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register'!$A$7:$A$53,$A130,'EL scheme register'!$C$7:$C$53,"University-wide",'EL scheme register'!$AJ$7:$AJ$53,"Yes")</f>
        <v/>
      </c>
      <c r="J130" s="77">
        <f>COUNTIFS('EL scheme register'!$A$7:$A$53,$A130,'EL scheme register'!$C$7:$C$53,"Cross-faculty",'EL scheme register'!$AJ$7:$AJ$53,"Yes")</f>
        <v/>
      </c>
      <c r="K130" s="77">
        <f>COUNTIFS('EL scheme register'!$A$7:$A$53,$A130,'EL scheme register'!$C$7:$C$53,"Faculty/school",'EL scheme register'!$AJ$7:$AJ$53,"Yes")</f>
        <v/>
      </c>
      <c r="L130" s="77">
        <f>COUNTIFS('EL scheme register'!$A$7:$A$53,$A130,'EL scheme register'!$C$7:$C$53,"Programme/course",'EL scheme register'!$AJ$7:$AJ$53,"Yes")</f>
        <v/>
      </c>
      <c r="M130" s="77">
        <f>COUNTIFS('EL scheme register'!$A$7:$A$53,$A130,'EL scheme register'!$C$7:$C$53,"Unclear",'EL scheme register'!$AJ$7:$AJ$53,"Yes")</f>
        <v/>
      </c>
      <c r="N130" s="77">
        <f>SUM(I130:M130)</f>
        <v/>
      </c>
      <c r="O130" s="77">
        <f>COUNTIFS('EL scheme register'!$A$7:$A$53,$A130,'EL scheme register'!$AF$7:$AF$53,"Potentially relevant; evidence incomplete",'EL scheme register'!$AI$7:$AI$53,"Yes")</f>
        <v/>
      </c>
      <c r="P130" s="77">
        <f>COUNTIFS('EL scheme register'!$A$7:$A$53,$A130,'EL scheme register'!$AF$7:$AF$53,"Outside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5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RG13</t>
        </is>
      </c>
      <c r="B30" s="77" t="inlineStr">
        <is>
          <t>London School of Economics</t>
        </is>
      </c>
      <c r="C30" s="77" t="inlineStr">
        <is>
          <t>University-wide</t>
        </is>
      </c>
      <c r="D30" s="77" t="inlineStr">
        <is>
          <t>RG13-S01</t>
        </is>
      </c>
      <c r="E30" s="77" t="inlineStr"/>
      <c r="F30" s="77" t="inlineStr">
        <is>
          <t>No</t>
        </is>
      </c>
      <c r="G30" s="79" t="inlineStr">
        <is>
          <t>LSE100: The LSE Course</t>
        </is>
      </c>
      <c r="H30" s="77" t="inlineStr">
        <is>
          <t>LSE100: The LSE Course</t>
        </is>
      </c>
      <c r="I30" s="77" t="inlineStr">
        <is>
          <t>LSE100 (LSE100A/B/C themed variants)</t>
        </is>
      </c>
      <c r="J30"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30" s="77" t="inlineStr">
        <is>
          <t>LSE100 (central, School-level course)</t>
        </is>
      </c>
      <c r="L30" s="77" t="inlineStr">
        <is>
          <t>All undergraduate programmes</t>
        </is>
      </c>
      <c r="M30" s="77" t="inlineStr">
        <is>
          <t>Central provision</t>
        </is>
      </c>
      <c r="N30" s="77" t="inlineStr">
        <is>
          <t>Undergraduate</t>
        </is>
      </c>
      <c r="O30" s="77" t="inlineStr">
        <is>
          <t>Year 1</t>
        </is>
      </c>
      <c r="P30" s="77" t="inlineStr">
        <is>
          <t>All first-year LSE undergraduates (not postgraduates). Counts as one half-unit-equivalent first-year mark (not towards classification for LLB).</t>
        </is>
      </c>
      <c r="Q30" s="77" t="inlineStr">
        <is>
          <t>Compulsory for all students (at stated level)</t>
        </is>
      </c>
      <c r="R30" s="77" t="inlineStr">
        <is>
          <t>Curricular</t>
        </is>
      </c>
      <c r="S30" s="77" t="inlineStr">
        <is>
          <t>Half-unit equivalent. 2025/26 LSE100A: critical evaluation 50% (1,000 words) + project 50% (3,000 words). 2024 policy: group project mark = presentation 25% + digital report 75%; single group mark.</t>
        </is>
      </c>
      <c r="T30" s="77" t="inlineStr">
        <is>
          <t>Autumn and Winter Terms; group project over Winter Term</t>
        </is>
      </c>
      <c r="U30" s="77" t="inlineStr">
        <is>
          <t>In person seminars</t>
        </is>
      </c>
      <c r="V30" s="77" t="inlineStr">
        <is>
          <t>Yes</t>
        </is>
      </c>
      <c r="W30" s="77" t="inlineStr">
        <is>
          <t>Group research project with defined task (analyse a system, propose a policy proposal or strategic plan) and identifiable outputs: digital report and presentation [1][2][3].</t>
        </is>
      </c>
      <c r="X30" s="77" t="inlineStr">
        <is>
          <t>Yes</t>
        </is>
      </c>
      <c r="Y30" s="77" t="inlineStr">
        <is>
          <t>Groups of 4-5 students allocated by seminar teacher; single group mark for joint digital report and presentation [1][2].</t>
        </is>
      </c>
      <c r="Z30" s="77" t="inlineStr">
        <is>
          <t>No</t>
        </is>
      </c>
      <c r="AA30"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30" s="77" t="inlineStr">
        <is>
          <t>None</t>
        </is>
      </c>
      <c r="AC30" s="77" t="inlineStr">
        <is>
          <t>None evidenced</t>
        </is>
      </c>
      <c r="AD30" s="77" t="inlineStr"/>
      <c r="AE30" s="77" t="inlineStr">
        <is>
          <t>Group digital report + 10-minute group presentation</t>
        </is>
      </c>
      <c r="AF30" s="77">
        <f>IF(OR(V30="No",X30="No",Z30="No"),"Outside strict definition",IF(AND(V30="Yes",X30="Yes",Z30="Yes"),"Meets all three","Potentially relevant; evidence incomplete"))</f>
        <v/>
      </c>
      <c r="AG30" s="77" t="inlineStr">
        <is>
          <t>Current delivery confirmed</t>
        </is>
      </c>
      <c r="AH30" s="77" t="inlineStr">
        <is>
          <t>2025/26</t>
        </is>
      </c>
      <c r="AI30" s="77" t="inlineStr">
        <is>
          <t>Yes</t>
        </is>
      </c>
      <c r="AJ30" s="77">
        <f>IF(AND(AI30="Yes",AF30="Meets all three",AG30="Current delivery confirmed"),"Yes","No")</f>
        <v/>
      </c>
      <c r="AK30" s="77" t="inlineStr"/>
      <c r="AL30" s="77" t="inlineStr">
        <is>
          <t>RG13-S01-R1; RG13-S01-R2; RG13-S01-R3; RG13-S01-R4</t>
        </is>
      </c>
      <c r="AM30" s="77" t="inlineStr">
        <is>
          <t>Whether any individual LSE100 themes involve external organisations as audiences/judges (Moodle-only material).</t>
        </is>
      </c>
      <c r="AN30" s="77" t="inlineStr">
        <is>
          <t>LSE100</t>
        </is>
      </c>
      <c r="AO30" s="77" t="inlineStr">
        <is>
          <t>UK</t>
        </is>
      </c>
      <c r="AP30" s="77" t="inlineStr">
        <is>
          <t>UK – Russell Group</t>
        </is>
      </c>
      <c r="AQ30" s="77" t="inlineStr">
        <is>
          <t>Unclear</t>
        </is>
      </c>
      <c r="AR30" s="77" t="inlineStr">
        <is>
          <t>Unclear</t>
        </is>
      </c>
      <c r="AS30" s="77" t="inlineStr"/>
    </row>
    <row r="31">
      <c r="A31" s="77" t="inlineStr">
        <is>
          <t>RG13</t>
        </is>
      </c>
      <c r="B31" s="77" t="inlineStr">
        <is>
          <t>London School of Economics</t>
        </is>
      </c>
      <c r="C31" s="77" t="inlineStr">
        <is>
          <t>University-wide</t>
        </is>
      </c>
      <c r="D31" s="77" t="inlineStr">
        <is>
          <t>RG13-S02</t>
        </is>
      </c>
      <c r="E31" s="77" t="inlineStr"/>
      <c r="F31" s="77" t="inlineStr">
        <is>
          <t>No</t>
        </is>
      </c>
      <c r="G31" s="79" t="inlineStr">
        <is>
          <t>Future17</t>
        </is>
      </c>
      <c r="H31" s="77" t="inlineStr">
        <is>
          <t>Future17</t>
        </is>
      </c>
      <c r="I31" s="77" t="inlineStr"/>
      <c r="J31"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31" s="77" t="inlineStr">
        <is>
          <t>LSE100 (LSE recruitment) / QS and international university consortium (delivery)</t>
        </is>
      </c>
      <c r="L31" s="77" t="inlineStr">
        <is>
          <t>All LSE undergraduate programmes</t>
        </is>
      </c>
      <c r="M31" s="77" t="inlineStr">
        <is>
          <t>Central provision</t>
        </is>
      </c>
      <c r="N31" s="77" t="inlineStr">
        <is>
          <t>Undergraduate</t>
        </is>
      </c>
      <c r="O31" s="77" t="inlineStr">
        <is>
          <t>Any undergraduate year (not restricted in evidence)</t>
        </is>
      </c>
      <c r="P31" s="77" t="inlineStr">
        <is>
          <t>Open to all LSE undergraduates via application; criteria: interest in SDGs, collaboration/communication, leadership potential, analytical skills.</t>
        </is>
      </c>
      <c r="Q31" s="77" t="inlineStr">
        <is>
          <t>Selective/competitive</t>
        </is>
      </c>
      <c r="R31" s="77" t="inlineStr">
        <is>
          <t>Unclear</t>
        </is>
      </c>
      <c r="S31" s="77" t="inlineStr">
        <is>
          <t>No evidence of credit; described as accessible 'alongside your studies' (probably extracurricular).</t>
        </is>
      </c>
      <c r="T31" s="77" t="inlineStr">
        <is>
          <t>~12 weeks; LSE recruits two cohorts per academic year</t>
        </is>
      </c>
      <c r="U31" s="77" t="inlineStr">
        <is>
          <t>Fully online, international teams</t>
        </is>
      </c>
      <c r="V31" s="77" t="inlineStr">
        <is>
          <t>Yes</t>
        </is>
      </c>
      <c r="W31" s="77" t="inlineStr">
        <is>
          <t>Teams address a specific sustainability challenge set by a partner and present solutions at the Future17 Solution Showcase [1].</t>
        </is>
      </c>
      <c r="X31" s="77" t="inlineStr">
        <is>
          <t>Yes</t>
        </is>
      </c>
      <c r="Y31" s="77" t="inlineStr">
        <is>
          <t>Students work in teams of about five with students from other universities, each team with 1-2 academic mentors [1].</t>
        </is>
      </c>
      <c r="Z31" s="77" t="inlineStr">
        <is>
          <t>Yes</t>
        </is>
      </c>
      <c r="AA31" s="77" t="inlineStr">
        <is>
          <t>Challenges are set by global organisations (business, charity or NGO partners); students work with the partner on its SDG challenge [1].</t>
        </is>
      </c>
      <c r="AB31" s="77" t="inlineStr">
        <is>
          <t>Mixed</t>
        </is>
      </c>
      <c r="AC31" s="77" t="inlineStr">
        <is>
          <t>Sets live challenge; works with team; receives solutions at showcase</t>
        </is>
      </c>
      <c r="AD31" s="77" t="inlineStr"/>
      <c r="AE31" s="77" t="inlineStr">
        <is>
          <t>Solution/recommendations presented at Future17 Solution Showcase</t>
        </is>
      </c>
      <c r="AF31" s="77">
        <f>IF(OR(V31="No",X31="No",Z31="No"),"Outside strict definition",IF(AND(V31="Yes",X31="Yes",Z31="Yes"),"Meets all three","Potentially relevant; evidence incomplete"))</f>
        <v/>
      </c>
      <c r="AG31" s="77" t="inlineStr">
        <is>
          <t>Current delivery confirmed</t>
        </is>
      </c>
      <c r="AH31" s="77" t="inlineStr">
        <is>
          <t>2026/27 (application call closing 7 Sept 2026)</t>
        </is>
      </c>
      <c r="AI31" s="77" t="inlineStr">
        <is>
          <t>Yes</t>
        </is>
      </c>
      <c r="AJ31" s="77">
        <f>IF(AND(AI31="Yes",AF31="Meets all three",AG31="Current delivery confirmed"),"Yes","No")</f>
        <v/>
      </c>
      <c r="AK31" s="77" t="inlineStr"/>
      <c r="AL31" s="77" t="inlineStr">
        <is>
          <t>RG13-S02-R1</t>
        </is>
      </c>
      <c r="AM31" s="77" t="inlineStr">
        <is>
          <t>Credit status; number of LSE participants; named partner organisations for LSE cohorts; whether the September 2026 call is for the autumn 2026 cohort (assumed).</t>
        </is>
      </c>
      <c r="AN31" s="77" t="inlineStr">
        <is>
          <t>Future17</t>
        </is>
      </c>
      <c r="AO31" s="77" t="inlineStr">
        <is>
          <t>UK</t>
        </is>
      </c>
      <c r="AP31" s="77" t="inlineStr">
        <is>
          <t>UK – Russell Group</t>
        </is>
      </c>
      <c r="AQ31" s="77" t="inlineStr">
        <is>
          <t>Unclear</t>
        </is>
      </c>
      <c r="AR31" s="77" t="inlineStr">
        <is>
          <t>Unclear</t>
        </is>
      </c>
      <c r="AS31" s="77" t="inlineStr"/>
    </row>
    <row r="32">
      <c r="A32" s="77" t="inlineStr">
        <is>
          <t>RG13</t>
        </is>
      </c>
      <c r="B32" s="77" t="inlineStr">
        <is>
          <t>London School of Economics</t>
        </is>
      </c>
      <c r="C32" s="77" t="inlineStr">
        <is>
          <t>University-wide</t>
        </is>
      </c>
      <c r="D32" s="77" t="inlineStr">
        <is>
          <t>RG13-S03</t>
        </is>
      </c>
      <c r="E32" s="77" t="inlineStr"/>
      <c r="F32" s="77" t="inlineStr">
        <is>
          <t>No</t>
        </is>
      </c>
      <c r="G32" s="79" t="inlineStr">
        <is>
          <t>LSE Community Engagement Programme (CEP)</t>
        </is>
      </c>
      <c r="H32" s="77" t="inlineStr">
        <is>
          <t>LSE Community Engagement Programme (CEP)</t>
        </is>
      </c>
      <c r="I32" s="77" t="inlineStr"/>
      <c r="J32"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32" s="77" t="inlineStr">
        <is>
          <t>LSE Volunteer Centre (LSE Careers)</t>
        </is>
      </c>
      <c r="L32" s="77" t="inlineStr">
        <is>
          <t>All current LSE students</t>
        </is>
      </c>
      <c r="M32" s="77" t="inlineStr">
        <is>
          <t>Central provision</t>
        </is>
      </c>
      <c r="N32" s="77" t="inlineStr">
        <is>
          <t>Mixed</t>
        </is>
      </c>
      <c r="O32" s="77" t="inlineStr">
        <is>
          <t>Any</t>
        </is>
      </c>
      <c r="P32" s="77" t="inlineStr">
        <is>
          <t>Current LSE students; application via CareerHub</t>
        </is>
      </c>
      <c r="Q32" s="77" t="inlineStr">
        <is>
          <t>Selective/competitive</t>
        </is>
      </c>
      <c r="R32" s="77" t="inlineStr">
        <is>
          <t>Extracurricular</t>
        </is>
      </c>
      <c r="S32" s="77" t="inlineStr">
        <is>
          <t>None (extracurricular)</t>
        </is>
      </c>
      <c r="T32" s="77" t="inlineStr">
        <is>
          <t>c. 10-16 weeks (26 Nov 2025-25 Mar 2026; 13 Jan-17 Mar 2027)</t>
        </is>
      </c>
      <c r="U32" s="77" t="inlineStr">
        <is>
          <t>Team consultancy, hybrid</t>
        </is>
      </c>
      <c r="V32" s="77" t="inlineStr">
        <is>
          <t>Yes</t>
        </is>
      </c>
      <c r="W32" s="77" t="inlineStr">
        <is>
          <t>Teams answer a charity's project brief and produce actionable recommendations in consultancy reports and presentations [1][2].</t>
        </is>
      </c>
      <c r="X32" s="77" t="inlineStr">
        <is>
          <t>Yes</t>
        </is>
      </c>
      <c r="Y32" s="77" t="inlineStr">
        <is>
          <t>Delivered by student teams; team support from Volunteer Centre, alumni mentor and the charity [1][2].</t>
        </is>
      </c>
      <c r="Z32" s="77" t="inlineStr">
        <is>
          <t>Yes</t>
        </is>
      </c>
      <c r="AA32" s="77" t="inlineStr">
        <is>
          <t>Charities apply with project briefs, act as clients with whom teams liaise, and receive the consultancy report/presentation [1][2][3].</t>
        </is>
      </c>
      <c r="AB32" s="77" t="inlineStr">
        <is>
          <t>Charity/community</t>
        </is>
      </c>
      <c r="AC32" s="77" t="inlineStr">
        <is>
          <t>Client: sets brief, liaises with team, receives report/presentation</t>
        </is>
      </c>
      <c r="AD32" s="77" t="inlineStr"/>
      <c r="AE32" s="77" t="inlineStr">
        <is>
          <t>Consultancy report and presentation to the charity</t>
        </is>
      </c>
      <c r="AF32" s="77">
        <f>IF(OR(V32="No",X32="No",Z32="No"),"Outside strict definition",IF(AND(V32="Yes",X32="Yes",Z32="Yes"),"Meets all three","Potentially relevant; evidence incomplete"))</f>
        <v/>
      </c>
      <c r="AG32" s="77" t="inlineStr">
        <is>
          <t>Current delivery confirmed</t>
        </is>
      </c>
      <c r="AH32" s="77" t="inlineStr">
        <is>
          <t>2025/26 (ran Nov 2025-Mar 2026); 2026/27 round recruiting</t>
        </is>
      </c>
      <c r="AI32" s="77" t="inlineStr">
        <is>
          <t>Yes</t>
        </is>
      </c>
      <c r="AJ32" s="77">
        <f>IF(AND(AI32="Yes",AF32="Meets all three",AG32="Current delivery confirmed"),"Yes","No")</f>
        <v/>
      </c>
      <c r="AK32" s="77" t="inlineStr">
        <is>
          <t>Team size 6-7 students reported in Volunteer Centre blog posts (2023-2024); number of teams/charities not published in sources found.</t>
        </is>
      </c>
      <c r="AL32" s="77" t="inlineStr">
        <is>
          <t>RG13-S03-R1; RG13-S03-R2; RG13-S03-R3</t>
        </is>
      </c>
      <c r="AM32" s="77" t="inlineStr"/>
      <c r="AN32" s="77" t="inlineStr"/>
      <c r="AO32" s="77" t="inlineStr">
        <is>
          <t>UK</t>
        </is>
      </c>
      <c r="AP32" s="77" t="inlineStr">
        <is>
          <t>UK – Russell Group</t>
        </is>
      </c>
      <c r="AQ32" s="77" t="inlineStr">
        <is>
          <t>Unclear</t>
        </is>
      </c>
      <c r="AR32" s="77" t="inlineStr">
        <is>
          <t>Unclear</t>
        </is>
      </c>
      <c r="AS32" s="77" t="inlineStr"/>
    </row>
    <row r="33">
      <c r="A33" s="77" t="inlineStr">
        <is>
          <t>RG13</t>
        </is>
      </c>
      <c r="B33" s="77" t="inlineStr">
        <is>
          <t>London School of Economics</t>
        </is>
      </c>
      <c r="C33" s="77" t="inlineStr">
        <is>
          <t>University-wide</t>
        </is>
      </c>
      <c r="D33" s="77" t="inlineStr">
        <is>
          <t>RG13-S04</t>
        </is>
      </c>
      <c r="E33" s="77" t="inlineStr"/>
      <c r="F33" s="77" t="inlineStr">
        <is>
          <t>No</t>
        </is>
      </c>
      <c r="G33" s="79" t="inlineStr">
        <is>
          <t>Research Volunteering Scheme (RVS)</t>
        </is>
      </c>
      <c r="H33" s="77" t="inlineStr">
        <is>
          <t>Research Volunteering Scheme (RVS)</t>
        </is>
      </c>
      <c r="I33" s="77" t="inlineStr"/>
      <c r="J33"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33" s="77" t="inlineStr">
        <is>
          <t>LSE Volunteer Centre (LSE Careers)</t>
        </is>
      </c>
      <c r="L33" s="77" t="inlineStr">
        <is>
          <t>All current LSE postgraduate students</t>
        </is>
      </c>
      <c r="M33" s="77" t="inlineStr">
        <is>
          <t>Central provision</t>
        </is>
      </c>
      <c r="N33" s="77" t="inlineStr">
        <is>
          <t>Mixed</t>
        </is>
      </c>
      <c r="O33" s="77" t="inlineStr">
        <is>
          <t>Any postgraduate year</t>
        </is>
      </c>
      <c r="P33" s="77" t="inlineStr">
        <is>
          <t>Postgraduates only (taught and research); current LSE students</t>
        </is>
      </c>
      <c r="Q33" s="77" t="inlineStr">
        <is>
          <t>Selective/competitive</t>
        </is>
      </c>
      <c r="R33" s="77" t="inlineStr">
        <is>
          <t>Extracurricular</t>
        </is>
      </c>
      <c r="S33" s="77" t="inlineStr">
        <is>
          <t>None (extracurricular)</t>
        </is>
      </c>
      <c r="T33" s="77" t="inlineStr">
        <is>
          <t>November to March (2025/26: 12 Nov 2025 - mid-March 2026)</t>
        </is>
      </c>
      <c r="U33" s="77" t="inlineStr">
        <is>
          <t>Team research project</t>
        </is>
      </c>
      <c r="V33" s="77" t="inlineStr">
        <is>
          <t>Yes</t>
        </is>
      </c>
      <c r="W33" s="77" t="inlineStr">
        <is>
          <t>Each team answers a defined charity research question and submits a research paper, plus a presentation [1].</t>
        </is>
      </c>
      <c r="X33" s="77" t="inlineStr">
        <is>
          <t>Yes</t>
        </is>
      </c>
      <c r="Y33" s="77" t="inlineStr">
        <is>
          <t>'Teams of LSE postgraduates' answer each question [1].</t>
        </is>
      </c>
      <c r="Z33" s="77" t="inlineStr">
        <is>
          <t>Yes</t>
        </is>
      </c>
      <c r="AA33" s="77" t="inlineStr">
        <is>
          <t>Charities apply to submit the academic question and receive the paper and presentation [1][2].</t>
        </is>
      </c>
      <c r="AB33" s="77" t="inlineStr">
        <is>
          <t>Charity/community</t>
        </is>
      </c>
      <c r="AC33" s="77" t="inlineStr">
        <is>
          <t>Poses research question; receives research paper and presentation</t>
        </is>
      </c>
      <c r="AD33" s="77" t="inlineStr"/>
      <c r="AE33" s="77" t="inlineStr">
        <is>
          <t>Secondary-research paper (literature review) + presentation to charity</t>
        </is>
      </c>
      <c r="AF33" s="77">
        <f>IF(OR(V33="No",X33="No",Z33="No"),"Outside strict definition",IF(AND(V33="Yes",X33="Yes",Z33="Yes"),"Meets all three","Potentially relevant; evidence incomplete"))</f>
        <v/>
      </c>
      <c r="AG33" s="77" t="inlineStr">
        <is>
          <t>Current delivery confirmed</t>
        </is>
      </c>
      <c r="AH33" s="77" t="inlineStr">
        <is>
          <t>2025/26 (2026/27 round recruiting)</t>
        </is>
      </c>
      <c r="AI33" s="77" t="inlineStr">
        <is>
          <t>Yes</t>
        </is>
      </c>
      <c r="AJ33" s="77">
        <f>IF(AND(AI33="Yes",AF33="Meets all three",AG33="Current delivery confirmed"),"Yes","No")</f>
        <v/>
      </c>
      <c r="AK33" s="77" t="inlineStr">
        <is>
          <t>10 charity questions (projects), 2025/26 round [1].</t>
        </is>
      </c>
      <c r="AL33" s="77" t="inlineStr">
        <is>
          <t>RG13-S04-R1; RG13-S04-R2; RG13-S04-R3</t>
        </is>
      </c>
      <c r="AM33" s="77" t="inlineStr">
        <is>
          <t>Student level is postgraduate only (taught + research), recorded as Mixed; borderline on 'substantive project' because output is a literature review.</t>
        </is>
      </c>
      <c r="AN33" s="77" t="inlineStr"/>
      <c r="AO33" s="77" t="inlineStr">
        <is>
          <t>UK</t>
        </is>
      </c>
      <c r="AP33" s="77" t="inlineStr">
        <is>
          <t>UK – Russell Group</t>
        </is>
      </c>
      <c r="AQ33" s="77" t="inlineStr">
        <is>
          <t>Unclear</t>
        </is>
      </c>
      <c r="AR33" s="77" t="inlineStr">
        <is>
          <t>Unclear</t>
        </is>
      </c>
      <c r="AS33" s="77" t="inlineStr"/>
    </row>
    <row r="34">
      <c r="A34" s="77" t="inlineStr">
        <is>
          <t>RG13</t>
        </is>
      </c>
      <c r="B34" s="77" t="inlineStr">
        <is>
          <t>London School of Economics</t>
        </is>
      </c>
      <c r="C34" s="77" t="inlineStr">
        <is>
          <t>Faculty/school</t>
        </is>
      </c>
      <c r="D34" s="77" t="inlineStr">
        <is>
          <t>RG13-S05</t>
        </is>
      </c>
      <c r="E34" s="77" t="inlineStr"/>
      <c r="F34" s="77" t="inlineStr">
        <is>
          <t>Yes</t>
        </is>
      </c>
      <c r="G34" s="79" t="inlineStr">
        <is>
          <t>Department of Management Business Projects (Employer Partnerships)</t>
        </is>
      </c>
      <c r="H34" s="77" t="inlineStr">
        <is>
          <t>Department of Management Business Projects (Employer Partnerships)</t>
        </is>
      </c>
      <c r="I34" s="77" t="inlineStr"/>
      <c r="J34"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34" s="77" t="inlineStr">
        <is>
          <t>Department of Management, Employer Relations</t>
        </is>
      </c>
      <c r="L34" s="77" t="inlineStr">
        <is>
          <t>Students on specified Department of Management MSc programmes</t>
        </is>
      </c>
      <c r="M34" s="77" t="inlineStr">
        <is>
          <t>Business/management</t>
        </is>
      </c>
      <c r="N34" s="77" t="inlineStr">
        <is>
          <t>Postgraduate taught</t>
        </is>
      </c>
      <c r="O34" s="77" t="inlineStr"/>
      <c r="P34" s="77" t="inlineStr"/>
      <c r="Q34" s="77" t="inlineStr">
        <is>
          <t>Compulsory within specified programmes</t>
        </is>
      </c>
      <c r="R34" s="77" t="inlineStr">
        <is>
          <t>Curricular</t>
        </is>
      </c>
      <c r="S34" s="77" t="inlineStr"/>
      <c r="T34" s="77" t="inlineStr"/>
      <c r="U34" s="77" t="inlineStr"/>
      <c r="V34" s="77" t="inlineStr">
        <is>
          <t>Yes</t>
        </is>
      </c>
      <c r="W34" s="77" t="inlineStr">
        <is>
          <t>Students work on a business project or challenge provided by an organisation [1].</t>
        </is>
      </c>
      <c r="X34" s="77" t="inlineStr">
        <is>
          <t>Yes</t>
        </is>
      </c>
      <c r="Y34" s="77" t="inlineStr">
        <is>
          <t>GMiM projects 4-6 students; HRO Links teams of two [1].</t>
        </is>
      </c>
      <c r="Z34" s="77" t="inlineStr">
        <is>
          <t>Yes</t>
        </is>
      </c>
      <c r="AA34" s="77" t="inlineStr">
        <is>
          <t>Sponsors supply the brief and a Project Supervisor who checks in throughout; students give final presentation and/or business report to the organisation [1].</t>
        </is>
      </c>
      <c r="AB34" s="77" t="inlineStr">
        <is>
          <t>Mixed</t>
        </is>
      </c>
      <c r="AC34" s="77" t="inlineStr">
        <is>
          <t>Sponsor/client</t>
        </is>
      </c>
      <c r="AD34" s="77" t="inlineStr"/>
      <c r="AE34" s="77" t="inlineStr"/>
      <c r="AF34" s="77">
        <f>IF(OR(V34="No",X34="No",Z34="No"),"Outside strict definition",IF(AND(V34="Yes",X34="Yes",Z34="Yes"),"Meets all three","Potentially relevant; evidence incomplete"))</f>
        <v/>
      </c>
      <c r="AG34" s="77" t="inlineStr">
        <is>
          <t>Current delivery confirmed</t>
        </is>
      </c>
      <c r="AH34" s="77" t="inlineStr">
        <is>
          <t>2026/27 (GMiM proposals due 26 Aug 2026; projects Oct 2026-Jan 2027)</t>
        </is>
      </c>
      <c r="AI34" s="77" t="inlineStr">
        <is>
          <t>No</t>
        </is>
      </c>
      <c r="AJ34" s="77">
        <f>IF(AND(AI34="Yes",AF34="Meets all three",AG34="Current delivery confirmed"),"Yes","No")</f>
        <v/>
      </c>
      <c r="AK34" s="77" t="inlineStr"/>
      <c r="AL34" s="77" t="inlineStr">
        <is>
          <t>RG13-S05-R1</t>
        </is>
      </c>
      <c r="AM34" s="77" t="inlineStr">
        <is>
          <t>Open Innovation (OI) stream not separately evidenced (programme/course not identified).</t>
        </is>
      </c>
      <c r="AN34" s="77" t="inlineStr"/>
      <c r="AO34" s="77" t="inlineStr">
        <is>
          <t>UK</t>
        </is>
      </c>
      <c r="AP34" s="77" t="inlineStr">
        <is>
          <t>UK – Russell Group</t>
        </is>
      </c>
      <c r="AQ34" s="77" t="inlineStr">
        <is>
          <t>Unclear</t>
        </is>
      </c>
      <c r="AR34" s="77" t="inlineStr">
        <is>
          <t>Unclear</t>
        </is>
      </c>
      <c r="AS34" s="77" t="inlineStr">
        <is>
          <t>No (umbrella; children counted)</t>
        </is>
      </c>
    </row>
    <row r="35">
      <c r="A35" s="77" t="inlineStr">
        <is>
          <t>RG13</t>
        </is>
      </c>
      <c r="B35" s="77" t="inlineStr">
        <is>
          <t>London School of Economics</t>
        </is>
      </c>
      <c r="C35" s="77" t="inlineStr">
        <is>
          <t>Programme/course</t>
        </is>
      </c>
      <c r="D35" s="77" t="inlineStr">
        <is>
          <t>RG13-S06</t>
        </is>
      </c>
      <c r="E35" s="77" t="inlineStr">
        <is>
          <t>RG13-S05</t>
        </is>
      </c>
      <c r="F35" s="77" t="inlineStr">
        <is>
          <t>No</t>
        </is>
      </c>
      <c r="G35" s="79" t="inlineStr">
        <is>
          <t>GMiM Capstone Course - Management in Action</t>
        </is>
      </c>
      <c r="H35" s="77" t="inlineStr">
        <is>
          <t>GMiM Capstone Course - Management in Action</t>
        </is>
      </c>
      <c r="I35" s="77" t="inlineStr">
        <is>
          <t>MG488B (with MG488A)</t>
        </is>
      </c>
      <c r="J35"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35" s="77" t="inlineStr">
        <is>
          <t>Department of Management</t>
        </is>
      </c>
      <c r="L35" s="77" t="inlineStr">
        <is>
          <t>Global Master's in Management (GMiM)</t>
        </is>
      </c>
      <c r="M35" s="77" t="inlineStr">
        <is>
          <t>Business/management</t>
        </is>
      </c>
      <c r="N35" s="77" t="inlineStr">
        <is>
          <t>Postgraduate taught</t>
        </is>
      </c>
      <c r="O35" s="77" t="inlineStr">
        <is>
          <t>Year 2 of GMiM</t>
        </is>
      </c>
      <c r="P35" s="77" t="inlineStr"/>
      <c r="Q35" s="77" t="inlineStr">
        <is>
          <t>Compulsory within specified programmes</t>
        </is>
      </c>
      <c r="R35" s="77" t="inlineStr">
        <is>
          <t>Curricular</t>
        </is>
      </c>
      <c r="S35" s="77" t="inlineStr">
        <is>
          <t>Capstone project 65% of combined grade; MG488A 35% (participation 10%, 2,000-word essay 25%). Criteria include 'Effectiveness of Client Management'.</t>
        </is>
      </c>
      <c r="T35" s="77" t="inlineStr">
        <is>
          <t>Autumn Term (Oct-Jan)</t>
        </is>
      </c>
      <c r="U35" s="77" t="inlineStr">
        <is>
          <t>Team consultancy project</t>
        </is>
      </c>
      <c r="V35" s="77" t="inlineStr">
        <is>
          <t>Yes</t>
        </is>
      </c>
      <c r="W35" s="77" t="inlineStr">
        <is>
          <t>Client project with scoped objectives, research methodology and recommendations; assessed via oral presentation and slides [1].</t>
        </is>
      </c>
      <c r="X35" s="77" t="inlineStr">
        <is>
          <t>Yes</t>
        </is>
      </c>
      <c r="Y35" s="77" t="inlineStr">
        <is>
          <t>Projects allocated, on average, to groups of 4-6 students; group assessment [1][2].</t>
        </is>
      </c>
      <c r="Z35" s="77" t="inlineStr">
        <is>
          <t>Yes</t>
        </is>
      </c>
      <c r="AA35" s="77" t="inlineStr">
        <is>
          <t>Projects sourced by LSE from client partners; client management assessed; final presentations to sponsors [1][2].</t>
        </is>
      </c>
      <c r="AB35" s="77" t="inlineStr">
        <is>
          <t>Mixed</t>
        </is>
      </c>
      <c r="AC35" s="77" t="inlineStr">
        <is>
          <t>Client: supplies business problem, interacts with team, receives presentation</t>
        </is>
      </c>
      <c r="AD35" s="77" t="inlineStr"/>
      <c r="AE35" s="77" t="inlineStr">
        <is>
          <t>Client presentation (c.30 min) + slides and appendices</t>
        </is>
      </c>
      <c r="AF35" s="77">
        <f>IF(OR(V35="No",X35="No",Z35="No"),"Outside strict definition",IF(AND(V35="Yes",X35="Yes",Z35="Yes"),"Meets all three","Potentially relevant; evidence incomplete"))</f>
        <v/>
      </c>
      <c r="AG35" s="77" t="inlineStr">
        <is>
          <t>Current delivery confirmed</t>
        </is>
      </c>
      <c r="AH35" s="77" t="inlineStr">
        <is>
          <t>2025/26 (2026/27 recruiting sponsors)</t>
        </is>
      </c>
      <c r="AI35" s="77" t="inlineStr">
        <is>
          <t>Yes</t>
        </is>
      </c>
      <c r="AJ35" s="77">
        <f>IF(AND(AI35="Yes",AF35="Meets all three",AG35="Current delivery confirmed"),"Yes","No")</f>
        <v/>
      </c>
      <c r="AK35" s="77" t="inlineStr"/>
      <c r="AL35" s="77" t="inlineStr">
        <is>
          <t>RG13-S06-R1; RG13-S06-R2</t>
        </is>
      </c>
      <c r="AM35" s="77" t="inlineStr">
        <is>
          <t>Whether compulsory for all GMiM students (inferred from 'capstone' and assessment wording, not from regulations).</t>
        </is>
      </c>
      <c r="AN35" s="77" t="inlineStr"/>
      <c r="AO35" s="77" t="inlineStr">
        <is>
          <t>UK</t>
        </is>
      </c>
      <c r="AP35" s="77" t="inlineStr">
        <is>
          <t>UK – Russell Group</t>
        </is>
      </c>
      <c r="AQ35" s="77" t="inlineStr">
        <is>
          <t>Unclear</t>
        </is>
      </c>
      <c r="AR35" s="77" t="inlineStr">
        <is>
          <t>Unclear</t>
        </is>
      </c>
      <c r="AS35" s="77" t="inlineStr"/>
    </row>
    <row r="36">
      <c r="A36" s="77" t="inlineStr">
        <is>
          <t>RG13</t>
        </is>
      </c>
      <c r="B36" s="77" t="inlineStr">
        <is>
          <t>London School of Economics</t>
        </is>
      </c>
      <c r="C36" s="77" t="inlineStr">
        <is>
          <t>Programme/course</t>
        </is>
      </c>
      <c r="D36" s="77" t="inlineStr">
        <is>
          <t>RG13-S07</t>
        </is>
      </c>
      <c r="E36" s="77" t="inlineStr">
        <is>
          <t>RG13-S05</t>
        </is>
      </c>
      <c r="F36" s="77" t="inlineStr">
        <is>
          <t>No</t>
        </is>
      </c>
      <c r="G36" s="79" t="inlineStr">
        <is>
          <t>CEMS &amp; MBA Business Projects</t>
        </is>
      </c>
      <c r="H36" s="77" t="inlineStr">
        <is>
          <t>CEMS &amp; MBA Business Projects</t>
        </is>
      </c>
      <c r="I36" s="77" t="inlineStr"/>
      <c r="J36" s="77" t="inlineStr">
        <is>
          <t>Sponsored business projects for CEMS (Master's in International Management) students at LSE and MBA students: teams of 4-6 work February-May on an organisation's business problem and present final recommendations to sponsors.</t>
        </is>
      </c>
      <c r="K36" s="77" t="inlineStr">
        <is>
          <t>Department of Management</t>
        </is>
      </c>
      <c r="L36" s="77" t="inlineStr">
        <is>
          <t>CEMS MIM students at LSE; 'MBA' students (programme not identified)</t>
        </is>
      </c>
      <c r="M36" s="77" t="inlineStr">
        <is>
          <t>Business/management</t>
        </is>
      </c>
      <c r="N36" s="77" t="inlineStr">
        <is>
          <t>Postgraduate taught</t>
        </is>
      </c>
      <c r="O36" s="77" t="inlineStr"/>
      <c r="P36" s="77" t="inlineStr"/>
      <c r="Q36" s="77" t="inlineStr">
        <is>
          <t>Unclear</t>
        </is>
      </c>
      <c r="R36" s="77" t="inlineStr">
        <is>
          <t>Unclear</t>
        </is>
      </c>
      <c r="S36" s="77" t="inlineStr"/>
      <c r="T36" s="77" t="inlineStr">
        <is>
          <t>February - May (Winter/Spring Term)</t>
        </is>
      </c>
      <c r="U36" s="77" t="inlineStr">
        <is>
          <t>Team consultancy project</t>
        </is>
      </c>
      <c r="V36" s="77" t="inlineStr">
        <is>
          <t>Yes</t>
        </is>
      </c>
      <c r="W36" s="77" t="inlineStr">
        <is>
          <t>Organisation-proposed business project culminating in final presentations [1].</t>
        </is>
      </c>
      <c r="X36" s="77" t="inlineStr">
        <is>
          <t>Yes</t>
        </is>
      </c>
      <c r="Y36" s="77" t="inlineStr">
        <is>
          <t>4-6 students are assigned to a project [1].</t>
        </is>
      </c>
      <c r="Z36" s="77" t="inlineStr">
        <is>
          <t>Yes</t>
        </is>
      </c>
      <c r="AA36" s="77" t="inlineStr">
        <is>
          <t>Sponsors submit proposals, meet students (typically fortnightly) and receive final presentations (4-18 May 2026) [1].</t>
        </is>
      </c>
      <c r="AB36" s="77" t="inlineStr">
        <is>
          <t>Mixed</t>
        </is>
      </c>
      <c r="AC36" s="77" t="inlineStr">
        <is>
          <t>Sponsor/client</t>
        </is>
      </c>
      <c r="AD36" s="77" t="inlineStr"/>
      <c r="AE36" s="77" t="inlineStr">
        <is>
          <t>Final presentation to sponsor</t>
        </is>
      </c>
      <c r="AF36" s="77">
        <f>IF(OR(V36="No",X36="No",Z36="No"),"Outside strict definition",IF(AND(V36="Yes",X36="Yes",Z36="Yes"),"Meets all three","Potentially relevant; evidence incomplete"))</f>
        <v/>
      </c>
      <c r="AG36" s="77" t="inlineStr">
        <is>
          <t>Current delivery confirmed</t>
        </is>
      </c>
      <c r="AH36" s="77" t="inlineStr">
        <is>
          <t>2025/26</t>
        </is>
      </c>
      <c r="AI36" s="77" t="inlineStr">
        <is>
          <t>Yes</t>
        </is>
      </c>
      <c r="AJ36" s="77">
        <f>IF(AND(AI36="Yes",AF36="Meets all three",AG36="Current delivery confirmed"),"Yes","No")</f>
        <v/>
      </c>
      <c r="AK36" s="77" t="inlineStr"/>
      <c r="AL36" s="77" t="inlineStr">
        <is>
          <t>RG13-S07-R1</t>
        </is>
      </c>
      <c r="AM36" s="77" t="inlineStr">
        <is>
          <t>Credit/assessment and course code; which 'MBA' students participate (LSE has no standalone MBA); whether compulsory for CEMS students.</t>
        </is>
      </c>
      <c r="AN36" s="77" t="inlineStr"/>
      <c r="AO36" s="77" t="inlineStr">
        <is>
          <t>UK</t>
        </is>
      </c>
      <c r="AP36" s="77" t="inlineStr">
        <is>
          <t>UK – Russell Group</t>
        </is>
      </c>
      <c r="AQ36" s="77" t="inlineStr">
        <is>
          <t>Unclear</t>
        </is>
      </c>
      <c r="AR36" s="77" t="inlineStr">
        <is>
          <t>Unclear</t>
        </is>
      </c>
      <c r="AS36" s="77" t="inlineStr"/>
    </row>
    <row r="37">
      <c r="A37" s="77" t="inlineStr">
        <is>
          <t>RG13</t>
        </is>
      </c>
      <c r="B37" s="77" t="inlineStr">
        <is>
          <t>London School of Economics</t>
        </is>
      </c>
      <c r="C37" s="77" t="inlineStr">
        <is>
          <t>Programme/course</t>
        </is>
      </c>
      <c r="D37" s="77" t="inlineStr">
        <is>
          <t>RG13-S08</t>
        </is>
      </c>
      <c r="E37" s="77" t="inlineStr">
        <is>
          <t>RG13-S05</t>
        </is>
      </c>
      <c r="F37" s="77" t="inlineStr">
        <is>
          <t>No</t>
        </is>
      </c>
      <c r="G37" s="79" t="inlineStr">
        <is>
          <t>HRO Links Scheme (Links Project)</t>
        </is>
      </c>
      <c r="H37" s="77" t="inlineStr">
        <is>
          <t>HRO Links Scheme (Links Project)</t>
        </is>
      </c>
      <c r="I37" s="77" t="inlineStr">
        <is>
          <t>MG493 (Dissertation, Links route)</t>
        </is>
      </c>
      <c r="J37" s="77" t="inlineStr">
        <is>
          <t>MSc Human Resources and Organisations option: 1-2 students conduct consultancy research on an HR question posed by an external sponsor, producing a business report for the organisation and a joint LSE dissertation.</t>
        </is>
      </c>
      <c r="K37" s="77" t="inlineStr">
        <is>
          <t>Department of Management</t>
        </is>
      </c>
      <c r="L37" s="77" t="inlineStr">
        <is>
          <t>MSc Human Resources and Organisations</t>
        </is>
      </c>
      <c r="M37" s="77" t="inlineStr">
        <is>
          <t>Business/management</t>
        </is>
      </c>
      <c r="N37" s="77" t="inlineStr">
        <is>
          <t>Postgraduate taught</t>
        </is>
      </c>
      <c r="O37" s="77" t="inlineStr"/>
      <c r="P37" s="77" t="inlineStr"/>
      <c r="Q37" s="77" t="inlineStr">
        <is>
          <t>Selective/competitive</t>
        </is>
      </c>
      <c r="R37" s="77" t="inlineStr">
        <is>
          <t>Curricular</t>
        </is>
      </c>
      <c r="S37" s="77" t="inlineStr">
        <is>
          <t>Within MG493 Dissertation (1 unit); Links students write a joint dissertation with their project partner.</t>
        </is>
      </c>
      <c r="T37" s="77" t="inlineStr">
        <is>
          <t>October - January (2026/27 stream)</t>
        </is>
      </c>
      <c r="U37" s="77" t="inlineStr">
        <is>
          <t>Pair consultancy project</t>
        </is>
      </c>
      <c r="V37" s="77" t="inlineStr">
        <is>
          <t>Yes</t>
        </is>
      </c>
      <c r="W37" s="77" t="inlineStr">
        <is>
          <t>Research on an HR question posed by the Links sponsor, business report to organisation [2][3].</t>
        </is>
      </c>
      <c r="X37" s="77" t="inlineStr">
        <is>
          <t>Unclear</t>
        </is>
      </c>
      <c r="Y37" s="77" t="inlineStr">
        <is>
          <t>Typically completed in pairs (programme page) but brochure says 1-2 students per project, so some routes may be individual; whether a pair counts as a 'team' needs a coordinator ruling [1][2].</t>
        </is>
      </c>
      <c r="Z37" s="77" t="inlineStr">
        <is>
          <t>Yes</t>
        </is>
      </c>
      <c r="AA37" s="77" t="inlineStr">
        <is>
          <t>Sponsors submit project proposals (deadline 7 Nov 2025), pose the HR question and receive a business report [2][3].</t>
        </is>
      </c>
      <c r="AB37" s="77" t="inlineStr">
        <is>
          <t>Business/commercial</t>
        </is>
      </c>
      <c r="AC37" s="77" t="inlineStr">
        <is>
          <t>Sponsor/client</t>
        </is>
      </c>
      <c r="AD37" s="77" t="inlineStr">
        <is>
          <t>ABB (Department of Management case page 'ABB: Transforming HR communications', undated)</t>
        </is>
      </c>
      <c r="AE37" s="77" t="inlineStr">
        <is>
          <t>Business report to sponsor + joint dissertation</t>
        </is>
      </c>
      <c r="AF37" s="77">
        <f>IF(OR(V37="No",X37="No",Z37="No"),"Outside strict definition",IF(AND(V37="Yes",X37="Yes",Z37="Yes"),"Meets all three","Potentially relevant; evidence incomplete"))</f>
        <v/>
      </c>
      <c r="AG37" s="77" t="inlineStr">
        <is>
          <t>Current delivery confirmed</t>
        </is>
      </c>
      <c r="AH37" s="77" t="inlineStr">
        <is>
          <t>2026/27 (proposal deadline 26 Aug 2026)</t>
        </is>
      </c>
      <c r="AI37" s="77" t="inlineStr">
        <is>
          <t>Yes</t>
        </is>
      </c>
      <c r="AJ37" s="77">
        <f>IF(AND(AI37="Yes",AF37="Meets all three",AG37="Current delivery confirmed"),"Yes","No")</f>
        <v/>
      </c>
      <c r="AK37" s="77" t="inlineStr"/>
      <c r="AL37" s="77" t="inlineStr">
        <is>
          <t>RG13-S08-R1; RG13-S08-R2; RG13-S08-R3</t>
        </is>
      </c>
      <c r="AM37" s="77" t="inlineStr"/>
      <c r="AN37" s="77" t="inlineStr"/>
      <c r="AO37" s="77" t="inlineStr">
        <is>
          <t>UK</t>
        </is>
      </c>
      <c r="AP37" s="77" t="inlineStr">
        <is>
          <t>UK – Russell Group</t>
        </is>
      </c>
      <c r="AQ37" s="77" t="inlineStr">
        <is>
          <t>Unclear</t>
        </is>
      </c>
      <c r="AR37" s="77" t="inlineStr">
        <is>
          <t>Unclear</t>
        </is>
      </c>
      <c r="AS37" s="77" t="inlineStr"/>
    </row>
    <row r="38">
      <c r="A38" s="77" t="inlineStr">
        <is>
          <t>RG13</t>
        </is>
      </c>
      <c r="B38" s="77" t="inlineStr">
        <is>
          <t>London School of Economics</t>
        </is>
      </c>
      <c r="C38" s="77" t="inlineStr">
        <is>
          <t>Programme/course</t>
        </is>
      </c>
      <c r="D38" s="77" t="inlineStr">
        <is>
          <t>RG13-S09</t>
        </is>
      </c>
      <c r="E38" s="77" t="inlineStr">
        <is>
          <t>RG13-S05</t>
        </is>
      </c>
      <c r="F38" s="77" t="inlineStr">
        <is>
          <t>No</t>
        </is>
      </c>
      <c r="G38" s="79" t="inlineStr">
        <is>
          <t>Marketing Action Learning Project (MALP)</t>
        </is>
      </c>
      <c r="H38" s="77" t="inlineStr">
        <is>
          <t>Marketing Action Learning Project (MALP)</t>
        </is>
      </c>
      <c r="I38" s="77" t="inlineStr">
        <is>
          <t>MG4F1</t>
        </is>
      </c>
      <c r="J38"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38" s="77" t="inlineStr">
        <is>
          <t>Department of Management</t>
        </is>
      </c>
      <c r="L38" s="77" t="inlineStr">
        <is>
          <t>MSc Marketing</t>
        </is>
      </c>
      <c r="M38" s="77" t="inlineStr">
        <is>
          <t>Business/management</t>
        </is>
      </c>
      <c r="N38" s="77" t="inlineStr">
        <is>
          <t>Postgraduate taught</t>
        </is>
      </c>
      <c r="O38" s="77" t="inlineStr"/>
      <c r="P38" s="77" t="inlineStr"/>
      <c r="Q38" s="77" t="inlineStr">
        <is>
          <t>Compulsory within specified programmes</t>
        </is>
      </c>
      <c r="R38" s="77" t="inlineStr">
        <is>
          <t>Curricular</t>
        </is>
      </c>
      <c r="S38" s="77" t="inlineStr">
        <is>
          <t>Half unit; oral examination 40% + project 60% (report August)</t>
        </is>
      </c>
      <c r="T38" s="77" t="inlineStr">
        <is>
          <t>Winter Term to August (presentations early July)</t>
        </is>
      </c>
      <c r="U38" s="77" t="inlineStr">
        <is>
          <t>Team client project</t>
        </is>
      </c>
      <c r="V38" s="77" t="inlineStr">
        <is>
          <t>Yes</t>
        </is>
      </c>
      <c r="W38" s="77" t="inlineStr">
        <is>
          <t>Real marketing challenge; research and marketing strategy report [1].</t>
        </is>
      </c>
      <c r="X38" s="77" t="inlineStr">
        <is>
          <t>Yes</t>
        </is>
      </c>
      <c r="Y38" s="77" t="inlineStr">
        <is>
          <t>'Teams of students work with vetted company sponsors' [1]; teams of six [3].</t>
        </is>
      </c>
      <c r="Z38" s="77" t="inlineStr">
        <is>
          <t>Yes</t>
        </is>
      </c>
      <c r="AA38" s="77" t="inlineStr">
        <is>
          <t>Company sponsors supply the marketing challenge; teams work with them [1][2].</t>
        </is>
      </c>
      <c r="AB38" s="77" t="inlineStr">
        <is>
          <t>Business/commercial</t>
        </is>
      </c>
      <c r="AC38" s="77" t="inlineStr">
        <is>
          <t>Sponsor/client</t>
        </is>
      </c>
      <c r="AD38" s="77" t="inlineStr">
        <is>
          <t>Colgate-Palmolive, Cartier, Tata Group, Unilever (programme page, undated, 'have worked with')</t>
        </is>
      </c>
      <c r="AE38" s="77" t="inlineStr">
        <is>
          <t>Marketing strategy report and presentation</t>
        </is>
      </c>
      <c r="AF38" s="77">
        <f>IF(OR(V38="No",X38="No",Z38="No"),"Outside strict definition",IF(AND(V38="Yes",X38="Yes",Z38="Yes"),"Meets all three","Potentially relevant; evidence incomplete"))</f>
        <v/>
      </c>
      <c r="AG38" s="77" t="inlineStr">
        <is>
          <t>Current delivery confirmed</t>
        </is>
      </c>
      <c r="AH38" s="77" t="inlineStr">
        <is>
          <t>2026/27</t>
        </is>
      </c>
      <c r="AI38" s="77" t="inlineStr">
        <is>
          <t>Yes</t>
        </is>
      </c>
      <c r="AJ38" s="77">
        <f>IF(AND(AI38="Yes",AF38="Meets all three",AG38="Current delivery confirmed"),"Yes","No")</f>
        <v/>
      </c>
      <c r="AK38" s="77" t="inlineStr">
        <is>
          <t>94 students (2025/26) per course guide</t>
        </is>
      </c>
      <c r="AL38" s="77" t="inlineStr">
        <is>
          <t>RG13-S09-R1; RG13-S09-R2; RG13-S09-R3</t>
        </is>
      </c>
      <c r="AM38" s="77" t="inlineStr"/>
      <c r="AN38" s="77" t="inlineStr"/>
      <c r="AO38" s="77" t="inlineStr">
        <is>
          <t>UK</t>
        </is>
      </c>
      <c r="AP38" s="77" t="inlineStr">
        <is>
          <t>UK – Russell Group</t>
        </is>
      </c>
      <c r="AQ38" s="77" t="inlineStr">
        <is>
          <t>Unclear</t>
        </is>
      </c>
      <c r="AR38" s="77" t="inlineStr">
        <is>
          <t>Unclear</t>
        </is>
      </c>
      <c r="AS38" s="77" t="inlineStr"/>
    </row>
    <row r="39">
      <c r="A39" s="77" t="inlineStr">
        <is>
          <t>RG13</t>
        </is>
      </c>
      <c r="B39" s="77" t="inlineStr">
        <is>
          <t>London School of Economics</t>
        </is>
      </c>
      <c r="C39" s="77" t="inlineStr">
        <is>
          <t>Programme/course</t>
        </is>
      </c>
      <c r="D39" s="77" t="inlineStr">
        <is>
          <t>RG13-S10</t>
        </is>
      </c>
      <c r="E39" s="77" t="inlineStr"/>
      <c r="F39" s="77" t="inlineStr">
        <is>
          <t>No</t>
        </is>
      </c>
      <c r="G39" s="79" t="inlineStr">
        <is>
          <t>MiM Capstone Course - International Management in Action (incl. London Consulting Project)</t>
        </is>
      </c>
      <c r="H39" s="77" t="inlineStr">
        <is>
          <t>MiM Capstone Course - International Management in Action (incl. London Consulting Project)</t>
        </is>
      </c>
      <c r="I39" s="77" t="inlineStr">
        <is>
          <t>MG4J4</t>
        </is>
      </c>
      <c r="J39"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39" s="77" t="inlineStr">
        <is>
          <t>Department of Management</t>
        </is>
      </c>
      <c r="L39" s="77" t="inlineStr">
        <is>
          <t>MSc in Management (1 Year Programme)</t>
        </is>
      </c>
      <c r="M39" s="77" t="inlineStr">
        <is>
          <t>Business/management</t>
        </is>
      </c>
      <c r="N39" s="77" t="inlineStr">
        <is>
          <t>Postgraduate taught</t>
        </is>
      </c>
      <c r="O39" s="77" t="inlineStr"/>
      <c r="P39" s="77" t="inlineStr"/>
      <c r="Q39" s="77" t="inlineStr">
        <is>
          <t>Compulsory within specified programmes</t>
        </is>
      </c>
      <c r="R39" s="77" t="inlineStr">
        <is>
          <t>Curricular</t>
        </is>
      </c>
      <c r="S39" s="77" t="inlineStr">
        <is>
          <t>Project 60% (2,000 words), individual essay 30%, reflective learning report 10%</t>
        </is>
      </c>
      <c r="T39" s="77" t="inlineStr">
        <is>
          <t>Winter Term (overseas visit then London Consulting Project)</t>
        </is>
      </c>
      <c r="U39" s="77" t="inlineStr">
        <is>
          <t>Team client projects incl. international trip</t>
        </is>
      </c>
      <c r="V39" s="77" t="inlineStr">
        <is>
          <t>Yes</t>
        </is>
      </c>
      <c r="W39" s="77" t="inlineStr">
        <is>
          <t>Groups work on a client company's business problem; project assessed at 60% [1]; teams analyse problem and make recommendations [3].</t>
        </is>
      </c>
      <c r="X39" s="77" t="inlineStr">
        <is>
          <t>Yes</t>
        </is>
      </c>
      <c r="Y39" s="77" t="inlineStr">
        <is>
          <t>'student groups work on a client company's business problem(s)' [1]; 'working in teams' [3].</t>
        </is>
      </c>
      <c r="Z39" s="77" t="inlineStr">
        <is>
          <t>Yes</t>
        </is>
      </c>
      <c r="AA39" s="77" t="inlineStr">
        <is>
          <t>Client company supplies business problem(s) [1]; company provides list of real business challenges and recommendations 'very likely be acted upon' [3]; external organisation presents challenge [2].</t>
        </is>
      </c>
      <c r="AB39" s="77" t="inlineStr">
        <is>
          <t>Business/commercial</t>
        </is>
      </c>
      <c r="AC39" s="77" t="inlineStr">
        <is>
          <t>Client: sets challenges, receives recommendations</t>
        </is>
      </c>
      <c r="AD39" s="77" t="inlineStr"/>
      <c r="AE39" s="77" t="inlineStr">
        <is>
          <t>Client recommendations / project report</t>
        </is>
      </c>
      <c r="AF39" s="77">
        <f>IF(OR(V39="No",X39="No",Z39="No"),"Outside strict definition",IF(AND(V39="Yes",X39="Yes",Z39="Yes"),"Meets all three","Potentially relevant; evidence incomplete"))</f>
        <v/>
      </c>
      <c r="AG39" s="77" t="inlineStr">
        <is>
          <t>Current delivery confirmed</t>
        </is>
      </c>
      <c r="AH39" s="77" t="inlineStr">
        <is>
          <t>2025/26</t>
        </is>
      </c>
      <c r="AI39" s="77" t="inlineStr">
        <is>
          <t>Yes</t>
        </is>
      </c>
      <c r="AJ39" s="77">
        <f>IF(AND(AI39="Yes",AF39="Meets all three",AG39="Current delivery confirmed"),"Yes","No")</f>
        <v/>
      </c>
      <c r="AK39" s="77" t="inlineStr">
        <is>
          <t>74 students (2024/25) per course guide</t>
        </is>
      </c>
      <c r="AL39" s="77" t="inlineStr">
        <is>
          <t>RG13-S10-R1; RG13-S10-R2; RG13-S10-R3</t>
        </is>
      </c>
      <c r="AM39" s="77" t="inlineStr">
        <is>
          <t>Whether the international-trip client project and the London Consulting Project are one assessed project or two; MG4J4 is not listed among the five Business Projects streams, so recorded separately.</t>
        </is>
      </c>
      <c r="AN39" s="77" t="inlineStr"/>
      <c r="AO39" s="77" t="inlineStr">
        <is>
          <t>UK</t>
        </is>
      </c>
      <c r="AP39" s="77" t="inlineStr">
        <is>
          <t>UK – Russell Group</t>
        </is>
      </c>
      <c r="AQ39" s="77" t="inlineStr">
        <is>
          <t>Unclear</t>
        </is>
      </c>
      <c r="AR39" s="77" t="inlineStr">
        <is>
          <t>Unclear</t>
        </is>
      </c>
      <c r="AS39" s="77" t="inlineStr"/>
    </row>
    <row r="40">
      <c r="A40" s="77" t="inlineStr">
        <is>
          <t>RG13</t>
        </is>
      </c>
      <c r="B40" s="77" t="inlineStr">
        <is>
          <t>London School of Economics</t>
        </is>
      </c>
      <c r="C40" s="77" t="inlineStr">
        <is>
          <t>Programme/course</t>
        </is>
      </c>
      <c r="D40" s="77" t="inlineStr">
        <is>
          <t>RG13-S11</t>
        </is>
      </c>
      <c r="E40" s="77" t="inlineStr"/>
      <c r="F40" s="77" t="inlineStr">
        <is>
          <t>No</t>
        </is>
      </c>
      <c r="G40" s="79" t="inlineStr">
        <is>
          <t>Social Innovation and Entrepreneurship Fundamentals (year-long partner group project)</t>
        </is>
      </c>
      <c r="H40" s="77" t="inlineStr">
        <is>
          <t>Social Innovation and Entrepreneurship Fundamentals (year-long partner group project)</t>
        </is>
      </c>
      <c r="I40" s="77" t="inlineStr">
        <is>
          <t>MG4G6</t>
        </is>
      </c>
      <c r="J40"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40" s="77" t="inlineStr">
        <is>
          <t>Department of Management</t>
        </is>
      </c>
      <c r="L40" s="77" t="inlineStr">
        <is>
          <t>MSc Social Innovation and Entrepreneurship</t>
        </is>
      </c>
      <c r="M40" s="77" t="inlineStr">
        <is>
          <t>Business/management</t>
        </is>
      </c>
      <c r="N40" s="77" t="inlineStr">
        <is>
          <t>Postgraduate taught</t>
        </is>
      </c>
      <c r="O40" s="77" t="inlineStr"/>
      <c r="P40" s="77" t="inlineStr"/>
      <c r="Q40" s="77" t="inlineStr">
        <is>
          <t>Compulsory within specified programmes</t>
        </is>
      </c>
      <c r="R40" s="77" t="inlineStr">
        <is>
          <t>Curricular</t>
        </is>
      </c>
      <c r="S40" s="77" t="inlineStr">
        <is>
          <t>Project component 45% of MG4G6 assessment, including an element of group work</t>
        </is>
      </c>
      <c r="T40" s="77" t="inlineStr">
        <is>
          <t>Autumn and Winter Terms</t>
        </is>
      </c>
      <c r="U40" s="77" t="inlineStr">
        <is>
          <t>Group project with virtual research week and international field trip</t>
        </is>
      </c>
      <c r="V40" s="77" t="inlineStr">
        <is>
          <t>Yes</t>
        </is>
      </c>
      <c r="W40" s="77" t="inlineStr">
        <is>
          <t>Year-long applied project on a social impact challenge; project worth 45% [1][2].</t>
        </is>
      </c>
      <c r="X40" s="77" t="inlineStr">
        <is>
          <t>Yes</t>
        </is>
      </c>
      <c r="Y40" s="77" t="inlineStr">
        <is>
          <t>'year-long applied group project' [2]; project component includes group work [1].</t>
        </is>
      </c>
      <c r="Z40" s="77" t="inlineStr">
        <is>
          <t>Yes</t>
        </is>
      </c>
      <c r="AA40" s="77" t="inlineStr">
        <is>
          <t>Students 'work with a real organisation on a social impact challenge' [2]; partner organisation in a developing-country setting with fieldwork [1][3].</t>
        </is>
      </c>
      <c r="AB40" s="77" t="inlineStr">
        <is>
          <t>Unclear</t>
        </is>
      </c>
      <c r="AC40" s="77" t="inlineStr">
        <is>
          <t>Partner organisation sets/hosts social impact challenge</t>
        </is>
      </c>
      <c r="AD40" s="77" t="inlineStr"/>
      <c r="AE40" s="77" t="inlineStr">
        <is>
          <t>Group project output (form not specified)</t>
        </is>
      </c>
      <c r="AF40" s="77">
        <f>IF(OR(V40="No",X40="No",Z40="No"),"Outside strict definition",IF(AND(V40="Yes",X40="Yes",Z40="Yes"),"Meets all three","Potentially relevant; evidence incomplete"))</f>
        <v/>
      </c>
      <c r="AG40" s="77" t="inlineStr">
        <is>
          <t>Current delivery confirmed</t>
        </is>
      </c>
      <c r="AH40" s="77" t="inlineStr">
        <is>
          <t>2026/27</t>
        </is>
      </c>
      <c r="AI40" s="77" t="inlineStr">
        <is>
          <t>Yes</t>
        </is>
      </c>
      <c r="AJ40" s="77">
        <f>IF(AND(AI40="Yes",AF40="Meets all three",AG40="Current delivery confirmed"),"Yes","No")</f>
        <v/>
      </c>
      <c r="AK40" s="77" t="inlineStr"/>
      <c r="AL40" s="77" t="inlineStr">
        <is>
          <t>RG13-S11-R1; RG13-S11-R2; RG13-S11-R3</t>
        </is>
      </c>
      <c r="AM40" s="77" t="inlineStr">
        <is>
          <t>Partner type (social enterprise, NGO or business) and what output the partner receives; separate 'consulting Capstone' option with a client organisation (course code not found; group basis unknown).</t>
        </is>
      </c>
      <c r="AN40" s="77" t="inlineStr"/>
      <c r="AO40" s="77" t="inlineStr">
        <is>
          <t>UK</t>
        </is>
      </c>
      <c r="AP40" s="77" t="inlineStr">
        <is>
          <t>UK – Russell Group</t>
        </is>
      </c>
      <c r="AQ40" s="77" t="inlineStr">
        <is>
          <t>Unclear</t>
        </is>
      </c>
      <c r="AR40" s="77" t="inlineStr">
        <is>
          <t>Unclear</t>
        </is>
      </c>
      <c r="AS40" s="77" t="inlineStr"/>
    </row>
    <row r="41">
      <c r="A41" s="77" t="inlineStr">
        <is>
          <t>RG13</t>
        </is>
      </c>
      <c r="B41" s="77" t="inlineStr">
        <is>
          <t>London School of Economics</t>
        </is>
      </c>
      <c r="C41" s="77" t="inlineStr">
        <is>
          <t>Programme/course</t>
        </is>
      </c>
      <c r="D41" s="77" t="inlineStr">
        <is>
          <t>RG13-S12</t>
        </is>
      </c>
      <c r="E41" s="77" t="inlineStr"/>
      <c r="F41" s="77" t="inlineStr">
        <is>
          <t>No</t>
        </is>
      </c>
      <c r="G41" s="79" t="inlineStr">
        <is>
          <t>Capstone Project (MSc Data Science)</t>
        </is>
      </c>
      <c r="H41" s="77" t="inlineStr">
        <is>
          <t>Capstone Project (MSc Data Science)</t>
        </is>
      </c>
      <c r="I41" s="77" t="inlineStr">
        <is>
          <t>ST498</t>
        </is>
      </c>
      <c r="J41"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41" s="77" t="inlineStr">
        <is>
          <t>Department of Statistics</t>
        </is>
      </c>
      <c r="L41" s="77" t="inlineStr">
        <is>
          <t>MSc Data Science</t>
        </is>
      </c>
      <c r="M41" s="77" t="inlineStr">
        <is>
          <t>Science</t>
        </is>
      </c>
      <c r="N41" s="77" t="inlineStr">
        <is>
          <t>Postgraduate taught</t>
        </is>
      </c>
      <c r="O41" s="77" t="inlineStr"/>
      <c r="P41" s="77" t="inlineStr"/>
      <c r="Q41" s="77" t="inlineStr">
        <is>
          <t>Compulsory within specified programmes</t>
        </is>
      </c>
      <c r="R41" s="77" t="inlineStr">
        <is>
          <t>Curricular</t>
        </is>
      </c>
      <c r="S41" s="77" t="inlineStr">
        <is>
          <t>1 unit; project 100% (group report, max 50 pages, August)</t>
        </is>
      </c>
      <c r="T41" s="77" t="inlineStr">
        <is>
          <t>c. November to August</t>
        </is>
      </c>
      <c r="U41" s="77" t="inlineStr">
        <is>
          <t>Group project with partner</t>
        </is>
      </c>
      <c r="V41" s="77" t="inlineStr">
        <is>
          <t>Yes</t>
        </is>
      </c>
      <c r="W41" s="77" t="inlineStr">
        <is>
          <t>Partner-suggested research project with data; draft (June) and final (August) group report [1].</t>
        </is>
      </c>
      <c r="X41" s="77" t="inlineStr">
        <is>
          <t>Yes</t>
        </is>
      </c>
      <c r="Y41" s="77" t="inlineStr">
        <is>
          <t>Assessed by a group report [1].</t>
        </is>
      </c>
      <c r="Z41" s="77" t="inlineStr">
        <is>
          <t>Yes</t>
        </is>
      </c>
      <c r="AA41" s="77" t="inlineStr">
        <is>
          <t>Industry partner suggests the project, may provide data and co-supervises with weekly/bi-weekly meetings [1]; 20+ partners listed [2]. Caveat: some partners are internal LSE academics/professional services [3], so C holds for most but not all teams.</t>
        </is>
      </c>
      <c r="AB41" s="77" t="inlineStr">
        <is>
          <t>Mixed</t>
        </is>
      </c>
      <c r="AC41" s="77" t="inlineStr">
        <is>
          <t>Proposes project, provides data, co-supervises</t>
        </is>
      </c>
      <c r="AD41" s="77" t="inlineStr">
        <is>
          <t>Deloitte, Mastercard, Meta, Microsoft, Moody's, Sky, Transport for London, Wise, World Trade Organization (partnerships page, undated)</t>
        </is>
      </c>
      <c r="AE41" s="77" t="inlineStr">
        <is>
          <t>Group report</t>
        </is>
      </c>
      <c r="AF41" s="77">
        <f>IF(OR(V41="No",X41="No",Z41="No"),"Outside strict definition",IF(AND(V41="Yes",X41="Yes",Z41="Yes"),"Meets all three","Potentially relevant; evidence incomplete"))</f>
        <v/>
      </c>
      <c r="AG41" s="77" t="inlineStr">
        <is>
          <t>Current delivery confirmed</t>
        </is>
      </c>
      <c r="AH41" s="77" t="inlineStr">
        <is>
          <t>2025/26</t>
        </is>
      </c>
      <c r="AI41" s="77" t="inlineStr">
        <is>
          <t>Yes</t>
        </is>
      </c>
      <c r="AJ41" s="77">
        <f>IF(AND(AI41="Yes",AF41="Meets all three",AG41="Current delivery confirmed"),"Yes","No")</f>
        <v/>
      </c>
      <c r="AK41" s="77" t="inlineStr">
        <is>
          <t>49 students (2024/25) per course guide</t>
        </is>
      </c>
      <c r="AL41" s="77" t="inlineStr">
        <is>
          <t>RG13-S12-R1; RG13-S12-R2; RG13-S12-R3; RG13-S12-R4</t>
        </is>
      </c>
      <c r="AM41" s="77" t="inlineStr"/>
      <c r="AN41" s="77" t="inlineStr"/>
      <c r="AO41" s="77" t="inlineStr">
        <is>
          <t>UK</t>
        </is>
      </c>
      <c r="AP41" s="77" t="inlineStr">
        <is>
          <t>UK – Russell Group</t>
        </is>
      </c>
      <c r="AQ41" s="77" t="inlineStr">
        <is>
          <t>Unclear</t>
        </is>
      </c>
      <c r="AR41" s="77" t="inlineStr">
        <is>
          <t>Unclear</t>
        </is>
      </c>
      <c r="AS41" s="77" t="inlineStr"/>
    </row>
    <row r="42">
      <c r="A42" s="77" t="inlineStr">
        <is>
          <t>RG13</t>
        </is>
      </c>
      <c r="B42" s="77" t="inlineStr">
        <is>
          <t>London School of Economics</t>
        </is>
      </c>
      <c r="C42" s="77" t="inlineStr">
        <is>
          <t>Programme/course</t>
        </is>
      </c>
      <c r="D42" s="77" t="inlineStr">
        <is>
          <t>RG13-S13</t>
        </is>
      </c>
      <c r="E42" s="77" t="inlineStr"/>
      <c r="F42" s="77" t="inlineStr">
        <is>
          <t>No</t>
        </is>
      </c>
      <c r="G42" s="79" t="inlineStr">
        <is>
          <t>Project in Operations Research &amp; Analytics</t>
        </is>
      </c>
      <c r="H42" s="77" t="inlineStr">
        <is>
          <t>Project in Operations Research &amp; Analytics</t>
        </is>
      </c>
      <c r="I42" s="77" t="inlineStr">
        <is>
          <t>MA425</t>
        </is>
      </c>
      <c r="J42" s="77" t="inlineStr">
        <is>
          <t>MSc Operations Research &amp; Analytics summer project, typically a consulting-like placement with an industry, government or non-profit partner, full-time June-August, possibly at the client site; alternative to MA426 dissertation.</t>
        </is>
      </c>
      <c r="K42" s="77" t="inlineStr">
        <is>
          <t>Department of Mathematics</t>
        </is>
      </c>
      <c r="L42" s="77" t="inlineStr">
        <is>
          <t>MSc Operations Research &amp; Analytics</t>
        </is>
      </c>
      <c r="M42" s="77" t="inlineStr">
        <is>
          <t>Science</t>
        </is>
      </c>
      <c r="N42" s="77" t="inlineStr">
        <is>
          <t>Postgraduate taught</t>
        </is>
      </c>
      <c r="O42" s="77" t="inlineStr"/>
      <c r="P42" s="77" t="inlineStr"/>
      <c r="Q42" s="77" t="inlineStr">
        <is>
          <t>Optional/elective</t>
        </is>
      </c>
      <c r="R42" s="77" t="inlineStr">
        <is>
          <t>Curricular</t>
        </is>
      </c>
      <c r="S42" s="77" t="inlineStr">
        <is>
          <t>1 unit; project 100%</t>
        </is>
      </c>
      <c r="T42" s="77" t="inlineStr">
        <is>
          <t>Early June - end of August</t>
        </is>
      </c>
      <c r="U42" s="77" t="inlineStr">
        <is>
          <t>Consulting-style placement project</t>
        </is>
      </c>
      <c r="V42" s="77" t="inlineStr">
        <is>
          <t>Yes</t>
        </is>
      </c>
      <c r="W42" s="77" t="inlineStr">
        <is>
          <t>Consulting-like project for a partner, assessed as project 100% [1].</t>
        </is>
      </c>
      <c r="X42" s="77" t="inlineStr">
        <is>
          <t>Unclear</t>
        </is>
      </c>
      <c r="Y42" s="77" t="inlineStr">
        <is>
          <t>No evidence whether projects are done individually or in teams; placement format suggests individual work.</t>
        </is>
      </c>
      <c r="Z42" s="77" t="inlineStr">
        <is>
          <t>Yes</t>
        </is>
      </c>
      <c r="AA42" s="77" t="inlineStr">
        <is>
          <t>Projects with industry, government or non-profit partners, possibly at client site [1][2].</t>
        </is>
      </c>
      <c r="AB42" s="77" t="inlineStr">
        <is>
          <t>Mixed</t>
        </is>
      </c>
      <c r="AC42" s="77" t="inlineStr">
        <is>
          <t>Client/host</t>
        </is>
      </c>
      <c r="AD42" s="77" t="inlineStr">
        <is>
          <t>Amazon, BT, British Airways, Emirates, FICO, Ford, Just Eat, Legal and General, National Audit Office, Transport for London ('past and present', undated)</t>
        </is>
      </c>
      <c r="AE42" s="77" t="inlineStr">
        <is>
          <t>Project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RG13-S13-R1; RG13-S13-R2</t>
        </is>
      </c>
      <c r="AM42" s="77" t="inlineStr"/>
      <c r="AN42" s="77" t="inlineStr"/>
      <c r="AO42" s="77" t="inlineStr">
        <is>
          <t>UK</t>
        </is>
      </c>
      <c r="AP42" s="77" t="inlineStr">
        <is>
          <t>UK – Russell Group</t>
        </is>
      </c>
      <c r="AQ42" s="77" t="inlineStr">
        <is>
          <t>Unclear</t>
        </is>
      </c>
      <c r="AR42" s="77" t="inlineStr">
        <is>
          <t>Unclear</t>
        </is>
      </c>
      <c r="AS42" s="77" t="inlineStr"/>
    </row>
    <row r="43">
      <c r="A43" s="77" t="inlineStr">
        <is>
          <t>RG13</t>
        </is>
      </c>
      <c r="B43" s="77" t="inlineStr">
        <is>
          <t>London School of Economics</t>
        </is>
      </c>
      <c r="C43" s="77" t="inlineStr">
        <is>
          <t>Programme/course</t>
        </is>
      </c>
      <c r="D43" s="77" t="inlineStr">
        <is>
          <t>RG13-S14</t>
        </is>
      </c>
      <c r="E43" s="77" t="inlineStr"/>
      <c r="F43" s="77" t="inlineStr">
        <is>
          <t>No</t>
        </is>
      </c>
      <c r="G43" s="79" t="inlineStr">
        <is>
          <t>MPA Capstone Project</t>
        </is>
      </c>
      <c r="H43" s="77" t="inlineStr">
        <is>
          <t>MPA Capstone Project</t>
        </is>
      </c>
      <c r="I43" s="77" t="inlineStr">
        <is>
          <t>PP4B3</t>
        </is>
      </c>
      <c r="J43"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43" s="77" t="inlineStr">
        <is>
          <t>School of Public Policy</t>
        </is>
      </c>
      <c r="L43" s="77" t="inlineStr">
        <is>
          <t>MPA; LSE-Sciences Po, Hertie, NUS and Tokyo dual MPAs</t>
        </is>
      </c>
      <c r="M43" s="77" t="inlineStr">
        <is>
          <t>Arts/humanities/social sciences</t>
        </is>
      </c>
      <c r="N43" s="77" t="inlineStr">
        <is>
          <t>Postgraduate taught</t>
        </is>
      </c>
      <c r="O43" s="77" t="inlineStr">
        <is>
          <t>Year 2 of MPA</t>
        </is>
      </c>
      <c r="P43" s="77" t="inlineStr"/>
      <c r="Q43" s="77" t="inlineStr">
        <is>
          <t>Compulsory within specified programmes</t>
        </is>
      </c>
      <c r="R43" s="77" t="inlineStr">
        <is>
          <t>Curricular</t>
        </is>
      </c>
      <c r="S43" s="77" t="inlineStr">
        <is>
          <t>1 unit; project 100% (15,000 words): client 20%, two academic readers 50%, supervisor 30%</t>
        </is>
      </c>
      <c r="T43" s="77" t="inlineStr">
        <is>
          <t>October - March</t>
        </is>
      </c>
      <c r="U43" s="77" t="inlineStr">
        <is>
          <t>Team client consultancy</t>
        </is>
      </c>
      <c r="V43" s="77" t="inlineStr">
        <is>
          <t>Yes</t>
        </is>
      </c>
      <c r="W43" s="77" t="inlineStr">
        <is>
          <t>Public policy problem defined by client; project report and presentation [1][2].</t>
        </is>
      </c>
      <c r="X43" s="77" t="inlineStr">
        <is>
          <t>Yes</t>
        </is>
      </c>
      <c r="Y43" s="77" t="inlineStr">
        <is>
          <t>Group project in teams usually of 3 to 6 [1][2].</t>
        </is>
      </c>
      <c r="Z43" s="77" t="inlineStr">
        <is>
          <t>Yes</t>
        </is>
      </c>
      <c r="AA43" s="77" t="inlineStr">
        <is>
          <t>Issue defined by the client organisation; client assesses 20% of mark based on presentation and report [1][2].</t>
        </is>
      </c>
      <c r="AB43" s="77" t="inlineStr">
        <is>
          <t>Mixed</t>
        </is>
      </c>
      <c r="AC43" s="77" t="inlineStr">
        <is>
          <t>Client: defines problem, receives report/presentation, marks 20%</t>
        </is>
      </c>
      <c r="AD43" s="77" t="inlineStr">
        <is>
          <t>Recent partners listed: Goldman Sachs, Unilever, UNDP, UNICEF, OECD, Migration Policy Institute, NHS England (capstone page, undated)</t>
        </is>
      </c>
      <c r="AE43" s="77" t="inlineStr">
        <is>
          <t>15,000-word report + group presentation to client</t>
        </is>
      </c>
      <c r="AF43" s="77">
        <f>IF(OR(V43="No",X43="No",Z43="No"),"Outside strict definition",IF(AND(V43="Yes",X43="Yes",Z43="Yes"),"Meets all three","Potentially relevant; evidence incomplete"))</f>
        <v/>
      </c>
      <c r="AG43" s="77" t="inlineStr">
        <is>
          <t>Current delivery confirmed</t>
        </is>
      </c>
      <c r="AH43" s="77" t="inlineStr">
        <is>
          <t>2025/26 (2026/27 guide published)</t>
        </is>
      </c>
      <c r="AI43" s="77" t="inlineStr">
        <is>
          <t>Yes</t>
        </is>
      </c>
      <c r="AJ43" s="77">
        <f>IF(AND(AI43="Yes",AF43="Meets all three",AG43="Current delivery confirmed"),"Yes","No")</f>
        <v/>
      </c>
      <c r="AK43" s="77" t="inlineStr"/>
      <c r="AL43" s="77" t="inlineStr">
        <is>
          <t>RG13-S14-R1; RG13-S14-R2</t>
        </is>
      </c>
      <c r="AM43" s="77" t="inlineStr"/>
      <c r="AN43" s="77" t="inlineStr"/>
      <c r="AO43" s="77" t="inlineStr">
        <is>
          <t>UK</t>
        </is>
      </c>
      <c r="AP43" s="77" t="inlineStr">
        <is>
          <t>UK – Russell Group</t>
        </is>
      </c>
      <c r="AQ43" s="77" t="inlineStr">
        <is>
          <t>Unclear</t>
        </is>
      </c>
      <c r="AR43" s="77" t="inlineStr">
        <is>
          <t>Unclear</t>
        </is>
      </c>
      <c r="AS43" s="77" t="inlineStr"/>
    </row>
    <row r="44">
      <c r="A44" s="77" t="inlineStr">
        <is>
          <t>RG13</t>
        </is>
      </c>
      <c r="B44" s="77" t="inlineStr">
        <is>
          <t>London School of Economics</t>
        </is>
      </c>
      <c r="C44" s="77" t="inlineStr">
        <is>
          <t>Programme/course</t>
        </is>
      </c>
      <c r="D44" s="77" t="inlineStr">
        <is>
          <t>RG13-S15</t>
        </is>
      </c>
      <c r="E44" s="77" t="inlineStr"/>
      <c r="F44" s="77" t="inlineStr">
        <is>
          <t>No</t>
        </is>
      </c>
      <c r="G44" s="79" t="inlineStr">
        <is>
          <t>Capstone Project: MPA - Data Science for Public Policy</t>
        </is>
      </c>
      <c r="H44" s="77" t="inlineStr">
        <is>
          <t>Capstone Project: MPA - Data Science for Public Policy</t>
        </is>
      </c>
      <c r="I44" s="77" t="inlineStr">
        <is>
          <t>PP4B5</t>
        </is>
      </c>
      <c r="J44" s="77" t="inlineStr">
        <is>
          <t>Capstone for the MPA in Data Science for Public Policy: groups of 3-6 undertake a project for an external client that can be tackled with quantitative/data-science tools.</t>
        </is>
      </c>
      <c r="K44" s="77" t="inlineStr">
        <is>
          <t>School of Public Policy</t>
        </is>
      </c>
      <c r="L44" s="77" t="inlineStr">
        <is>
          <t>MPA in Data Science for Public Policy</t>
        </is>
      </c>
      <c r="M44" s="77" t="inlineStr">
        <is>
          <t>Arts/humanities/social sciences</t>
        </is>
      </c>
      <c r="N44" s="77" t="inlineStr">
        <is>
          <t>Postgraduate taught</t>
        </is>
      </c>
      <c r="O44" s="77" t="inlineStr"/>
      <c r="P44" s="77" t="inlineStr"/>
      <c r="Q44" s="77" t="inlineStr">
        <is>
          <t>Unclear</t>
        </is>
      </c>
      <c r="R44" s="77" t="inlineStr">
        <is>
          <t>Curricular</t>
        </is>
      </c>
      <c r="S44" s="77" t="inlineStr"/>
      <c r="T44" s="77" t="inlineStr"/>
      <c r="U44" s="77" t="inlineStr"/>
      <c r="V44" s="77" t="inlineStr">
        <is>
          <t>Yes</t>
        </is>
      </c>
      <c r="W44" s="77" t="inlineStr">
        <is>
          <t>Client project tackled with data-science tools [1].</t>
        </is>
      </c>
      <c r="X44" s="77" t="inlineStr">
        <is>
          <t>Yes</t>
        </is>
      </c>
      <c r="Y44" s="77" t="inlineStr">
        <is>
          <t>Group project in teams usually of 3 to 6 [1].</t>
        </is>
      </c>
      <c r="Z44" s="77" t="inlineStr">
        <is>
          <t>Yes</t>
        </is>
      </c>
      <c r="AA44" s="77" t="inlineStr">
        <is>
          <t>Project for an external client; clients include public bodies, companies, international organisations, think tanks, NGOs [1].</t>
        </is>
      </c>
      <c r="AB44" s="77" t="inlineStr">
        <is>
          <t>Mixed</t>
        </is>
      </c>
      <c r="AC44" s="77" t="inlineStr">
        <is>
          <t>Client</t>
        </is>
      </c>
      <c r="AD44" s="77" t="inlineStr"/>
      <c r="AE44" s="77" t="inlineStr">
        <is>
          <t>Client report/presentation (details not retrieved)</t>
        </is>
      </c>
      <c r="AF44" s="77">
        <f>IF(OR(V44="No",X44="No",Z44="No"),"Outside strict definition",IF(AND(V44="Yes",X44="Yes",Z44="Yes"),"Meets all three","Potentially relevant; evidence incomplete"))</f>
        <v/>
      </c>
      <c r="AG44" s="77" t="inlineStr">
        <is>
          <t>Current delivery confirmed</t>
        </is>
      </c>
      <c r="AH44" s="77" t="inlineStr">
        <is>
          <t>2025/26</t>
        </is>
      </c>
      <c r="AI44" s="77" t="inlineStr">
        <is>
          <t>Yes</t>
        </is>
      </c>
      <c r="AJ44" s="77">
        <f>IF(AND(AI44="Yes",AF44="Meets all three",AG44="Current delivery confirmed"),"Yes","No")</f>
        <v/>
      </c>
      <c r="AK44" s="77" t="inlineStr"/>
      <c r="AL44" s="77" t="inlineStr">
        <is>
          <t>RG13-S15-R1</t>
        </is>
      </c>
      <c r="AM44" s="77" t="inlineStr">
        <is>
          <t>Assessment split and whether compulsory (likely, by analogy with PP4B3; not evidenced).</t>
        </is>
      </c>
      <c r="AN44" s="77" t="inlineStr"/>
      <c r="AO44" s="77" t="inlineStr">
        <is>
          <t>UK</t>
        </is>
      </c>
      <c r="AP44" s="77" t="inlineStr">
        <is>
          <t>UK – Russell Group</t>
        </is>
      </c>
      <c r="AQ44" s="77" t="inlineStr">
        <is>
          <t>Unclear</t>
        </is>
      </c>
      <c r="AR44" s="77" t="inlineStr">
        <is>
          <t>Unclear</t>
        </is>
      </c>
      <c r="AS44" s="77" t="inlineStr"/>
    </row>
    <row r="45">
      <c r="A45" s="77" t="inlineStr">
        <is>
          <t>RG13</t>
        </is>
      </c>
      <c r="B45" s="77" t="inlineStr">
        <is>
          <t>London School of Economics</t>
        </is>
      </c>
      <c r="C45" s="77" t="inlineStr">
        <is>
          <t>Programme/course</t>
        </is>
      </c>
      <c r="D45" s="77" t="inlineStr">
        <is>
          <t>RG13-S16</t>
        </is>
      </c>
      <c r="E45" s="77" t="inlineStr"/>
      <c r="F45" s="77" t="inlineStr">
        <is>
          <t>No</t>
        </is>
      </c>
      <c r="G45" s="79" t="inlineStr">
        <is>
          <t>Executive MPP Capstone Project</t>
        </is>
      </c>
      <c r="H45" s="77" t="inlineStr">
        <is>
          <t>Executive MPP Capstone Project</t>
        </is>
      </c>
      <c r="I45" s="77" t="inlineStr">
        <is>
          <t>PP4B3E</t>
        </is>
      </c>
      <c r="J45" s="77" t="inlineStr">
        <is>
          <t>Half-unit capstone for the Executive Master of Public Policy: teams of c.3-5 work intensively for one week on a public policy problem identified jointly by the Civil Service and LSE academics.</t>
        </is>
      </c>
      <c r="K45" s="77" t="inlineStr">
        <is>
          <t>School of Public Policy</t>
        </is>
      </c>
      <c r="L45" s="77" t="inlineStr">
        <is>
          <t>Executive Master of Public Policy</t>
        </is>
      </c>
      <c r="M45" s="77" t="inlineStr">
        <is>
          <t>Arts/humanities/social sciences</t>
        </is>
      </c>
      <c r="N45" s="77" t="inlineStr">
        <is>
          <t>Postgraduate taught</t>
        </is>
      </c>
      <c r="O45" s="77" t="inlineStr"/>
      <c r="P45" s="77" t="inlineStr"/>
      <c r="Q45" s="77" t="inlineStr">
        <is>
          <t>Unclear</t>
        </is>
      </c>
      <c r="R45" s="77" t="inlineStr">
        <is>
          <t>Curricular</t>
        </is>
      </c>
      <c r="S45" s="77" t="inlineStr">
        <is>
          <t>Half unit</t>
        </is>
      </c>
      <c r="T45" s="77" t="inlineStr">
        <is>
          <t>One week (intensive)</t>
        </is>
      </c>
      <c r="U45" s="77" t="inlineStr">
        <is>
          <t>Team policy project</t>
        </is>
      </c>
      <c r="V45" s="77" t="inlineStr">
        <is>
          <t>Yes</t>
        </is>
      </c>
      <c r="W45" s="77" t="inlineStr">
        <is>
          <t>Defined public policy problem worked on as a capstone project [1].</t>
        </is>
      </c>
      <c r="X45" s="77" t="inlineStr">
        <is>
          <t>Yes</t>
        </is>
      </c>
      <c r="Y45" s="77" t="inlineStr">
        <is>
          <t>Teams of roughly 3 to 5 [1].</t>
        </is>
      </c>
      <c r="Z45" s="77" t="inlineStr">
        <is>
          <t>Yes</t>
        </is>
      </c>
      <c r="AA45" s="77" t="inlineStr">
        <is>
          <t>The Civil Service is the client and jointly identifies the problem with LSE academics [1].</t>
        </is>
      </c>
      <c r="AB45" s="77" t="inlineStr">
        <is>
          <t>Public sector</t>
        </is>
      </c>
      <c r="AC45" s="77" t="inlineStr">
        <is>
          <t>Client; co-defines problem</t>
        </is>
      </c>
      <c r="AD45" s="77" t="inlineStr"/>
      <c r="AE45" s="77" t="inlineStr">
        <is>
          <t>Not specified in extract</t>
        </is>
      </c>
      <c r="AF45" s="77">
        <f>IF(OR(V45="No",X45="No",Z45="No"),"Outside strict definition",IF(AND(V45="Yes",X45="Yes",Z45="Yes"),"Meets all three","Potentially relevant; evidence incomplete"))</f>
        <v/>
      </c>
      <c r="AG45" s="77" t="inlineStr">
        <is>
          <t>Current delivery confirmed</t>
        </is>
      </c>
      <c r="AH45" s="77" t="inlineStr">
        <is>
          <t>2025/26</t>
        </is>
      </c>
      <c r="AI45" s="77" t="inlineStr">
        <is>
          <t>Yes</t>
        </is>
      </c>
      <c r="AJ45" s="77">
        <f>IF(AND(AI45="Yes",AF45="Meets all three",AG45="Current delivery confirmed"),"Yes","No")</f>
        <v/>
      </c>
      <c r="AK45" s="77" t="inlineStr"/>
      <c r="AL45" s="77" t="inlineStr">
        <is>
          <t>RG13-S16-R1</t>
        </is>
      </c>
      <c r="AM45" s="77" t="inlineStr">
        <is>
          <t>Short duration (one week) makes 'substantive' borderline; output and client role in assessment not retrieved.</t>
        </is>
      </c>
      <c r="AN45" s="77" t="inlineStr"/>
      <c r="AO45" s="77" t="inlineStr">
        <is>
          <t>UK</t>
        </is>
      </c>
      <c r="AP45" s="77" t="inlineStr">
        <is>
          <t>UK – Russell Group</t>
        </is>
      </c>
      <c r="AQ45" s="77" t="inlineStr">
        <is>
          <t>Unclear</t>
        </is>
      </c>
      <c r="AR45" s="77" t="inlineStr">
        <is>
          <t>Unclear</t>
        </is>
      </c>
      <c r="AS45" s="77" t="inlineStr"/>
    </row>
    <row r="46">
      <c r="A46" s="77" t="inlineStr">
        <is>
          <t>RG13</t>
        </is>
      </c>
      <c r="B46" s="77" t="inlineStr">
        <is>
          <t>London School of Economics</t>
        </is>
      </c>
      <c r="C46" s="77" t="inlineStr">
        <is>
          <t>Programme/course</t>
        </is>
      </c>
      <c r="D46" s="77" t="inlineStr">
        <is>
          <t>RG13-S17</t>
        </is>
      </c>
      <c r="E46" s="77" t="inlineStr"/>
      <c r="F46" s="77" t="inlineStr">
        <is>
          <t>No</t>
        </is>
      </c>
      <c r="G46" s="79" t="inlineStr">
        <is>
          <t>Philosophy, Politics and Economics: Capstone</t>
        </is>
      </c>
      <c r="H46" s="77" t="inlineStr">
        <is>
          <t>Philosophy, Politics and Economics: Capstone</t>
        </is>
      </c>
      <c r="I46" s="77" t="inlineStr">
        <is>
          <t>GV343</t>
        </is>
      </c>
      <c r="J46"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46" s="77" t="inlineStr">
        <is>
          <t>Department of Government / PPE</t>
        </is>
      </c>
      <c r="L46" s="77" t="inlineStr">
        <is>
          <t>BSc Philosophy, Politics and Economics (incl. with Year Abroad)</t>
        </is>
      </c>
      <c r="M46" s="77" t="inlineStr">
        <is>
          <t>Arts/humanities/social sciences</t>
        </is>
      </c>
      <c r="N46" s="77" t="inlineStr">
        <is>
          <t>Undergraduate</t>
        </is>
      </c>
      <c r="O46" s="77" t="inlineStr">
        <is>
          <t>Year 4</t>
        </is>
      </c>
      <c r="P46" s="77" t="inlineStr"/>
      <c r="Q46" s="77" t="inlineStr">
        <is>
          <t>Compulsory within specified programmes</t>
        </is>
      </c>
      <c r="R46" s="77" t="inlineStr">
        <is>
          <t>Curricular</t>
        </is>
      </c>
      <c r="S46" s="77" t="inlineStr">
        <is>
          <t>Half unit; presentation 20% (AT Week 11) + project 80% (8,000-word report)</t>
        </is>
      </c>
      <c r="T46" s="77" t="inlineStr">
        <is>
          <t>Autumn Term (11 weeks)</t>
        </is>
      </c>
      <c r="U46" s="77" t="inlineStr">
        <is>
          <t>Team client policy project</t>
        </is>
      </c>
      <c r="V46" s="77" t="inlineStr">
        <is>
          <t>Yes</t>
        </is>
      </c>
      <c r="W46" s="77" t="inlineStr">
        <is>
          <t>Research and analysis to address a practical policy issue for a client; 8,000-word report and presentation [1][2].</t>
        </is>
      </c>
      <c r="X46" s="77" t="inlineStr">
        <is>
          <t>Yes</t>
        </is>
      </c>
      <c r="Y46" s="77" t="inlineStr">
        <is>
          <t>Requires groups of students to carry out research; each team works under a faculty supervisor [1][2].</t>
        </is>
      </c>
      <c r="Z46" s="77" t="inlineStr">
        <is>
          <t>Yes</t>
        </is>
      </c>
      <c r="AA46" s="77" t="inlineStr">
        <is>
          <t>Practical policy problem set by an external client; written report submitted to the client [2]; past client projects e.g. Twaweza, Amazon Web Services (2023 showcase) [3].</t>
        </is>
      </c>
      <c r="AB46" s="77" t="inlineStr">
        <is>
          <t>Mixed</t>
        </is>
      </c>
      <c r="AC46" s="77" t="inlineStr">
        <is>
          <t>Client: sets problem, receives report</t>
        </is>
      </c>
      <c r="AD46" s="77" t="inlineStr">
        <is>
          <t>Twaweza; Amazon Web Services (2023 showcase)</t>
        </is>
      </c>
      <c r="AE46" s="77" t="inlineStr">
        <is>
          <t>8,000-word report and presentation to client</t>
        </is>
      </c>
      <c r="AF46" s="77">
        <f>IF(OR(V46="No",X46="No",Z46="No"),"Outside strict definition",IF(AND(V46="Yes",X46="Yes",Z46="Yes"),"Meets all three","Potentially relevant; evidence incomplete"))</f>
        <v/>
      </c>
      <c r="AG46" s="77" t="inlineStr">
        <is>
          <t>Current delivery confirmed</t>
        </is>
      </c>
      <c r="AH46" s="77" t="inlineStr">
        <is>
          <t>2025/26 (2026 showcase 8 May 2026)</t>
        </is>
      </c>
      <c r="AI46" s="77" t="inlineStr">
        <is>
          <t>Yes</t>
        </is>
      </c>
      <c r="AJ46" s="77">
        <f>IF(AND(AI46="Yes",AF46="Meets all three",AG46="Current delivery confirmed"),"Yes","No")</f>
        <v/>
      </c>
      <c r="AK46" s="77" t="inlineStr"/>
      <c r="AL46" s="77" t="inlineStr">
        <is>
          <t>RG13-S17-R1; RG13-S17-R2; RG13-S17-R3; RG13-S17-R4</t>
        </is>
      </c>
      <c r="AM46" s="77" t="inlineStr"/>
      <c r="AN46" s="77" t="inlineStr"/>
      <c r="AO46" s="77" t="inlineStr">
        <is>
          <t>UK</t>
        </is>
      </c>
      <c r="AP46" s="77" t="inlineStr">
        <is>
          <t>UK – Russell Group</t>
        </is>
      </c>
      <c r="AQ46" s="77" t="inlineStr">
        <is>
          <t>Unclear</t>
        </is>
      </c>
      <c r="AR46" s="77" t="inlineStr">
        <is>
          <t>Unclear</t>
        </is>
      </c>
      <c r="AS46" s="77" t="inlineStr"/>
    </row>
    <row r="47">
      <c r="A47" s="77" t="inlineStr">
        <is>
          <t>RG13</t>
        </is>
      </c>
      <c r="B47" s="77" t="inlineStr">
        <is>
          <t>London School of Economics</t>
        </is>
      </c>
      <c r="C47" s="77" t="inlineStr">
        <is>
          <t>Faculty/school</t>
        </is>
      </c>
      <c r="D47" s="77" t="inlineStr">
        <is>
          <t>RG13-S18</t>
        </is>
      </c>
      <c r="E47" s="77" t="inlineStr"/>
      <c r="F47" s="77" t="inlineStr">
        <is>
          <t>Yes</t>
        </is>
      </c>
      <c r="G47" s="79" t="inlineStr">
        <is>
          <t>International Development Consultancy Projects</t>
        </is>
      </c>
      <c r="H47" s="77" t="inlineStr">
        <is>
          <t>International Development Consultancy Projects</t>
        </is>
      </c>
      <c r="I47" s="77" t="inlineStr">
        <is>
          <t>DV443 / DV453 / DV466</t>
        </is>
      </c>
      <c r="J47"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47" s="77" t="inlineStr">
        <is>
          <t>Department of International Development</t>
        </is>
      </c>
      <c r="L47" s="77" t="inlineStr">
        <is>
          <t>Specified ID MSc programmes (see children)</t>
        </is>
      </c>
      <c r="M47" s="77" t="inlineStr">
        <is>
          <t>Arts/humanities/social sciences</t>
        </is>
      </c>
      <c r="N47" s="77" t="inlineStr">
        <is>
          <t>Postgraduate taught</t>
        </is>
      </c>
      <c r="O47" s="77" t="inlineStr"/>
      <c r="P47" s="77" t="inlineStr"/>
      <c r="Q47" s="77" t="inlineStr">
        <is>
          <t>Compulsory within specified programmes</t>
        </is>
      </c>
      <c r="R47" s="77" t="inlineStr">
        <is>
          <t>Curricular</t>
        </is>
      </c>
      <c r="S47" s="77" t="inlineStr">
        <is>
          <t>Department assessment page: group project and report 80%, reflective learning report 10%, group presentation 10%</t>
        </is>
      </c>
      <c r="T47" s="77" t="inlineStr"/>
      <c r="U47" s="77" t="inlineStr"/>
      <c r="V47" s="77" t="inlineStr">
        <is>
          <t>Yes</t>
        </is>
      </c>
      <c r="W47" s="77" t="inlineStr">
        <is>
          <t>Report for a client on a problem relevant to its activities [1].</t>
        </is>
      </c>
      <c r="X47" s="77" t="inlineStr">
        <is>
          <t>Yes</t>
        </is>
      </c>
      <c r="Y47" s="77" t="inlineStr">
        <is>
          <t>Teams of 3-5 [1].</t>
        </is>
      </c>
      <c r="Z47" s="77" t="inlineStr">
        <is>
          <t>Yes</t>
        </is>
      </c>
      <c r="AA47" s="77" t="inlineStr">
        <is>
          <t>Clients submit proposals/draft Terms of Reference and refine scope with the team; report and presentation to client [1].</t>
        </is>
      </c>
      <c r="AB47" s="77" t="inlineStr">
        <is>
          <t>Mixed</t>
        </is>
      </c>
      <c r="AC47" s="77" t="inlineStr">
        <is>
          <t>Client</t>
        </is>
      </c>
      <c r="AD47" s="77" t="inlineStr">
        <is>
          <t>Past clients (undated page): DfID, UNOCHA, World Bank, UNDP, UNICEF, UNHCR, NATO, UK Foreign Office, CARE, Oxfam, MSF, Fairtrade Foundation, Shell, Wedu</t>
        </is>
      </c>
      <c r="AE47" s="77" t="inlineStr"/>
      <c r="AF47" s="77">
        <f>IF(OR(V47="No",X47="No",Z47="No"),"Outside strict definition",IF(AND(V47="Yes",X47="Yes",Z47="Yes"),"Meets all three","Potentially relevant; evidence incomplete"))</f>
        <v/>
      </c>
      <c r="AG47" s="77" t="inlineStr">
        <is>
          <t>Current delivery confirmed</t>
        </is>
      </c>
      <c r="AH47" s="77" t="inlineStr">
        <is>
          <t>2025/26</t>
        </is>
      </c>
      <c r="AI47" s="77" t="inlineStr">
        <is>
          <t>No</t>
        </is>
      </c>
      <c r="AJ47" s="77">
        <f>IF(AND(AI47="Yes",AF47="Meets all three",AG47="Current delivery confirmed"),"Yes","No")</f>
        <v/>
      </c>
      <c r="AK47" s="77" t="inlineStr"/>
      <c r="AL47" s="77" t="inlineStr">
        <is>
          <t>RG13-S18-R1; RG13-S18-R2</t>
        </is>
      </c>
      <c r="AM47" s="77" t="inlineStr"/>
      <c r="AN47" s="77" t="inlineStr"/>
      <c r="AO47" s="77" t="inlineStr">
        <is>
          <t>UK</t>
        </is>
      </c>
      <c r="AP47" s="77" t="inlineStr">
        <is>
          <t>UK – Russell Group</t>
        </is>
      </c>
      <c r="AQ47" s="77" t="inlineStr">
        <is>
          <t>Unclear</t>
        </is>
      </c>
      <c r="AR47" s="77" t="inlineStr">
        <is>
          <t>Unclear</t>
        </is>
      </c>
      <c r="AS47" s="77" t="inlineStr">
        <is>
          <t>No (umbrella; children counted)</t>
        </is>
      </c>
    </row>
    <row r="48">
      <c r="A48" s="77" t="inlineStr">
        <is>
          <t>RG13</t>
        </is>
      </c>
      <c r="B48" s="77" t="inlineStr">
        <is>
          <t>London School of Economics</t>
        </is>
      </c>
      <c r="C48" s="77" t="inlineStr">
        <is>
          <t>Programme/course</t>
        </is>
      </c>
      <c r="D48" s="77" t="inlineStr">
        <is>
          <t>RG13-S19</t>
        </is>
      </c>
      <c r="E48" s="77" t="inlineStr">
        <is>
          <t>RG13-S18</t>
        </is>
      </c>
      <c r="F48" s="77" t="inlineStr">
        <is>
          <t>No</t>
        </is>
      </c>
      <c r="G48" s="79" t="inlineStr">
        <is>
          <t>Development Management Consultancy Project</t>
        </is>
      </c>
      <c r="H48" s="77" t="inlineStr">
        <is>
          <t>Development Management Consultancy Project</t>
        </is>
      </c>
      <c r="I48" s="77" t="inlineStr">
        <is>
          <t>DV443</t>
        </is>
      </c>
      <c r="J48" s="77" t="inlineStr">
        <is>
          <t>Half unit: teams of 3-6 undertake a live consultancy project for a real client under client-provided Terms of Reference, starting Autumn Term with client reports due in Winter Term and final client presentations.</t>
        </is>
      </c>
      <c r="K48" s="77" t="inlineStr">
        <is>
          <t>Department of International Development</t>
        </is>
      </c>
      <c r="L48" s="77" t="inlineStr">
        <is>
          <t>MSc Development Management (Applied Development Economics) and LSE-Sciences Po variants (compulsory); MSc Development Management (Political Economy) (available)</t>
        </is>
      </c>
      <c r="M48" s="77" t="inlineStr">
        <is>
          <t>Arts/humanities/social sciences</t>
        </is>
      </c>
      <c r="N48" s="77" t="inlineStr">
        <is>
          <t>Postgraduate taught</t>
        </is>
      </c>
      <c r="O48" s="77" t="inlineStr"/>
      <c r="P48" s="77" t="inlineStr"/>
      <c r="Q48" s="77" t="inlineStr">
        <is>
          <t>Compulsory within specified programmes</t>
        </is>
      </c>
      <c r="R48" s="77" t="inlineStr">
        <is>
          <t>Curricular</t>
        </is>
      </c>
      <c r="S48" s="77" t="inlineStr">
        <is>
          <t>Half unit; weightings inconsistent across sources (guide: project 70% 8,000 words, oral 20%, presentation 10%; dept page: 80/10/10)</t>
        </is>
      </c>
      <c r="T48" s="77" t="inlineStr">
        <is>
          <t>Autumn - Winter Term</t>
        </is>
      </c>
      <c r="U48" s="77" t="inlineStr">
        <is>
          <t>Team client consultancy</t>
        </is>
      </c>
      <c r="V48" s="77" t="inlineStr">
        <is>
          <t>Yes</t>
        </is>
      </c>
      <c r="W48" s="77" t="inlineStr">
        <is>
          <t>Live consultancy project with ToR; client report [1].</t>
        </is>
      </c>
      <c r="X48" s="77" t="inlineStr">
        <is>
          <t>Yes</t>
        </is>
      </c>
      <c r="Y48" s="77" t="inlineStr">
        <is>
          <t>Working as part of a team; teams usually 3-6 [1].</t>
        </is>
      </c>
      <c r="Z48" s="77" t="inlineStr">
        <is>
          <t>Yes</t>
        </is>
      </c>
      <c r="AA48" s="77" t="inlineStr">
        <is>
          <t>Real client provides Terms of Reference; client reports and presentations scheduled with client [1].</t>
        </is>
      </c>
      <c r="AB48" s="77" t="inlineStr">
        <is>
          <t>Mixed</t>
        </is>
      </c>
      <c r="AC48" s="77" t="inlineStr">
        <is>
          <t>Client</t>
        </is>
      </c>
      <c r="AD48" s="77" t="inlineStr"/>
      <c r="AE48" s="77" t="inlineStr">
        <is>
          <t>Client report (8,000 words) + presentation</t>
        </is>
      </c>
      <c r="AF48" s="77">
        <f>IF(OR(V48="No",X48="No",Z48="No"),"Outside strict definition",IF(AND(V48="Yes",X48="Yes",Z48="Yes"),"Meets all three","Potentially relevant; evidence incomplete"))</f>
        <v/>
      </c>
      <c r="AG48" s="77" t="inlineStr">
        <is>
          <t>Current delivery confirmed</t>
        </is>
      </c>
      <c r="AH48" s="77" t="inlineStr">
        <is>
          <t>2025/26</t>
        </is>
      </c>
      <c r="AI48" s="77" t="inlineStr">
        <is>
          <t>Yes</t>
        </is>
      </c>
      <c r="AJ48" s="77">
        <f>IF(AND(AI48="Yes",AF48="Meets all three",AG48="Current delivery confirmed"),"Yes","No")</f>
        <v/>
      </c>
      <c r="AK48" s="77" t="inlineStr">
        <is>
          <t>101 students (2024/25) per course guide</t>
        </is>
      </c>
      <c r="AL48" s="77" t="inlineStr">
        <is>
          <t>RG13-S19-R1</t>
        </is>
      </c>
      <c r="AM48" s="77" t="inlineStr"/>
      <c r="AN48" s="77" t="inlineStr"/>
      <c r="AO48" s="77" t="inlineStr">
        <is>
          <t>UK</t>
        </is>
      </c>
      <c r="AP48" s="77" t="inlineStr">
        <is>
          <t>UK – Russell Group</t>
        </is>
      </c>
      <c r="AQ48" s="77" t="inlineStr">
        <is>
          <t>Unclear</t>
        </is>
      </c>
      <c r="AR48" s="77" t="inlineStr">
        <is>
          <t>Unclear</t>
        </is>
      </c>
      <c r="AS48" s="77" t="inlineStr"/>
    </row>
    <row r="49">
      <c r="A49" s="77" t="inlineStr">
        <is>
          <t>RG13</t>
        </is>
      </c>
      <c r="B49" s="77" t="inlineStr">
        <is>
          <t>London School of Economics</t>
        </is>
      </c>
      <c r="C49" s="77" t="inlineStr">
        <is>
          <t>Programme/course</t>
        </is>
      </c>
      <c r="D49" s="77" t="inlineStr">
        <is>
          <t>RG13-S20</t>
        </is>
      </c>
      <c r="E49" s="77" t="inlineStr">
        <is>
          <t>RG13-S18</t>
        </is>
      </c>
      <c r="F49" s="77" t="inlineStr">
        <is>
          <t>No</t>
        </is>
      </c>
      <c r="G49" s="79" t="inlineStr">
        <is>
          <t>Health and International Development Consultancy Project</t>
        </is>
      </c>
      <c r="H49" s="77" t="inlineStr">
        <is>
          <t>Health and International Development Consultancy Project</t>
        </is>
      </c>
      <c r="I49" s="77" t="inlineStr">
        <is>
          <t>DV453</t>
        </is>
      </c>
      <c r="J49" s="77" t="inlineStr">
        <is>
          <t>Half-unit consultancy project in the same format (team report for an external client) for MSc Health and International Development (guaranteed place) and MSc Development Studies (optional, controlled access).</t>
        </is>
      </c>
      <c r="K49" s="77" t="inlineStr">
        <is>
          <t>Department of International Development</t>
        </is>
      </c>
      <c r="L49" s="77" t="inlineStr">
        <is>
          <t>MSc Health and International Development; MSc Development Studies</t>
        </is>
      </c>
      <c r="M49" s="77" t="inlineStr">
        <is>
          <t>Arts/humanities/social sciences</t>
        </is>
      </c>
      <c r="N49" s="77" t="inlineStr">
        <is>
          <t>Postgraduate taught</t>
        </is>
      </c>
      <c r="O49" s="77" t="inlineStr"/>
      <c r="P49" s="77" t="inlineStr"/>
      <c r="Q49" s="77" t="inlineStr">
        <is>
          <t>Optional/elective</t>
        </is>
      </c>
      <c r="R49" s="77" t="inlineStr">
        <is>
          <t>Curricular</t>
        </is>
      </c>
      <c r="S49" s="77" t="inlineStr">
        <is>
          <t>Half unit; report 80% (8,000 words), presentation 10%, learning log 10% (2026/27 guide)</t>
        </is>
      </c>
      <c r="T49" s="77" t="inlineStr"/>
      <c r="U49" s="77" t="inlineStr"/>
      <c r="V49" s="77" t="inlineStr">
        <is>
          <t>Yes</t>
        </is>
      </c>
      <c r="W49" s="77" t="inlineStr">
        <is>
          <t>Consultancy report and presentation [1][2].</t>
        </is>
      </c>
      <c r="X49" s="77" t="inlineStr">
        <is>
          <t>Yes</t>
        </is>
      </c>
      <c r="Y49" s="77" t="inlineStr">
        <is>
          <t>Department consultancy-project model: teams of 3-5 [3]; DV453-specific team wording not retrieved.</t>
        </is>
      </c>
      <c r="Z49" s="77" t="inlineStr">
        <is>
          <t>Yes</t>
        </is>
      </c>
      <c r="AA49" s="77" t="inlineStr">
        <is>
          <t>Department consultancy-project page: clients submit proposals/draft ToR and receive the report [3]; DV453 course-guide client wording not retrieved verbatim.</t>
        </is>
      </c>
      <c r="AB49" s="77" t="inlineStr">
        <is>
          <t>Mixed</t>
        </is>
      </c>
      <c r="AC49" s="77" t="inlineStr">
        <is>
          <t>Client</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2026/27</t>
        </is>
      </c>
      <c r="AI49" s="77" t="inlineStr">
        <is>
          <t>Yes</t>
        </is>
      </c>
      <c r="AJ49" s="77">
        <f>IF(AND(AI49="Yes",AF49="Meets all three",AG49="Current delivery confirmed"),"Yes","No")</f>
        <v/>
      </c>
      <c r="AK49" s="77" t="inlineStr"/>
      <c r="AL49" s="77" t="inlineStr">
        <is>
          <t>RG13-S20-R1; RG13-S20-R2; RG13-S20-R3</t>
        </is>
      </c>
      <c r="AM49" s="77" t="inlineStr">
        <is>
          <t>Compulsory vs optional status conflicts across 2023 handbook/2024-25 info; course-guide extract does not itself quote client involvement.</t>
        </is>
      </c>
      <c r="AN49" s="77" t="inlineStr"/>
      <c r="AO49" s="77" t="inlineStr">
        <is>
          <t>UK</t>
        </is>
      </c>
      <c r="AP49" s="77" t="inlineStr">
        <is>
          <t>UK – Russell Group</t>
        </is>
      </c>
      <c r="AQ49" s="77" t="inlineStr">
        <is>
          <t>Unclear</t>
        </is>
      </c>
      <c r="AR49" s="77" t="inlineStr">
        <is>
          <t>Unclear</t>
        </is>
      </c>
      <c r="AS49" s="77" t="inlineStr"/>
    </row>
    <row r="50">
      <c r="A50" s="77" t="inlineStr">
        <is>
          <t>RG13</t>
        </is>
      </c>
      <c r="B50" s="77" t="inlineStr">
        <is>
          <t>London School of Economics</t>
        </is>
      </c>
      <c r="C50" s="77" t="inlineStr">
        <is>
          <t>Programme/course</t>
        </is>
      </c>
      <c r="D50" s="77" t="inlineStr">
        <is>
          <t>RG13-S21</t>
        </is>
      </c>
      <c r="E50" s="77" t="inlineStr">
        <is>
          <t>RG13-S18</t>
        </is>
      </c>
      <c r="F50" s="77" t="inlineStr">
        <is>
          <t>No</t>
        </is>
      </c>
      <c r="G50" s="79" t="inlineStr">
        <is>
          <t>Humanitarian Consultancy Project</t>
        </is>
      </c>
      <c r="H50" s="77" t="inlineStr">
        <is>
          <t>Humanitarian Consultancy Project</t>
        </is>
      </c>
      <c r="I50" s="77" t="inlineStr">
        <is>
          <t>DV466</t>
        </is>
      </c>
      <c r="J50" s="77" t="inlineStr">
        <is>
          <t>Compulsory half unit for MSc International Development and Humanitarian Emergencies: students work in a small team on a live consultancy project for a real humanitarian, development or emergency-based organisation.</t>
        </is>
      </c>
      <c r="K50" s="77" t="inlineStr">
        <is>
          <t>Department of International Development</t>
        </is>
      </c>
      <c r="L50" s="77" t="inlineStr">
        <is>
          <t>MSc International Development and Humanitarian Emergencies</t>
        </is>
      </c>
      <c r="M50" s="77" t="inlineStr">
        <is>
          <t>Arts/humanities/social sciences</t>
        </is>
      </c>
      <c r="N50" s="77" t="inlineStr">
        <is>
          <t>Postgraduate taught</t>
        </is>
      </c>
      <c r="O50" s="77" t="inlineStr"/>
      <c r="P50" s="77" t="inlineStr"/>
      <c r="Q50" s="77" t="inlineStr">
        <is>
          <t>Compulsory within specified programmes</t>
        </is>
      </c>
      <c r="R50" s="77" t="inlineStr">
        <is>
          <t>Curricular</t>
        </is>
      </c>
      <c r="S50" s="77" t="inlineStr">
        <is>
          <t>Half unit (Paper 2 of programme regulations)</t>
        </is>
      </c>
      <c r="T50" s="77" t="inlineStr"/>
      <c r="U50" s="77" t="inlineStr"/>
      <c r="V50" s="77" t="inlineStr">
        <is>
          <t>Yes</t>
        </is>
      </c>
      <c r="W50" s="77" t="inlineStr">
        <is>
          <t>Live consultancy project on a current policy issue [1][3].</t>
        </is>
      </c>
      <c r="X50" s="77" t="inlineStr">
        <is>
          <t>Yes</t>
        </is>
      </c>
      <c r="Y50" s="77" t="inlineStr">
        <is>
          <t>Work in a small team [3].</t>
        </is>
      </c>
      <c r="Z50" s="77" t="inlineStr">
        <is>
          <t>Yes</t>
        </is>
      </c>
      <c r="AA50" s="77" t="inlineStr">
        <is>
          <t>Live consultancy project for a real client (humanitarian/development/emergency organisation) [1][3].</t>
        </is>
      </c>
      <c r="AB50" s="77" t="inlineStr">
        <is>
          <t>Mixed</t>
        </is>
      </c>
      <c r="AC50" s="77" t="inlineStr">
        <is>
          <t>Client</t>
        </is>
      </c>
      <c r="AD50" s="77" t="inlineStr">
        <is>
          <t>Programme page lists e.g. UNICEF, UNHCR, ICRC, Save the Children (undated)</t>
        </is>
      </c>
      <c r="AE50" s="77" t="inlineStr"/>
      <c r="AF50" s="77">
        <f>IF(OR(V50="No",X50="No",Z50="No"),"Outside strict definition",IF(AND(V50="Yes",X50="Yes",Z50="Yes"),"Meets all three","Potentially relevant; evidence incomplete"))</f>
        <v/>
      </c>
      <c r="AG50" s="77" t="inlineStr">
        <is>
          <t>Current delivery confirmed</t>
        </is>
      </c>
      <c r="AH50" s="77" t="inlineStr">
        <is>
          <t>2025/26</t>
        </is>
      </c>
      <c r="AI50" s="77" t="inlineStr">
        <is>
          <t>Yes</t>
        </is>
      </c>
      <c r="AJ50" s="77">
        <f>IF(AND(AI50="Yes",AF50="Meets all three",AG50="Current delivery confirmed"),"Yes","No")</f>
        <v/>
      </c>
      <c r="AK50" s="77" t="inlineStr"/>
      <c r="AL50" s="77" t="inlineStr">
        <is>
          <t>RG13-S21-R1; RG13-S21-R2; RG13-S21-R3</t>
        </is>
      </c>
      <c r="AM50" s="77" t="inlineStr"/>
      <c r="AN50" s="77" t="inlineStr"/>
      <c r="AO50" s="77" t="inlineStr">
        <is>
          <t>UK</t>
        </is>
      </c>
      <c r="AP50" s="77" t="inlineStr">
        <is>
          <t>UK – Russell Group</t>
        </is>
      </c>
      <c r="AQ50" s="77" t="inlineStr">
        <is>
          <t>Unclear</t>
        </is>
      </c>
      <c r="AR50" s="77" t="inlineStr">
        <is>
          <t>Unclear</t>
        </is>
      </c>
      <c r="AS50" s="77" t="inlineStr"/>
    </row>
    <row r="51">
      <c r="A51" s="77" t="inlineStr">
        <is>
          <t>RG13</t>
        </is>
      </c>
      <c r="B51" s="77" t="inlineStr">
        <is>
          <t>London School of Economics</t>
        </is>
      </c>
      <c r="C51" s="77" t="inlineStr">
        <is>
          <t>Programme/course</t>
        </is>
      </c>
      <c r="D51" s="77" t="inlineStr">
        <is>
          <t>RG13-S22</t>
        </is>
      </c>
      <c r="E51" s="77" t="inlineStr"/>
      <c r="F51" s="77" t="inlineStr">
        <is>
          <t>No</t>
        </is>
      </c>
      <c r="G51" s="79" t="inlineStr">
        <is>
          <t>Urban Policy and Planning (applied consultancy project)</t>
        </is>
      </c>
      <c r="H51" s="77" t="inlineStr">
        <is>
          <t>Urban Policy and Planning (applied consultancy project)</t>
        </is>
      </c>
      <c r="I51" s="77" t="inlineStr">
        <is>
          <t>GY454</t>
        </is>
      </c>
      <c r="J51" s="77" t="inlineStr">
        <is>
          <t>Half-unit Winter Term course whose centrepiece assessment is a team consultancy exercise in which students act as planning consultants responding to a 'live or archival' planning brief set by a 'typical type of client'.</t>
        </is>
      </c>
      <c r="K51" s="77" t="inlineStr">
        <is>
          <t>Department of Geography and Environment</t>
        </is>
      </c>
      <c r="L51" s="77" t="inlineStr">
        <is>
          <t>Geography &amp; Environment MSc programmes (not confirmed)</t>
        </is>
      </c>
      <c r="M51" s="77" t="inlineStr">
        <is>
          <t>Arts/humanities/social sciences</t>
        </is>
      </c>
      <c r="N51" s="77" t="inlineStr">
        <is>
          <t>Postgraduate taught</t>
        </is>
      </c>
      <c r="O51" s="77" t="inlineStr"/>
      <c r="P51" s="77" t="inlineStr"/>
      <c r="Q51" s="77" t="inlineStr">
        <is>
          <t>Unclear</t>
        </is>
      </c>
      <c r="R51" s="77" t="inlineStr">
        <is>
          <t>Curricular</t>
        </is>
      </c>
      <c r="S51" s="77" t="inlineStr">
        <is>
          <t>Half unit; assessment includes an element of group work</t>
        </is>
      </c>
      <c r="T51" s="77" t="inlineStr">
        <is>
          <t>Winter Term</t>
        </is>
      </c>
      <c r="U51" s="77" t="inlineStr"/>
      <c r="V51" s="77" t="inlineStr">
        <is>
          <t>Yes</t>
        </is>
      </c>
      <c r="W51" s="77" t="inlineStr">
        <is>
          <t>Applied consultancy project responding to a planning brief [1].</t>
        </is>
      </c>
      <c r="X51" s="77" t="inlineStr">
        <is>
          <t>Yes</t>
        </is>
      </c>
      <c r="Y51" s="77" t="inlineStr">
        <is>
          <t>'Working in teams, students act as professional planning consultants' [1].</t>
        </is>
      </c>
      <c r="Z51" s="77" t="inlineStr">
        <is>
          <t>Unclear</t>
        </is>
      </c>
      <c r="AA51" s="77" t="inlineStr">
        <is>
          <t>Brief may be live or archival and is set by 'a typical type of client' - no evidence a real organisation supplies it or receives outputs [1].</t>
        </is>
      </c>
      <c r="AB51" s="77" t="inlineStr">
        <is>
          <t>Unclear</t>
        </is>
      </c>
      <c r="AC51" s="77" t="inlineStr">
        <is>
          <t>Not evidenced</t>
        </is>
      </c>
      <c r="AD51" s="77" t="inlineStr"/>
      <c r="AE51" s="77" t="inlineStr"/>
      <c r="AF51" s="77">
        <f>IF(OR(V51="No",X51="No",Z51="No"),"Outside strict definition",IF(AND(V51="Yes",X51="Yes",Z51="Yes"),"Meets all three","Potentially relevant; evidence incomplete"))</f>
        <v/>
      </c>
      <c r="AG51" s="77" t="inlineStr">
        <is>
          <t>Current delivery confirmed</t>
        </is>
      </c>
      <c r="AH51" s="77" t="inlineStr">
        <is>
          <t>2026/27</t>
        </is>
      </c>
      <c r="AI51" s="77" t="inlineStr">
        <is>
          <t>Yes</t>
        </is>
      </c>
      <c r="AJ51" s="77">
        <f>IF(AND(AI51="Yes",AF51="Meets all three",AG51="Current delivery confirmed"),"Yes","No")</f>
        <v/>
      </c>
      <c r="AK51" s="77" t="inlineStr"/>
      <c r="AL51" s="77" t="inlineStr">
        <is>
          <t>RG13-S22-R1</t>
        </is>
      </c>
      <c r="AM51" s="77" t="inlineStr">
        <is>
          <t>Whether live briefs come from real planning authorities/developers in any year.</t>
        </is>
      </c>
      <c r="AN51" s="77" t="inlineStr"/>
      <c r="AO51" s="77" t="inlineStr">
        <is>
          <t>UK</t>
        </is>
      </c>
      <c r="AP51" s="77" t="inlineStr">
        <is>
          <t>UK – Russell Group</t>
        </is>
      </c>
      <c r="AQ51" s="77" t="inlineStr">
        <is>
          <t>Unclear</t>
        </is>
      </c>
      <c r="AR51" s="77" t="inlineStr">
        <is>
          <t>Unclear</t>
        </is>
      </c>
      <c r="AS51" s="77" t="inlineStr"/>
    </row>
    <row r="52">
      <c r="A52" s="77" t="inlineStr">
        <is>
          <t>RG13</t>
        </is>
      </c>
      <c r="B52" s="77" t="inlineStr">
        <is>
          <t>London School of Economics</t>
        </is>
      </c>
      <c r="C52" s="77" t="inlineStr">
        <is>
          <t>Cross-faculty</t>
        </is>
      </c>
      <c r="D52" s="77" t="inlineStr">
        <is>
          <t>RG13-S23</t>
        </is>
      </c>
      <c r="E52" s="77" t="inlineStr"/>
      <c r="F52" s="77" t="inlineStr">
        <is>
          <t>No</t>
        </is>
      </c>
      <c r="G52" s="79" t="inlineStr">
        <is>
          <t>LSE Legal Advice Centre Sustainability Clinic</t>
        </is>
      </c>
      <c r="H52" s="77" t="inlineStr">
        <is>
          <t>LSE Legal Advice Centre Sustainability Clinic</t>
        </is>
      </c>
      <c r="I52" s="77" t="inlineStr"/>
      <c r="J52"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52" s="77" t="inlineStr">
        <is>
          <t>LSE Law School - Legal Advice Centre</t>
        </is>
      </c>
      <c r="L52" s="77" t="inlineStr">
        <is>
          <t>LLB, BA Anthropology and Law, LLM and various Master's programmes</t>
        </is>
      </c>
      <c r="M52" s="77" t="inlineStr">
        <is>
          <t>Other (law, health, design, architecture…)</t>
        </is>
      </c>
      <c r="N52" s="77" t="inlineStr">
        <is>
          <t>Mixed</t>
        </is>
      </c>
      <c r="O52" s="77" t="inlineStr"/>
      <c r="P52" s="77" t="inlineStr"/>
      <c r="Q52" s="77" t="inlineStr">
        <is>
          <t>Selective/competitive</t>
        </is>
      </c>
      <c r="R52" s="77" t="inlineStr">
        <is>
          <t>Unclear</t>
        </is>
      </c>
      <c r="S52" s="77" t="inlineStr"/>
      <c r="T52" s="77" t="inlineStr"/>
      <c r="U52" s="77" t="inlineStr"/>
      <c r="V52" s="77" t="inlineStr">
        <is>
          <t>Yes</t>
        </is>
      </c>
      <c r="W52" s="77" t="inlineStr">
        <is>
          <t>Policy reports, memos and amicus briefs on defined issues; ClientEarth report [1][2].</t>
        </is>
      </c>
      <c r="X52" s="77" t="inlineStr">
        <is>
          <t>Yes</t>
        </is>
      </c>
      <c r="Y52" s="77" t="inlineStr">
        <is>
          <t>Students work in collaborative teams [1].</t>
        </is>
      </c>
      <c r="Z52" s="77" t="inlineStr">
        <is>
          <t>Yes</t>
        </is>
      </c>
      <c r="AA52" s="77" t="inlineStr">
        <is>
          <t>Reports drafted for environmental NGOs and charities [1]; ClientEarth collaboration with ClientEarth specialists training students [2].</t>
        </is>
      </c>
      <c r="AB52" s="77" t="inlineStr">
        <is>
          <t>Charity/community</t>
        </is>
      </c>
      <c r="AC52" s="77" t="inlineStr">
        <is>
          <t>NGO partner sets issue, trains/advises, receives report</t>
        </is>
      </c>
      <c r="AD52" s="77" t="inlineStr">
        <is>
          <t>ClientEarth (year not shown)</t>
        </is>
      </c>
      <c r="AE52" s="77" t="inlineStr">
        <is>
          <t>Policy reports, memos, amicus briefs</t>
        </is>
      </c>
      <c r="AF52" s="77">
        <f>IF(OR(V52="No",X52="No",Z52="No"),"Outside strict definition",IF(AND(V52="Yes",X52="Yes",Z52="Yes"),"Meets all three","Potentially relevant; evidence incomplete"))</f>
        <v/>
      </c>
      <c r="AG52" s="77" t="inlineStr">
        <is>
          <t>Current status unclear</t>
        </is>
      </c>
      <c r="AH52" s="77" t="inlineStr"/>
      <c r="AI52" s="77" t="inlineStr">
        <is>
          <t>Yes</t>
        </is>
      </c>
      <c r="AJ52" s="77">
        <f>IF(AND(AI52="Yes",AF52="Meets all three",AG52="Current delivery confirmed"),"Yes","No")</f>
        <v/>
      </c>
      <c r="AK52" s="77" t="inlineStr">
        <is>
          <t>Approx. 20 students (clinic page, undated); a LAC diary entry gives twelve</t>
        </is>
      </c>
      <c r="AL52" s="77" t="inlineStr">
        <is>
          <t>RG13-S23-R1; RG13-S23-R2</t>
        </is>
      </c>
      <c r="AM52" s="77" t="inlineStr">
        <is>
          <t>Dates of ClientEarth project and current cohort; credit status; course-level eligibility rules.</t>
        </is>
      </c>
      <c r="AN52" s="77" t="inlineStr"/>
      <c r="AO52" s="77" t="inlineStr">
        <is>
          <t>UK</t>
        </is>
      </c>
      <c r="AP52" s="77" t="inlineStr">
        <is>
          <t>UK – Russell Group</t>
        </is>
      </c>
      <c r="AQ52" s="77" t="inlineStr">
        <is>
          <t>Unclear</t>
        </is>
      </c>
      <c r="AR52" s="77" t="inlineStr">
        <is>
          <t>Unclear</t>
        </is>
      </c>
      <c r="AS52" s="77" t="inlineStr"/>
    </row>
    <row r="53">
      <c r="A53" s="77" t="inlineStr">
        <is>
          <t>RG13</t>
        </is>
      </c>
      <c r="B53" s="77" t="inlineStr">
        <is>
          <t>London School of Economics</t>
        </is>
      </c>
      <c r="C53" s="77" t="inlineStr">
        <is>
          <t>Programme/course</t>
        </is>
      </c>
      <c r="D53" s="77" t="inlineStr">
        <is>
          <t>RG13-S24</t>
        </is>
      </c>
      <c r="E53" s="77" t="inlineStr"/>
      <c r="F53" s="77" t="inlineStr">
        <is>
          <t>No</t>
        </is>
      </c>
      <c r="G53" s="79" t="inlineStr">
        <is>
          <t>ECtHR Intervention Clinic</t>
        </is>
      </c>
      <c r="H53" s="77" t="inlineStr">
        <is>
          <t>ECtHR Intervention Clinic</t>
        </is>
      </c>
      <c r="I53" s="77" t="inlineStr"/>
      <c r="J53"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53" s="77" t="inlineStr">
        <is>
          <t>LSE Law School</t>
        </is>
      </c>
      <c r="L53" s="77" t="inlineStr">
        <is>
          <t>LLM</t>
        </is>
      </c>
      <c r="M53" s="77" t="inlineStr">
        <is>
          <t>Other (law, health, design, architecture…)</t>
        </is>
      </c>
      <c r="N53" s="77" t="inlineStr">
        <is>
          <t>Postgraduate taught</t>
        </is>
      </c>
      <c r="O53" s="77" t="inlineStr"/>
      <c r="P53" s="77" t="inlineStr"/>
      <c r="Q53" s="77" t="inlineStr">
        <is>
          <t>Selective/competitive</t>
        </is>
      </c>
      <c r="R53" s="77" t="inlineStr">
        <is>
          <t>Extracurricular</t>
        </is>
      </c>
      <c r="S53" s="77" t="inlineStr"/>
      <c r="T53" s="77" t="inlineStr"/>
      <c r="U53" s="77" t="inlineStr"/>
      <c r="V53" s="77" t="inlineStr">
        <is>
          <t>Yes</t>
        </is>
      </c>
      <c r="W53" s="77" t="inlineStr">
        <is>
          <t>Third-party intervention briefs filed in specific ECtHR cases [1][2].</t>
        </is>
      </c>
      <c r="X53" s="77" t="inlineStr">
        <is>
          <t>Yes</t>
        </is>
      </c>
      <c r="Y53" s="77" t="inlineStr">
        <is>
          <t>Brief prepared by five LLM students for Podchasov v Russia (2021) [2].</t>
        </is>
      </c>
      <c r="Z53" s="77" t="inlineStr">
        <is>
          <t>Unclear</t>
        </is>
      </c>
      <c r="AA53" s="77" t="inlineStr">
        <is>
          <t>Clinic run with EISi (NGO); not clear whether EISi acts as client/filing party or co-convenor [1].</t>
        </is>
      </c>
      <c r="AB53" s="77" t="inlineStr">
        <is>
          <t>Charity/community</t>
        </is>
      </c>
      <c r="AC53" s="77" t="inlineStr">
        <is>
          <t>NGO co-runs clinic (role unclear)</t>
        </is>
      </c>
      <c r="AD53" s="77" t="inlineStr">
        <is>
          <t>European Information Society Institute (EISi)</t>
        </is>
      </c>
      <c r="AE53" s="77" t="inlineStr">
        <is>
          <t>Third-party intervention submissions to ECtHR</t>
        </is>
      </c>
      <c r="AF53" s="77">
        <f>IF(OR(V53="No",X53="No",Z53="No"),"Outside strict definition",IF(AND(V53="Yes",X53="Yes",Z53="Yes"),"Meets all three","Potentially relevant; evidence incomplete"))</f>
        <v/>
      </c>
      <c r="AG53" s="77" t="inlineStr">
        <is>
          <t>Current status unclear</t>
        </is>
      </c>
      <c r="AH53" s="77" t="inlineStr">
        <is>
          <t>2021 (dated); later Sanchez v France undated</t>
        </is>
      </c>
      <c r="AI53" s="77" t="inlineStr">
        <is>
          <t>Yes</t>
        </is>
      </c>
      <c r="AJ53" s="77">
        <f>IF(AND(AI53="Yes",AF53="Meets all three",AG53="Current delivery confirmed"),"Yes","No")</f>
        <v/>
      </c>
      <c r="AK53" s="77" t="inlineStr"/>
      <c r="AL53" s="77" t="inlineStr">
        <is>
          <t>RG13-S24-R1; RG13-S24-R2</t>
        </is>
      </c>
      <c r="AM53" s="77" t="inlineStr"/>
      <c r="AN53" s="77" t="inlineStr"/>
      <c r="AO53" s="77" t="inlineStr">
        <is>
          <t>UK</t>
        </is>
      </c>
      <c r="AP53" s="77" t="inlineStr">
        <is>
          <t>UK – Russell Group</t>
        </is>
      </c>
      <c r="AQ53" s="77" t="inlineStr">
        <is>
          <t>Unclear</t>
        </is>
      </c>
      <c r="AR53" s="77" t="inlineStr">
        <is>
          <t>Unclear</t>
        </is>
      </c>
      <c r="AS53" s="77" t="inlineStr"/>
    </row>
  </sheetData>
  <conditionalFormatting sqref="V7:V53">
    <cfRule type="expression" priority="1" dxfId="4">
      <formula>V7="Yes"</formula>
    </cfRule>
    <cfRule type="expression" priority="2" dxfId="6">
      <formula>V7="No"</formula>
    </cfRule>
    <cfRule type="expression" priority="3" dxfId="5">
      <formula>V7="Unclear"</formula>
    </cfRule>
  </conditionalFormatting>
  <conditionalFormatting sqref="X7:X53">
    <cfRule type="expression" priority="4" dxfId="4">
      <formula>X7="Yes"</formula>
    </cfRule>
    <cfRule type="expression" priority="5" dxfId="6">
      <formula>X7="No"</formula>
    </cfRule>
    <cfRule type="expression" priority="6" dxfId="5">
      <formula>X7="Unclear"</formula>
    </cfRule>
  </conditionalFormatting>
  <conditionalFormatting sqref="Z7:Z53">
    <cfRule type="expression" priority="7" dxfId="4">
      <formula>Z7="Yes"</formula>
    </cfRule>
    <cfRule type="expression" priority="8" dxfId="6">
      <formula>Z7="No"</formula>
    </cfRule>
    <cfRule type="expression" priority="9" dxfId="5">
      <formula>Z7="Unclear"</formula>
    </cfRule>
  </conditionalFormatting>
  <conditionalFormatting sqref="AF7:AF53">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53">
    <cfRule type="expression" priority="13" dxfId="4">
      <formula>AJ7="Yes"</formula>
    </cfRule>
  </conditionalFormatting>
  <dataValidations count="7">
    <dataValidation sqref="V7:V53" showDropDown="0" showInputMessage="0" showErrorMessage="0" allowBlank="1" type="list">
      <formula1>"Yes,No,Unclear"</formula1>
    </dataValidation>
    <dataValidation sqref="X7:X53" showDropDown="0" showInputMessage="0" showErrorMessage="0" allowBlank="1" type="list">
      <formula1>"Yes,No,Unclear"</formula1>
    </dataValidation>
    <dataValidation sqref="Z7:Z53" showDropDown="0" showInputMessage="0" showErrorMessage="0" allowBlank="1" type="list">
      <formula1>"Yes,No,Unclear"</formula1>
    </dataValidation>
    <dataValidation sqref="C7:C53" showDropDown="0" showInputMessage="0" showErrorMessage="0" allowBlank="1" type="list">
      <formula1>"University-wide,Cross-faculty,Faculty/school,Programme/course,Unclear"</formula1>
    </dataValidation>
    <dataValidation sqref="AG7:AG53" showDropDown="0" showInputMessage="0" showErrorMessage="0" allowBlank="1" type="list">
      <formula1>"Current delivery confirmed,Announced/forthcoming,Historical delivery only,Paused/discontinued,Current status unclear"</formula1>
    </dataValidation>
    <dataValidation sqref="Q7:Q53" showDropDown="0" showInputMessage="0" showErrorMessage="0" allowBlank="1" type="list">
      <formula1>"Compulsory for all students (at stated level),Compulsory within specified programmes,Optional/elective,Selective/competitive,Unclear"</formula1>
    </dataValidation>
    <dataValidation sqref="AB7:AB53"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2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RG13-X01</t>
        </is>
      </c>
      <c r="B7" s="77" t="inlineStr">
        <is>
          <t>RG13</t>
        </is>
      </c>
      <c r="C7" s="77" t="inlineStr">
        <is>
          <t>London School of Economics</t>
        </is>
      </c>
      <c r="D7" s="77" t="inlineStr">
        <is>
          <t>UK – Russell Group</t>
        </is>
      </c>
      <c r="E7" s="77" t="inlineStr">
        <is>
          <t>LSE GROUPS (undergraduate group research projects)</t>
        </is>
      </c>
      <c r="F7" s="77" t="inlineStr">
        <is>
          <t>No</t>
        </is>
      </c>
      <c r="G7" s="77" t="inlineStr"/>
      <c r="H7" s="77" t="inlineStr">
        <is>
          <t>Near-miss: no external org</t>
        </is>
      </c>
      <c r="I7" s="77" t="inlineStr">
        <is>
          <t>Eden Centre-run undergraduate group research projects; guide describes building an undergraduate research project with no evidence of external organisation briefs/clients (internal academic research).</t>
        </is>
      </c>
      <c r="J7" s="77" t="inlineStr">
        <is>
          <t>https://info.lse.ac.uk/staff/divisions/Eden-Centre/Assets-EC/Documents/LSE-GROUPS-guide-2025.pdf</t>
        </is>
      </c>
      <c r="K7" s="77" t="inlineStr">
        <is>
          <t>2025 guide</t>
        </is>
      </c>
    </row>
    <row r="8">
      <c r="A8" s="77" t="inlineStr">
        <is>
          <t>RG13-X02</t>
        </is>
      </c>
      <c r="B8" s="77" t="inlineStr">
        <is>
          <t>RG13</t>
        </is>
      </c>
      <c r="C8" s="77" t="inlineStr">
        <is>
          <t>London School of Economics</t>
        </is>
      </c>
      <c r="D8" s="77" t="inlineStr">
        <is>
          <t>UK – Russell Group</t>
        </is>
      </c>
      <c r="E8" s="77" t="inlineStr">
        <is>
          <t>LSE Generate (entrepreneurship hub, Accelerator Programme)</t>
        </is>
      </c>
      <c r="F8" s="77" t="inlineStr">
        <is>
          <t>No</t>
        </is>
      </c>
      <c r="G8" s="77" t="inlineStr"/>
      <c r="H8" s="77" t="inlineStr">
        <is>
          <t>Entrepreneurship/incubator</t>
        </is>
      </c>
      <c r="I8" s="77" t="inlineStr">
        <is>
          <t>Supports students/alumni building their own ventures; no external client brief.</t>
        </is>
      </c>
      <c r="J8" s="77" t="inlineStr">
        <is>
          <t>https://info.lse.ac.uk/staff/divisions/research-and-innovation/generate</t>
        </is>
      </c>
      <c r="K8" s="77" t="inlineStr"/>
    </row>
    <row r="9">
      <c r="A9" s="77" t="inlineStr">
        <is>
          <t>RG13-X03</t>
        </is>
      </c>
      <c r="B9" s="77" t="inlineStr">
        <is>
          <t>RG13</t>
        </is>
      </c>
      <c r="C9" s="77" t="inlineStr">
        <is>
          <t>London School of Economics</t>
        </is>
      </c>
      <c r="D9" s="77" t="inlineStr">
        <is>
          <t>UK – Russell Group</t>
        </is>
      </c>
      <c r="E9" s="77" t="inlineStr">
        <is>
          <t>LSE Careers Discover | Consultancy</t>
        </is>
      </c>
      <c r="F9" s="77" t="inlineStr">
        <is>
          <t>No</t>
        </is>
      </c>
      <c r="G9" s="77" t="inlineStr"/>
      <c r="H9" s="77" t="inlineStr">
        <is>
          <t>Careers service</t>
        </is>
      </c>
      <c r="I9" s="77" t="inlineStr">
        <is>
          <t>Careers events (fairs, alumni panels, skills seminars) about consulting careers; no project.</t>
        </is>
      </c>
      <c r="J9" s="77" t="inlineStr">
        <is>
          <t>https://info.lse.ac.uk/current-students/careers/events/discover-consultancy</t>
        </is>
      </c>
      <c r="K9" s="77" t="inlineStr"/>
    </row>
    <row r="10">
      <c r="A10" s="77" t="inlineStr">
        <is>
          <t>RG13-X04</t>
        </is>
      </c>
      <c r="B10" s="77" t="inlineStr">
        <is>
          <t>RG13</t>
        </is>
      </c>
      <c r="C10" s="77" t="inlineStr">
        <is>
          <t>London School of Economics</t>
        </is>
      </c>
      <c r="D10" s="77" t="inlineStr">
        <is>
          <t>UK – Russell Group</t>
        </is>
      </c>
      <c r="E10" s="77" t="inlineStr">
        <is>
          <t>MY498 Capstone Project (MSc Applied Social Data Science)</t>
        </is>
      </c>
      <c r="F10" s="77" t="inlineStr">
        <is>
          <t>No</t>
        </is>
      </c>
      <c r="G10" s="77" t="inlineStr"/>
      <c r="H10" s="77" t="inlineStr">
        <is>
          <t>Dissertation/research</t>
        </is>
      </c>
      <c r="I10" s="77" t="inlineStr">
        <is>
          <t>Individual 10,000-word data-science thesis supervised in Department of Methodology; no external partner or group evidence.</t>
        </is>
      </c>
      <c r="J10" s="77" t="inlineStr">
        <is>
          <t>https://www.lse.ac.uk/resources/calendar/courseGuides/MY/2026_MY498.htm</t>
        </is>
      </c>
      <c r="K10" s="77" t="inlineStr">
        <is>
          <t>2026/27 guide</t>
        </is>
      </c>
    </row>
    <row r="11">
      <c r="A11" s="77" t="inlineStr">
        <is>
          <t>RG13-X05</t>
        </is>
      </c>
      <c r="B11" s="77" t="inlineStr">
        <is>
          <t>RG13</t>
        </is>
      </c>
      <c r="C11" s="77" t="inlineStr">
        <is>
          <t>London School of Economics</t>
        </is>
      </c>
      <c r="D11" s="77" t="inlineStr">
        <is>
          <t>UK – Russell Group</t>
        </is>
      </c>
      <c r="E11" s="77" t="inlineStr">
        <is>
          <t>GV331 Capstone Data Science &amp; Civic Engagement (BSc Politics and Data Science)</t>
        </is>
      </c>
      <c r="F11" s="77" t="inlineStr">
        <is>
          <t>No</t>
        </is>
      </c>
      <c r="G11" s="77" t="inlineStr"/>
      <c r="H11" s="77" t="inlineStr">
        <is>
          <t>Other</t>
        </is>
      </c>
      <c r="I11" s="77" t="inlineStr">
        <is>
          <t>Design met A/B/C (groups doing applied projects for civic partner organisations) but course marked not available 2021/22 and 2022/23; no later guide found.</t>
        </is>
      </c>
      <c r="J11" s="77" t="inlineStr">
        <is>
          <t>https://www.lse.ac.uk/resources/calendar2021-2022/courseGuides/GV/2021_GV331.htm</t>
        </is>
      </c>
      <c r="K11" s="77" t="inlineStr">
        <is>
          <t>Paused/discontinued (not available 2021/22, 2022/23)</t>
        </is>
      </c>
    </row>
    <row r="12">
      <c r="A12" s="77" t="inlineStr">
        <is>
          <t>RG13-X06</t>
        </is>
      </c>
      <c r="B12" s="77" t="inlineStr">
        <is>
          <t>RG13</t>
        </is>
      </c>
      <c r="C12" s="77" t="inlineStr">
        <is>
          <t>London School of Economics</t>
        </is>
      </c>
      <c r="D12" s="77" t="inlineStr">
        <is>
          <t>UK – Russell Group</t>
        </is>
      </c>
      <c r="E12" s="77" t="inlineStr">
        <is>
          <t>MG315 Marketing Action Learning Project (undergraduate)</t>
        </is>
      </c>
      <c r="F12" s="77" t="inlineStr">
        <is>
          <t>No</t>
        </is>
      </c>
      <c r="G12" s="77" t="inlineStr"/>
      <c r="H12" s="77" t="inlineStr">
        <is>
          <t>Other</t>
        </is>
      </c>
      <c r="I12" s="77" t="inlineStr">
        <is>
          <t>Team marketing plan project; 2022/23 guide shows 'Not available'; no 2025/26 guide; client involvement not evidenced in extract. Superseded at PG level by MG4F1.</t>
        </is>
      </c>
      <c r="J12" s="77" t="inlineStr">
        <is>
          <t>https://www.lse.ac.uk/resources/calendar2022-2023/courseGuides/MG/2022_MG315.htm</t>
        </is>
      </c>
      <c r="K12" s="77" t="inlineStr">
        <is>
          <t>Not available 2022/23; no current guide</t>
        </is>
      </c>
    </row>
    <row r="13">
      <c r="A13" s="77" t="inlineStr">
        <is>
          <t>RG13-X07</t>
        </is>
      </c>
      <c r="B13" s="77" t="inlineStr">
        <is>
          <t>RG13</t>
        </is>
      </c>
      <c r="C13" s="77" t="inlineStr">
        <is>
          <t>London School of Economics</t>
        </is>
      </c>
      <c r="D13" s="77" t="inlineStr">
        <is>
          <t>UK – Russell Group</t>
        </is>
      </c>
      <c r="E13" s="77" t="inlineStr">
        <is>
          <t>MG311 Behavioural Science and Group Processes</t>
        </is>
      </c>
      <c r="F13" s="77" t="inlineStr">
        <is>
          <t>No</t>
        </is>
      </c>
      <c r="G13" s="77" t="inlineStr"/>
      <c r="H13" s="77" t="inlineStr">
        <is>
          <t>Near-miss: no external org</t>
        </is>
      </c>
      <c r="I13" s="77" t="inlineStr">
        <is>
          <t>Group project analyses a real decision selected by students, not a client brief.</t>
        </is>
      </c>
      <c r="J13" s="77" t="inlineStr">
        <is>
          <t>https://www.lse.ac.uk/resources/calendar/courseGuides/MG/2026_MG311.htm</t>
        </is>
      </c>
      <c r="K13" s="77" t="inlineStr">
        <is>
          <t>2026/27</t>
        </is>
      </c>
    </row>
    <row r="14">
      <c r="A14" s="77" t="inlineStr">
        <is>
          <t>RG13-X08</t>
        </is>
      </c>
      <c r="B14" s="77" t="inlineStr">
        <is>
          <t>RG13</t>
        </is>
      </c>
      <c r="C14" s="77" t="inlineStr">
        <is>
          <t>London School of Economics</t>
        </is>
      </c>
      <c r="D14" s="77" t="inlineStr">
        <is>
          <t>UK – Russell Group</t>
        </is>
      </c>
      <c r="E14" s="77" t="inlineStr">
        <is>
          <t>LSE Legal Advice Centre / Homelessness Legal Clinic (with Centrepoint and Shelter)</t>
        </is>
      </c>
      <c r="F14" s="77" t="inlineStr">
        <is>
          <t>No</t>
        </is>
      </c>
      <c r="G14" s="77" t="inlineStr"/>
      <c r="H14" s="77" t="inlineStr">
        <is>
          <t>Volunteering/service-learning</t>
        </is>
      </c>
      <c r="I14" s="77" t="inlineStr">
        <is>
          <t>Pro bono casework in pairs under Shelter lawyers; individual-client legal casework rather than a bounded project with defined output to an organisation; volunteer roles for 2nd/3rd year LLB, BA Law and Anthropology and LLM (~5 hrs/week).</t>
        </is>
      </c>
      <c r="J14" s="77" t="inlineStr">
        <is>
          <t>https://www.lse.ac.uk/law/legal-advice-centre/access-to-justice</t>
        </is>
      </c>
      <c r="K14" s="77" t="inlineStr">
        <is>
          <t>2025/26 volunteer call on https://www.lse.ac.uk/law/legal-advice/lse-law-students</t>
        </is>
      </c>
    </row>
    <row r="15">
      <c r="A15" s="77" t="inlineStr">
        <is>
          <t>RG13-X09</t>
        </is>
      </c>
      <c r="B15" s="77" t="inlineStr">
        <is>
          <t>RG13</t>
        </is>
      </c>
      <c r="C15" s="77" t="inlineStr">
        <is>
          <t>London School of Economics</t>
        </is>
      </c>
      <c r="D15" s="77" t="inlineStr">
        <is>
          <t>UK – Russell Group</t>
        </is>
      </c>
      <c r="E15" s="77" t="inlineStr">
        <is>
          <t>LSE Consulting</t>
        </is>
      </c>
      <c r="F15" s="77" t="inlineStr">
        <is>
          <t>No</t>
        </is>
      </c>
      <c r="G15" s="77" t="inlineStr"/>
      <c r="H15" s="77" t="inlineStr">
        <is>
          <t>Other</t>
        </is>
      </c>
      <c r="I15" s="77" t="inlineStr">
        <is>
          <t>LSE's academic consultancy arm (staff consulting for clients), not a student scheme.</t>
        </is>
      </c>
      <c r="J15" s="77" t="inlineStr">
        <is>
          <t>https://www.lse.ac.uk/business/consulting</t>
        </is>
      </c>
      <c r="K15" s="77" t="inlineStr"/>
    </row>
    <row r="16">
      <c r="A16" s="77" t="inlineStr">
        <is>
          <t>AU02-X01</t>
        </is>
      </c>
      <c r="B16" s="77" t="inlineStr">
        <is>
          <t>AU02</t>
        </is>
      </c>
      <c r="C16" s="77" t="inlineStr">
        <is>
          <t>Melbourne</t>
        </is>
      </c>
      <c r="D16" s="77" t="inlineStr">
        <is>
          <t>Australia</t>
        </is>
      </c>
      <c r="E16" s="77" t="inlineStr">
        <is>
          <t>Breadth subjects / Melbourne curriculum</t>
        </is>
      </c>
      <c r="F16" s="77" t="inlineStr">
        <is>
          <t>Yes</t>
        </is>
      </c>
      <c r="G16" s="77" t="n">
        <v>32</v>
      </c>
      <c r="H16" s="77" t="inlineStr">
        <is>
          <t>Breadth/interdisciplinary curriculum</t>
        </is>
      </c>
      <c r="I16" s="77" t="inlineStr">
        <is>
          <t>Curriculum framework requiring study outside the main discipline; not itself a project. Underlying routes tested separately: ARTS30001 Industry Project is a breadth-eligible subject and is recorded as S1. The framework fails A/B/C as a scheme.</t>
        </is>
      </c>
      <c r="J16" s="77" t="inlineStr">
        <is>
          <t>https://students.unimelb.edu.au/course-admin/planning-your-course-and-subjects/breadth-subjects</t>
        </is>
      </c>
      <c r="K16" s="77" t="inlineStr">
        <is>
          <t>Framework current; not counted.</t>
        </is>
      </c>
    </row>
    <row r="17">
      <c r="A17" s="77" t="inlineStr">
        <is>
          <t>AU02-X02</t>
        </is>
      </c>
      <c r="B17" s="77" t="inlineStr">
        <is>
          <t>AU02</t>
        </is>
      </c>
      <c r="C17" s="77" t="inlineStr">
        <is>
          <t>Melbourne</t>
        </is>
      </c>
      <c r="D17" s="77" t="inlineStr">
        <is>
          <t>Australia</t>
        </is>
      </c>
      <c r="E17" s="77" t="inlineStr">
        <is>
          <t>Arts Work Integrated Learning and Industry Partnerships (partner umbrella page)</t>
        </is>
      </c>
      <c r="F17" s="77" t="inlineStr">
        <is>
          <t>No</t>
        </is>
      </c>
      <c r="G17" s="77" t="inlineStr"/>
      <c r="H17" s="77" t="inlineStr">
        <is>
          <t>WIL framework</t>
        </is>
      </c>
      <c r="I17" s="77" t="inlineStr">
        <is>
          <t>Umbrella describing internships and industry projects; the qualifying project route is ARTS30001 (S1); internships (incl. NGV placements, Melbourne Writers Festival research projects) are individual placements.</t>
        </is>
      </c>
      <c r="J17" s="77" t="inlineStr">
        <is>
          <t>https://arts.unimelb.edu.au/engage/partner-with-us/work-with-our-students/experiential-learning</t>
        </is>
      </c>
      <c r="K17" s="77" t="inlineStr">
        <is>
          <t>Undated</t>
        </is>
      </c>
    </row>
    <row r="18">
      <c r="A18" s="77" t="inlineStr">
        <is>
          <t>AU02-X03</t>
        </is>
      </c>
      <c r="B18" s="77" t="inlineStr">
        <is>
          <t>AU02</t>
        </is>
      </c>
      <c r="C18" s="77" t="inlineStr">
        <is>
          <t>Melbourne</t>
        </is>
      </c>
      <c r="D18" s="77" t="inlineStr">
        <is>
          <t>Australia</t>
        </is>
      </c>
      <c r="E18" s="77" t="inlineStr">
        <is>
          <t>Business Innovation Lab (FBE newsroom)</t>
        </is>
      </c>
      <c r="F18" s="77" t="inlineStr">
        <is>
          <t>No</t>
        </is>
      </c>
      <c r="G18" s="77" t="inlineStr"/>
      <c r="H18" s="77" t="inlineStr">
        <is>
          <t>Evidence gap</t>
        </is>
      </c>
      <c r="I18"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18" s="77" t="inlineStr">
        <is>
          <t>https://fbe.unimelb.edu.au/newsroom/experiencing-the-business-innovation-lab</t>
        </is>
      </c>
      <c r="K18" s="77" t="inlineStr">
        <is>
          <t>Undated; relationship to S8 unconfirmed</t>
        </is>
      </c>
    </row>
    <row r="19">
      <c r="A19" s="77" t="inlineStr">
        <is>
          <t>AU02-X04</t>
        </is>
      </c>
      <c r="B19" s="77" t="inlineStr">
        <is>
          <t>AU02</t>
        </is>
      </c>
      <c r="C19" s="77" t="inlineStr">
        <is>
          <t>Melbourne</t>
        </is>
      </c>
      <c r="D19" s="77" t="inlineStr">
        <is>
          <t>Australia</t>
        </is>
      </c>
      <c r="E19" s="77" t="inlineStr">
        <is>
          <t>Consulting Project (MGMT90147)</t>
        </is>
      </c>
      <c r="F19" s="77" t="inlineStr">
        <is>
          <t>No</t>
        </is>
      </c>
      <c r="G19" s="77" t="inlineStr"/>
      <c r="H19" s="77" t="inlineStr">
        <is>
          <t>Other</t>
        </is>
      </c>
      <c r="I19" s="77" t="inlineStr">
        <is>
          <t>Graduate team consulting with a practicum organisation (statement of work) - would meet A/B/C, but handbook marks it 'Not available in 2024'; no later offering found.</t>
        </is>
      </c>
      <c r="J19" s="77" t="inlineStr">
        <is>
          <t>https://handbook.unimelb.edu.au/view/current/MGMT90147</t>
        </is>
      </c>
      <c r="K19" s="77" t="inlineStr">
        <is>
          <t>Paused/discontinued (not available 2024)</t>
        </is>
      </c>
    </row>
    <row r="20">
      <c r="A20" s="77" t="inlineStr">
        <is>
          <t>AU02-X05</t>
        </is>
      </c>
      <c r="B20" s="77" t="inlineStr">
        <is>
          <t>AU02</t>
        </is>
      </c>
      <c r="C20" s="77" t="inlineStr">
        <is>
          <t>Melbourne</t>
        </is>
      </c>
      <c r="D20" s="77" t="inlineStr">
        <is>
          <t>Australia</t>
        </is>
      </c>
      <c r="E20" s="77" t="inlineStr">
        <is>
          <t>FBE Grand Challenges</t>
        </is>
      </c>
      <c r="F20" s="77" t="inlineStr">
        <is>
          <t>No</t>
        </is>
      </c>
      <c r="G20" s="77" t="inlineStr"/>
      <c r="H20" s="77" t="inlineStr">
        <is>
          <t>Evidence gap</t>
        </is>
      </c>
      <c r="I20" s="77" t="inlineStr">
        <is>
          <t>Three-week (50 hours) online program in cross-disciplinary remote teams on client themes with industry mentors; page appears ~3 years old and no current delivery found; client role not clear enough to distinguish from a Practera-type programme.</t>
        </is>
      </c>
      <c r="J20" s="77" t="inlineStr">
        <is>
          <t>https://fbe.unimelb.edu.au/bcom/career/expertise/fbe-grand-challenges</t>
        </is>
      </c>
      <c r="K20" s="77" t="inlineStr">
        <is>
          <t>Historical/undated</t>
        </is>
      </c>
    </row>
    <row r="21">
      <c r="A21" s="77" t="inlineStr">
        <is>
          <t>AU02-X06</t>
        </is>
      </c>
      <c r="B21" s="77" t="inlineStr">
        <is>
          <t>AU02</t>
        </is>
      </c>
      <c r="C21" s="77" t="inlineStr">
        <is>
          <t>Melbourne</t>
        </is>
      </c>
      <c r="D21" s="77" t="inlineStr">
        <is>
          <t>Australia</t>
        </is>
      </c>
      <c r="E21" s="77" t="inlineStr">
        <is>
          <t>BCom Case Competition / MBS Case Competition / FBE international case competitions</t>
        </is>
      </c>
      <c r="F21" s="77" t="inlineStr">
        <is>
          <t>No</t>
        </is>
      </c>
      <c r="G21" s="77" t="inlineStr"/>
      <c r="H21" s="77" t="inlineStr">
        <is>
          <t>Event/competition without live client</t>
        </is>
      </c>
      <c r="I21" s="77" t="inlineStr">
        <is>
          <t>Case competitions with a case partner (BCom: Who Gives A Crap, current year) and prize pool; no evidence the partner sets a live problem or engages with teams beyond the case - C not established.</t>
        </is>
      </c>
      <c r="J21" s="77" t="inlineStr">
        <is>
          <t>https://fbe.unimelb.edu.au/bcom/career/expertise/case-competition</t>
        </is>
      </c>
      <c r="K21" s="77" t="inlineStr">
        <is>
          <t>Current</t>
        </is>
      </c>
    </row>
    <row r="22">
      <c r="A22" s="77" t="inlineStr">
        <is>
          <t>AU02-X07</t>
        </is>
      </c>
      <c r="B22" s="77" t="inlineStr">
        <is>
          <t>AU02</t>
        </is>
      </c>
      <c r="C22" s="77" t="inlineStr">
        <is>
          <t>Melbourne</t>
        </is>
      </c>
      <c r="D22" s="77" t="inlineStr">
        <is>
          <t>Australia</t>
        </is>
      </c>
      <c r="E22" s="77" t="inlineStr">
        <is>
          <t>Innovation and Enterprise Internship (BUSA90518)</t>
        </is>
      </c>
      <c r="F22" s="77" t="inlineStr">
        <is>
          <t>No</t>
        </is>
      </c>
      <c r="G22" s="77" t="inlineStr"/>
      <c r="H22" s="77" t="inlineStr">
        <is>
          <t>Placement/internship</t>
        </is>
      </c>
      <c r="I22" s="77" t="inlineStr">
        <is>
          <t>Individual client-based internship; no team route.</t>
        </is>
      </c>
      <c r="J22" s="77" t="inlineStr">
        <is>
          <t>https://handbook.unimelb.edu.au/2021/subjects/busa90518</t>
        </is>
      </c>
      <c r="K22" s="77" t="inlineStr">
        <is>
          <t>2021 handbook</t>
        </is>
      </c>
    </row>
    <row r="23">
      <c r="A23" s="77" t="inlineStr">
        <is>
          <t>AU02-X08</t>
        </is>
      </c>
      <c r="B23" s="77" t="inlineStr">
        <is>
          <t>AU02</t>
        </is>
      </c>
      <c r="C23" s="77" t="inlineStr">
        <is>
          <t>Melbourne</t>
        </is>
      </c>
      <c r="D23" s="77" t="inlineStr">
        <is>
          <t>Australia</t>
        </is>
      </c>
      <c r="E23" s="77" t="inlineStr">
        <is>
          <t>Industry Project (AGRI30006, Dookie)</t>
        </is>
      </c>
      <c r="F23" s="77" t="inlineStr">
        <is>
          <t>No</t>
        </is>
      </c>
      <c r="G23" s="77" t="inlineStr"/>
      <c r="H23" s="77" t="inlineStr">
        <is>
          <t>Near-miss: not group</t>
        </is>
      </c>
      <c r="I23" s="77" t="inlineStr">
        <is>
          <t>Industry-linked project with industry advisors and presentation to an audience including industry members, but students define their own individual projects with a supervisor and submit individual reports. AGRI30005 not available in 2026.</t>
        </is>
      </c>
      <c r="J23" s="77" t="inlineStr">
        <is>
          <t>https://handbook.unimelb.edu.au/subjects/agri30006</t>
        </is>
      </c>
      <c r="K23" s="77" t="inlineStr">
        <is>
          <t>Current 2026 (Semester 2, Dookie)</t>
        </is>
      </c>
    </row>
    <row r="24">
      <c r="A24" s="77" t="inlineStr">
        <is>
          <t>AU02-X09</t>
        </is>
      </c>
      <c r="B24" s="77" t="inlineStr">
        <is>
          <t>AU02</t>
        </is>
      </c>
      <c r="C24" s="77" t="inlineStr">
        <is>
          <t>Melbourne</t>
        </is>
      </c>
      <c r="D24" s="77" t="inlineStr">
        <is>
          <t>Australia</t>
        </is>
      </c>
      <c r="E24" s="77" t="inlineStr">
        <is>
          <t>Environmental Industry Research (ENST90025 / ENST90020)</t>
        </is>
      </c>
      <c r="F24" s="77" t="inlineStr">
        <is>
          <t>No</t>
        </is>
      </c>
      <c r="G24" s="77" t="inlineStr"/>
      <c r="H24" s="77" t="inlineStr">
        <is>
          <t>Evidence gap</t>
        </is>
      </c>
      <c r="I24" s="77" t="inlineStr">
        <is>
          <t>Research with an industry partner on a real-world problem; team format not evidenced (likely individual research).</t>
        </is>
      </c>
      <c r="J24" s="77" t="inlineStr">
        <is>
          <t>https://environment.unimelb.edu.au/current-students/subject-options/research-and-industry-projects</t>
        </is>
      </c>
      <c r="K24" s="77" t="inlineStr">
        <is>
          <t>Undated</t>
        </is>
      </c>
    </row>
    <row r="25">
      <c r="A25" s="77" t="inlineStr">
        <is>
          <t>AU02-X10</t>
        </is>
      </c>
      <c r="B25" s="77" t="inlineStr">
        <is>
          <t>AU02</t>
        </is>
      </c>
      <c r="C25" s="77" t="inlineStr">
        <is>
          <t>Melbourne</t>
        </is>
      </c>
      <c r="D25" s="77" t="inlineStr">
        <is>
          <t>Australia</t>
        </is>
      </c>
      <c r="E25" s="77" t="inlineStr">
        <is>
          <t>Public Interest Law Clinic</t>
        </is>
      </c>
      <c r="F25" s="77" t="inlineStr">
        <is>
          <t>No</t>
        </is>
      </c>
      <c r="G25" s="77" t="inlineStr"/>
      <c r="H25" s="77" t="inlineStr">
        <is>
          <t>Placement/internship</t>
        </is>
      </c>
      <c r="I25" s="77" t="inlineStr">
        <is>
          <t>Students placed at VALS doing intake/casework with possible policy work - individual clinical placement, no team project.</t>
        </is>
      </c>
      <c r="J25" s="77" t="inlineStr">
        <is>
          <t>https://law.unimelb.edu.au/students/jd/enrichment/mls-clinics/subjects/public-interest-law-clinic</t>
        </is>
      </c>
      <c r="K25" s="77" t="inlineStr">
        <is>
          <t>Undated</t>
        </is>
      </c>
    </row>
    <row r="26">
      <c r="A26" s="77" t="inlineStr">
        <is>
          <t>AU02-X11</t>
        </is>
      </c>
      <c r="B26" s="77" t="inlineStr">
        <is>
          <t>AU02</t>
        </is>
      </c>
      <c r="C26" s="77" t="inlineStr">
        <is>
          <t>Melbourne</t>
        </is>
      </c>
      <c r="D26" s="77" t="inlineStr">
        <is>
          <t>Australia</t>
        </is>
      </c>
      <c r="E26" s="77" t="inlineStr">
        <is>
          <t>Melbourne School of Design studios with external partners (e.g. Studio 5/02, 2024 Merri-Bek Council / Wurundjeri)</t>
        </is>
      </c>
      <c r="F26" s="77" t="inlineStr">
        <is>
          <t>No</t>
        </is>
      </c>
      <c r="G26" s="77" t="inlineStr"/>
      <c r="H26" s="77" t="inlineStr">
        <is>
          <t>Evidence gap</t>
        </is>
      </c>
      <c r="I26" s="77" t="inlineStr">
        <is>
          <t>Individual studios sometimes have named external clients, but team format and partner role per studio not evidenced; studios vary each semester. Travelling studios partner with universities/government departments (role unclear).</t>
        </is>
      </c>
      <c r="J26" s="77" t="inlineStr">
        <is>
          <t>https://msd.unimelb.edu.au/current-students/subject-information/msd-studios/msd-studio-archive/2024/semester-1/studio-502</t>
        </is>
      </c>
      <c r="K26" s="77" t="inlineStr">
        <is>
          <t>2024 archive</t>
        </is>
      </c>
    </row>
    <row r="27">
      <c r="A27" s="77" t="inlineStr">
        <is>
          <t>AU02-X12</t>
        </is>
      </c>
      <c r="B27" s="77" t="inlineStr">
        <is>
          <t>AU02</t>
        </is>
      </c>
      <c r="C27" s="77" t="inlineStr">
        <is>
          <t>Melbourne</t>
        </is>
      </c>
      <c r="D27" s="77" t="inlineStr">
        <is>
          <t>Australia</t>
        </is>
      </c>
      <c r="E27" s="77" t="inlineStr">
        <is>
          <t>Melbourne Plus (co-curricular credential)</t>
        </is>
      </c>
      <c r="F27" s="77" t="inlineStr">
        <is>
          <t>No</t>
        </is>
      </c>
      <c r="G27" s="77" t="inlineStr"/>
      <c r="H27" s="77" t="inlineStr">
        <is>
          <t>Employability award</t>
        </is>
      </c>
      <c r="I27" s="77" t="inlineStr">
        <is>
          <t>Credential recognising activities such as BIC and VIP; not itself a project.</t>
        </is>
      </c>
      <c r="J27" s="77" t="inlineStr">
        <is>
          <t>https://mbs.unimelb.edu.au/career/expertise/business-innovation-challenge</t>
        </is>
      </c>
      <c r="K27" s="77" t="inlineStr"/>
    </row>
    <row r="28">
      <c r="A28" s="77" t="inlineStr">
        <is>
          <t>AU02-X13</t>
        </is>
      </c>
      <c r="B28" s="77" t="inlineStr">
        <is>
          <t>AU02</t>
        </is>
      </c>
      <c r="C28" s="77" t="inlineStr">
        <is>
          <t>Melbourne</t>
        </is>
      </c>
      <c r="D28" s="77" t="inlineStr">
        <is>
          <t>Australia</t>
        </is>
      </c>
      <c r="E28" s="77" t="inlineStr">
        <is>
          <t>Students@Work</t>
        </is>
      </c>
      <c r="F28" s="77" t="inlineStr">
        <is>
          <t>No</t>
        </is>
      </c>
      <c r="G28" s="77" t="inlineStr"/>
      <c r="H28" s="77" t="inlineStr">
        <is>
          <t>Placement/internship</t>
        </is>
      </c>
      <c r="I28" s="77" t="inlineStr">
        <is>
          <t>Paid on-campus work/internships for students; not an external team project.</t>
        </is>
      </c>
      <c r="J28" s="77" t="inlineStr">
        <is>
          <t>https://about.unimelb.edu.au/news-resources/awards-and-achievements/awards-and-prizes/university-of-melbournes-students@work-program-ranked-sixth-nationally</t>
        </is>
      </c>
      <c r="K28"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15"/>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RG13-S01-R1</t>
        </is>
      </c>
      <c r="B7" s="77" t="inlineStr">
        <is>
          <t>RG13</t>
        </is>
      </c>
      <c r="C7" s="77" t="inlineStr">
        <is>
          <t>RG13-S01</t>
        </is>
      </c>
      <c r="D7" s="77" t="inlineStr">
        <is>
          <t>LSE100: The LSE Course</t>
        </is>
      </c>
      <c r="E7" s="77" t="inlineStr">
        <is>
          <t>project; group; employer</t>
        </is>
      </c>
      <c r="F7" s="77" t="inlineStr">
        <is>
          <t>https://info.lse.ac.uk/current-students/lse100/about-lse-100/lse100-assessment</t>
        </is>
      </c>
      <c r="G7" s="77" t="inlineStr">
        <is>
          <t>LSE100 Assessment</t>
        </is>
      </c>
      <c r="H7" s="77" t="inlineStr">
        <is>
          <t>Group project</t>
        </is>
      </c>
      <c r="I7" s="77" t="inlineStr">
        <is>
          <t>undated</t>
        </is>
      </c>
      <c r="J7" s="77" t="inlineStr">
        <is>
          <t>2026-10-12</t>
        </is>
      </c>
      <c r="K7" s="77" t="inlineStr">
        <is>
          <t>search-index extract</t>
        </is>
      </c>
      <c r="L7"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8">
      <c r="A8" s="77" t="inlineStr">
        <is>
          <t>RG13-S01-R2</t>
        </is>
      </c>
      <c r="B8" s="77" t="inlineStr">
        <is>
          <t>RG13</t>
        </is>
      </c>
      <c r="C8" s="77" t="inlineStr">
        <is>
          <t>RG13-S01</t>
        </is>
      </c>
      <c r="D8" s="77" t="inlineStr">
        <is>
          <t>LSE100: The LSE Course</t>
        </is>
      </c>
      <c r="E8" s="77" t="inlineStr">
        <is>
          <t>group; credit</t>
        </is>
      </c>
      <c r="F8" s="77" t="inlineStr">
        <is>
          <t>https://info.lse.ac.uk/staff/divisions/Eden-Centre/Assets-EC/Documents/Assessment-Toolkit/GroupProject-Attendance-Participation-Policy-2024.pdf</t>
        </is>
      </c>
      <c r="G8" s="77" t="inlineStr">
        <is>
          <t>Group Project Code of Conduct and Participation Policy (LSE100, 2024)</t>
        </is>
      </c>
      <c r="H8" s="77" t="inlineStr">
        <is>
          <t>Policy</t>
        </is>
      </c>
      <c r="I8" s="77" t="inlineStr">
        <is>
          <t>2024</t>
        </is>
      </c>
      <c r="J8" s="77" t="inlineStr">
        <is>
          <t>2026-10-12</t>
        </is>
      </c>
      <c r="K8" s="77" t="inlineStr">
        <is>
          <t>search-index extract</t>
        </is>
      </c>
      <c r="L8" s="77" t="inlineStr">
        <is>
          <t>Groups allocated by the seminar teacher in late Autumn Term based on topic preference and disciplinary diversity; mark split presentation (25%) and digital report (75%); each group receives a single group mark.</t>
        </is>
      </c>
    </row>
    <row r="9">
      <c r="A9" s="77" t="inlineStr">
        <is>
          <t>RG13-S01-R3</t>
        </is>
      </c>
      <c r="B9" s="77" t="inlineStr">
        <is>
          <t>RG13</t>
        </is>
      </c>
      <c r="C9" s="77" t="inlineStr">
        <is>
          <t>RG13-S01</t>
        </is>
      </c>
      <c r="D9" s="77" t="inlineStr">
        <is>
          <t>LSE100: The LSE Course</t>
        </is>
      </c>
      <c r="E9" s="77" t="inlineStr">
        <is>
          <t>project; credit; status</t>
        </is>
      </c>
      <c r="F9" s="77" t="inlineStr">
        <is>
          <t>https://www.lse.ac.uk/resources/calendar2025-2026/courseGuides/LS/2025_LSE100A.htm</t>
        </is>
      </c>
      <c r="G9" s="77" t="inlineStr">
        <is>
          <t>LSE100A The LSE Course: How can we transform our climate futures?</t>
        </is>
      </c>
      <c r="H9" s="77" t="inlineStr">
        <is>
          <t>Assessment</t>
        </is>
      </c>
      <c r="I9" s="77" t="inlineStr">
        <is>
          <t>2025/26</t>
        </is>
      </c>
      <c r="J9" s="77" t="inlineStr">
        <is>
          <t>2026-10-12</t>
        </is>
      </c>
      <c r="K9" s="77" t="inlineStr">
        <is>
          <t>search-index extract</t>
        </is>
      </c>
      <c r="L9" s="77" t="inlineStr">
        <is>
          <t>Critical evaluation (50%, 1000 words). Project (50%, 3000 words).</t>
        </is>
      </c>
    </row>
    <row r="10">
      <c r="A10" s="77" t="inlineStr">
        <is>
          <t>RG13-S01-R4</t>
        </is>
      </c>
      <c r="B10" s="77" t="inlineStr">
        <is>
          <t>RG13</t>
        </is>
      </c>
      <c r="C10" s="77" t="inlineStr">
        <is>
          <t>RG13-S01</t>
        </is>
      </c>
      <c r="D10" s="77" t="inlineStr">
        <is>
          <t>LSE100: The LSE Course</t>
        </is>
      </c>
      <c r="E10" s="77" t="inlineStr">
        <is>
          <t>reach; eligibility; participation; credit</t>
        </is>
      </c>
      <c r="F10" s="77" t="inlineStr">
        <is>
          <t>https://info.lse.ac.uk/current-students/lse100/about-lse-100/Frequently-Asked-Questions</t>
        </is>
      </c>
      <c r="G10" s="77" t="inlineStr">
        <is>
          <t>LSE100 Frequently Asked Questions</t>
        </is>
      </c>
      <c r="H10" s="77" t="inlineStr">
        <is>
          <t>FAQ</t>
        </is>
      </c>
      <c r="I10" s="77" t="inlineStr">
        <is>
          <t>undated</t>
        </is>
      </c>
      <c r="J10" s="77" t="inlineStr">
        <is>
          <t>2026-10-12</t>
        </is>
      </c>
      <c r="K10" s="77" t="inlineStr">
        <is>
          <t>search-index extract</t>
        </is>
      </c>
      <c r="L10" s="77" t="inlineStr">
        <is>
          <t>LSE100 is LSE's flagship interdisciplinary course taken by all LSE undergraduates in the first year of their degree programme; counts as one of nine first-year marks, equivalent to a half-unit course; does not count towards classification for LLB.</t>
        </is>
      </c>
    </row>
    <row r="11">
      <c r="A11" s="77" t="inlineStr">
        <is>
          <t>RG13-S02-R1</t>
        </is>
      </c>
      <c r="B11" s="77" t="inlineStr">
        <is>
          <t>RG13</t>
        </is>
      </c>
      <c r="C11" s="77" t="inlineStr">
        <is>
          <t>RG13-S02</t>
        </is>
      </c>
      <c r="D11" s="77" t="inlineStr">
        <is>
          <t>Future17</t>
        </is>
      </c>
      <c r="E11" s="77" t="inlineStr">
        <is>
          <t>project; group; employer; reach; eligibility; participation; status</t>
        </is>
      </c>
      <c r="F11" s="77" t="inlineStr">
        <is>
          <t>https://info.lse.ac.uk/current-students/lse100/Future17-Join-a-global-team-solving-real-sustainability-challenges</t>
        </is>
      </c>
      <c r="G11" s="77" t="inlineStr">
        <is>
          <t>Future17: Join a global team solving real sustainability challenges</t>
        </is>
      </c>
      <c r="H11" s="77" t="inlineStr">
        <is>
          <t>Programme page</t>
        </is>
      </c>
      <c r="I11" s="77" t="inlineStr">
        <is>
          <t>2026 (application deadline 7 September 2026)</t>
        </is>
      </c>
      <c r="J11" s="77" t="inlineStr">
        <is>
          <t>2026-10-12</t>
        </is>
      </c>
      <c r="K11" s="77" t="inlineStr">
        <is>
          <t>search-index extract</t>
        </is>
      </c>
      <c r="L11"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12">
      <c r="A12" s="77" t="inlineStr">
        <is>
          <t>RG13-S03-R1</t>
        </is>
      </c>
      <c r="B12" s="77" t="inlineStr">
        <is>
          <t>RG13</t>
        </is>
      </c>
      <c r="C12" s="77" t="inlineStr">
        <is>
          <t>RG13-S03</t>
        </is>
      </c>
      <c r="D12" s="77" t="inlineStr">
        <is>
          <t>LSE Community Engagement Programme (CEP)</t>
        </is>
      </c>
      <c r="E12" s="77" t="inlineStr">
        <is>
          <t>project; group; employer; reach; eligibility</t>
        </is>
      </c>
      <c r="F12" s="77" t="inlineStr">
        <is>
          <t>https://info.lse.ac.uk/current-students/volunteer-centre/Community-engagement-programme</t>
        </is>
      </c>
      <c r="G12" s="77" t="inlineStr">
        <is>
          <t>Community Engagement Programme</t>
        </is>
      </c>
      <c r="H12" s="77" t="inlineStr">
        <is>
          <t>Programme page</t>
        </is>
      </c>
      <c r="I12" s="77" t="inlineStr">
        <is>
          <t>undated</t>
        </is>
      </c>
      <c r="J12" s="77" t="inlineStr">
        <is>
          <t>2026-10-12</t>
        </is>
      </c>
      <c r="K12" s="77" t="inlineStr">
        <is>
          <t>search-index extract</t>
        </is>
      </c>
      <c r="L12"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13">
      <c r="A13" s="77" t="inlineStr">
        <is>
          <t>RG13-S03-R2</t>
        </is>
      </c>
      <c r="B13" s="77" t="inlineStr">
        <is>
          <t>RG13</t>
        </is>
      </c>
      <c r="C13" s="77" t="inlineStr">
        <is>
          <t>RG13-S03</t>
        </is>
      </c>
      <c r="D13" s="77" t="inlineStr">
        <is>
          <t>LSE Community Engagement Programme (CEP)</t>
        </is>
      </c>
      <c r="E13" s="77" t="inlineStr">
        <is>
          <t>project; group; employer; status; participation</t>
        </is>
      </c>
      <c r="F13" s="77" t="inlineStr">
        <is>
          <t>https://blogs.lse.ac.uk/vcb/2025/10/20/lse-community-engagement-programme-2026-applications-now-open/</t>
        </is>
      </c>
      <c r="G13" s="77" t="inlineStr">
        <is>
          <t>LSE Community Engagement Programme 2026: Applications now open!</t>
        </is>
      </c>
      <c r="H13" s="77" t="inlineStr">
        <is>
          <t>Blog post</t>
        </is>
      </c>
      <c r="I13" s="77" t="inlineStr">
        <is>
          <t>2025</t>
        </is>
      </c>
      <c r="J13" s="77" t="inlineStr">
        <is>
          <t>2026-10-12</t>
        </is>
      </c>
      <c r="K13" s="77" t="inlineStr">
        <is>
          <t>search-index extract</t>
        </is>
      </c>
      <c r="L13" s="77" t="inlineStr">
        <is>
          <t>Programme runs 26 November 2025 to 25 March 2026; student applications via CareerHub until 9 November 2025; volunteer consultants answer project briefs for charities; teams supported by the Volunteer Centre, LSE Alumni Mentors and the charity.</t>
        </is>
      </c>
    </row>
    <row r="14">
      <c r="A14" s="77" t="inlineStr">
        <is>
          <t>RG13-S03-R3</t>
        </is>
      </c>
      <c r="B14" s="77" t="inlineStr">
        <is>
          <t>RG13</t>
        </is>
      </c>
      <c r="C14" s="77" t="inlineStr">
        <is>
          <t>RG13-S03</t>
        </is>
      </c>
      <c r="D14" s="77" t="inlineStr">
        <is>
          <t>LSE Community Engagement Programme (CEP)</t>
        </is>
      </c>
      <c r="E14" s="77" t="inlineStr">
        <is>
          <t>employer; status</t>
        </is>
      </c>
      <c r="F14" s="77" t="inlineStr">
        <is>
          <t>https://blogs.lse.ac.uk/vcb/2026/08/03/lse-community-engagement-programme-now-recruiting-charities-for-2027/</t>
        </is>
      </c>
      <c r="G14" s="77" t="inlineStr">
        <is>
          <t>LSE Community Engagement Programme: Now recruiting charities for 2027!</t>
        </is>
      </c>
      <c r="H14" s="77" t="inlineStr">
        <is>
          <t>Blog post</t>
        </is>
      </c>
      <c r="I14" s="77" t="inlineStr">
        <is>
          <t>2026</t>
        </is>
      </c>
      <c r="J14" s="77" t="inlineStr">
        <is>
          <t>2026-10-12</t>
        </is>
      </c>
      <c r="K14" s="77" t="inlineStr">
        <is>
          <t>search-index extract</t>
        </is>
      </c>
      <c r="L14" s="77" t="inlineStr">
        <is>
          <t>Next programme runs 13 January - 17 March 2027; charity applications open 3 August - 7 October 2026; report deadline 10 March 2027.</t>
        </is>
      </c>
    </row>
    <row r="15">
      <c r="A15" s="77" t="inlineStr">
        <is>
          <t>RG13-S04-R1</t>
        </is>
      </c>
      <c r="B15" s="77" t="inlineStr">
        <is>
          <t>RG13</t>
        </is>
      </c>
      <c r="C15" s="77" t="inlineStr">
        <is>
          <t>RG13-S04</t>
        </is>
      </c>
      <c r="D15" s="77" t="inlineStr">
        <is>
          <t>Research Volunteering Scheme (RVS)</t>
        </is>
      </c>
      <c r="E15" s="77" t="inlineStr">
        <is>
          <t>project; group; employer; eligibility; status; participation</t>
        </is>
      </c>
      <c r="F15" s="77" t="inlineStr">
        <is>
          <t>https://blogs.lse.ac.uk/vcb/2025/10/13/research-volunteering-scheme-applications-now-open-2/</t>
        </is>
      </c>
      <c r="G15" s="77" t="inlineStr">
        <is>
          <t>Research Volunteering Scheme: Applications now open!</t>
        </is>
      </c>
      <c r="H15" s="77" t="inlineStr">
        <is>
          <t>Blog post</t>
        </is>
      </c>
      <c r="I15" s="77" t="inlineStr">
        <is>
          <t>2025</t>
        </is>
      </c>
      <c r="J15" s="77" t="inlineStr">
        <is>
          <t>2026-10-12</t>
        </is>
      </c>
      <c r="K15" s="77" t="inlineStr">
        <is>
          <t>search-index extract</t>
        </is>
      </c>
      <c r="L15"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16">
      <c r="A16" s="77" t="inlineStr">
        <is>
          <t>RG13-S04-R2</t>
        </is>
      </c>
      <c r="B16" s="77" t="inlineStr">
        <is>
          <t>RG13</t>
        </is>
      </c>
      <c r="C16" s="77" t="inlineStr">
        <is>
          <t>RG13-S04</t>
        </is>
      </c>
      <c r="D16" s="77" t="inlineStr">
        <is>
          <t>Research Volunteering Scheme (RVS)</t>
        </is>
      </c>
      <c r="E16" s="77" t="inlineStr">
        <is>
          <t>employer; status</t>
        </is>
      </c>
      <c r="F16" s="77" t="inlineStr">
        <is>
          <t>https://blogs.lse.ac.uk/vcb/2025/09/01/research-volunteering-scheme-now-recruiting-charities-for-2025-6/</t>
        </is>
      </c>
      <c r="G16" s="77" t="inlineStr">
        <is>
          <t>Research Volunteering Scheme: Now recruiting charities for 2025-6!</t>
        </is>
      </c>
      <c r="H16" s="77" t="inlineStr">
        <is>
          <t>Blog post</t>
        </is>
      </c>
      <c r="I16" s="77" t="inlineStr">
        <is>
          <t>2025</t>
        </is>
      </c>
      <c r="J16" s="77" t="inlineStr">
        <is>
          <t>2026-10-12</t>
        </is>
      </c>
      <c r="K16" s="77" t="inlineStr">
        <is>
          <t>search-index extract</t>
        </is>
      </c>
      <c r="L16" s="77" t="inlineStr">
        <is>
          <t>Charity applications 1-28 September 2025; scheme runs 12 November 2025 - mid-March 2026.</t>
        </is>
      </c>
    </row>
    <row r="17">
      <c r="A17" s="77" t="inlineStr">
        <is>
          <t>RG13-S04-R3</t>
        </is>
      </c>
      <c r="B17" s="77" t="inlineStr">
        <is>
          <t>RG13</t>
        </is>
      </c>
      <c r="C17" s="77" t="inlineStr">
        <is>
          <t>RG13-S04</t>
        </is>
      </c>
      <c r="D17" s="77" t="inlineStr">
        <is>
          <t>Research Volunteering Scheme (RVS)</t>
        </is>
      </c>
      <c r="E17" s="77" t="inlineStr">
        <is>
          <t>status</t>
        </is>
      </c>
      <c r="F17" s="77" t="inlineStr">
        <is>
          <t>https://blogs.lse.ac.uk/vcb/2026/07/23/how-to-recruit-and-engage-lse-student-volunteers-in-2026-27/</t>
        </is>
      </c>
      <c r="G17" s="77" t="inlineStr">
        <is>
          <t>How to Recruit and Engage LSE Student Volunteers in 2026/27</t>
        </is>
      </c>
      <c r="H17" s="77" t="inlineStr">
        <is>
          <t>Blog post</t>
        </is>
      </c>
      <c r="I17" s="77" t="inlineStr">
        <is>
          <t>2026</t>
        </is>
      </c>
      <c r="J17" s="77" t="inlineStr">
        <is>
          <t>2026-10-12</t>
        </is>
      </c>
      <c r="K17" s="77" t="inlineStr">
        <is>
          <t>search-index extract</t>
        </is>
      </c>
      <c r="L17" s="77" t="inlineStr">
        <is>
          <t>The Research Volunteering Scheme runs every November to March; charity applications open on 3 August.</t>
        </is>
      </c>
    </row>
    <row r="18">
      <c r="A18" s="77" t="inlineStr">
        <is>
          <t>RG13-S05-R1</t>
        </is>
      </c>
      <c r="B18" s="77" t="inlineStr">
        <is>
          <t>RG13</t>
        </is>
      </c>
      <c r="C18" s="77" t="inlineStr">
        <is>
          <t>RG13-S05</t>
        </is>
      </c>
      <c r="D18" s="77" t="inlineStr">
        <is>
          <t>Department of Management Business Projects (Employer Partnerships)</t>
        </is>
      </c>
      <c r="E18" s="77" t="inlineStr">
        <is>
          <t>project; group; employer; status; reach</t>
        </is>
      </c>
      <c r="F18" s="77" t="inlineStr">
        <is>
          <t>https://www.lse.ac.uk/management/employer-partnerships/Business-Projects-Main-Page</t>
        </is>
      </c>
      <c r="G18" s="77" t="inlineStr">
        <is>
          <t>Business Projects</t>
        </is>
      </c>
      <c r="H18" s="77" t="inlineStr">
        <is>
          <t>Main page</t>
        </is>
      </c>
      <c r="I18" s="77" t="inlineStr">
        <is>
          <t>2026</t>
        </is>
      </c>
      <c r="J18" s="77" t="inlineStr">
        <is>
          <t>2026-10-12</t>
        </is>
      </c>
      <c r="K18" s="77" t="inlineStr">
        <is>
          <t>search-index extract</t>
        </is>
      </c>
      <c r="L18"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19">
      <c r="A19" s="77" t="inlineStr">
        <is>
          <t>RG13-S06-R1</t>
        </is>
      </c>
      <c r="B19" s="77" t="inlineStr">
        <is>
          <t>RG13</t>
        </is>
      </c>
      <c r="C19" s="77" t="inlineStr">
        <is>
          <t>RG13-S06</t>
        </is>
      </c>
      <c r="D19" s="77" t="inlineStr">
        <is>
          <t>GMiM Capstone Course - Management in Action</t>
        </is>
      </c>
      <c r="E19" s="77" t="inlineStr">
        <is>
          <t>project; group; employer; credit; status</t>
        </is>
      </c>
      <c r="F19" s="77" t="inlineStr">
        <is>
          <t>https://www.lse.ac.uk/resources/calendar2025-2026/courseGuides/MG/2025_MG488B.htm</t>
        </is>
      </c>
      <c r="G19" s="77" t="inlineStr">
        <is>
          <t>MG488B GMiM Capstone Course - Management in Action</t>
        </is>
      </c>
      <c r="H19" s="77" t="inlineStr">
        <is>
          <t>Course content; Assessment</t>
        </is>
      </c>
      <c r="I19" s="77" t="inlineStr">
        <is>
          <t>2025/26</t>
        </is>
      </c>
      <c r="J19" s="77" t="inlineStr">
        <is>
          <t>2026-10-12</t>
        </is>
      </c>
      <c r="K19" s="77" t="inlineStr">
        <is>
          <t>search-index extract</t>
        </is>
      </c>
      <c r="L19"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20">
      <c r="A20" s="77" t="inlineStr">
        <is>
          <t>RG13-S06-R2</t>
        </is>
      </c>
      <c r="B20" s="77" t="inlineStr">
        <is>
          <t>RG13</t>
        </is>
      </c>
      <c r="C20" s="77" t="inlineStr">
        <is>
          <t>RG13-S06</t>
        </is>
      </c>
      <c r="D20" s="77" t="inlineStr">
        <is>
          <t>GMiM Capstone Course - Management in Action</t>
        </is>
      </c>
      <c r="E20" s="77" t="inlineStr">
        <is>
          <t>employer; status; group</t>
        </is>
      </c>
      <c r="F20" s="77" t="inlineStr">
        <is>
          <t>https://www.lse.ac.uk/management/assets/documents/Employer-Partnerships-Business-Project-brochures/-GMiM-2025-26.pdf</t>
        </is>
      </c>
      <c r="G20" s="77" t="inlineStr">
        <is>
          <t>Global Master's in Management Business Projects (brochure 2025-26)</t>
        </is>
      </c>
      <c r="H20" s="77" t="inlineStr">
        <is>
          <t>Timeline</t>
        </is>
      </c>
      <c r="I20" s="77" t="inlineStr">
        <is>
          <t>2025-26</t>
        </is>
      </c>
      <c r="J20" s="77" t="inlineStr">
        <is>
          <t>2026-10-12</t>
        </is>
      </c>
      <c r="K20" s="77" t="inlineStr">
        <is>
          <t>search-index extract</t>
        </is>
      </c>
      <c r="L20" s="77" t="inlineStr">
        <is>
          <t>Proposal deadline 22 September; students work on Business Project October-January; final presentation week of 19 January 2026; no charge to companies.</t>
        </is>
      </c>
    </row>
    <row r="21">
      <c r="A21" s="77" t="inlineStr">
        <is>
          <t>RG13-S07-R1</t>
        </is>
      </c>
      <c r="B21" s="77" t="inlineStr">
        <is>
          <t>RG13</t>
        </is>
      </c>
      <c r="C21" s="77" t="inlineStr">
        <is>
          <t>RG13-S07</t>
        </is>
      </c>
      <c r="D21" s="77" t="inlineStr">
        <is>
          <t>CEMS &amp; MBA Business Projects</t>
        </is>
      </c>
      <c r="E21" s="77" t="inlineStr">
        <is>
          <t>project; group; employer; status</t>
        </is>
      </c>
      <c r="F21" s="77" t="inlineStr">
        <is>
          <t>https://www.lse.ac.uk/management/assets/documents/Employer-Partnerships-Business-Project-brochures/CEMS-MBA-2025-26.pdf</t>
        </is>
      </c>
      <c r="G21" s="77" t="inlineStr">
        <is>
          <t>CEMS &amp; MBA Business Projects (brochure 2025-26)</t>
        </is>
      </c>
      <c r="H21" s="77" t="inlineStr">
        <is>
          <t>Brochure</t>
        </is>
      </c>
      <c r="I21" s="77" t="inlineStr">
        <is>
          <t>2025-26</t>
        </is>
      </c>
      <c r="J21" s="77" t="inlineStr">
        <is>
          <t>2026-10-12</t>
        </is>
      </c>
      <c r="K21" s="77" t="inlineStr">
        <is>
          <t>search-index extract</t>
        </is>
      </c>
      <c r="L21" s="77" t="inlineStr">
        <is>
          <t>4-6 students assigned to a project; proposals due 28 November 2025; groups assigned 26 January 2026; students work February-May; final presentations to sponsors 4-18 May 2026; no charge to companies; students typically meet sponsor fortnightly.</t>
        </is>
      </c>
    </row>
    <row r="22">
      <c r="A22" s="77" t="inlineStr">
        <is>
          <t>RG13-S08-R1</t>
        </is>
      </c>
      <c r="B22" s="77" t="inlineStr">
        <is>
          <t>RG13</t>
        </is>
      </c>
      <c r="C22" s="77" t="inlineStr">
        <is>
          <t>RG13-S08</t>
        </is>
      </c>
      <c r="D22" s="77" t="inlineStr">
        <is>
          <t>HRO Links Scheme (Links Project)</t>
        </is>
      </c>
      <c r="E22" s="77" t="inlineStr">
        <is>
          <t>group; employer</t>
        </is>
      </c>
      <c r="F22" s="77" t="inlineStr">
        <is>
          <t>https://www.lse.ac.uk/study-at-lse/graduate/msc-human-resources-and-organisations</t>
        </is>
      </c>
      <c r="G22" s="77" t="inlineStr">
        <is>
          <t>MSc Human Resources and Organisations</t>
        </is>
      </c>
      <c r="H22" s="77" t="inlineStr">
        <is>
          <t>Programme page</t>
        </is>
      </c>
      <c r="I22" s="77" t="inlineStr">
        <is>
          <t>undated</t>
        </is>
      </c>
      <c r="J22" s="77" t="inlineStr">
        <is>
          <t>2026-10-12</t>
        </is>
      </c>
      <c r="K22" s="77" t="inlineStr">
        <is>
          <t>search-index extract</t>
        </is>
      </c>
      <c r="L22" s="77" t="inlineStr">
        <is>
          <t>Links Project: a consultancy project completed in pairs for an external organisation.</t>
        </is>
      </c>
    </row>
    <row r="23">
      <c r="A23" s="77" t="inlineStr">
        <is>
          <t>RG13-S08-R2</t>
        </is>
      </c>
      <c r="B23" s="77" t="inlineStr">
        <is>
          <t>RG13</t>
        </is>
      </c>
      <c r="C23" s="77" t="inlineStr">
        <is>
          <t>RG13-S08</t>
        </is>
      </c>
      <c r="D23" s="77" t="inlineStr">
        <is>
          <t>HRO Links Scheme (Links Project)</t>
        </is>
      </c>
      <c r="E23" s="77" t="inlineStr">
        <is>
          <t>project; group; employer; status</t>
        </is>
      </c>
      <c r="F23" s="77" t="inlineStr">
        <is>
          <t>https://www.lse.ac.uk/management/assets/documents/Employer-Partnerships-Business-Project-brochures/HRO-Links-2025-26.pdf</t>
        </is>
      </c>
      <c r="G23" s="77" t="inlineStr">
        <is>
          <t>HRO Links 2025-26</t>
        </is>
      </c>
      <c r="H23" s="77" t="inlineStr">
        <is>
          <t>Brochure</t>
        </is>
      </c>
      <c r="I23" s="77" t="inlineStr">
        <is>
          <t>2025-26</t>
        </is>
      </c>
      <c r="J23" s="77" t="inlineStr">
        <is>
          <t>2026-10-12</t>
        </is>
      </c>
      <c r="K23" s="77" t="inlineStr">
        <is>
          <t>search-index extract</t>
        </is>
      </c>
      <c r="L23" s="77" t="inlineStr">
        <is>
          <t>1-2 students will be assigned to a project; ends with a business report for the organisation alongside a joint LSE dissertation with project partner; proposals 7 November, assignment 19 December; no charge to sponsors.</t>
        </is>
      </c>
    </row>
    <row r="24">
      <c r="A24" s="77" t="inlineStr">
        <is>
          <t>RG13-S08-R3</t>
        </is>
      </c>
      <c r="B24" s="77" t="inlineStr">
        <is>
          <t>RG13</t>
        </is>
      </c>
      <c r="C24" s="77" t="inlineStr">
        <is>
          <t>RG13-S08</t>
        </is>
      </c>
      <c r="D24" s="77" t="inlineStr">
        <is>
          <t>HRO Links Scheme (Links Project)</t>
        </is>
      </c>
      <c r="E24" s="77" t="inlineStr">
        <is>
          <t>project; employer; credit; status</t>
        </is>
      </c>
      <c r="F24" s="77" t="inlineStr">
        <is>
          <t>https://www.lse.ac.uk/resources/calendar/courseGuides/MG/2026_MG493.htm</t>
        </is>
      </c>
      <c r="G24" s="77" t="inlineStr">
        <is>
          <t>MG493 Dissertation</t>
        </is>
      </c>
      <c r="H24" s="77" t="inlineStr">
        <is>
          <t>Course content</t>
        </is>
      </c>
      <c r="I24" s="77" t="inlineStr">
        <is>
          <t>2026/27</t>
        </is>
      </c>
      <c r="J24" s="77" t="inlineStr">
        <is>
          <t>2026-10-12</t>
        </is>
      </c>
      <c r="K24" s="77" t="inlineStr">
        <is>
          <t>search-index extract</t>
        </is>
      </c>
      <c r="L24" s="77" t="inlineStr">
        <is>
          <t>Students can also apply for a Links project and, if accepted, will conduct research on an HR question posed by the Links sponsor.</t>
        </is>
      </c>
    </row>
    <row r="25">
      <c r="A25" s="77" t="inlineStr">
        <is>
          <t>RG13-S09-R1</t>
        </is>
      </c>
      <c r="B25" s="77" t="inlineStr">
        <is>
          <t>RG13</t>
        </is>
      </c>
      <c r="C25" s="77" t="inlineStr">
        <is>
          <t>RG13-S09</t>
        </is>
      </c>
      <c r="D25" s="77" t="inlineStr">
        <is>
          <t>Marketing Action Learning Project (MALP)</t>
        </is>
      </c>
      <c r="E25" s="77" t="inlineStr">
        <is>
          <t>project; group; employer; credit; status; participation</t>
        </is>
      </c>
      <c r="F25" s="77" t="inlineStr">
        <is>
          <t>https://www.lse.ac.uk/resources/calendar/courseGuides/MG/2026_MG4F1.htm</t>
        </is>
      </c>
      <c r="G25" s="77" t="inlineStr">
        <is>
          <t>MG4F1 Marketing Action Learning Project</t>
        </is>
      </c>
      <c r="H25" s="77" t="inlineStr">
        <is>
          <t>Course guide</t>
        </is>
      </c>
      <c r="I25" s="77" t="inlineStr">
        <is>
          <t>2026/27</t>
        </is>
      </c>
      <c r="J25" s="77" t="inlineStr">
        <is>
          <t>2026-10-12</t>
        </is>
      </c>
      <c r="K25" s="77" t="inlineStr">
        <is>
          <t>search-index extract</t>
        </is>
      </c>
      <c r="L25" s="77" t="inlineStr">
        <is>
          <t>Teams of students work with vetted company sponsors, from global consumer brands to growth-stage startups, on a real marketing challenge; oral examination (40%), project (60%) in August; compulsory on MSc in Marketing; Total students 2025/26: 94.</t>
        </is>
      </c>
    </row>
    <row r="26">
      <c r="A26" s="77" t="inlineStr">
        <is>
          <t>RG13-S09-R2</t>
        </is>
      </c>
      <c r="B26" s="77" t="inlineStr">
        <is>
          <t>RG13</t>
        </is>
      </c>
      <c r="C26" s="77" t="inlineStr">
        <is>
          <t>RG13-S09</t>
        </is>
      </c>
      <c r="D26" s="77" t="inlineStr">
        <is>
          <t>Marketing Action Learning Project (MALP)</t>
        </is>
      </c>
      <c r="E26" s="77" t="inlineStr">
        <is>
          <t>employer</t>
        </is>
      </c>
      <c r="F26" s="77" t="inlineStr">
        <is>
          <t>https://www.lse.ac.uk/study-at-lse/graduate/msc-marketing</t>
        </is>
      </c>
      <c r="G26" s="77" t="inlineStr">
        <is>
          <t>MSc Marketing</t>
        </is>
      </c>
      <c r="H26" s="77" t="inlineStr">
        <is>
          <t>Programme page</t>
        </is>
      </c>
      <c r="I26" s="77" t="inlineStr">
        <is>
          <t>undated</t>
        </is>
      </c>
      <c r="J26" s="77" t="inlineStr">
        <is>
          <t>2026-10-12</t>
        </is>
      </c>
      <c r="K26" s="77" t="inlineStr">
        <is>
          <t>search-index extract</t>
        </is>
      </c>
      <c r="L26" s="77" t="inlineStr">
        <is>
          <t>Students have worked with companies such as Colgate-Palmolive, Cartier, Tata Group and Unilever; MALP commences in Winter Term, presentations early July, report deadline August.</t>
        </is>
      </c>
    </row>
    <row r="27">
      <c r="A27" s="77" t="inlineStr">
        <is>
          <t>RG13-S09-R3</t>
        </is>
      </c>
      <c r="B27" s="77" t="inlineStr">
        <is>
          <t>RG13</t>
        </is>
      </c>
      <c r="C27" s="77" t="inlineStr">
        <is>
          <t>RG13-S09</t>
        </is>
      </c>
      <c r="D27" s="77" t="inlineStr">
        <is>
          <t>Marketing Action Learning Project (MALP)</t>
        </is>
      </c>
      <c r="E27" s="77" t="inlineStr">
        <is>
          <t>group; status</t>
        </is>
      </c>
      <c r="F27" s="77" t="inlineStr">
        <is>
          <t>https://blogs.lse.ac.uk/management/2026/07/02/lses-msc-marketing-reflecting-on-the-marketing-action-learning-project/</t>
        </is>
      </c>
      <c r="G27" s="77" t="inlineStr">
        <is>
          <t>LSE's MSc Marketing: Reflecting on the Marketing Action Learning Project</t>
        </is>
      </c>
      <c r="H27" s="77" t="inlineStr">
        <is>
          <t>Student blog</t>
        </is>
      </c>
      <c r="I27" s="77" t="inlineStr">
        <is>
          <t>2026</t>
        </is>
      </c>
      <c r="J27" s="77" t="inlineStr">
        <is>
          <t>2026-10-12</t>
        </is>
      </c>
      <c r="K27" s="77" t="inlineStr">
        <is>
          <t>search-index extract</t>
        </is>
      </c>
      <c r="L27" s="77" t="inlineStr">
        <is>
          <t>Students could nominate one person they wished to work with before being grouped into teams of six.</t>
        </is>
      </c>
    </row>
    <row r="28">
      <c r="A28" s="77" t="inlineStr">
        <is>
          <t>RG13-S10-R1</t>
        </is>
      </c>
      <c r="B28" s="77" t="inlineStr">
        <is>
          <t>RG13</t>
        </is>
      </c>
      <c r="C28" s="77" t="inlineStr">
        <is>
          <t>RG13-S10</t>
        </is>
      </c>
      <c r="D28" s="77" t="inlineStr">
        <is>
          <t>MiM Capstone Course - International Management in Action (incl. London Consulting Project)</t>
        </is>
      </c>
      <c r="E28" s="77" t="inlineStr">
        <is>
          <t>project; group; employer; credit; status; participation</t>
        </is>
      </c>
      <c r="F28" s="77" t="inlineStr">
        <is>
          <t>https://www.lse.ac.uk/resources/calendar2025-2026/courseGuides/MG/2025_MG4J4.htm</t>
        </is>
      </c>
      <c r="G28" s="77" t="inlineStr">
        <is>
          <t>MG4J4 MiM Capstone Course - International Management in Action</t>
        </is>
      </c>
      <c r="H28" s="77" t="inlineStr">
        <is>
          <t>Course guide</t>
        </is>
      </c>
      <c r="I28" s="77" t="inlineStr">
        <is>
          <t>2025/26</t>
        </is>
      </c>
      <c r="J28" s="77" t="inlineStr">
        <is>
          <t>2026-10-12</t>
        </is>
      </c>
      <c r="K28" s="77" t="inlineStr">
        <is>
          <t>search-index extract</t>
        </is>
      </c>
      <c r="L28"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29">
      <c r="A29" s="77" t="inlineStr">
        <is>
          <t>RG13-S10-R2</t>
        </is>
      </c>
      <c r="B29" s="77" t="inlineStr">
        <is>
          <t>RG13</t>
        </is>
      </c>
      <c r="C29" s="77" t="inlineStr">
        <is>
          <t>RG13-S10</t>
        </is>
      </c>
      <c r="D29" s="77" t="inlineStr">
        <is>
          <t>MiM Capstone Course - International Management in Action (incl. London Consulting Project)</t>
        </is>
      </c>
      <c r="E29" s="77" t="inlineStr">
        <is>
          <t>project; employer</t>
        </is>
      </c>
      <c r="F29" s="77" t="inlineStr">
        <is>
          <t>https://www.lse.ac.uk/study-at-lse/graduate/masters-in-management</t>
        </is>
      </c>
      <c r="G29" s="77" t="inlineStr">
        <is>
          <t>Master's in Management</t>
        </is>
      </c>
      <c r="H29" s="77" t="inlineStr">
        <is>
          <t>Programme page</t>
        </is>
      </c>
      <c r="I29" s="77" t="inlineStr">
        <is>
          <t>2026/27-2027/28</t>
        </is>
      </c>
      <c r="J29" s="77" t="inlineStr">
        <is>
          <t>2026-10-12</t>
        </is>
      </c>
      <c r="K29" s="77" t="inlineStr">
        <is>
          <t>search-index extract</t>
        </is>
      </c>
      <c r="L29" s="77" t="inlineStr">
        <is>
          <t>London Consulting Project - apply classroom learning to a real business challenge through a project with an external organisation; overseas Capstone visit then work with peers on a business challenge presented by an external organisation.</t>
        </is>
      </c>
    </row>
    <row r="30">
      <c r="A30" s="77" t="inlineStr">
        <is>
          <t>RG13-S10-R3</t>
        </is>
      </c>
      <c r="B30" s="77" t="inlineStr">
        <is>
          <t>RG13</t>
        </is>
      </c>
      <c r="C30" s="77" t="inlineStr">
        <is>
          <t>RG13-S10</t>
        </is>
      </c>
      <c r="D30" s="77" t="inlineStr">
        <is>
          <t>MiM Capstone Course - International Management in Action (incl. London Consulting Project)</t>
        </is>
      </c>
      <c r="E30" s="77" t="inlineStr">
        <is>
          <t>project; group; employer; status</t>
        </is>
      </c>
      <c r="F30" s="77" t="inlineStr">
        <is>
          <t>https://blogs.lse.ac.uk/management/2026/05/21/lses-masters-in-management-the-programme-directors-perspective/</t>
        </is>
      </c>
      <c r="G30" s="77" t="inlineStr">
        <is>
          <t>LSE's Master's in Management: the Programme Director views</t>
        </is>
      </c>
      <c r="H30" s="77" t="inlineStr">
        <is>
          <t>Blog</t>
        </is>
      </c>
      <c r="I30" s="77" t="inlineStr">
        <is>
          <t>2026</t>
        </is>
      </c>
      <c r="J30" s="77" t="inlineStr">
        <is>
          <t>2026-10-12</t>
        </is>
      </c>
      <c r="K30" s="77" t="inlineStr">
        <is>
          <t>search-index extract</t>
        </is>
      </c>
      <c r="L30" s="77" t="inlineStr">
        <is>
          <t>The company provides a list of projects, real business challenges; 'working in teams, you will analyse the problem and make recommendations, knowing that those recommendations will very likely be acted upon.'</t>
        </is>
      </c>
    </row>
    <row r="31">
      <c r="A31" s="77" t="inlineStr">
        <is>
          <t>RG13-S11-R1</t>
        </is>
      </c>
      <c r="B31" s="77" t="inlineStr">
        <is>
          <t>RG13</t>
        </is>
      </c>
      <c r="C31" s="77" t="inlineStr">
        <is>
          <t>RG13-S11</t>
        </is>
      </c>
      <c r="D31" s="77" t="inlineStr">
        <is>
          <t>Social Innovation and Entrepreneurship Fundamentals (year-long partner group project)</t>
        </is>
      </c>
      <c r="E31" s="77" t="inlineStr">
        <is>
          <t>project; group; employer; credit; status</t>
        </is>
      </c>
      <c r="F31" s="77" t="inlineStr">
        <is>
          <t>https://www.lse.ac.uk/resources/calendar2026-2027/courseGuides/MG/2026_MG4G6.htm</t>
        </is>
      </c>
      <c r="G31" s="77" t="inlineStr">
        <is>
          <t>MG4G6 Social Innovation and Entrepreneurship Fundamentals</t>
        </is>
      </c>
      <c r="H31" s="77" t="inlineStr">
        <is>
          <t>Course guide</t>
        </is>
      </c>
      <c r="I31" s="77" t="inlineStr">
        <is>
          <t>2026/27</t>
        </is>
      </c>
      <c r="J31" s="77" t="inlineStr">
        <is>
          <t>2026-10-12</t>
        </is>
      </c>
      <c r="K31" s="77" t="inlineStr">
        <is>
          <t>search-index extract</t>
        </is>
      </c>
      <c r="L31" s="77" t="inlineStr">
        <is>
          <t>Compulsory on the MSc; taught across Autumn and Winter Terms; project worth 45% of assessment including an element of group work; students work with a social organisation in a developing-country setting.</t>
        </is>
      </c>
    </row>
    <row r="32">
      <c r="A32" s="77" t="inlineStr">
        <is>
          <t>RG13-S11-R2</t>
        </is>
      </c>
      <c r="B32" s="77" t="inlineStr">
        <is>
          <t>RG13</t>
        </is>
      </c>
      <c r="C32" s="77" t="inlineStr">
        <is>
          <t>RG13-S11</t>
        </is>
      </c>
      <c r="D32" s="77" t="inlineStr">
        <is>
          <t>Social Innovation and Entrepreneurship Fundamentals (year-long partner group project)</t>
        </is>
      </c>
      <c r="E32" s="77" t="inlineStr">
        <is>
          <t>project; group; employer</t>
        </is>
      </c>
      <c r="F32" s="77" t="inlineStr">
        <is>
          <t>https://www.lse.ac.uk/study-at-lse/graduate/msc-social-innovation-and-entrepreneurship</t>
        </is>
      </c>
      <c r="G32" s="77" t="inlineStr">
        <is>
          <t>MSc Social Innovation and Entrepreneurship</t>
        </is>
      </c>
      <c r="H32" s="77" t="inlineStr">
        <is>
          <t>Programme page</t>
        </is>
      </c>
      <c r="I32" s="77" t="inlineStr">
        <is>
          <t>undated</t>
        </is>
      </c>
      <c r="J32" s="77" t="inlineStr">
        <is>
          <t>2026-10-12</t>
        </is>
      </c>
      <c r="K32" s="77" t="inlineStr">
        <is>
          <t>search-index extract</t>
        </is>
      </c>
      <c r="L32"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
      <c r="A33" s="77" t="inlineStr">
        <is>
          <t>RG13-S11-R3</t>
        </is>
      </c>
      <c r="B33" s="77" t="inlineStr">
        <is>
          <t>RG13</t>
        </is>
      </c>
      <c r="C33" s="77" t="inlineStr">
        <is>
          <t>RG13-S11</t>
        </is>
      </c>
      <c r="D33" s="77" t="inlineStr">
        <is>
          <t>Social Innovation and Entrepreneurship Fundamentals (year-long partner group project)</t>
        </is>
      </c>
      <c r="E33" s="77" t="inlineStr">
        <is>
          <t>employer; status</t>
        </is>
      </c>
      <c r="F33" s="77" t="inlineStr">
        <is>
          <t>https://blogs.lse.ac.uk/management/2026/04/02/lses-msc-social-innovation-and-entrepreneurship-supporting-innovation-in-africa/</t>
        </is>
      </c>
      <c r="G33" s="77" t="inlineStr">
        <is>
          <t>LSE's MSc Social Innovation and Entrepreneurship: Field trip</t>
        </is>
      </c>
      <c r="H33" s="77" t="inlineStr">
        <is>
          <t>Blog</t>
        </is>
      </c>
      <c r="I33" s="77" t="inlineStr">
        <is>
          <t>2026</t>
        </is>
      </c>
      <c r="J33" s="77" t="inlineStr">
        <is>
          <t>2026-10-12</t>
        </is>
      </c>
      <c r="K33" s="77" t="inlineStr">
        <is>
          <t>search-index extract</t>
        </is>
      </c>
      <c r="L33" s="77" t="inlineStr">
        <is>
          <t>In-person international field trip in Winter Term to Kenya and South Africa.</t>
        </is>
      </c>
    </row>
    <row r="34">
      <c r="A34" s="77" t="inlineStr">
        <is>
          <t>RG13-S12-R1</t>
        </is>
      </c>
      <c r="B34" s="77" t="inlineStr">
        <is>
          <t>RG13</t>
        </is>
      </c>
      <c r="C34" s="77" t="inlineStr">
        <is>
          <t>RG13-S12</t>
        </is>
      </c>
      <c r="D34" s="77" t="inlineStr">
        <is>
          <t>Capstone Project (MSc Data Science)</t>
        </is>
      </c>
      <c r="E34" s="77" t="inlineStr">
        <is>
          <t>project; group; employer; credit; status; participation</t>
        </is>
      </c>
      <c r="F34" s="77" t="inlineStr">
        <is>
          <t>https://www.lse.ac.uk/resources/calendar2025-2026/courseGuides/ST/2025_ST498.htm</t>
        </is>
      </c>
      <c r="G34" s="77" t="inlineStr">
        <is>
          <t>ST498 Capstone Project</t>
        </is>
      </c>
      <c r="H34" s="77" t="inlineStr">
        <is>
          <t>Course guide</t>
        </is>
      </c>
      <c r="I34" s="77" t="inlineStr">
        <is>
          <t>2025/26</t>
        </is>
      </c>
      <c r="J34" s="77" t="inlineStr">
        <is>
          <t>2026-10-12</t>
        </is>
      </c>
      <c r="K34" s="77" t="inlineStr">
        <is>
          <t>search-index extract</t>
        </is>
      </c>
      <c r="L34"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5">
      <c r="A35" s="77" t="inlineStr">
        <is>
          <t>RG13-S12-R2</t>
        </is>
      </c>
      <c r="B35" s="77" t="inlineStr">
        <is>
          <t>RG13</t>
        </is>
      </c>
      <c r="C35" s="77" t="inlineStr">
        <is>
          <t>RG13-S12</t>
        </is>
      </c>
      <c r="D35" s="77" t="inlineStr">
        <is>
          <t>Capstone Project (MSc Data Science)</t>
        </is>
      </c>
      <c r="E35" s="77" t="inlineStr">
        <is>
          <t>employer</t>
        </is>
      </c>
      <c r="F35" s="77" t="inlineStr">
        <is>
          <t>https://www.lse.ac.uk/statistics/partnerships</t>
        </is>
      </c>
      <c r="G35" s="77" t="inlineStr">
        <is>
          <t>Partnerships</t>
        </is>
      </c>
      <c r="H35" s="77" t="inlineStr">
        <is>
          <t>Department page</t>
        </is>
      </c>
      <c r="I35" s="77" t="inlineStr">
        <is>
          <t>undated</t>
        </is>
      </c>
      <c r="J35" s="77" t="inlineStr">
        <is>
          <t>2026-10-12</t>
        </is>
      </c>
      <c r="K35" s="77" t="inlineStr">
        <is>
          <t>search-index extract</t>
        </is>
      </c>
      <c r="L35" s="77" t="inlineStr">
        <is>
          <t>Working with over 20 partners including Deloitte, Mastercard, Meta, Microsoft, Moody's, Sky, Transport for London, Wise and the World Trade Organization.</t>
        </is>
      </c>
    </row>
    <row r="36">
      <c r="A36" s="77" t="inlineStr">
        <is>
          <t>RG13-S12-R3</t>
        </is>
      </c>
      <c r="B36" s="77" t="inlineStr">
        <is>
          <t>RG13</t>
        </is>
      </c>
      <c r="C36" s="77" t="inlineStr">
        <is>
          <t>RG13-S12</t>
        </is>
      </c>
      <c r="D36" s="77" t="inlineStr">
        <is>
          <t>Capstone Project (MSc Data Science)</t>
        </is>
      </c>
      <c r="E36" s="77" t="inlineStr">
        <is>
          <t>employer</t>
        </is>
      </c>
      <c r="F36" s="77" t="inlineStr">
        <is>
          <t>https://info.lse.ac.uk/staff/divisions/Teaching-and-Learning-Centre/TLC-resource-materials/Education-Case-Studies/Statistics-MSc-Data-Science-capstone-project</t>
        </is>
      </c>
      <c r="G36" s="77" t="inlineStr">
        <is>
          <t>Statistics - MSc Data Science capstone project (education case study)</t>
        </is>
      </c>
      <c r="H36" s="77" t="inlineStr">
        <is>
          <t>Case study</t>
        </is>
      </c>
      <c r="I36" s="77" t="inlineStr">
        <is>
          <t>undated</t>
        </is>
      </c>
      <c r="J36" s="77" t="inlineStr">
        <is>
          <t>2026-10-12</t>
        </is>
      </c>
      <c r="K36" s="77" t="inlineStr">
        <is>
          <t>search-index extract</t>
        </is>
      </c>
      <c r="L36" s="77" t="inlineStr">
        <is>
          <t>Partners are either companies or, in some instances, LSE academics and Professional Service divisions.</t>
        </is>
      </c>
    </row>
    <row r="37">
      <c r="A37" s="77" t="inlineStr">
        <is>
          <t>RG13-S12-R4</t>
        </is>
      </c>
      <c r="B37" s="77" t="inlineStr">
        <is>
          <t>RG13</t>
        </is>
      </c>
      <c r="C37" s="77" t="inlineStr">
        <is>
          <t>RG13-S12</t>
        </is>
      </c>
      <c r="D37" s="77" t="inlineStr">
        <is>
          <t>Capstone Project (MSc Data Science)</t>
        </is>
      </c>
      <c r="E37" s="77" t="inlineStr">
        <is>
          <t>participation; credit</t>
        </is>
      </c>
      <c r="F37" s="77" t="inlineStr">
        <is>
          <t>https://www.lse.ac.uk/resources/calendar2025-2026/programmeRegulations/taughtMasters/2025/MScDataScience.htm</t>
        </is>
      </c>
      <c r="G37" s="77" t="inlineStr">
        <is>
          <t>MSc in Data Science programme regulations</t>
        </is>
      </c>
      <c r="H37" s="77" t="inlineStr">
        <is>
          <t>Regulations</t>
        </is>
      </c>
      <c r="I37" s="77" t="inlineStr">
        <is>
          <t>2025/26</t>
        </is>
      </c>
      <c r="J37" s="77" t="inlineStr">
        <is>
          <t>2026-10-12</t>
        </is>
      </c>
      <c r="K37" s="77" t="inlineStr">
        <is>
          <t>search-index extract</t>
        </is>
      </c>
      <c r="L37" s="77" t="inlineStr">
        <is>
          <t>ST498 Capstone Project (1.0) listed as compulsory.</t>
        </is>
      </c>
    </row>
    <row r="38">
      <c r="A38" s="77" t="inlineStr">
        <is>
          <t>RG13-S13-R1</t>
        </is>
      </c>
      <c r="B38" s="77" t="inlineStr">
        <is>
          <t>RG13</t>
        </is>
      </c>
      <c r="C38" s="77" t="inlineStr">
        <is>
          <t>RG13-S13</t>
        </is>
      </c>
      <c r="D38" s="77" t="inlineStr">
        <is>
          <t>Project in Operations Research &amp; Analytics</t>
        </is>
      </c>
      <c r="E38" s="77" t="inlineStr">
        <is>
          <t>project; employer; credit; status</t>
        </is>
      </c>
      <c r="F38" s="77" t="inlineStr">
        <is>
          <t>https://www.lse.ac.uk/resources/calendar2026-2027/courseGuides/MA/2026_MA425.htm</t>
        </is>
      </c>
      <c r="G38" s="77" t="inlineStr">
        <is>
          <t>MA425 Project in Operations Research &amp; Analytics</t>
        </is>
      </c>
      <c r="H38" s="77" t="inlineStr">
        <is>
          <t>Course guide</t>
        </is>
      </c>
      <c r="I38" s="77" t="inlineStr">
        <is>
          <t>2026/27</t>
        </is>
      </c>
      <c r="J38" s="77" t="inlineStr">
        <is>
          <t>2026-10-12</t>
        </is>
      </c>
      <c r="K38" s="77" t="inlineStr">
        <is>
          <t>search-index extract</t>
        </is>
      </c>
      <c r="L38" s="77" t="inlineStr">
        <is>
          <t>Typically a consulting-like placement with an industry, government or non-profit partner; full-time from early June until end of August, possibly at the client site; Project (100%); cannot be taken with MA426.</t>
        </is>
      </c>
    </row>
    <row r="39">
      <c r="A39" s="77" t="inlineStr">
        <is>
          <t>RG13-S13-R2</t>
        </is>
      </c>
      <c r="B39" s="77" t="inlineStr">
        <is>
          <t>RG13</t>
        </is>
      </c>
      <c r="C39" s="77" t="inlineStr">
        <is>
          <t>RG13-S13</t>
        </is>
      </c>
      <c r="D39" s="77" t="inlineStr">
        <is>
          <t>Project in Operations Research &amp; Analytics</t>
        </is>
      </c>
      <c r="E39" s="77" t="inlineStr">
        <is>
          <t>employer</t>
        </is>
      </c>
      <c r="F39" s="77" t="inlineStr">
        <is>
          <t>https://www.lse.ac.uk/study-at-lse/graduate/msc-operations-research-and-analytics</t>
        </is>
      </c>
      <c r="G39" s="77" t="inlineStr">
        <is>
          <t>MSc Operations Research and Analytics</t>
        </is>
      </c>
      <c r="H39" s="77" t="inlineStr">
        <is>
          <t>Programme page</t>
        </is>
      </c>
      <c r="I39" s="77" t="inlineStr">
        <is>
          <t>undated</t>
        </is>
      </c>
      <c r="J39" s="77" t="inlineStr">
        <is>
          <t>2026-10-12</t>
        </is>
      </c>
      <c r="K39" s="77" t="inlineStr">
        <is>
          <t>search-index extract</t>
        </is>
      </c>
      <c r="L39" s="77" t="inlineStr">
        <is>
          <t>Past and present partners include Amazon, BT, British Airways, Emirates Airlines, FICO, Ford Motor Company, Just Eat, Legal and General, the National Audit Office and Transport for London.</t>
        </is>
      </c>
    </row>
    <row r="40">
      <c r="A40" s="77" t="inlineStr">
        <is>
          <t>RG13-S14-R1</t>
        </is>
      </c>
      <c r="B40" s="77" t="inlineStr">
        <is>
          <t>RG13</t>
        </is>
      </c>
      <c r="C40" s="77" t="inlineStr">
        <is>
          <t>RG13-S14</t>
        </is>
      </c>
      <c r="D40" s="77" t="inlineStr">
        <is>
          <t>MPA Capstone Project</t>
        </is>
      </c>
      <c r="E40" s="77" t="inlineStr">
        <is>
          <t>project; group; employer; credit; status; participation</t>
        </is>
      </c>
      <c r="F40" s="77" t="inlineStr">
        <is>
          <t>https://www.lse.ac.uk/resources/calendar2025-2026/courseGuides/PP/2025_PP4B3.htm</t>
        </is>
      </c>
      <c r="G40" s="77" t="inlineStr">
        <is>
          <t>PP4B3 MPA Capstone Project</t>
        </is>
      </c>
      <c r="H40" s="77" t="inlineStr">
        <is>
          <t>Course guide</t>
        </is>
      </c>
      <c r="I40" s="77" t="inlineStr">
        <is>
          <t>2025/26</t>
        </is>
      </c>
      <c r="J40" s="77" t="inlineStr">
        <is>
          <t>2026-10-12</t>
        </is>
      </c>
      <c r="K40" s="77" t="inlineStr">
        <is>
          <t>search-index extract</t>
        </is>
      </c>
      <c r="L40"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41">
      <c r="A41" s="77" t="inlineStr">
        <is>
          <t>RG13-S14-R2</t>
        </is>
      </c>
      <c r="B41" s="77" t="inlineStr">
        <is>
          <t>RG13</t>
        </is>
      </c>
      <c r="C41" s="77" t="inlineStr">
        <is>
          <t>RG13-S14</t>
        </is>
      </c>
      <c r="D41" s="77" t="inlineStr">
        <is>
          <t>MPA Capstone Project</t>
        </is>
      </c>
      <c r="E41" s="77" t="inlineStr">
        <is>
          <t>group; employer; participation</t>
        </is>
      </c>
      <c r="F41" s="77" t="inlineStr">
        <is>
          <t>https://www.lse.ac.uk/school-of-public-policy/study/master-of-public-administration/capstone</t>
        </is>
      </c>
      <c r="G41" s="77" t="inlineStr">
        <is>
          <t>MPA Capstone Projects</t>
        </is>
      </c>
      <c r="H41" s="77" t="inlineStr">
        <is>
          <t>Programme page</t>
        </is>
      </c>
      <c r="I41" s="77" t="inlineStr">
        <is>
          <t>undated</t>
        </is>
      </c>
      <c r="J41" s="77" t="inlineStr">
        <is>
          <t>2026-10-12</t>
        </is>
      </c>
      <c r="K41" s="77" t="inlineStr">
        <is>
          <t>search-index extract</t>
        </is>
      </c>
      <c r="L41" s="77" t="inlineStr">
        <is>
          <t>Compulsory for second-year MPA students; groups of 3-6; October to March on an issue defined by the client organisation; recent partners include Goldman Sachs, Unilever, UNDP, UNICEF, OECD, Migration Policy Institute, NHS England.</t>
        </is>
      </c>
    </row>
    <row r="42">
      <c r="A42" s="77" t="inlineStr">
        <is>
          <t>RG13-S15-R1</t>
        </is>
      </c>
      <c r="B42" s="77" t="inlineStr">
        <is>
          <t>RG13</t>
        </is>
      </c>
      <c r="C42" s="77" t="inlineStr">
        <is>
          <t>RG13-S15</t>
        </is>
      </c>
      <c r="D42" s="77" t="inlineStr">
        <is>
          <t>Capstone Project: MPA - Data Science for Public Policy</t>
        </is>
      </c>
      <c r="E42" s="77" t="inlineStr">
        <is>
          <t>project; group; employer; status</t>
        </is>
      </c>
      <c r="F42" s="77" t="inlineStr">
        <is>
          <t>https://www.lse.ac.uk/resources/calendar2025-2026/courseGuides/PP/2025_PP4B5.htm</t>
        </is>
      </c>
      <c r="G42" s="77" t="inlineStr">
        <is>
          <t>PP4B5 Capstone Project: MPA - Data Science for Public Policy</t>
        </is>
      </c>
      <c r="H42" s="77" t="inlineStr">
        <is>
          <t>Course guide</t>
        </is>
      </c>
      <c r="I42" s="77" t="inlineStr">
        <is>
          <t>2025/26</t>
        </is>
      </c>
      <c r="J42" s="77" t="inlineStr">
        <is>
          <t>2026-10-12</t>
        </is>
      </c>
      <c r="K42" s="77" t="inlineStr">
        <is>
          <t>search-index extract</t>
        </is>
      </c>
      <c r="L42"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43">
      <c r="A43" s="77" t="inlineStr">
        <is>
          <t>RG13-S16-R1</t>
        </is>
      </c>
      <c r="B43" s="77" t="inlineStr">
        <is>
          <t>RG13</t>
        </is>
      </c>
      <c r="C43" s="77" t="inlineStr">
        <is>
          <t>RG13-S16</t>
        </is>
      </c>
      <c r="D43" s="77" t="inlineStr">
        <is>
          <t>Executive MPP Capstone Project</t>
        </is>
      </c>
      <c r="E43" s="77" t="inlineStr">
        <is>
          <t>project; group; employer; credit; status</t>
        </is>
      </c>
      <c r="F43" s="77" t="inlineStr">
        <is>
          <t>https://www.lse.ac.uk/resources/calendar2025-2026/courseGuides/PP/2025_PP4B3E.htm</t>
        </is>
      </c>
      <c r="G43" s="77" t="inlineStr">
        <is>
          <t>PP4B3E Half Unit Executive MPP Capstone Project</t>
        </is>
      </c>
      <c r="H43" s="77" t="inlineStr">
        <is>
          <t>Course guide</t>
        </is>
      </c>
      <c r="I43" s="77" t="inlineStr">
        <is>
          <t>2025/26</t>
        </is>
      </c>
      <c r="J43" s="77" t="inlineStr">
        <is>
          <t>2026-10-12</t>
        </is>
      </c>
      <c r="K43" s="77" t="inlineStr">
        <is>
          <t>search-index extract</t>
        </is>
      </c>
      <c r="L43" s="77" t="inlineStr">
        <is>
          <t>Client is the Civil Service; teams of roughly 3 to 5 work on a public policy problem identified jointly by the Civil Service and LSE academics, over one week.</t>
        </is>
      </c>
    </row>
    <row r="44">
      <c r="A44" s="77" t="inlineStr">
        <is>
          <t>RG13-S17-R1</t>
        </is>
      </c>
      <c r="B44" s="77" t="inlineStr">
        <is>
          <t>RG13</t>
        </is>
      </c>
      <c r="C44" s="77" t="inlineStr">
        <is>
          <t>RG13-S17</t>
        </is>
      </c>
      <c r="D44" s="77" t="inlineStr">
        <is>
          <t>Philosophy, Politics and Economics: Capstone</t>
        </is>
      </c>
      <c r="E44" s="77" t="inlineStr">
        <is>
          <t>project; group; employer; credit; status; participation</t>
        </is>
      </c>
      <c r="F44" s="77" t="inlineStr">
        <is>
          <t>https://www.lse.ac.uk/resources/calendar2025-2026/courseGuides/GV/2025_GV343.htm</t>
        </is>
      </c>
      <c r="G44" s="77" t="inlineStr">
        <is>
          <t>GV343 Philosophy, Politics and Economics: Capstone</t>
        </is>
      </c>
      <c r="H44" s="77" t="inlineStr">
        <is>
          <t>Course guide</t>
        </is>
      </c>
      <c r="I44" s="77" t="inlineStr">
        <is>
          <t>2025/26</t>
        </is>
      </c>
      <c r="J44" s="77" t="inlineStr">
        <is>
          <t>2026-10-12</t>
        </is>
      </c>
      <c r="K44" s="77" t="inlineStr">
        <is>
          <t>search-index extract</t>
        </is>
      </c>
      <c r="L44"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45">
      <c r="A45" s="77" t="inlineStr">
        <is>
          <t>RG13-S17-R2</t>
        </is>
      </c>
      <c r="B45" s="77" t="inlineStr">
        <is>
          <t>RG13</t>
        </is>
      </c>
      <c r="C45" s="77" t="inlineStr">
        <is>
          <t>RG13-S17</t>
        </is>
      </c>
      <c r="D45" s="77" t="inlineStr">
        <is>
          <t>Philosophy, Politics and Economics: Capstone</t>
        </is>
      </c>
      <c r="E45" s="77" t="inlineStr">
        <is>
          <t>project; group; employer</t>
        </is>
      </c>
      <c r="F45" s="77" t="inlineStr">
        <is>
          <t>https://www.lse.ac.uk/philosophy/studying-at-the-department/bsc-philosophy-politics-and-economics-showcase</t>
        </is>
      </c>
      <c r="G45" s="77" t="inlineStr">
        <is>
          <t>BSc Philosophy, Politics and Economics Showcase</t>
        </is>
      </c>
      <c r="H45" s="77" t="inlineStr">
        <is>
          <t>Showcase page</t>
        </is>
      </c>
      <c r="I45" s="77" t="inlineStr">
        <is>
          <t>undated</t>
        </is>
      </c>
      <c r="J45" s="77" t="inlineStr">
        <is>
          <t>2026-10-12</t>
        </is>
      </c>
      <c r="K45" s="77" t="inlineStr">
        <is>
          <t>search-index extract</t>
        </is>
      </c>
      <c r="L45" s="77" t="inlineStr">
        <is>
          <t>Each team works under a faculty supervisor on a practical policy problem set by an external client over an intensive 11-week period culminating in a presentation and submission of a written report to the client.</t>
        </is>
      </c>
    </row>
    <row r="46">
      <c r="A46" s="77" t="inlineStr">
        <is>
          <t>RG13-S17-R3</t>
        </is>
      </c>
      <c r="B46" s="77" t="inlineStr">
        <is>
          <t>RG13</t>
        </is>
      </c>
      <c r="C46" s="77" t="inlineStr">
        <is>
          <t>RG13-S17</t>
        </is>
      </c>
      <c r="D46" s="77" t="inlineStr">
        <is>
          <t>Philosophy, Politics and Economics: Capstone</t>
        </is>
      </c>
      <c r="E46" s="77" t="inlineStr">
        <is>
          <t>employer</t>
        </is>
      </c>
      <c r="F46" s="77" t="inlineStr">
        <is>
          <t>https://www.lse.ac.uk/philosophy/ppe-showcase/2023-showcase/</t>
        </is>
      </c>
      <c r="G46" s="77" t="inlineStr">
        <is>
          <t>2023 Showcase</t>
        </is>
      </c>
      <c r="H46" s="77" t="inlineStr">
        <is>
          <t>Showcase</t>
        </is>
      </c>
      <c r="I46" s="77" t="inlineStr">
        <is>
          <t>2023</t>
        </is>
      </c>
      <c r="J46" s="77" t="inlineStr">
        <is>
          <t>2026-10-12</t>
        </is>
      </c>
      <c r="K46" s="77" t="inlineStr">
        <is>
          <t>search-index extract</t>
        </is>
      </c>
      <c r="L46" s="77" t="inlineStr">
        <is>
          <t>Lists named client projects, including one for Twaweza and one for Amazon Web Services.</t>
        </is>
      </c>
    </row>
    <row r="47">
      <c r="A47" s="77" t="inlineStr">
        <is>
          <t>RG13-S17-R4</t>
        </is>
      </c>
      <c r="B47" s="77" t="inlineStr">
        <is>
          <t>RG13</t>
        </is>
      </c>
      <c r="C47" s="77" t="inlineStr">
        <is>
          <t>RG13-S17</t>
        </is>
      </c>
      <c r="D47" s="77" t="inlineStr">
        <is>
          <t>Philosophy, Politics and Economics: Capstone</t>
        </is>
      </c>
      <c r="E47" s="77" t="inlineStr">
        <is>
          <t>status</t>
        </is>
      </c>
      <c r="F47" s="77" t="inlineStr">
        <is>
          <t>https://www.lse.ac.uk/philosophy/events/upcoming-events/philosophy-showcase-2026</t>
        </is>
      </c>
      <c r="G47" s="77" t="inlineStr">
        <is>
          <t>Philosophy Showcase 2026</t>
        </is>
      </c>
      <c r="H47" s="77" t="inlineStr">
        <is>
          <t>Event</t>
        </is>
      </c>
      <c r="I47" s="77" t="inlineStr">
        <is>
          <t>2026</t>
        </is>
      </c>
      <c r="J47" s="77" t="inlineStr">
        <is>
          <t>2026-10-12</t>
        </is>
      </c>
      <c r="K47" s="77" t="inlineStr">
        <is>
          <t>search-index extract</t>
        </is>
      </c>
      <c r="L47" s="77" t="inlineStr">
        <is>
          <t>Friday 8 May 2026, including Presentations of 4th Year PPE Capstone Projects.</t>
        </is>
      </c>
    </row>
    <row r="48">
      <c r="A48" s="77" t="inlineStr">
        <is>
          <t>RG13-S18-R1</t>
        </is>
      </c>
      <c r="B48" s="77" t="inlineStr">
        <is>
          <t>RG13</t>
        </is>
      </c>
      <c r="C48" s="77" t="inlineStr">
        <is>
          <t>RG13-S18</t>
        </is>
      </c>
      <c r="D48" s="77" t="inlineStr">
        <is>
          <t>International Development Consultancy Projects</t>
        </is>
      </c>
      <c r="E48" s="77" t="inlineStr">
        <is>
          <t>project; group; employer</t>
        </is>
      </c>
      <c r="F48" s="77" t="inlineStr">
        <is>
          <t>https://www.lse.ac.uk/international-development/study/consultancy-projects</t>
        </is>
      </c>
      <c r="G48" s="77" t="inlineStr">
        <is>
          <t>International Development Consultancy Project</t>
        </is>
      </c>
      <c r="H48" s="77" t="inlineStr">
        <is>
          <t>Department page</t>
        </is>
      </c>
      <c r="I48" s="77" t="inlineStr">
        <is>
          <t>undated</t>
        </is>
      </c>
      <c r="J48" s="77" t="inlineStr">
        <is>
          <t>2026-10-12</t>
        </is>
      </c>
      <c r="K48" s="77" t="inlineStr">
        <is>
          <t>search-index extract</t>
        </is>
      </c>
      <c r="L48"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49">
      <c r="A49" s="77" t="inlineStr">
        <is>
          <t>RG13-S18-R2</t>
        </is>
      </c>
      <c r="B49" s="77" t="inlineStr">
        <is>
          <t>RG13</t>
        </is>
      </c>
      <c r="C49" s="77" t="inlineStr">
        <is>
          <t>RG13-S18</t>
        </is>
      </c>
      <c r="D49" s="77" t="inlineStr">
        <is>
          <t>International Development Consultancy Projects</t>
        </is>
      </c>
      <c r="E49" s="77" t="inlineStr">
        <is>
          <t>credit; group</t>
        </is>
      </c>
      <c r="F49" s="77" t="inlineStr">
        <is>
          <t>https://www.lse.ac.uk/international-development/study/assessment-information</t>
        </is>
      </c>
      <c r="G49" s="77" t="inlineStr">
        <is>
          <t>Assessment Information</t>
        </is>
      </c>
      <c r="H49" s="77" t="inlineStr">
        <is>
          <t>Department page</t>
        </is>
      </c>
      <c r="I49" s="77" t="inlineStr">
        <is>
          <t>undated</t>
        </is>
      </c>
      <c r="J49" s="77" t="inlineStr">
        <is>
          <t>2026-10-12</t>
        </is>
      </c>
      <c r="K49" s="77" t="inlineStr">
        <is>
          <t>search-index extract</t>
        </is>
      </c>
      <c r="L49" s="77" t="inlineStr">
        <is>
          <t>Consultancy projects: group project and report (80%), reflective learning report (10%), group presentation (10%) in Winter Term.</t>
        </is>
      </c>
    </row>
    <row r="50">
      <c r="A50" s="77" t="inlineStr">
        <is>
          <t>RG13-S19-R1</t>
        </is>
      </c>
      <c r="B50" s="77" t="inlineStr">
        <is>
          <t>RG13</t>
        </is>
      </c>
      <c r="C50" s="77" t="inlineStr">
        <is>
          <t>RG13-S19</t>
        </is>
      </c>
      <c r="D50" s="77" t="inlineStr">
        <is>
          <t>Development Management Consultancy Project</t>
        </is>
      </c>
      <c r="E50" s="77" t="inlineStr">
        <is>
          <t>project; group; employer; credit; status; participation</t>
        </is>
      </c>
      <c r="F50" s="77" t="inlineStr">
        <is>
          <t>https://www.lse.ac.uk/resources/calendar2025-2026/courseGuides/DV/2025_DV443.htm</t>
        </is>
      </c>
      <c r="G50" s="77" t="inlineStr">
        <is>
          <t>DV443 Development Management Consultancy Project</t>
        </is>
      </c>
      <c r="H50" s="77" t="inlineStr">
        <is>
          <t>Course guide</t>
        </is>
      </c>
      <c r="I50" s="77" t="inlineStr">
        <is>
          <t>2025/26</t>
        </is>
      </c>
      <c r="J50" s="77" t="inlineStr">
        <is>
          <t>2026-10-12</t>
        </is>
      </c>
      <c r="K50" s="77" t="inlineStr">
        <is>
          <t>search-index extract</t>
        </is>
      </c>
      <c r="L50"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51">
      <c r="A51" s="77" t="inlineStr">
        <is>
          <t>RG13-S20-R1</t>
        </is>
      </c>
      <c r="B51" s="77" t="inlineStr">
        <is>
          <t>RG13</t>
        </is>
      </c>
      <c r="C51" s="77" t="inlineStr">
        <is>
          <t>RG13-S20</t>
        </is>
      </c>
      <c r="D51" s="77" t="inlineStr">
        <is>
          <t>Health and International Development Consultancy Project</t>
        </is>
      </c>
      <c r="E51" s="77" t="inlineStr">
        <is>
          <t>eligibility; status; project</t>
        </is>
      </c>
      <c r="F51" s="77" t="inlineStr">
        <is>
          <t>https://www.lse.ac.uk/resources/calendar/courseGuides/DV/2025_DV453.htm</t>
        </is>
      </c>
      <c r="G51" s="77" t="inlineStr">
        <is>
          <t>DV453 Health and International Development Consultancy Project</t>
        </is>
      </c>
      <c r="H51" s="77" t="inlineStr">
        <is>
          <t>Course guide</t>
        </is>
      </c>
      <c r="I51" s="77" t="inlineStr">
        <is>
          <t>2025/26</t>
        </is>
      </c>
      <c r="J51" s="77" t="inlineStr">
        <is>
          <t>2026-10-12</t>
        </is>
      </c>
      <c r="K51" s="77" t="inlineStr">
        <is>
          <t>search-index extract</t>
        </is>
      </c>
      <c r="L51" s="77" t="inlineStr">
        <is>
          <t>Half unit; open to MSc Development Studies and MSc Health and International Development students only; controlled access; Health and International Development students guaranteed a place.</t>
        </is>
      </c>
    </row>
    <row r="52">
      <c r="A52" s="77" t="inlineStr">
        <is>
          <t>RG13-S20-R2</t>
        </is>
      </c>
      <c r="B52" s="77" t="inlineStr">
        <is>
          <t>RG13</t>
        </is>
      </c>
      <c r="C52" s="77" t="inlineStr">
        <is>
          <t>RG13-S20</t>
        </is>
      </c>
      <c r="D52" s="77" t="inlineStr">
        <is>
          <t>Health and International Development Consultancy Project</t>
        </is>
      </c>
      <c r="E52" s="77" t="inlineStr">
        <is>
          <t>project; credit; status</t>
        </is>
      </c>
      <c r="F52" s="77" t="inlineStr">
        <is>
          <t>https://www.lse.ac.uk/resources/calendar/courseGuides/DV/2026_DV453.htm</t>
        </is>
      </c>
      <c r="G52" s="77" t="inlineStr">
        <is>
          <t>DV453 Health and International Development Consultancy Project</t>
        </is>
      </c>
      <c r="H52" s="77" t="inlineStr">
        <is>
          <t>Course guide</t>
        </is>
      </c>
      <c r="I52" s="77" t="inlineStr">
        <is>
          <t>2026/27</t>
        </is>
      </c>
      <c r="J52" s="77" t="inlineStr">
        <is>
          <t>2026-10-12</t>
        </is>
      </c>
      <c r="K52" s="77" t="inlineStr">
        <is>
          <t>search-index extract</t>
        </is>
      </c>
      <c r="L52" s="77" t="inlineStr">
        <is>
          <t>Assessment: report (80%, 8000 words), presentation (10%), learning log (10%).</t>
        </is>
      </c>
    </row>
    <row r="53">
      <c r="A53" s="77" t="inlineStr">
        <is>
          <t>RG13-S20-R3</t>
        </is>
      </c>
      <c r="B53" s="77" t="inlineStr">
        <is>
          <t>RG13</t>
        </is>
      </c>
      <c r="C53" s="77" t="inlineStr">
        <is>
          <t>RG13-S20</t>
        </is>
      </c>
      <c r="D53" s="77" t="inlineStr">
        <is>
          <t>Health and International Development Consultancy Project</t>
        </is>
      </c>
      <c r="E53" s="77" t="inlineStr">
        <is>
          <t>group; employer</t>
        </is>
      </c>
      <c r="F53" s="77" t="inlineStr">
        <is>
          <t>https://www.lse.ac.uk/international-development/study/consultancy-projects</t>
        </is>
      </c>
      <c r="G53" s="77" t="inlineStr">
        <is>
          <t>International Development Consultancy Project</t>
        </is>
      </c>
      <c r="H53" s="77" t="inlineStr">
        <is>
          <t>Department page (covers the department's consultancy courses)</t>
        </is>
      </c>
      <c r="I53" s="77" t="inlineStr">
        <is>
          <t>undated</t>
        </is>
      </c>
      <c r="J53" s="77" t="inlineStr">
        <is>
          <t>2026-10-12</t>
        </is>
      </c>
      <c r="K53" s="77" t="inlineStr">
        <is>
          <t>search-index extract</t>
        </is>
      </c>
      <c r="L53" s="77" t="inlineStr">
        <is>
          <t>Working in teams of 3-5, students produce a report for a client; clients submit an initial proposal or draft Terms of Reference.</t>
        </is>
      </c>
    </row>
    <row r="54">
      <c r="A54" s="77" t="inlineStr">
        <is>
          <t>RG13-S21-R1</t>
        </is>
      </c>
      <c r="B54" s="77" t="inlineStr">
        <is>
          <t>RG13</t>
        </is>
      </c>
      <c r="C54" s="77" t="inlineStr">
        <is>
          <t>RG13-S21</t>
        </is>
      </c>
      <c r="D54" s="77" t="inlineStr">
        <is>
          <t>Humanitarian Consultancy Project</t>
        </is>
      </c>
      <c r="E54" s="77" t="inlineStr">
        <is>
          <t>project; employer; participation; status</t>
        </is>
      </c>
      <c r="F54" s="77" t="inlineStr">
        <is>
          <t>https://www.lse.ac.uk/resources/calendar2025-2026/courseGuides/DV/2025_DV466.htm</t>
        </is>
      </c>
      <c r="G54" s="77" t="inlineStr">
        <is>
          <t>DV466 Half Unit Humanitarian Consultancy Project</t>
        </is>
      </c>
      <c r="H54" s="77" t="inlineStr">
        <is>
          <t>Course guide</t>
        </is>
      </c>
      <c r="I54" s="77" t="inlineStr">
        <is>
          <t>2025/26</t>
        </is>
      </c>
      <c r="J54" s="77" t="inlineStr">
        <is>
          <t>2026-10-12</t>
        </is>
      </c>
      <c r="K54" s="77" t="inlineStr">
        <is>
          <t>search-index extract</t>
        </is>
      </c>
      <c r="L54" s="77" t="inlineStr">
        <is>
          <t>Compulsory on the MSc in International Development and Humanitarian Emergencies; working on a live consultancy project for a real client.</t>
        </is>
      </c>
    </row>
    <row r="55">
      <c r="A55" s="77" t="inlineStr">
        <is>
          <t>RG13-S21-R2</t>
        </is>
      </c>
      <c r="B55" s="77" t="inlineStr">
        <is>
          <t>RG13</t>
        </is>
      </c>
      <c r="C55" s="77" t="inlineStr">
        <is>
          <t>RG13-S21</t>
        </is>
      </c>
      <c r="D55" s="77" t="inlineStr">
        <is>
          <t>Humanitarian Consultancy Project</t>
        </is>
      </c>
      <c r="E55" s="77" t="inlineStr">
        <is>
          <t>participation; credit</t>
        </is>
      </c>
      <c r="F55" s="77" t="inlineStr">
        <is>
          <t>https://www.lse.ac.uk/resources/calendar2025-2026/programmeRegulations/taughtMasters/2025/MScInternationalDevelopmentAndHumanitarianEmergencies.htm</t>
        </is>
      </c>
      <c r="G55" s="77" t="inlineStr">
        <is>
          <t>MSc in International Development and Humanitarian Emergencies regulations</t>
        </is>
      </c>
      <c r="H55" s="77" t="inlineStr">
        <is>
          <t>Paper 2</t>
        </is>
      </c>
      <c r="I55" s="77" t="inlineStr">
        <is>
          <t>2025/26</t>
        </is>
      </c>
      <c r="J55" s="77" t="inlineStr">
        <is>
          <t>2026-10-12</t>
        </is>
      </c>
      <c r="K55" s="77" t="inlineStr">
        <is>
          <t>search-index extract</t>
        </is>
      </c>
      <c r="L55" s="77" t="inlineStr">
        <is>
          <t>DV466 Humanitarian Consultancy Project (0.5) listed under Paper 2.</t>
        </is>
      </c>
    </row>
    <row r="56">
      <c r="A56" s="77" t="inlineStr">
        <is>
          <t>RG13-S21-R3</t>
        </is>
      </c>
      <c r="B56" s="77" t="inlineStr">
        <is>
          <t>RG13</t>
        </is>
      </c>
      <c r="C56" s="77" t="inlineStr">
        <is>
          <t>RG13-S21</t>
        </is>
      </c>
      <c r="D56" s="77" t="inlineStr">
        <is>
          <t>Humanitarian Consultancy Project</t>
        </is>
      </c>
      <c r="E56" s="77" t="inlineStr">
        <is>
          <t>project; group; employer</t>
        </is>
      </c>
      <c r="F56" s="77" t="inlineStr">
        <is>
          <t>https://www.lse.ac.uk/study-at-lse/graduate/msc-international-development-and-humanitarian-emergencies</t>
        </is>
      </c>
      <c r="G56" s="77" t="inlineStr">
        <is>
          <t>MSc International Development and Humanitarian Emergencies</t>
        </is>
      </c>
      <c r="H56" s="77" t="inlineStr">
        <is>
          <t>Programme page</t>
        </is>
      </c>
      <c r="I56" s="77" t="inlineStr">
        <is>
          <t>undated</t>
        </is>
      </c>
      <c r="J56" s="77" t="inlineStr">
        <is>
          <t>2026-10-12</t>
        </is>
      </c>
      <c r="K56" s="77" t="inlineStr">
        <is>
          <t>search-index extract</t>
        </is>
      </c>
      <c r="L56" s="77" t="inlineStr">
        <is>
          <t>Humanitarian consultancy project where you'll work in a small team on a current policy issue for a humanitarian, development, or emergency-based organisation; clients include UNICEF, UNHCR, the ICRC, Save the Children and others.</t>
        </is>
      </c>
    </row>
    <row r="57">
      <c r="A57" s="77" t="inlineStr">
        <is>
          <t>RG13-S22-R1</t>
        </is>
      </c>
      <c r="B57" s="77" t="inlineStr">
        <is>
          <t>RG13</t>
        </is>
      </c>
      <c r="C57" s="77" t="inlineStr">
        <is>
          <t>RG13-S22</t>
        </is>
      </c>
      <c r="D57" s="77" t="inlineStr">
        <is>
          <t>Urban Policy and Planning (applied consultancy project)</t>
        </is>
      </c>
      <c r="E57" s="77" t="inlineStr">
        <is>
          <t>project; group; employer; status</t>
        </is>
      </c>
      <c r="F57" s="77" t="inlineStr">
        <is>
          <t>https://www.lse.ac.uk/resources/calendar/courseGuides/GY/2026_GY454.htm</t>
        </is>
      </c>
      <c r="G57" s="77" t="inlineStr">
        <is>
          <t>GY454 Urban Policy and Planning</t>
        </is>
      </c>
      <c r="H57" s="77" t="inlineStr">
        <is>
          <t>Course guide</t>
        </is>
      </c>
      <c r="I57" s="77" t="inlineStr">
        <is>
          <t>2026/27</t>
        </is>
      </c>
      <c r="J57" s="77" t="inlineStr">
        <is>
          <t>2026-10-12</t>
        </is>
      </c>
      <c r="K57" s="77" t="inlineStr">
        <is>
          <t>search-index extract</t>
        </is>
      </c>
      <c r="L57"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58">
      <c r="A58" s="77" t="inlineStr">
        <is>
          <t>RG13-S23-R1</t>
        </is>
      </c>
      <c r="B58" s="77" t="inlineStr">
        <is>
          <t>RG13</t>
        </is>
      </c>
      <c r="C58" s="77" t="inlineStr">
        <is>
          <t>RG13-S23</t>
        </is>
      </c>
      <c r="D58" s="77" t="inlineStr">
        <is>
          <t>LSE Legal Advice Centre Sustainability Clinic</t>
        </is>
      </c>
      <c r="E58" s="77" t="inlineStr">
        <is>
          <t>project; group; employer; eligibility</t>
        </is>
      </c>
      <c r="F58" s="77" t="inlineStr">
        <is>
          <t>https://www.lse.ac.uk/law/legal-advice-centre/sustainability-and-the-rule-of-law</t>
        </is>
      </c>
      <c r="G58" s="77" t="inlineStr">
        <is>
          <t>Sustainability and the Rule of Law</t>
        </is>
      </c>
      <c r="H58" s="77" t="inlineStr">
        <is>
          <t>LAC projects page</t>
        </is>
      </c>
      <c r="I58" s="77" t="inlineStr">
        <is>
          <t>undated</t>
        </is>
      </c>
      <c r="J58" s="77" t="inlineStr">
        <is>
          <t>2026-10-12</t>
        </is>
      </c>
      <c r="K58" s="77" t="inlineStr">
        <is>
          <t>search-index extract</t>
        </is>
      </c>
      <c r="L58"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59">
      <c r="A59" s="77" t="inlineStr">
        <is>
          <t>RG13-S23-R2</t>
        </is>
      </c>
      <c r="B59" s="77" t="inlineStr">
        <is>
          <t>RG13</t>
        </is>
      </c>
      <c r="C59" s="77" t="inlineStr">
        <is>
          <t>RG13-S23</t>
        </is>
      </c>
      <c r="D59" s="77" t="inlineStr">
        <is>
          <t>LSE Legal Advice Centre Sustainability Clinic</t>
        </is>
      </c>
      <c r="E59" s="77" t="inlineStr">
        <is>
          <t>project; employer</t>
        </is>
      </c>
      <c r="F59" s="77" t="inlineStr">
        <is>
          <t>https://www.lse.ac.uk/law/gsos/clinic/client-earth</t>
        </is>
      </c>
      <c r="G59" s="77" t="inlineStr">
        <is>
          <t>Banks, Financed Emissions, and the Road to Climate Accountability</t>
        </is>
      </c>
      <c r="H59" s="77" t="inlineStr">
        <is>
          <t>Clinic project page</t>
        </is>
      </c>
      <c r="I59" s="77" t="inlineStr">
        <is>
          <t>undated</t>
        </is>
      </c>
      <c r="J59" s="77" t="inlineStr">
        <is>
          <t>2026-10-12</t>
        </is>
      </c>
      <c r="K59" s="77" t="inlineStr">
        <is>
          <t>search-index extract</t>
        </is>
      </c>
      <c r="L59" s="77" t="inlineStr">
        <is>
          <t>Collaboration with ClientEarth's Accountable Finance team; students produced the report and presented it to an expert panel; weekly training from LSE experts and ClientEarth specialists.</t>
        </is>
      </c>
    </row>
    <row r="60">
      <c r="A60" s="77" t="inlineStr">
        <is>
          <t>RG13-S24-R1</t>
        </is>
      </c>
      <c r="B60" s="77" t="inlineStr">
        <is>
          <t>RG13</t>
        </is>
      </c>
      <c r="C60" s="77" t="inlineStr">
        <is>
          <t>RG13-S24</t>
        </is>
      </c>
      <c r="D60" s="77" t="inlineStr">
        <is>
          <t>ECtHR Intervention Clinic</t>
        </is>
      </c>
      <c r="E60" s="77" t="inlineStr">
        <is>
          <t>project; employer; eligibility</t>
        </is>
      </c>
      <c r="F60" s="77" t="inlineStr">
        <is>
          <t>https://www.lse.ac.uk/law/study/llm/echr-clinic-llm</t>
        </is>
      </c>
      <c r="G60" s="77" t="inlineStr">
        <is>
          <t>ECtHR Intervention Clinic</t>
        </is>
      </c>
      <c r="H60" s="77" t="inlineStr">
        <is>
          <t>LLM page</t>
        </is>
      </c>
      <c r="I60" s="77" t="inlineStr">
        <is>
          <t>undated</t>
        </is>
      </c>
      <c r="J60" s="77" t="inlineStr">
        <is>
          <t>2026-10-12</t>
        </is>
      </c>
      <c r="K60" s="77" t="inlineStr">
        <is>
          <t>search-index extract</t>
        </is>
      </c>
      <c r="L60" s="77" t="inlineStr">
        <is>
          <t>Run by Dr Martin Husovec with the European Information Society Institute (EISi); extra-curricular activity intervening before the Court in cases involving digital liberties; third party interventions are often cited by the Strasbourg court.</t>
        </is>
      </c>
    </row>
    <row r="61">
      <c r="A61" s="77" t="inlineStr">
        <is>
          <t>RG13-S24-R2</t>
        </is>
      </c>
      <c r="B61" s="77" t="inlineStr">
        <is>
          <t>RG13</t>
        </is>
      </c>
      <c r="C61" s="77" t="inlineStr">
        <is>
          <t>RG13-S24</t>
        </is>
      </c>
      <c r="D61" s="77" t="inlineStr">
        <is>
          <t>ECtHR Intervention Clinic</t>
        </is>
      </c>
      <c r="E61" s="77" t="inlineStr">
        <is>
          <t>group; project</t>
        </is>
      </c>
      <c r="F61" s="77" t="inlineStr">
        <is>
          <t>https://www.lse.ac.uk/law/news/2021/echr-clinic</t>
        </is>
      </c>
      <c r="G61" s="77" t="inlineStr">
        <is>
          <t>LSE Law Students Intervene Before the European Court of Human Rights</t>
        </is>
      </c>
      <c r="H61" s="77" t="inlineStr">
        <is>
          <t>News</t>
        </is>
      </c>
      <c r="I61" s="77" t="inlineStr">
        <is>
          <t>2021</t>
        </is>
      </c>
      <c r="J61" s="77" t="inlineStr">
        <is>
          <t>2026-10-12</t>
        </is>
      </c>
      <c r="K61" s="77" t="inlineStr">
        <is>
          <t>search-index extract</t>
        </is>
      </c>
      <c r="L61" s="77" t="inlineStr">
        <is>
          <t>Brief prepared by five LLM students for Podchasov v Russia.</t>
        </is>
      </c>
    </row>
    <row r="62">
      <c r="A62" s="77" t="inlineStr">
        <is>
          <t>AU02-S01-R1</t>
        </is>
      </c>
      <c r="B62" s="77" t="inlineStr">
        <is>
          <t>AU02</t>
        </is>
      </c>
      <c r="C62" s="77" t="inlineStr">
        <is>
          <t>AU02-S01</t>
        </is>
      </c>
      <c r="D62" s="77" t="inlineStr">
        <is>
          <t>Industry Project</t>
        </is>
      </c>
      <c r="E62" s="77" t="inlineStr">
        <is>
          <t>project; group; employer; eligibility</t>
        </is>
      </c>
      <c r="F62" s="77" t="inlineStr">
        <is>
          <t>https://arts.unimelb.edu.au/students/experiential-learning/industry-project</t>
        </is>
      </c>
      <c r="G62" s="77" t="inlineStr">
        <is>
          <t>Industry Project (ARTS30001) - Faculty of Arts</t>
        </is>
      </c>
      <c r="H62" s="77" t="inlineStr">
        <is>
          <t>Student page</t>
        </is>
      </c>
      <c r="I62" s="77" t="inlineStr">
        <is>
          <t>undated</t>
        </is>
      </c>
      <c r="J62" s="77" t="inlineStr">
        <is>
          <t>2026-10-12</t>
        </is>
      </c>
      <c r="K62" s="77" t="inlineStr">
        <is>
          <t>search-index extract</t>
        </is>
      </c>
      <c r="L62" s="77" t="inlineStr">
        <is>
          <t>In this subject you will collaborate on a real project for an actual industry partner as part of a small consulting team. ... available to Bachelor of Arts students and is eligible as a breadth option for approved courses.</t>
        </is>
      </c>
    </row>
    <row r="63">
      <c r="A63" s="77" t="inlineStr">
        <is>
          <t>AU02-S01-R2</t>
        </is>
      </c>
      <c r="B63" s="77" t="inlineStr">
        <is>
          <t>AU02</t>
        </is>
      </c>
      <c r="C63" s="77" t="inlineStr">
        <is>
          <t>AU02-S01</t>
        </is>
      </c>
      <c r="D63" s="77" t="inlineStr">
        <is>
          <t>Industry Project</t>
        </is>
      </c>
      <c r="E63" s="77" t="inlineStr">
        <is>
          <t>project; group; employer</t>
        </is>
      </c>
      <c r="F63" s="77" t="inlineStr">
        <is>
          <t>https://arts.unimelb.edu.au/engage/partner-with-us/work-with-our-students/industry-projects</t>
        </is>
      </c>
      <c r="G63" s="77" t="inlineStr">
        <is>
          <t>Industry projects - Faculty of Arts</t>
        </is>
      </c>
      <c r="H63" s="77" t="inlineStr">
        <is>
          <t>Partner-facing page</t>
        </is>
      </c>
      <c r="I63" s="77" t="inlineStr">
        <is>
          <t>undated</t>
        </is>
      </c>
      <c r="J63" s="77" t="inlineStr">
        <is>
          <t>2026-10-12</t>
        </is>
      </c>
      <c r="K63" s="77" t="inlineStr">
        <is>
          <t>search-index extract</t>
        </is>
      </c>
      <c r="L63"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4">
      <c r="A64" s="77" t="inlineStr">
        <is>
          <t>AU02-S01-R3</t>
        </is>
      </c>
      <c r="B64" s="77" t="inlineStr">
        <is>
          <t>AU02</t>
        </is>
      </c>
      <c r="C64" s="77" t="inlineStr">
        <is>
          <t>AU02-S01</t>
        </is>
      </c>
      <c r="D64" s="77" t="inlineStr">
        <is>
          <t>Industry Project</t>
        </is>
      </c>
      <c r="E64" s="77" t="inlineStr">
        <is>
          <t>status; credit</t>
        </is>
      </c>
      <c r="F64" s="77" t="inlineStr">
        <is>
          <t>https://handbook.unimelb.edu.au/2026/courses/b-arts/course-structure</t>
        </is>
      </c>
      <c r="G64" s="77" t="inlineStr">
        <is>
          <t>Course structure: Bachelor of Arts (B-ARTS) 2026</t>
        </is>
      </c>
      <c r="H64" s="77" t="inlineStr">
        <is>
          <t>Course structure</t>
        </is>
      </c>
      <c r="I64" s="77" t="inlineStr">
        <is>
          <t>2026</t>
        </is>
      </c>
      <c r="J64" s="77" t="inlineStr">
        <is>
          <t>2026-10-12</t>
        </is>
      </c>
      <c r="K64" s="77" t="inlineStr">
        <is>
          <t>search-index extract</t>
        </is>
      </c>
      <c r="L64" s="77" t="inlineStr">
        <is>
          <t>Lists ARTS30001 as a 12.5-point Semester 2 subject at Parkville (paraphrase of search extract).</t>
        </is>
      </c>
    </row>
    <row r="65">
      <c r="A65" s="77" t="inlineStr">
        <is>
          <t>AU02-S01-R4</t>
        </is>
      </c>
      <c r="B65" s="77" t="inlineStr">
        <is>
          <t>AU02</t>
        </is>
      </c>
      <c r="C65" s="77" t="inlineStr">
        <is>
          <t>AU02-S01</t>
        </is>
      </c>
      <c r="D65" s="77" t="inlineStr">
        <is>
          <t>Industry Project</t>
        </is>
      </c>
      <c r="E65" s="77" t="inlineStr">
        <is>
          <t>credit</t>
        </is>
      </c>
      <c r="F65" s="77" t="inlineStr">
        <is>
          <t>https://handbook.unimelb.edu.au/2020/subjects/arts30001/assessment</t>
        </is>
      </c>
      <c r="G65" s="77" t="inlineStr">
        <is>
          <t>Assessment: Industry Project (ARTS30001) 2020</t>
        </is>
      </c>
      <c r="H65" s="77" t="inlineStr">
        <is>
          <t>Assessment</t>
        </is>
      </c>
      <c r="I65" s="77" t="inlineStr">
        <is>
          <t>2020</t>
        </is>
      </c>
      <c r="J65" s="77" t="inlineStr">
        <is>
          <t>2026-10-12</t>
        </is>
      </c>
      <c r="K65" s="77" t="inlineStr">
        <is>
          <t>search-index extract</t>
        </is>
      </c>
      <c r="L65" s="77" t="inlineStr">
        <is>
          <t>10-minute presentation (20%), 1,500-word project summary (40%), 1,500-word project proposal (40%); students must attend a minimum of 80% of seminars in order to pass.</t>
        </is>
      </c>
    </row>
    <row r="66">
      <c r="A66" s="77" t="inlineStr">
        <is>
          <t>AU02-S01-R5</t>
        </is>
      </c>
      <c r="B66" s="77" t="inlineStr">
        <is>
          <t>AU02</t>
        </is>
      </c>
      <c r="C66" s="77" t="inlineStr">
        <is>
          <t>AU02-S01</t>
        </is>
      </c>
      <c r="D66" s="77" t="inlineStr">
        <is>
          <t>Industry Project</t>
        </is>
      </c>
      <c r="E66" s="77" t="inlineStr">
        <is>
          <t>eligibility</t>
        </is>
      </c>
      <c r="F66" s="77" t="inlineStr">
        <is>
          <t>https://handbook.unimelb.edu.au/2018/subjects/arts30001/eligibility-and-requirements</t>
        </is>
      </c>
      <c r="G66" s="77" t="inlineStr">
        <is>
          <t>Eligibility and requirements: ARTS30001 2018</t>
        </is>
      </c>
      <c r="H66" s="77" t="inlineStr">
        <is>
          <t>Eligibility</t>
        </is>
      </c>
      <c r="I66" s="77" t="inlineStr">
        <is>
          <t>2018</t>
        </is>
      </c>
      <c r="J66" s="77" t="inlineStr">
        <is>
          <t>2026-10-12</t>
        </is>
      </c>
      <c r="K66" s="77" t="inlineStr">
        <is>
          <t>search-index extract</t>
        </is>
      </c>
      <c r="L66" s="77" t="inlineStr">
        <is>
          <t>Prerequisite: completion of 150 points of the Bachelor of Arts.</t>
        </is>
      </c>
    </row>
    <row r="67">
      <c r="A67" s="77" t="inlineStr">
        <is>
          <t>AU02-S02-R1</t>
        </is>
      </c>
      <c r="B67" s="77" t="inlineStr">
        <is>
          <t>AU02</t>
        </is>
      </c>
      <c r="C67" s="77" t="inlineStr">
        <is>
          <t>AU02-S02</t>
        </is>
      </c>
      <c r="D67" s="77" t="inlineStr">
        <is>
          <t>Interdisciplinary Industry Project 2 (and Interdisciplinary Industry Project 1)</t>
        </is>
      </c>
      <c r="E67" s="77" t="inlineStr">
        <is>
          <t>project; group; employer; credit</t>
        </is>
      </c>
      <c r="F67" s="77" t="inlineStr">
        <is>
          <t>https://handbook.unimelb.edu.au/2021/subjects/arts90027</t>
        </is>
      </c>
      <c r="G67" s="77" t="inlineStr">
        <is>
          <t>Interdisciplinary Industry Project 2 (ARTS90027) 2021</t>
        </is>
      </c>
      <c r="H67" s="77" t="inlineStr">
        <is>
          <t>Overview</t>
        </is>
      </c>
      <c r="I67" s="77" t="inlineStr">
        <is>
          <t>2021</t>
        </is>
      </c>
      <c r="J67" s="77" t="inlineStr">
        <is>
          <t>2026-10-12</t>
        </is>
      </c>
      <c r="K67" s="77" t="inlineStr">
        <is>
          <t>search-index extract</t>
        </is>
      </c>
      <c r="L67" s="77" t="inlineStr">
        <is>
          <t>students work individually, in smaller teams or a combination of the two modes of project management, whilst under academic and industry supervision. Graduate coursework Points: 25</t>
        </is>
      </c>
    </row>
    <row r="68">
      <c r="A68" s="77" t="inlineStr">
        <is>
          <t>AU02-S02-R2</t>
        </is>
      </c>
      <c r="B68" s="77" t="inlineStr">
        <is>
          <t>AU02</t>
        </is>
      </c>
      <c r="C68" s="77" t="inlineStr">
        <is>
          <t>AU02-S02</t>
        </is>
      </c>
      <c r="D68" s="77" t="inlineStr">
        <is>
          <t>Interdisciplinary Industry Project 2 (and Interdisciplinary Industry Project 1)</t>
        </is>
      </c>
      <c r="E68" s="77" t="inlineStr">
        <is>
          <t>eligibility; employer</t>
        </is>
      </c>
      <c r="F68" s="77" t="inlineStr">
        <is>
          <t>https://handbook.unimelb.edu.au/2024/subjects/arts90027/eligibility-and-requirements</t>
        </is>
      </c>
      <c r="G68" s="77" t="inlineStr">
        <is>
          <t>Eligibility and requirements: ARTS90027 2024</t>
        </is>
      </c>
      <c r="H68" s="77" t="inlineStr">
        <is>
          <t>Eligibility</t>
        </is>
      </c>
      <c r="I68" s="77" t="inlineStr">
        <is>
          <t>2024</t>
        </is>
      </c>
      <c r="J68" s="77" t="inlineStr">
        <is>
          <t>2026-10-12</t>
        </is>
      </c>
      <c r="K68" s="77" t="inlineStr">
        <is>
          <t>search-index extract</t>
        </is>
      </c>
      <c r="L68" s="77" t="inlineStr">
        <is>
          <t>selection process by subject coordinator(s) and application process which will be tailored to industry prerequisites, prior knowledge/ skills and compliance.</t>
        </is>
      </c>
    </row>
    <row r="69">
      <c r="A69" s="77" t="inlineStr">
        <is>
          <t>AU02-S02-R3</t>
        </is>
      </c>
      <c r="B69" s="77" t="inlineStr">
        <is>
          <t>AU02</t>
        </is>
      </c>
      <c r="C69" s="77" t="inlineStr">
        <is>
          <t>AU02-S02</t>
        </is>
      </c>
      <c r="D69" s="77" t="inlineStr">
        <is>
          <t>Interdisciplinary Industry Project 2 (and Interdisciplinary Industry Project 1)</t>
        </is>
      </c>
      <c r="E69" s="77" t="inlineStr">
        <is>
          <t>status</t>
        </is>
      </c>
      <c r="F69" s="77" t="inlineStr">
        <is>
          <t>https://handbook.unimelb.edu.au/2026/subjects?page=154&amp;sid=l3ldj%27</t>
        </is>
      </c>
      <c r="G69" s="77" t="inlineStr">
        <is>
          <t>Subjects - UniMelb Handbook 2026 (listing)</t>
        </is>
      </c>
      <c r="H69" s="77" t="inlineStr">
        <is>
          <t>Subject listing</t>
        </is>
      </c>
      <c r="I69" s="77" t="inlineStr">
        <is>
          <t>2026</t>
        </is>
      </c>
      <c r="J69" s="77" t="inlineStr">
        <is>
          <t>2026-10-12</t>
        </is>
      </c>
      <c r="K69" s="77" t="inlineStr">
        <is>
          <t>search-index extract</t>
        </is>
      </c>
      <c r="L69" s="77" t="inlineStr">
        <is>
          <t>ARTS90027 offered Semester 2 2026, teaching period 27 July-25 October 2026, coordinator Kristian Camilleri, On Campus (Parkville); ARTS90026 not available in 2026 (search summary; exact attribution uncertain).</t>
        </is>
      </c>
    </row>
    <row r="70">
      <c r="A70" s="77" t="inlineStr">
        <is>
          <t>AU02-S02-R4</t>
        </is>
      </c>
      <c r="B70" s="77" t="inlineStr">
        <is>
          <t>AU02</t>
        </is>
      </c>
      <c r="C70" s="77" t="inlineStr">
        <is>
          <t>AU02-S02</t>
        </is>
      </c>
      <c r="D70" s="77" t="inlineStr">
        <is>
          <t>Interdisciplinary Industry Project 2 (and Interdisciplinary Industry Project 1)</t>
        </is>
      </c>
      <c r="E70" s="77" t="inlineStr">
        <is>
          <t>status; eligibility</t>
        </is>
      </c>
      <c r="F70" s="77" t="inlineStr">
        <is>
          <t>https://handbook.unimelb.edu.au/subjects/arts90026</t>
        </is>
      </c>
      <c r="G70" s="77" t="inlineStr">
        <is>
          <t>Interdisciplinary Industry Project 1 (ARTS90026)</t>
        </is>
      </c>
      <c r="H70" s="77" t="inlineStr">
        <is>
          <t>Overview</t>
        </is>
      </c>
      <c r="I70" s="77" t="inlineStr">
        <is>
          <t>2026 (current page)</t>
        </is>
      </c>
      <c r="J70" s="77" t="inlineStr">
        <is>
          <t>2026-10-12</t>
        </is>
      </c>
      <c r="K70" s="77" t="inlineStr">
        <is>
          <t>search-index extract</t>
        </is>
      </c>
      <c r="L70" s="77" t="inlineStr">
        <is>
          <t>Not available in 2026; there may be further eligibility criteria as requested by the industry partner.</t>
        </is>
      </c>
    </row>
    <row r="71">
      <c r="A71" s="77" t="inlineStr">
        <is>
          <t>AU02-S03-R1</t>
        </is>
      </c>
      <c r="B71" s="77" t="inlineStr">
        <is>
          <t>AU02</t>
        </is>
      </c>
      <c r="C71" s="77" t="inlineStr">
        <is>
          <t>AU02-S03</t>
        </is>
      </c>
      <c r="D71" s="77" t="inlineStr">
        <is>
          <t>Capstone Projects (School of Computing and Information Systems industry projects)</t>
        </is>
      </c>
      <c r="E71" s="77" t="inlineStr">
        <is>
          <t>project; employer; reach</t>
        </is>
      </c>
      <c r="F71" s="77" t="inlineStr">
        <is>
          <t>https://cis.unimelb.edu.au/engage/industry-projects/capstone-projects</t>
        </is>
      </c>
      <c r="G71" s="77" t="inlineStr">
        <is>
          <t>Capstone Projects - CIS</t>
        </is>
      </c>
      <c r="H71" s="77" t="inlineStr">
        <is>
          <t>Partner page</t>
        </is>
      </c>
      <c r="I71" s="77" t="inlineStr">
        <is>
          <t>undated</t>
        </is>
      </c>
      <c r="J71" s="77" t="inlineStr">
        <is>
          <t>2026-10-12</t>
        </is>
      </c>
      <c r="K71" s="77" t="inlineStr">
        <is>
          <t>search-index extract</t>
        </is>
      </c>
      <c r="L71"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72">
      <c r="A72" s="77" t="inlineStr">
        <is>
          <t>AU02-S04-R1</t>
        </is>
      </c>
      <c r="B72" s="77" t="inlineStr">
        <is>
          <t>AU02</t>
        </is>
      </c>
      <c r="C72" s="77" t="inlineStr">
        <is>
          <t>AU02-S04</t>
        </is>
      </c>
      <c r="D72" s="77" t="inlineStr">
        <is>
          <t>Software Project</t>
        </is>
      </c>
      <c r="E72" s="77" t="inlineStr">
        <is>
          <t>project; employer</t>
        </is>
      </c>
      <c r="F72" s="77" t="inlineStr">
        <is>
          <t>https://cis.unimelb.edu.au/engage/industry-projects/capstone-projects</t>
        </is>
      </c>
      <c r="G72" s="77" t="inlineStr">
        <is>
          <t>Capstone Projects - CIS</t>
        </is>
      </c>
      <c r="H72" s="77" t="inlineStr">
        <is>
          <t>Software Project (COMP90082)</t>
        </is>
      </c>
      <c r="I72" s="77" t="inlineStr">
        <is>
          <t>undated</t>
        </is>
      </c>
      <c r="J72" s="77" t="inlineStr">
        <is>
          <t>2026-10-12</t>
        </is>
      </c>
      <c r="K72" s="77" t="inlineStr">
        <is>
          <t>search-index extract</t>
        </is>
      </c>
      <c r="L72"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73">
      <c r="A73" s="77" t="inlineStr">
        <is>
          <t>AU02-S04-R2</t>
        </is>
      </c>
      <c r="B73" s="77" t="inlineStr">
        <is>
          <t>AU02</t>
        </is>
      </c>
      <c r="C73" s="77" t="inlineStr">
        <is>
          <t>AU02-S04</t>
        </is>
      </c>
      <c r="D73" s="77" t="inlineStr">
        <is>
          <t>Software Project</t>
        </is>
      </c>
      <c r="E73" s="77" t="inlineStr">
        <is>
          <t>project; group; status; credit; eligibility</t>
        </is>
      </c>
      <c r="F73" s="77" t="inlineStr">
        <is>
          <t>https://handbook.unimelb.edu.au/2026/subjects/comp90082</t>
        </is>
      </c>
      <c r="G73" s="77" t="inlineStr">
        <is>
          <t>Software Project (COMP90082) 2026</t>
        </is>
      </c>
      <c r="H73" s="77" t="inlineStr">
        <is>
          <t>Overview/Eligibility/Assessment</t>
        </is>
      </c>
      <c r="I73" s="77" t="inlineStr">
        <is>
          <t>2026</t>
        </is>
      </c>
      <c r="J73" s="77" t="inlineStr">
        <is>
          <t>2026-10-12</t>
        </is>
      </c>
      <c r="K73" s="77" t="inlineStr">
        <is>
          <t>search-index extract</t>
        </is>
      </c>
      <c r="L73"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74">
      <c r="A74" s="77" t="inlineStr">
        <is>
          <t>AU02-S05-R1</t>
        </is>
      </c>
      <c r="B74" s="77" t="inlineStr">
        <is>
          <t>AU02</t>
        </is>
      </c>
      <c r="C74" s="77" t="inlineStr">
        <is>
          <t>AU02-S05</t>
        </is>
      </c>
      <c r="D74" s="77" t="inlineStr">
        <is>
          <t>Masters Advanced Software Project Part 1 / Part 2</t>
        </is>
      </c>
      <c r="E74" s="77" t="inlineStr">
        <is>
          <t>project; group; employer; status</t>
        </is>
      </c>
      <c r="F74" s="77" t="inlineStr">
        <is>
          <t>https://handbook.unimelb.edu.au/2026/subjects/swen90017</t>
        </is>
      </c>
      <c r="G74" s="77" t="inlineStr">
        <is>
          <t>Masters Advanced Software Project Part 1 (SWEN90017) 2026</t>
        </is>
      </c>
      <c r="H74" s="77" t="inlineStr">
        <is>
          <t>Overview</t>
        </is>
      </c>
      <c r="I74" s="77" t="inlineStr">
        <is>
          <t>2026</t>
        </is>
      </c>
      <c r="J74" s="77" t="inlineStr">
        <is>
          <t>2026-10-12</t>
        </is>
      </c>
      <c r="K74" s="77" t="inlineStr">
        <is>
          <t>search-index extract</t>
        </is>
      </c>
      <c r="L74" s="77" t="inlineStr">
        <is>
          <t>Students will work in large teams to develop a non-trivial software system for an external client using agile software engineering methods.</t>
        </is>
      </c>
    </row>
    <row r="75">
      <c r="A75" s="77" t="inlineStr">
        <is>
          <t>AU02-S05-R2</t>
        </is>
      </c>
      <c r="B75" s="77" t="inlineStr">
        <is>
          <t>AU02</t>
        </is>
      </c>
      <c r="C75" s="77" t="inlineStr">
        <is>
          <t>AU02-S05</t>
        </is>
      </c>
      <c r="D75" s="77" t="inlineStr">
        <is>
          <t>Masters Advanced Software Project Part 1 / Part 2</t>
        </is>
      </c>
      <c r="E75" s="77" t="inlineStr">
        <is>
          <t>employer; reach</t>
        </is>
      </c>
      <c r="F75" s="77" t="inlineStr">
        <is>
          <t>https://cis.unimelb.edu.au/engage/industry-projects/capstone-projects</t>
        </is>
      </c>
      <c r="G75" s="77" t="inlineStr">
        <is>
          <t>Capstone Projects - CIS</t>
        </is>
      </c>
      <c r="H75" s="77" t="inlineStr">
        <is>
          <t>Software engineering</t>
        </is>
      </c>
      <c r="I75" s="77" t="inlineStr">
        <is>
          <t>undated</t>
        </is>
      </c>
      <c r="J75" s="77" t="inlineStr">
        <is>
          <t>2026-10-12</t>
        </is>
      </c>
      <c r="K75" s="77" t="inlineStr">
        <is>
          <t>search-index extract</t>
        </is>
      </c>
      <c r="L75" s="77" t="inlineStr">
        <is>
          <t>Masters Advanced Software Project (SWEN90017 &amp; SWEN90018) for year-long projects with Master of Software Engineering students; industry partners can submit a project proposal.</t>
        </is>
      </c>
    </row>
    <row r="76">
      <c r="A76" s="77" t="inlineStr">
        <is>
          <t>AU02-S05-R3</t>
        </is>
      </c>
      <c r="B76" s="77" t="inlineStr">
        <is>
          <t>AU02</t>
        </is>
      </c>
      <c r="C76" s="77" t="inlineStr">
        <is>
          <t>AU02-S05</t>
        </is>
      </c>
      <c r="D76" s="77" t="inlineStr">
        <is>
          <t>Masters Advanced Software Project Part 1 / Part 2</t>
        </is>
      </c>
      <c r="E76" s="77" t="inlineStr">
        <is>
          <t>eligibility</t>
        </is>
      </c>
      <c r="F76" s="77" t="inlineStr">
        <is>
          <t>https://handbook.unimelb.edu.au/2026/subjects/swen90017/eligibility-and-requirements</t>
        </is>
      </c>
      <c r="G76" s="77" t="inlineStr">
        <is>
          <t>Eligibility: SWEN90017 2026</t>
        </is>
      </c>
      <c r="H76" s="77" t="inlineStr">
        <is>
          <t>Eligibility</t>
        </is>
      </c>
      <c r="I76" s="77" t="inlineStr">
        <is>
          <t>2026</t>
        </is>
      </c>
      <c r="J76" s="77" t="inlineStr">
        <is>
          <t>2026-10-12</t>
        </is>
      </c>
      <c r="K76" s="77" t="inlineStr">
        <is>
          <t>search-index extract</t>
        </is>
      </c>
      <c r="L76" s="77" t="inlineStr">
        <is>
          <t>Prerequisites SWEN90006, SWEN90014, SWEN90009 and ENGR90051.</t>
        </is>
      </c>
    </row>
    <row r="77">
      <c r="A77" s="77" t="inlineStr">
        <is>
          <t>AU02-S05-R4</t>
        </is>
      </c>
      <c r="B77" s="77" t="inlineStr">
        <is>
          <t>AU02</t>
        </is>
      </c>
      <c r="C77" s="77" t="inlineStr">
        <is>
          <t>AU02-S05</t>
        </is>
      </c>
      <c r="D77" s="77" t="inlineStr">
        <is>
          <t>Masters Advanced Software Project Part 1 / Part 2</t>
        </is>
      </c>
      <c r="E77" s="77" t="inlineStr">
        <is>
          <t>employer</t>
        </is>
      </c>
      <c r="F77" s="77" t="inlineStr">
        <is>
          <t>https://cis-projects.carrd.co/</t>
        </is>
      </c>
      <c r="G77" s="77" t="inlineStr">
        <is>
          <t>CIS Projects (unofficial)</t>
        </is>
      </c>
      <c r="H77" s="77" t="inlineStr"/>
      <c r="I77" s="77" t="inlineStr">
        <is>
          <t>undated</t>
        </is>
      </c>
      <c r="J77" s="77" t="inlineStr">
        <is>
          <t>2026-10-12</t>
        </is>
      </c>
      <c r="K77" s="77" t="inlineStr">
        <is>
          <t>search-index extract</t>
        </is>
      </c>
      <c r="L77" s="77" t="inlineStr">
        <is>
          <t>Subject has run with industry partners since 2016; partners include Royal Melbourne Hospital, Big Issue, NDIS and Grok Learning.</t>
        </is>
      </c>
    </row>
    <row r="78">
      <c r="A78" s="77" t="inlineStr">
        <is>
          <t>AU02-S06-R1</t>
        </is>
      </c>
      <c r="B78" s="77" t="inlineStr">
        <is>
          <t>AU02</t>
        </is>
      </c>
      <c r="C78" s="77" t="inlineStr">
        <is>
          <t>AU02-S06</t>
        </is>
      </c>
      <c r="D78" s="77" t="inlineStr">
        <is>
          <t>IT Project</t>
        </is>
      </c>
      <c r="E78" s="77" t="inlineStr">
        <is>
          <t>project; group; status; reach</t>
        </is>
      </c>
      <c r="F78" s="77" t="inlineStr">
        <is>
          <t>https://handbook.unimelb.edu.au/2026/subjects/comp30022</t>
        </is>
      </c>
      <c r="G78" s="77" t="inlineStr">
        <is>
          <t>IT Project (COMP30022) 2026</t>
        </is>
      </c>
      <c r="H78" s="77" t="inlineStr">
        <is>
          <t>Overview</t>
        </is>
      </c>
      <c r="I78" s="77" t="inlineStr">
        <is>
          <t>2026</t>
        </is>
      </c>
      <c r="J78" s="77" t="inlineStr">
        <is>
          <t>2026-10-12</t>
        </is>
      </c>
      <c r="K78" s="77" t="inlineStr">
        <is>
          <t>search-index extract</t>
        </is>
      </c>
      <c r="L78" s="77" t="inlineStr">
        <is>
          <t>Capstone project for the Informatics major and the Computing and Software Systems major; small teams; communicate with stakeholders including clients and team members to build a system that meets client needs; Semester 2 2026, 27 July-25 October.</t>
        </is>
      </c>
    </row>
    <row r="79">
      <c r="A79" s="77" t="inlineStr">
        <is>
          <t>AU02-S06-R2</t>
        </is>
      </c>
      <c r="B79" s="77" t="inlineStr">
        <is>
          <t>AU02</t>
        </is>
      </c>
      <c r="C79" s="77" t="inlineStr">
        <is>
          <t>AU02-S06</t>
        </is>
      </c>
      <c r="D79" s="77" t="inlineStr">
        <is>
          <t>IT Project</t>
        </is>
      </c>
      <c r="E79" s="77" t="inlineStr">
        <is>
          <t>credit; group</t>
        </is>
      </c>
      <c r="F79" s="77" t="inlineStr">
        <is>
          <t>https://handbook.unimelb.edu.au/2024/subjects/comp30022/assessment</t>
        </is>
      </c>
      <c r="G79" s="77" t="inlineStr">
        <is>
          <t>Assessment: COMP30022 2024</t>
        </is>
      </c>
      <c r="H79" s="77" t="inlineStr">
        <is>
          <t>Assessment</t>
        </is>
      </c>
      <c r="I79" s="77" t="inlineStr">
        <is>
          <t>2024</t>
        </is>
      </c>
      <c r="J79" s="77" t="inlineStr">
        <is>
          <t>2026-10-12</t>
        </is>
      </c>
      <c r="K79" s="77" t="inlineStr">
        <is>
          <t>search-index extract</t>
        </is>
      </c>
      <c r="L79" s="77" t="inlineStr">
        <is>
          <t>Team project management (50%), final product release in week 12 (30%), individual contribution (20%).</t>
        </is>
      </c>
    </row>
    <row r="80">
      <c r="A80" s="77" t="inlineStr">
        <is>
          <t>AU02-S07-R1</t>
        </is>
      </c>
      <c r="B80" s="77" t="inlineStr">
        <is>
          <t>AU02</t>
        </is>
      </c>
      <c r="C80" s="77" t="inlineStr">
        <is>
          <t>AU02-S07</t>
        </is>
      </c>
      <c r="D80" s="77" t="inlineStr">
        <is>
          <t>Engineering Capstone Project Part 1 / Part 2</t>
        </is>
      </c>
      <c r="E80" s="77" t="inlineStr">
        <is>
          <t>project; group; employer; credit</t>
        </is>
      </c>
      <c r="F80" s="77" t="inlineStr">
        <is>
          <t>https://handbook.unimelb.edu.au/subjects/engr90037</t>
        </is>
      </c>
      <c r="G80" s="77" t="inlineStr">
        <is>
          <t>Engineering Capstone Project Part 1 (ENGR90037)</t>
        </is>
      </c>
      <c r="H80" s="77" t="inlineStr">
        <is>
          <t>Overview</t>
        </is>
      </c>
      <c r="I80" s="77" t="inlineStr">
        <is>
          <t>2026 (current page)</t>
        </is>
      </c>
      <c r="J80" s="77" t="inlineStr">
        <is>
          <t>2026-10-12</t>
        </is>
      </c>
      <c r="K80" s="77" t="inlineStr">
        <is>
          <t>search-index extract</t>
        </is>
      </c>
      <c r="L80" s="77" t="inlineStr">
        <is>
          <t>Projects are group-based, and each project is supervised by a member of academic staff and, where appropriate, an industry partner. 12.5 points; 200-hour time commitment, or 400 hours across Parts 1 and 2.</t>
        </is>
      </c>
    </row>
    <row r="81">
      <c r="A81" s="77" t="inlineStr">
        <is>
          <t>AU02-S07-R2</t>
        </is>
      </c>
      <c r="B81" s="77" t="inlineStr">
        <is>
          <t>AU02</t>
        </is>
      </c>
      <c r="C81" s="77" t="inlineStr">
        <is>
          <t>AU02-S07</t>
        </is>
      </c>
      <c r="D81" s="77" t="inlineStr">
        <is>
          <t>Engineering Capstone Project Part 1 / Part 2</t>
        </is>
      </c>
      <c r="E81" s="77" t="inlineStr">
        <is>
          <t>status</t>
        </is>
      </c>
      <c r="F81" s="77" t="inlineStr">
        <is>
          <t>https://handbook.unimelb.edu.au/2026/subjects/engr90037/dates-times</t>
        </is>
      </c>
      <c r="G81" s="77" t="inlineStr">
        <is>
          <t>Dates and times: ENGR90037 2026</t>
        </is>
      </c>
      <c r="H81" s="77" t="inlineStr">
        <is>
          <t>Dates</t>
        </is>
      </c>
      <c r="I81" s="77" t="inlineStr">
        <is>
          <t>2026</t>
        </is>
      </c>
      <c r="J81" s="77" t="inlineStr">
        <is>
          <t>2026-10-12</t>
        </is>
      </c>
      <c r="K81" s="77" t="inlineStr">
        <is>
          <t>search-index extract</t>
        </is>
      </c>
      <c r="L81" s="77" t="inlineStr">
        <is>
          <t>Semester 1 runs 2 March to 30 June 2026; Semester 2 runs 27 July to 24 December 2026.</t>
        </is>
      </c>
    </row>
    <row r="82">
      <c r="A82" s="77" t="inlineStr">
        <is>
          <t>AU02-S08-R1</t>
        </is>
      </c>
      <c r="B82" s="77" t="inlineStr">
        <is>
          <t>AU02</t>
        </is>
      </c>
      <c r="C82" s="77" t="inlineStr">
        <is>
          <t>AU02-S08</t>
        </is>
      </c>
      <c r="D82" s="77" t="inlineStr">
        <is>
          <t>Electrical and Electronic Engineering industry-based capstone projects</t>
        </is>
      </c>
      <c r="E82" s="77" t="inlineStr">
        <is>
          <t>project; group; employer</t>
        </is>
      </c>
      <c r="F82" s="77" t="inlineStr">
        <is>
          <t>https://electrical.eng.unimelb.edu.au/industry/student-projects</t>
        </is>
      </c>
      <c r="G82" s="77" t="inlineStr">
        <is>
          <t>Student industry projects - Electrical and Electronic Engineering</t>
        </is>
      </c>
      <c r="H82" s="77" t="inlineStr">
        <is>
          <t>Introduction</t>
        </is>
      </c>
      <c r="I82" s="77" t="inlineStr">
        <is>
          <t>undated</t>
        </is>
      </c>
      <c r="J82" s="77" t="inlineStr">
        <is>
          <t>2026-10-12</t>
        </is>
      </c>
      <c r="K82" s="77" t="inlineStr">
        <is>
          <t>search-index extract</t>
        </is>
      </c>
      <c r="L82" s="77" t="inlineStr">
        <is>
          <t>industry-based projects are run in small teams under the supervision of an industry supervisor and a member of academic staff; an agreement at the start of the project assigns all project IP to the industry partner.</t>
        </is>
      </c>
    </row>
    <row r="83">
      <c r="A83" s="77" t="inlineStr">
        <is>
          <t>AU02-S09-R1</t>
        </is>
      </c>
      <c r="B83" s="77" t="inlineStr">
        <is>
          <t>AU02</t>
        </is>
      </c>
      <c r="C83" s="77" t="inlineStr">
        <is>
          <t>AU02-S09</t>
        </is>
      </c>
      <c r="D83" s="77" t="inlineStr">
        <is>
          <t>Industry projects for graduate students (Faculty of Science)</t>
        </is>
      </c>
      <c r="E83" s="77" t="inlineStr">
        <is>
          <t>project; group; employer; reach</t>
        </is>
      </c>
      <c r="F83" s="77" t="inlineStr">
        <is>
          <t>https://science.unimelb.edu.au/students/enrich-your-studies/industry-projects</t>
        </is>
      </c>
      <c r="G83" s="77" t="inlineStr">
        <is>
          <t>Industry projects for graduate students - Faculty of Science</t>
        </is>
      </c>
      <c r="H83" s="77" t="inlineStr">
        <is>
          <t>Main page</t>
        </is>
      </c>
      <c r="I83" s="77" t="inlineStr">
        <is>
          <t>undated</t>
        </is>
      </c>
      <c r="J83" s="77" t="inlineStr">
        <is>
          <t>2026-10-12</t>
        </is>
      </c>
      <c r="K83" s="77" t="inlineStr">
        <is>
          <t>search-index extract</t>
        </is>
      </c>
      <c r="L83"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84">
      <c r="A84" s="77" t="inlineStr">
        <is>
          <t>AU02-S10-R1</t>
        </is>
      </c>
      <c r="B84" s="77" t="inlineStr">
        <is>
          <t>AU02</t>
        </is>
      </c>
      <c r="C84" s="77" t="inlineStr">
        <is>
          <t>AU02-S10</t>
        </is>
      </c>
      <c r="D84" s="77" t="inlineStr">
        <is>
          <t>Industry Project in Biotechnology</t>
        </is>
      </c>
      <c r="E84" s="77" t="inlineStr">
        <is>
          <t>project; group; employer; credit</t>
        </is>
      </c>
      <c r="F84" s="77" t="inlineStr">
        <is>
          <t>https://handbook.unimelb.edu.au/subjects/scie90015</t>
        </is>
      </c>
      <c r="G84" s="77" t="inlineStr">
        <is>
          <t>Industry Project in Biotechnology (SCIE90015)</t>
        </is>
      </c>
      <c r="H84" s="77" t="inlineStr">
        <is>
          <t>Overview</t>
        </is>
      </c>
      <c r="I84" s="77" t="inlineStr">
        <is>
          <t>undated (current URL)</t>
        </is>
      </c>
      <c r="J84" s="77" t="inlineStr">
        <is>
          <t>2026-10-12</t>
        </is>
      </c>
      <c r="K84" s="77" t="inlineStr">
        <is>
          <t>search-index extract</t>
        </is>
      </c>
      <c r="L84" s="77" t="inlineStr">
        <is>
          <t>Students will be assigned to syndicate groups to address a practical industry challenge/issue which has been identified by industry. Year Long (On Campus - Parkville), 25 credit points.</t>
        </is>
      </c>
    </row>
    <row r="85">
      <c r="A85" s="77" t="inlineStr">
        <is>
          <t>AU02-S10-R2</t>
        </is>
      </c>
      <c r="B85" s="77" t="inlineStr">
        <is>
          <t>AU02</t>
        </is>
      </c>
      <c r="C85" s="77" t="inlineStr">
        <is>
          <t>AU02-S10</t>
        </is>
      </c>
      <c r="D85" s="77" t="inlineStr">
        <is>
          <t>Industry Project in Biotechnology</t>
        </is>
      </c>
      <c r="E85" s="77" t="inlineStr">
        <is>
          <t>group; employer</t>
        </is>
      </c>
      <c r="F85" s="77" t="inlineStr">
        <is>
          <t>https://science.unimelb.edu.au/students/enrich-your-studies/industry-projects</t>
        </is>
      </c>
      <c r="G85" s="77" t="inlineStr">
        <is>
          <t>Industry projects for graduate students</t>
        </is>
      </c>
      <c r="H85" s="77" t="inlineStr"/>
      <c r="I85" s="77" t="inlineStr">
        <is>
          <t>undated</t>
        </is>
      </c>
      <c r="J85" s="77" t="inlineStr">
        <is>
          <t>2026-10-12</t>
        </is>
      </c>
      <c r="K85" s="77" t="inlineStr">
        <is>
          <t>search-index extract</t>
        </is>
      </c>
      <c r="L85" s="77" t="inlineStr">
        <is>
          <t>a dedicated team of 3-5 students are assigned to each project ... Our partners submit a project brief ... New biomaterials for a medical device; Determine regulatory landscapes for new drugs.</t>
        </is>
      </c>
    </row>
    <row r="86">
      <c r="A86" s="77" t="inlineStr">
        <is>
          <t>AU02-S11-R1</t>
        </is>
      </c>
      <c r="B86" s="77" t="inlineStr">
        <is>
          <t>AU02</t>
        </is>
      </c>
      <c r="C86" s="77" t="inlineStr">
        <is>
          <t>AU02-S11</t>
        </is>
      </c>
      <c r="D86" s="77" t="inlineStr">
        <is>
          <t>Data Science Project Part 1 / Part 2</t>
        </is>
      </c>
      <c r="E86" s="77" t="inlineStr">
        <is>
          <t>group; status</t>
        </is>
      </c>
      <c r="F86" s="77" t="inlineStr">
        <is>
          <t>https://handbook.unimelb.edu.au/2026/subjects/mast90106</t>
        </is>
      </c>
      <c r="G86" s="77" t="inlineStr">
        <is>
          <t>Data Science Project Pt1 (MAST90106) 2026</t>
        </is>
      </c>
      <c r="H86" s="77" t="inlineStr">
        <is>
          <t>Overview</t>
        </is>
      </c>
      <c r="I86" s="77" t="inlineStr">
        <is>
          <t>2026</t>
        </is>
      </c>
      <c r="J86" s="77" t="inlineStr">
        <is>
          <t>2026-10-12</t>
        </is>
      </c>
      <c r="K86" s="77" t="inlineStr">
        <is>
          <t>search-index extract</t>
        </is>
      </c>
      <c r="L86" s="77" t="inlineStr">
        <is>
          <t>students work in teams under only general guidance from staff members.</t>
        </is>
      </c>
    </row>
    <row r="87">
      <c r="A87" s="77" t="inlineStr">
        <is>
          <t>AU02-S11-R2</t>
        </is>
      </c>
      <c r="B87" s="77" t="inlineStr">
        <is>
          <t>AU02</t>
        </is>
      </c>
      <c r="C87" s="77" t="inlineStr">
        <is>
          <t>AU02-S11</t>
        </is>
      </c>
      <c r="D87" s="77" t="inlineStr">
        <is>
          <t>Data Science Project Part 1 / Part 2</t>
        </is>
      </c>
      <c r="E87" s="77" t="inlineStr">
        <is>
          <t>project; group; employer</t>
        </is>
      </c>
      <c r="F87" s="77" t="inlineStr">
        <is>
          <t>https://science.unimelb.edu.au/students/enrich-your-studies/industry-projects</t>
        </is>
      </c>
      <c r="G87" s="77" t="inlineStr">
        <is>
          <t>Industry projects for graduate students</t>
        </is>
      </c>
      <c r="H87" s="77" t="inlineStr"/>
      <c r="I87" s="77" t="inlineStr">
        <is>
          <t>undated</t>
        </is>
      </c>
      <c r="J87" s="77" t="inlineStr">
        <is>
          <t>2026-10-12</t>
        </is>
      </c>
      <c r="K87" s="77" t="inlineStr">
        <is>
          <t>search-index extract</t>
        </is>
      </c>
      <c r="L87" s="77" t="inlineStr">
        <is>
          <t>capstone Industry Project subject for Master of Data Science students ... students collaboratively work in teams to deliver solutions to participating organisations' real-world challenges.</t>
        </is>
      </c>
    </row>
    <row r="88">
      <c r="A88" s="77" t="inlineStr">
        <is>
          <t>AU02-S11-R3</t>
        </is>
      </c>
      <c r="B88" s="77" t="inlineStr">
        <is>
          <t>AU02</t>
        </is>
      </c>
      <c r="C88" s="77" t="inlineStr">
        <is>
          <t>AU02-S11</t>
        </is>
      </c>
      <c r="D88" s="77" t="inlineStr">
        <is>
          <t>Data Science Project Part 1 / Part 2</t>
        </is>
      </c>
      <c r="E88" s="77" t="inlineStr">
        <is>
          <t>employer; credit</t>
        </is>
      </c>
      <c r="F88" s="77" t="inlineStr">
        <is>
          <t>https://cis.unimelb.edu.au/engage/industry-projects/capstone-projects</t>
        </is>
      </c>
      <c r="G88" s="77" t="inlineStr">
        <is>
          <t>Capstone Projects - CIS</t>
        </is>
      </c>
      <c r="H88" s="77" t="inlineStr">
        <is>
          <t>Data Science</t>
        </is>
      </c>
      <c r="I88" s="77" t="inlineStr">
        <is>
          <t>undated</t>
        </is>
      </c>
      <c r="J88" s="77" t="inlineStr">
        <is>
          <t>2026-10-12</t>
        </is>
      </c>
      <c r="K88" s="77" t="inlineStr">
        <is>
          <t>search-index extract</t>
        </is>
      </c>
      <c r="L88" s="77" t="inlineStr">
        <is>
          <t>Data Science entry for MAST90106 and MAST90107, year-long project, commencing in Semester 1 only.</t>
        </is>
      </c>
    </row>
    <row r="89">
      <c r="A89" s="77" t="inlineStr">
        <is>
          <t>AU02-S11-R4</t>
        </is>
      </c>
      <c r="B89" s="77" t="inlineStr">
        <is>
          <t>AU02</t>
        </is>
      </c>
      <c r="C89" s="77" t="inlineStr">
        <is>
          <t>AU02-S11</t>
        </is>
      </c>
      <c r="D89" s="77" t="inlineStr">
        <is>
          <t>Data Science Project Part 1 / Part 2</t>
        </is>
      </c>
      <c r="E89" s="77" t="inlineStr">
        <is>
          <t>group; credit</t>
        </is>
      </c>
      <c r="F89" s="77" t="inlineStr">
        <is>
          <t>https://handbook.unimelb.edu.au/2024/subjects/mast90107</t>
        </is>
      </c>
      <c r="G89" s="77" t="inlineStr">
        <is>
          <t>Data Science Project Pt2 (MAST90107) 2024</t>
        </is>
      </c>
      <c r="H89" s="77" t="inlineStr">
        <is>
          <t>Overview</t>
        </is>
      </c>
      <c r="I89" s="77" t="inlineStr">
        <is>
          <t>2024</t>
        </is>
      </c>
      <c r="J89" s="77" t="inlineStr">
        <is>
          <t>2026-10-12</t>
        </is>
      </c>
      <c r="K89" s="77" t="inlineStr">
        <is>
          <t>search-index extract</t>
        </is>
      </c>
      <c r="L89" s="77" t="inlineStr">
        <is>
          <t>Teams continue from Part 1; students present a group project report and oral presentation; individual contribution logged via diaries.</t>
        </is>
      </c>
    </row>
    <row r="90">
      <c r="A90" s="77" t="inlineStr">
        <is>
          <t>AU02-S12-R1</t>
        </is>
      </c>
      <c r="B90" s="77" t="inlineStr">
        <is>
          <t>AU02</t>
        </is>
      </c>
      <c r="C90" s="77" t="inlineStr">
        <is>
          <t>AU02-S12</t>
        </is>
      </c>
      <c r="D90" s="77" t="inlineStr">
        <is>
          <t>Industry Project in Environmental Science Pt1 &amp; Pt2</t>
        </is>
      </c>
      <c r="E90" s="77" t="inlineStr">
        <is>
          <t>status; project; participation</t>
        </is>
      </c>
      <c r="F90" s="77" t="inlineStr">
        <is>
          <t>https://handbook.unimelb.edu.au/2026/courses/mc-envsc/course-structure</t>
        </is>
      </c>
      <c r="G90" s="77" t="inlineStr">
        <is>
          <t>Course structure: Master of Environmental Science (MC-ENVSC) 2026</t>
        </is>
      </c>
      <c r="H90" s="77" t="inlineStr">
        <is>
          <t>Course structure</t>
        </is>
      </c>
      <c r="I90" s="77" t="inlineStr">
        <is>
          <t>2026</t>
        </is>
      </c>
      <c r="J90" s="77" t="inlineStr">
        <is>
          <t>2026-10-12</t>
        </is>
      </c>
      <c r="K90" s="77" t="inlineStr">
        <is>
          <t>search-index extract</t>
        </is>
      </c>
      <c r="L90" s="77" t="inlineStr">
        <is>
          <t>EVSC90019 Graduate Seminar: Environmental Science and Industry Project in EnvironmentalSci Pt1 &amp; Pt2 will be taken in the second year of study ... Outstanding students may replace the Industry Project with EVSC90034 ... and EVSC90035.</t>
        </is>
      </c>
    </row>
    <row r="91">
      <c r="A91" s="77" t="inlineStr">
        <is>
          <t>AU02-S12-R2</t>
        </is>
      </c>
      <c r="B91" s="77" t="inlineStr">
        <is>
          <t>AU02</t>
        </is>
      </c>
      <c r="C91" s="77" t="inlineStr">
        <is>
          <t>AU02-S12</t>
        </is>
      </c>
      <c r="D91" s="77" t="inlineStr">
        <is>
          <t>Industry Project in Environmental Science Pt1 &amp; Pt2</t>
        </is>
      </c>
      <c r="E91" s="77" t="inlineStr">
        <is>
          <t>employer</t>
        </is>
      </c>
      <c r="F91" s="77" t="inlineStr">
        <is>
          <t>https://study.unimelb.edu.au/find/courses/graduate/master-of-environmental-science/structure/</t>
        </is>
      </c>
      <c r="G91" s="77" t="inlineStr">
        <is>
          <t>Master of Environmental Science: Course structure</t>
        </is>
      </c>
      <c r="H91" s="77" t="inlineStr"/>
      <c r="I91" s="77" t="inlineStr">
        <is>
          <t>undated</t>
        </is>
      </c>
      <c r="J91" s="77" t="inlineStr">
        <is>
          <t>2026-10-12</t>
        </is>
      </c>
      <c r="K91" s="77" t="inlineStr">
        <is>
          <t>search-index extract</t>
        </is>
      </c>
      <c r="L91" s="77" t="inlineStr">
        <is>
          <t>year-long industry project where students spend time at the workplace of their assigned industry client.</t>
        </is>
      </c>
    </row>
    <row r="92">
      <c r="A92" s="77" t="inlineStr">
        <is>
          <t>AU02-S13-R1</t>
        </is>
      </c>
      <c r="B92" s="77" t="inlineStr">
        <is>
          <t>AU02</t>
        </is>
      </c>
      <c r="C92" s="77" t="inlineStr">
        <is>
          <t>AU02-S13</t>
        </is>
      </c>
      <c r="D92" s="77" t="inlineStr">
        <is>
          <t>Management Consulting</t>
        </is>
      </c>
      <c r="E92" s="77" t="inlineStr">
        <is>
          <t>project; group; employer; credit</t>
        </is>
      </c>
      <c r="F92" s="77" t="inlineStr">
        <is>
          <t>https://handbook.unimelb.edu.au/subjects/mgmt30012</t>
        </is>
      </c>
      <c r="G92" s="77" t="inlineStr">
        <is>
          <t>Management Consulting (MGMT30012)</t>
        </is>
      </c>
      <c r="H92" s="77" t="inlineStr">
        <is>
          <t>Overview</t>
        </is>
      </c>
      <c r="I92" s="77" t="inlineStr">
        <is>
          <t>2026 (current page)</t>
        </is>
      </c>
      <c r="J92" s="77" t="inlineStr">
        <is>
          <t>2026-10-12</t>
        </is>
      </c>
      <c r="K92" s="77" t="inlineStr">
        <is>
          <t>search-index extract</t>
        </is>
      </c>
      <c r="L92" s="77" t="inlineStr">
        <is>
          <t>Working in cross-disciplinary teams, students will be assigned to a client organisation ... Undergraduate level 3 Points: 12.5 On Campus (Parkville); Semester 1 and Semester 2.</t>
        </is>
      </c>
    </row>
    <row r="93">
      <c r="A93" s="77" t="inlineStr">
        <is>
          <t>AU02-S13-R2</t>
        </is>
      </c>
      <c r="B93" s="77" t="inlineStr">
        <is>
          <t>AU02</t>
        </is>
      </c>
      <c r="C93" s="77" t="inlineStr">
        <is>
          <t>AU02-S13</t>
        </is>
      </c>
      <c r="D93" s="77" t="inlineStr">
        <is>
          <t>Management Consulting</t>
        </is>
      </c>
      <c r="E93" s="77" t="inlineStr">
        <is>
          <t>credit; group</t>
        </is>
      </c>
      <c r="F93" s="77" t="inlineStr">
        <is>
          <t>https://handbook.unimelb.edu.au/2023/subjects/mgmt30012/assessment</t>
        </is>
      </c>
      <c r="G93" s="77" t="inlineStr">
        <is>
          <t>Assessment: MGMT30012 2023</t>
        </is>
      </c>
      <c r="H93" s="77" t="inlineStr">
        <is>
          <t>Assessment</t>
        </is>
      </c>
      <c r="I93" s="77" t="inlineStr">
        <is>
          <t>2023</t>
        </is>
      </c>
      <c r="J93" s="77" t="inlineStr">
        <is>
          <t>2026-10-12</t>
        </is>
      </c>
      <c r="K93" s="77" t="inlineStr">
        <is>
          <t>search-index extract</t>
        </is>
      </c>
      <c r="L93" s="77" t="inlineStr">
        <is>
          <t>workshop participation hurdle, team progress notes, team presentation, team report, reflective essay, peer evaluation.</t>
        </is>
      </c>
    </row>
    <row r="94">
      <c r="A94" s="77" t="inlineStr">
        <is>
          <t>AU02-S13-R3</t>
        </is>
      </c>
      <c r="B94" s="77" t="inlineStr">
        <is>
          <t>AU02</t>
        </is>
      </c>
      <c r="C94" s="77" t="inlineStr">
        <is>
          <t>AU02-S13</t>
        </is>
      </c>
      <c r="D94" s="77" t="inlineStr">
        <is>
          <t>Management Consulting</t>
        </is>
      </c>
      <c r="E94" s="77" t="inlineStr">
        <is>
          <t>eligibility; participation</t>
        </is>
      </c>
      <c r="F94" s="77" t="inlineStr">
        <is>
          <t>https://handbook.unimelb.edu.au/2024/subjects/mgmt30012/eligibility-and-requirements</t>
        </is>
      </c>
      <c r="G94" s="77" t="inlineStr">
        <is>
          <t>Eligibility: MGMT30012 2024</t>
        </is>
      </c>
      <c r="H94" s="77" t="inlineStr">
        <is>
          <t>Eligibility</t>
        </is>
      </c>
      <c r="I94" s="77" t="inlineStr">
        <is>
          <t>2024</t>
        </is>
      </c>
      <c r="J94" s="77" t="inlineStr">
        <is>
          <t>2026-10-12</t>
        </is>
      </c>
      <c r="K94" s="77" t="inlineStr">
        <is>
          <t>search-index extract</t>
        </is>
      </c>
      <c r="L94" s="77" t="inlineStr">
        <is>
          <t>quota of 60 students, selection by application; from Semester 2 2024 at least 150 credit points and permission of the Subject Coordinator.</t>
        </is>
      </c>
    </row>
    <row r="95">
      <c r="A95" s="77" t="inlineStr">
        <is>
          <t>AU02-S13-R4</t>
        </is>
      </c>
      <c r="B95" s="77" t="inlineStr">
        <is>
          <t>AU02</t>
        </is>
      </c>
      <c r="C95" s="77" t="inlineStr">
        <is>
          <t>AU02-S13</t>
        </is>
      </c>
      <c r="D95" s="77" t="inlineStr">
        <is>
          <t>Management Consulting</t>
        </is>
      </c>
      <c r="E95" s="77" t="inlineStr">
        <is>
          <t>status</t>
        </is>
      </c>
      <c r="F95" s="77" t="inlineStr">
        <is>
          <t>https://handbook.unimelb.edu.au/2026/components/b-com-major-6/course-structure</t>
        </is>
      </c>
      <c r="G95" s="77" t="inlineStr">
        <is>
          <t>Structure: Management (BCom major) 2026</t>
        </is>
      </c>
      <c r="H95" s="77" t="inlineStr">
        <is>
          <t>Course structure</t>
        </is>
      </c>
      <c r="I95" s="77" t="inlineStr">
        <is>
          <t>2026</t>
        </is>
      </c>
      <c r="J95" s="77" t="inlineStr">
        <is>
          <t>2026-10-12</t>
        </is>
      </c>
      <c r="K95" s="77" t="inlineStr">
        <is>
          <t>search-index extract</t>
        </is>
      </c>
      <c r="L95" s="77" t="inlineStr">
        <is>
          <t>Appeared in results for MGMT30012 in 2026 Management major; no verbatim extract obtained.</t>
        </is>
      </c>
    </row>
    <row r="96">
      <c r="A96" s="77" t="inlineStr">
        <is>
          <t>AU02-S14-R1</t>
        </is>
      </c>
      <c r="B96" s="77" t="inlineStr">
        <is>
          <t>AU02</t>
        </is>
      </c>
      <c r="C96" s="77" t="inlineStr">
        <is>
          <t>AU02-S14</t>
        </is>
      </c>
      <c r="D96" s="77" t="inlineStr">
        <is>
          <t>Industry Projects (FBE partner offer)</t>
        </is>
      </c>
      <c r="E96" s="77" t="inlineStr">
        <is>
          <t>project; group; employer; credit</t>
        </is>
      </c>
      <c r="F96" s="77" t="inlineStr">
        <is>
          <t>https://fbe.unimelb.edu.au/engage/partnerships/opportunities/industry-projects</t>
        </is>
      </c>
      <c r="G96" s="77" t="inlineStr">
        <is>
          <t>Industry Projects - Faculty of Business and Economics</t>
        </is>
      </c>
      <c r="H96" s="77" t="inlineStr">
        <is>
          <t>Partner page</t>
        </is>
      </c>
      <c r="I96" s="77" t="inlineStr">
        <is>
          <t>undated</t>
        </is>
      </c>
      <c r="J96" s="77" t="inlineStr">
        <is>
          <t>2026-10-12</t>
        </is>
      </c>
      <c r="K96" s="77" t="inlineStr">
        <is>
          <t>search-index extract</t>
        </is>
      </c>
      <c r="L96"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97">
      <c r="A97" s="77" t="inlineStr">
        <is>
          <t>AU02-S15-R1</t>
        </is>
      </c>
      <c r="B97" s="77" t="inlineStr">
        <is>
          <t>AU02</t>
        </is>
      </c>
      <c r="C97" s="77" t="inlineStr">
        <is>
          <t>AU02-S15</t>
        </is>
      </c>
      <c r="D97" s="77" t="inlineStr">
        <is>
          <t>Business Innovation Challenge</t>
        </is>
      </c>
      <c r="E97" s="77" t="inlineStr">
        <is>
          <t>project; group; employer; eligibility; status</t>
        </is>
      </c>
      <c r="F97" s="77" t="inlineStr">
        <is>
          <t>https://mbs.unimelb.edu.au/career/expertise/business-innovation-challenge</t>
        </is>
      </c>
      <c r="G97" s="77" t="inlineStr">
        <is>
          <t>Business Innovation Challenge - Melbourne Business School</t>
        </is>
      </c>
      <c r="H97" s="77" t="inlineStr">
        <is>
          <t>Program page</t>
        </is>
      </c>
      <c r="I97" s="77" t="inlineStr">
        <is>
          <t>2026</t>
        </is>
      </c>
      <c r="J97" s="77" t="inlineStr">
        <is>
          <t>2026-10-12</t>
        </is>
      </c>
      <c r="K97" s="77" t="inlineStr">
        <is>
          <t>search-index extract</t>
        </is>
      </c>
      <c r="L97"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98">
      <c r="A98" s="77" t="inlineStr">
        <is>
          <t>AU02-S15-R2</t>
        </is>
      </c>
      <c r="B98" s="77" t="inlineStr">
        <is>
          <t>AU02</t>
        </is>
      </c>
      <c r="C98" s="77" t="inlineStr">
        <is>
          <t>AU02-S15</t>
        </is>
      </c>
      <c r="D98" s="77" t="inlineStr">
        <is>
          <t>Business Innovation Challenge</t>
        </is>
      </c>
      <c r="E98" s="77" t="inlineStr">
        <is>
          <t>status</t>
        </is>
      </c>
      <c r="F98" s="77" t="inlineStr">
        <is>
          <t>https://fbe.unimelb.edu.au/bcom/career/fbe-student-calendar/sep/semester-2-business-innovation-challenge-applications-open</t>
        </is>
      </c>
      <c r="G98" s="77" t="inlineStr">
        <is>
          <t>Semester 2 Business Innovation Challenge Applications Open</t>
        </is>
      </c>
      <c r="H98" s="77" t="inlineStr">
        <is>
          <t>Calendar</t>
        </is>
      </c>
      <c r="I98" s="77" t="inlineStr">
        <is>
          <t>2026</t>
        </is>
      </c>
      <c r="J98" s="77" t="inlineStr">
        <is>
          <t>2026-10-12</t>
        </is>
      </c>
      <c r="K98" s="77" t="inlineStr">
        <is>
          <t>search-index extract</t>
        </is>
      </c>
      <c r="L98" s="77" t="inlineStr">
        <is>
          <t>Applications for the semester 2 Business Innovation Challenge open 17 Aug 2026.</t>
        </is>
      </c>
    </row>
    <row r="99">
      <c r="A99" s="77" t="inlineStr">
        <is>
          <t>AU02-S16-R1</t>
        </is>
      </c>
      <c r="B99" s="77" t="inlineStr">
        <is>
          <t>AU02</t>
        </is>
      </c>
      <c r="C99" s="77" t="inlineStr">
        <is>
          <t>AU02-S16</t>
        </is>
      </c>
      <c r="D99" s="77" t="inlineStr">
        <is>
          <t>Virtual Industry Projects</t>
        </is>
      </c>
      <c r="E99" s="77" t="inlineStr">
        <is>
          <t>project; group; employer; eligibility; status</t>
        </is>
      </c>
      <c r="F99" s="77" t="inlineStr">
        <is>
          <t>https://mbs.unimelb.edu.au/career/expertise/virtual-industry-projects</t>
        </is>
      </c>
      <c r="G99" s="77" t="inlineStr">
        <is>
          <t>Virtual Industry Projects - Melbourne Business School</t>
        </is>
      </c>
      <c r="H99" s="77" t="inlineStr">
        <is>
          <t>Program page</t>
        </is>
      </c>
      <c r="I99" s="77" t="inlineStr">
        <is>
          <t>2026</t>
        </is>
      </c>
      <c r="J99" s="77" t="inlineStr">
        <is>
          <t>2026-10-12</t>
        </is>
      </c>
      <c r="K99" s="77" t="inlineStr">
        <is>
          <t>search-index extract</t>
        </is>
      </c>
      <c r="L99"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100">
      <c r="A100" s="77" t="inlineStr">
        <is>
          <t>AU02-S16-R2</t>
        </is>
      </c>
      <c r="B100" s="77" t="inlineStr">
        <is>
          <t>AU02</t>
        </is>
      </c>
      <c r="C100" s="77" t="inlineStr">
        <is>
          <t>AU02-S16</t>
        </is>
      </c>
      <c r="D100" s="77" t="inlineStr">
        <is>
          <t>Virtual Industry Projects</t>
        </is>
      </c>
      <c r="E100" s="77" t="inlineStr">
        <is>
          <t>status</t>
        </is>
      </c>
      <c r="F100" s="77" t="inlineStr">
        <is>
          <t>https://fbe.unimelb.edu.au/bcom/career/fbe-student-calendar/oct/virtual-industry-projects-summer-applications-open</t>
        </is>
      </c>
      <c r="G100" s="77" t="inlineStr">
        <is>
          <t>Virtual Industry Projects Summer Applications Open</t>
        </is>
      </c>
      <c r="H100" s="77" t="inlineStr">
        <is>
          <t>Calendar</t>
        </is>
      </c>
      <c r="I100" s="77" t="inlineStr">
        <is>
          <t>2026</t>
        </is>
      </c>
      <c r="J100" s="77" t="inlineStr">
        <is>
          <t>2026-10-12</t>
        </is>
      </c>
      <c r="K100" s="77" t="inlineStr">
        <is>
          <t>search-index extract</t>
        </is>
      </c>
      <c r="L100" s="77" t="inlineStr">
        <is>
          <t>Summer 2026 applications open 5-25 October 2026.</t>
        </is>
      </c>
    </row>
    <row r="101">
      <c r="A101" s="77" t="inlineStr">
        <is>
          <t>AU02-S17-R1</t>
        </is>
      </c>
      <c r="B101" s="77" t="inlineStr">
        <is>
          <t>AU02</t>
        </is>
      </c>
      <c r="C101" s="77" t="inlineStr">
        <is>
          <t>AU02-S17</t>
        </is>
      </c>
      <c r="D101" s="77" t="inlineStr">
        <is>
          <t>Group Project</t>
        </is>
      </c>
      <c r="E101" s="77" t="inlineStr">
        <is>
          <t>project; group; employer; credit</t>
        </is>
      </c>
      <c r="F101" s="77" t="inlineStr">
        <is>
          <t>https://handbook.unimelb.edu.au/subjects/mgmt90129/</t>
        </is>
      </c>
      <c r="G101" s="77" t="inlineStr">
        <is>
          <t>Group Project (MGMT90129)</t>
        </is>
      </c>
      <c r="H101" s="77" t="inlineStr">
        <is>
          <t>Overview/Assessment (2024 data)</t>
        </is>
      </c>
      <c r="I101" s="77" t="inlineStr">
        <is>
          <t>2024</t>
        </is>
      </c>
      <c r="J101" s="77" t="inlineStr">
        <is>
          <t>2026-10-12</t>
        </is>
      </c>
      <c r="K101" s="77" t="inlineStr">
        <is>
          <t>search-index extract</t>
        </is>
      </c>
      <c r="L101" s="77" t="inlineStr">
        <is>
          <t>The Group Project is a group research project, undertaken for an external organisation. ... group presentation worth 15% ... Each student in the group is awarded the same result.</t>
        </is>
      </c>
    </row>
    <row r="102">
      <c r="A102" s="77" t="inlineStr">
        <is>
          <t>AU02-S18-R1</t>
        </is>
      </c>
      <c r="B102" s="77" t="inlineStr">
        <is>
          <t>AU02</t>
        </is>
      </c>
      <c r="C102" s="77" t="inlineStr">
        <is>
          <t>AU02-S18</t>
        </is>
      </c>
      <c r="D102" s="77" t="inlineStr">
        <is>
          <t>Analytics Lab (Master of Business Analytics)</t>
        </is>
      </c>
      <c r="E102" s="77" t="inlineStr">
        <is>
          <t>project; employer</t>
        </is>
      </c>
      <c r="F102" s="77" t="inlineStr">
        <is>
          <t>https://mbs.edu/centres/centre-for-business-analytics/about-us</t>
        </is>
      </c>
      <c r="G102" s="77" t="inlineStr">
        <is>
          <t>About Us - Centre for Business Analytics</t>
        </is>
      </c>
      <c r="H102" s="77" t="inlineStr"/>
      <c r="I102" s="77" t="inlineStr">
        <is>
          <t>undated</t>
        </is>
      </c>
      <c r="J102" s="77" t="inlineStr">
        <is>
          <t>2026-10-12</t>
        </is>
      </c>
      <c r="K102" s="77" t="inlineStr">
        <is>
          <t>search-index extract</t>
        </is>
      </c>
      <c r="L102"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103">
      <c r="A103" s="77" t="inlineStr">
        <is>
          <t>AU02-S18-R2</t>
        </is>
      </c>
      <c r="B103" s="77" t="inlineStr">
        <is>
          <t>AU02</t>
        </is>
      </c>
      <c r="C103" s="77" t="inlineStr">
        <is>
          <t>AU02-S18</t>
        </is>
      </c>
      <c r="D103" s="77" t="inlineStr">
        <is>
          <t>Analytics Lab (Master of Business Analytics)</t>
        </is>
      </c>
      <c r="E103" s="77" t="inlineStr">
        <is>
          <t>employer</t>
        </is>
      </c>
      <c r="F103" s="77" t="inlineStr">
        <is>
          <t>https://mbs.edu/-/media/PDF/Brochures/Degree-Programs/Master-of-Business-Analytics-Brochure---Melbourne-Business-School.ashx</t>
        </is>
      </c>
      <c r="G103" s="77" t="inlineStr">
        <is>
          <t>Master of Business Analytics brochure</t>
        </is>
      </c>
      <c r="H103" s="77" t="inlineStr">
        <is>
          <t>Analytics Lab</t>
        </is>
      </c>
      <c r="I103" s="77" t="inlineStr">
        <is>
          <t>undated</t>
        </is>
      </c>
      <c r="J103" s="77" t="inlineStr">
        <is>
          <t>2026-10-12</t>
        </is>
      </c>
      <c r="K103" s="77" t="inlineStr">
        <is>
          <t>search-index extract</t>
        </is>
      </c>
      <c r="L103" s="77" t="inlineStr">
        <is>
          <t>students work within an organisation to help solve pressing business challenges in that five-week lab; snapshots for EY, Suncorp, Downer and L'Oreal Australia.</t>
        </is>
      </c>
    </row>
    <row r="104">
      <c r="A104" s="77" t="inlineStr">
        <is>
          <t>AU02-S19-R1</t>
        </is>
      </c>
      <c r="B104" s="77" t="inlineStr">
        <is>
          <t>AU02</t>
        </is>
      </c>
      <c r="C104" s="77" t="inlineStr">
        <is>
          <t>AU02-S19</t>
        </is>
      </c>
      <c r="D104" s="77" t="inlineStr">
        <is>
          <t>Creating Innovative Professionals (IPP Spark)</t>
        </is>
      </c>
      <c r="E104" s="77" t="inlineStr">
        <is>
          <t>project; group; employer; status; credit</t>
        </is>
      </c>
      <c r="F104" s="77" t="inlineStr">
        <is>
          <t>https://handbook.unimelb.edu.au/subjects/engr90039</t>
        </is>
      </c>
      <c r="G104" s="77" t="inlineStr">
        <is>
          <t>Creating Innovative Professionals (ENGR90039)</t>
        </is>
      </c>
      <c r="H104" s="77" t="inlineStr">
        <is>
          <t>Overview</t>
        </is>
      </c>
      <c r="I104" s="77" t="inlineStr">
        <is>
          <t>2026</t>
        </is>
      </c>
      <c r="J104" s="77" t="inlineStr">
        <is>
          <t>2026-10-12</t>
        </is>
      </c>
      <c r="K104" s="77" t="inlineStr">
        <is>
          <t>search-index extract</t>
        </is>
      </c>
      <c r="L104"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105">
      <c r="A105" s="77" t="inlineStr">
        <is>
          <t>AU02-S19-R2</t>
        </is>
      </c>
      <c r="B105" s="77" t="inlineStr">
        <is>
          <t>AU02</t>
        </is>
      </c>
      <c r="C105" s="77" t="inlineStr">
        <is>
          <t>AU02-S19</t>
        </is>
      </c>
      <c r="D105" s="77" t="inlineStr">
        <is>
          <t>Creating Innovative Professionals (IPP Spark)</t>
        </is>
      </c>
      <c r="E105" s="77" t="inlineStr">
        <is>
          <t>eligibility; reach</t>
        </is>
      </c>
      <c r="F105" s="77" t="inlineStr">
        <is>
          <t>https://handbook.unimelb.edu.au/2026/subjects/engr90039/eligibility-and-requirements</t>
        </is>
      </c>
      <c r="G105" s="77" t="inlineStr">
        <is>
          <t>Eligibility: ENGR90039 2026</t>
        </is>
      </c>
      <c r="H105" s="77" t="inlineStr">
        <is>
          <t>Eligibility</t>
        </is>
      </c>
      <c r="I105" s="77" t="inlineStr">
        <is>
          <t>2026</t>
        </is>
      </c>
      <c r="J105" s="77" t="inlineStr">
        <is>
          <t>2026-10-12</t>
        </is>
      </c>
      <c r="K105" s="77" t="inlineStr">
        <is>
          <t>search-index extract</t>
        </is>
      </c>
      <c r="L105" s="77" t="inlineStr">
        <is>
          <t>Lists specified masters programs plus approved programs in FBE and the School of Design; it is not possible to self-enrol in CIP. All enrolments are by application and are subject to a variable quota.</t>
        </is>
      </c>
    </row>
    <row r="106">
      <c r="A106" s="77" t="inlineStr">
        <is>
          <t>AU02-S19-R3</t>
        </is>
      </c>
      <c r="B106" s="77" t="inlineStr">
        <is>
          <t>AU02</t>
        </is>
      </c>
      <c r="C106" s="77" t="inlineStr">
        <is>
          <t>AU02-S19</t>
        </is>
      </c>
      <c r="D106" s="77" t="inlineStr">
        <is>
          <t>Creating Innovative Professionals (IPP Spark)</t>
        </is>
      </c>
      <c r="E106" s="77" t="inlineStr">
        <is>
          <t>participation</t>
        </is>
      </c>
      <c r="F106" s="77" t="inlineStr">
        <is>
          <t>https://ipp.eng.unimelb.edu.au/home/ipp-wins-feit-excellence-award</t>
        </is>
      </c>
      <c r="G106" s="77" t="inlineStr">
        <is>
          <t>IPP wins FEIT Excellence Award</t>
        </is>
      </c>
      <c r="H106" s="77" t="inlineStr"/>
      <c r="I106" s="77" t="inlineStr">
        <is>
          <t>undated</t>
        </is>
      </c>
      <c r="J106" s="77" t="inlineStr">
        <is>
          <t>2026-10-12</t>
        </is>
      </c>
      <c r="K106" s="77" t="inlineStr">
        <is>
          <t>search-index extract</t>
        </is>
      </c>
      <c r="L106" s="77" t="inlineStr">
        <is>
          <t>delivered more than 300 innovation projects with over 130 industry sponsors in six years.</t>
        </is>
      </c>
    </row>
    <row r="107">
      <c r="A107" s="77" t="inlineStr">
        <is>
          <t>AU02-S19-R4</t>
        </is>
      </c>
      <c r="B107" s="77" t="inlineStr">
        <is>
          <t>AU02</t>
        </is>
      </c>
      <c r="C107" s="77" t="inlineStr">
        <is>
          <t>AU02-S19</t>
        </is>
      </c>
      <c r="D107" s="77" t="inlineStr">
        <is>
          <t>Creating Innovative Professionals (IPP Spark)</t>
        </is>
      </c>
      <c r="E107" s="77" t="inlineStr">
        <is>
          <t>status</t>
        </is>
      </c>
      <c r="F107" s="77" t="inlineStr">
        <is>
          <t>https://mbs.unimelb.edu.au/career/apply-your-learning/creating-innovative-professionals</t>
        </is>
      </c>
      <c r="G107" s="77" t="inlineStr">
        <is>
          <t>Creating Innovative Professionals - MBS</t>
        </is>
      </c>
      <c r="H107" s="77" t="inlineStr"/>
      <c r="I107" s="77" t="inlineStr">
        <is>
          <t>2026</t>
        </is>
      </c>
      <c r="J107" s="77" t="inlineStr">
        <is>
          <t>2026-10-12</t>
        </is>
      </c>
      <c r="K107" s="77" t="inlineStr">
        <is>
          <t>search-index extract</t>
        </is>
      </c>
      <c r="L107" s="77" t="inlineStr">
        <is>
          <t>States CIP is not running in 2026 and limits eligibility to Master of International Business and Master of Management (conflicts with handbook).</t>
        </is>
      </c>
    </row>
    <row r="108">
      <c r="A108" s="77" t="inlineStr">
        <is>
          <t>AU02-S20-R1</t>
        </is>
      </c>
      <c r="B108" s="77" t="inlineStr">
        <is>
          <t>AU02</t>
        </is>
      </c>
      <c r="C108" s="77" t="inlineStr">
        <is>
          <t>AU02-S20</t>
        </is>
      </c>
      <c r="D108" s="77" t="inlineStr">
        <is>
          <t>Ignite (Opportunity Lab / O-Lab)</t>
        </is>
      </c>
      <c r="E108" s="77" t="inlineStr">
        <is>
          <t>project; group; employer; participation</t>
        </is>
      </c>
      <c r="F108" s="77" t="inlineStr">
        <is>
          <t>https://ipp.eng.unimelb.edu.au/for-industry/o-lab</t>
        </is>
      </c>
      <c r="G108" s="77" t="inlineStr">
        <is>
          <t>Ignite - Innovation Practice Program</t>
        </is>
      </c>
      <c r="H108" s="77" t="inlineStr">
        <is>
          <t>For industry</t>
        </is>
      </c>
      <c r="I108" s="77" t="inlineStr">
        <is>
          <t>undated (refers to 2021-2022)</t>
        </is>
      </c>
      <c r="J108" s="77" t="inlineStr">
        <is>
          <t>2026-10-12</t>
        </is>
      </c>
      <c r="K108" s="77" t="inlineStr">
        <is>
          <t>search-index extract</t>
        </is>
      </c>
      <c r="L108"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109">
      <c r="A109" s="77" t="inlineStr">
        <is>
          <t>AU02-S20-R2</t>
        </is>
      </c>
      <c r="B109" s="77" t="inlineStr">
        <is>
          <t>AU02</t>
        </is>
      </c>
      <c r="C109" s="77" t="inlineStr">
        <is>
          <t>AU02-S20</t>
        </is>
      </c>
      <c r="D109" s="77" t="inlineStr">
        <is>
          <t>Ignite (Opportunity Lab / O-Lab)</t>
        </is>
      </c>
      <c r="E109" s="77" t="inlineStr">
        <is>
          <t>reach; eligibility</t>
        </is>
      </c>
      <c r="F109" s="77" t="inlineStr">
        <is>
          <t>https://ipp.eng.unimelb.edu.au/for-students/o-lab</t>
        </is>
      </c>
      <c r="G109" s="77" t="inlineStr">
        <is>
          <t>Ignite (O-Lab) for Students</t>
        </is>
      </c>
      <c r="H109" s="77" t="inlineStr"/>
      <c r="I109" s="77" t="inlineStr">
        <is>
          <t>undated</t>
        </is>
      </c>
      <c r="J109" s="77" t="inlineStr">
        <is>
          <t>2026-10-12</t>
        </is>
      </c>
      <c r="K109" s="77" t="inlineStr">
        <is>
          <t>search-index extract</t>
        </is>
      </c>
      <c r="L109" s="77" t="inlineStr">
        <is>
          <t>O-Lab is open to postgraduate students across the University of Melbourne.</t>
        </is>
      </c>
    </row>
    <row r="110">
      <c r="A110" s="77" t="inlineStr">
        <is>
          <t>AU02-S21-R1</t>
        </is>
      </c>
      <c r="B110" s="77" t="inlineStr">
        <is>
          <t>AU02</t>
        </is>
      </c>
      <c r="C110" s="77" t="inlineStr">
        <is>
          <t>AU02-S21</t>
        </is>
      </c>
      <c r="D110" s="77" t="inlineStr">
        <is>
          <t>SCOUT (Students Consulting on University Translation)</t>
        </is>
      </c>
      <c r="E110" s="77" t="inlineStr">
        <is>
          <t>project; group; employer; status</t>
        </is>
      </c>
      <c r="F110" s="77" t="inlineStr">
        <is>
          <t>https://about.unimelb.edu.au/education-melbourne/our-people-in-action/university-students-lead-greenhouse-project-and-gain-industry-experience</t>
        </is>
      </c>
      <c r="G110" s="77" t="inlineStr">
        <is>
          <t>University students lead greenhouse project and gain industry experience</t>
        </is>
      </c>
      <c r="H110" s="77" t="inlineStr">
        <is>
          <t>News</t>
        </is>
      </c>
      <c r="I110" s="77" t="inlineStr">
        <is>
          <t>2026</t>
        </is>
      </c>
      <c r="J110" s="77" t="inlineStr">
        <is>
          <t>2026-10-12</t>
        </is>
      </c>
      <c r="K110" s="77" t="inlineStr">
        <is>
          <t>search-index extract</t>
        </is>
      </c>
      <c r="L110"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111">
      <c r="A111" s="77" t="inlineStr">
        <is>
          <t>AU02-S21-R2</t>
        </is>
      </c>
      <c r="B111" s="77" t="inlineStr">
        <is>
          <t>AU02</t>
        </is>
      </c>
      <c r="C111" s="77" t="inlineStr">
        <is>
          <t>AU02-S21</t>
        </is>
      </c>
      <c r="D111" s="77" t="inlineStr">
        <is>
          <t>SCOUT (Students Consulting on University Translation)</t>
        </is>
      </c>
      <c r="E111" s="77" t="inlineStr">
        <is>
          <t>group; reach; eligibility</t>
        </is>
      </c>
      <c r="F111" s="77" t="inlineStr">
        <is>
          <t>https://www.tagcaustralia.com/blog/scout-internship-program-provides-students-with-diverse-real-world-insight</t>
        </is>
      </c>
      <c r="G111" s="77" t="inlineStr">
        <is>
          <t>SCOUT internship program provides students with diverse real-world insight</t>
        </is>
      </c>
      <c r="H111" s="77" t="inlineStr">
        <is>
          <t>Blog</t>
        </is>
      </c>
      <c r="I111" s="77" t="inlineStr">
        <is>
          <t>2025 (approx.)</t>
        </is>
      </c>
      <c r="J111" s="77" t="inlineStr">
        <is>
          <t>2026-10-12</t>
        </is>
      </c>
      <c r="K111" s="77" t="inlineStr">
        <is>
          <t>search-index extract</t>
        </is>
      </c>
      <c r="L111"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112">
      <c r="A112" s="77" t="inlineStr">
        <is>
          <t>AU02-S22-R1</t>
        </is>
      </c>
      <c r="B112" s="77" t="inlineStr">
        <is>
          <t>AU02</t>
        </is>
      </c>
      <c r="C112" s="77" t="inlineStr">
        <is>
          <t>AU02-S22</t>
        </is>
      </c>
      <c r="D112" s="77" t="inlineStr">
        <is>
          <t>Indigenous Legal Advocacy Clinic</t>
        </is>
      </c>
      <c r="E112" s="77" t="inlineStr">
        <is>
          <t>project; group; employer</t>
        </is>
      </c>
      <c r="F112" s="77" t="inlineStr">
        <is>
          <t>https://law.unimelb.edu.au/students/jd/enrichment/mls-clinics/subjects/indigenous-legal-advocacy-clinic</t>
        </is>
      </c>
      <c r="G112" s="77" t="inlineStr">
        <is>
          <t>Indigenous Legal Advocacy Clinic - Melbourne Law School</t>
        </is>
      </c>
      <c r="H112" s="77" t="inlineStr">
        <is>
          <t>Subject page</t>
        </is>
      </c>
      <c r="I112" s="77" t="inlineStr">
        <is>
          <t>undated (repeats 2023 description)</t>
        </is>
      </c>
      <c r="J112" s="77" t="inlineStr">
        <is>
          <t>2026-10-12</t>
        </is>
      </c>
      <c r="K112" s="77" t="inlineStr">
        <is>
          <t>search-index extract</t>
        </is>
      </c>
      <c r="L112"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113">
      <c r="A113" s="77" t="inlineStr">
        <is>
          <t>AU02-S22-R2</t>
        </is>
      </c>
      <c r="B113" s="77" t="inlineStr">
        <is>
          <t>AU02</t>
        </is>
      </c>
      <c r="C113" s="77" t="inlineStr">
        <is>
          <t>AU02-S22</t>
        </is>
      </c>
      <c r="D113" s="77" t="inlineStr">
        <is>
          <t>Indigenous Legal Advocacy Clinic</t>
        </is>
      </c>
      <c r="E113" s="77" t="inlineStr">
        <is>
          <t>project; employer; status</t>
        </is>
      </c>
      <c r="F113" s="77" t="inlineStr">
        <is>
          <t>https://handbook.unimelb.edu.au/2025/subjects/laws90209</t>
        </is>
      </c>
      <c r="G113" s="77" t="inlineStr">
        <is>
          <t>Indigenous Legal Advocacy Clinic (LAWS90209) 2025</t>
        </is>
      </c>
      <c r="H113" s="77" t="inlineStr">
        <is>
          <t>Overview</t>
        </is>
      </c>
      <c r="I113" s="77" t="inlineStr">
        <is>
          <t>2025</t>
        </is>
      </c>
      <c r="J113" s="77" t="inlineStr">
        <is>
          <t>2026-10-12</t>
        </is>
      </c>
      <c r="K113" s="77" t="inlineStr">
        <is>
          <t>search-index extract</t>
        </is>
      </c>
      <c r="L113" s="77" t="inlineStr">
        <is>
          <t>On campus (Parkville), Semester 1; students work with an Indigenous organisation or campaign and produce a major project from a research brief the partner supplies (paraphrase; small-group wording absent).</t>
        </is>
      </c>
    </row>
    <row r="114">
      <c r="A114" s="77" t="inlineStr">
        <is>
          <t>AU02-S23-R1</t>
        </is>
      </c>
      <c r="B114" s="77" t="inlineStr">
        <is>
          <t>AU02</t>
        </is>
      </c>
      <c r="C114" s="77" t="inlineStr">
        <is>
          <t>AU02-S23</t>
        </is>
      </c>
      <c r="D114" s="77" t="inlineStr">
        <is>
          <t>Industry Partner project Studio</t>
        </is>
      </c>
      <c r="E114" s="77" t="inlineStr">
        <is>
          <t>project; group; credit</t>
        </is>
      </c>
      <c r="F114" s="77" t="inlineStr">
        <is>
          <t>https://handbook.unimelb.edu.au/2019/subjects/abpl30044</t>
        </is>
      </c>
      <c r="G114" s="77" t="inlineStr">
        <is>
          <t>Industry Partner project Studio (ABPL30044) 2019</t>
        </is>
      </c>
      <c r="H114" s="77" t="inlineStr">
        <is>
          <t>Overview</t>
        </is>
      </c>
      <c r="I114" s="77" t="inlineStr">
        <is>
          <t>2019</t>
        </is>
      </c>
      <c r="J114" s="77" t="inlineStr">
        <is>
          <t>2026-10-12</t>
        </is>
      </c>
      <c r="K114" s="77" t="inlineStr">
        <is>
          <t>search-index extract</t>
        </is>
      </c>
      <c r="L114"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115">
      <c r="A115" s="77" t="inlineStr">
        <is>
          <t>AU02-S23-R2</t>
        </is>
      </c>
      <c r="B115" s="77" t="inlineStr">
        <is>
          <t>AU02</t>
        </is>
      </c>
      <c r="C115" s="77" t="inlineStr">
        <is>
          <t>AU02-S23</t>
        </is>
      </c>
      <c r="D115" s="77" t="inlineStr">
        <is>
          <t>Industry Partner project Studio</t>
        </is>
      </c>
      <c r="E115" s="77" t="inlineStr">
        <is>
          <t>status</t>
        </is>
      </c>
      <c r="F115" s="77" t="inlineStr">
        <is>
          <t>https://students.unimelb.edu.au/__data/assets/pdf_file/0005/5407196/Course-based-fees_AF-and-OF_20260305.pdf</t>
        </is>
      </c>
      <c r="G115" s="77" t="inlineStr">
        <is>
          <t>UoM Fees, EFTSL values and Census (2026)</t>
        </is>
      </c>
      <c r="H115" s="77" t="inlineStr">
        <is>
          <t>Fee list</t>
        </is>
      </c>
      <c r="I115" s="77" t="inlineStr">
        <is>
          <t>2026</t>
        </is>
      </c>
      <c r="J115" s="77" t="inlineStr">
        <is>
          <t>2026-10-12</t>
        </is>
      </c>
      <c r="K115" s="77" t="inlineStr">
        <is>
          <t>search-index extract</t>
        </is>
      </c>
      <c r="L115" s="77" t="inlineStr">
        <is>
          <t>ABPL30044 listed at 0.125 EFTSL.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1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RG13</t>
        </is>
      </c>
      <c r="B7" s="77" t="inlineStr">
        <is>
          <t>London School of Economics</t>
        </is>
      </c>
      <c r="C7" s="77" t="inlineStr">
        <is>
          <t>Central provision</t>
        </is>
      </c>
      <c r="D7" s="77" t="inlineStr">
        <is>
          <t>Searched</t>
        </is>
      </c>
      <c r="E7"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
      <c r="A8" s="77" t="inlineStr">
        <is>
          <t>RG13</t>
        </is>
      </c>
      <c r="B8" s="77" t="inlineStr">
        <is>
          <t>London School of Economics</t>
        </is>
      </c>
      <c r="C8" s="77" t="inlineStr">
        <is>
          <t>Business/management</t>
        </is>
      </c>
      <c r="D8" s="77" t="inlineStr">
        <is>
          <t>Searched</t>
        </is>
      </c>
      <c r="E8"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 s="77" t="inlineStr">
        <is>
          <t>Dense provision: a department-wide sponsored Business Projects framework (GMiM, CEMS/MBA, HRO Links, MALP, Open Innovation) plus the MiM capstone/London Consulting Project and the SIE year-long partner project; all PG taught and programme-embedded.</t>
        </is>
      </c>
    </row>
    <row r="9">
      <c r="A9" s="77" t="inlineStr">
        <is>
          <t>RG13</t>
        </is>
      </c>
      <c r="B9" s="77" t="inlineStr">
        <is>
          <t>London School of Economics</t>
        </is>
      </c>
      <c r="C9" s="77" t="inlineStr">
        <is>
          <t>Engineering/computing</t>
        </is>
      </c>
      <c r="D9" s="77" t="inlineStr">
        <is>
          <t>Not applicable</t>
        </is>
      </c>
      <c r="E9" s="77" t="inlineStr"/>
      <c r="F9" s="77" t="inlineStr"/>
      <c r="G9" s="77" t="inlineStr">
        <is>
          <t>LSE has no engineering or computer science faculty. Data science provision (Statistics ST498; Methodology MY498) is recorded under 'science' as the nearest quantitative area.</t>
        </is>
      </c>
    </row>
    <row r="10">
      <c r="A10" s="77" t="inlineStr">
        <is>
          <t>RG13</t>
        </is>
      </c>
      <c r="B10" s="77" t="inlineStr">
        <is>
          <t>London School of Economics</t>
        </is>
      </c>
      <c r="C10" s="77" t="inlineStr">
        <is>
          <t>Science</t>
        </is>
      </c>
      <c r="D10" s="77" t="inlineStr">
        <is>
          <t>Searched</t>
        </is>
      </c>
      <c r="E10" s="77" t="inlineStr">
        <is>
          <t>LSE Statistics ST498 Capstone Project external partner; ST498 course guide assessment partner jointly supervised; MY498 Capstone Applied Social Data Science; MSc Operations Research and Analytics project with company / MA498</t>
        </is>
      </c>
      <c r="F10" s="77" t="inlineStr">
        <is>
          <t>https://www.lse.ac.uk/resources/calendar2025-2026/courseGuides/ST/2025_ST498.htm; https://www.lse.ac.uk/resources/calendar2026-2027/courseGuides/MA/2026_MA425.htm</t>
        </is>
      </c>
      <c r="G10"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11">
      <c r="A11" s="77" t="inlineStr">
        <is>
          <t>RG13</t>
        </is>
      </c>
      <c r="B11" s="77" t="inlineStr">
        <is>
          <t>London School of Economics</t>
        </is>
      </c>
      <c r="C11" s="77" t="inlineStr">
        <is>
          <t>Arts/humanities/social sciences</t>
        </is>
      </c>
      <c r="D11" s="77" t="inlineStr">
        <is>
          <t>Searched</t>
        </is>
      </c>
      <c r="E11"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11"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11"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12">
      <c r="A12" s="77" t="inlineStr">
        <is>
          <t>RG13</t>
        </is>
      </c>
      <c r="B12" s="77" t="inlineStr">
        <is>
          <t>London School of Economics</t>
        </is>
      </c>
      <c r="C12" s="77" t="inlineStr">
        <is>
          <t>Other (law, health, design, architecture…)</t>
        </is>
      </c>
      <c r="D12" s="77" t="inlineStr">
        <is>
          <t>Searched</t>
        </is>
      </c>
      <c r="E12" s="77" t="inlineStr">
        <is>
          <t>LSE Law School pro bono clinic group project external organisation; LSE Legal Advice Centre Sustainability clinic ClientEarth; ECtHR Intervention Clinic teams</t>
        </is>
      </c>
      <c r="F12" s="77" t="inlineStr">
        <is>
          <t>https://www.lse.ac.uk/law/legal-advice-centre/sustainability-and-the-rule-of-law; https://www.lse.ac.uk/law/study/llm/echr-clinic-llm</t>
        </is>
      </c>
      <c r="G12"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13">
      <c r="A13" s="77" t="inlineStr">
        <is>
          <t>AU02</t>
        </is>
      </c>
      <c r="B13" s="77" t="inlineStr">
        <is>
          <t>Melbourne</t>
        </is>
      </c>
      <c r="C13" s="77" t="inlineStr">
        <is>
          <t>Central provision</t>
        </is>
      </c>
      <c r="D13" s="77" t="inlineStr">
        <is>
          <t>Searched</t>
        </is>
      </c>
      <c r="E13"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3"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3"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4">
      <c r="A14" s="77" t="inlineStr">
        <is>
          <t>AU02</t>
        </is>
      </c>
      <c r="B14" s="77" t="inlineStr">
        <is>
          <t>Melbourne</t>
        </is>
      </c>
      <c r="C14" s="77" t="inlineStr">
        <is>
          <t>Business/management</t>
        </is>
      </c>
      <c r="D14" s="77" t="inlineStr">
        <is>
          <t>Searched</t>
        </is>
      </c>
      <c r="E14"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4"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4"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
      <c r="A15" s="77" t="inlineStr">
        <is>
          <t>AU02</t>
        </is>
      </c>
      <c r="B15" s="77" t="inlineStr">
        <is>
          <t>Melbourne</t>
        </is>
      </c>
      <c r="C15" s="77" t="inlineStr">
        <is>
          <t>Engineering/computing</t>
        </is>
      </c>
      <c r="D15" s="77" t="inlineStr">
        <is>
          <t>Searched</t>
        </is>
      </c>
      <c r="E15"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
      <c r="A16" s="77" t="inlineStr">
        <is>
          <t>AU02</t>
        </is>
      </c>
      <c r="B16" s="77" t="inlineStr">
        <is>
          <t>Melbourne</t>
        </is>
      </c>
      <c r="C16" s="77" t="inlineStr">
        <is>
          <t>Science</t>
        </is>
      </c>
      <c r="D16" s="77" t="inlineStr">
        <is>
          <t>Searched</t>
        </is>
      </c>
      <c r="E16"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7">
      <c r="A17" s="77" t="inlineStr">
        <is>
          <t>AU02</t>
        </is>
      </c>
      <c r="B17" s="77" t="inlineStr">
        <is>
          <t>Melbourne</t>
        </is>
      </c>
      <c r="C17" s="77" t="inlineStr">
        <is>
          <t>Arts/humanities/social sciences</t>
        </is>
      </c>
      <c r="D17" s="77" t="inlineStr">
        <is>
          <t>Searched</t>
        </is>
      </c>
      <c r="E17"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7"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7"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8">
      <c r="A18" s="77" t="inlineStr">
        <is>
          <t>AU02</t>
        </is>
      </c>
      <c r="B18" s="77" t="inlineStr">
        <is>
          <t>Melbourne</t>
        </is>
      </c>
      <c r="C18" s="77" t="inlineStr">
        <is>
          <t>Other (law, health, design, architecture…)</t>
        </is>
      </c>
      <c r="D18" s="77" t="inlineStr">
        <is>
          <t>Searched</t>
        </is>
      </c>
      <c r="E18"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8"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8"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3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15 warnings across 2 researched institutions (listed below; resolved items are removed on rebuild).</t>
        </is>
      </c>
    </row>
    <row r="23">
      <c r="A23" s="32" t="inlineStr">
        <is>
          <t>WARN RG13</t>
        </is>
      </c>
      <c r="B23" s="32" t="inlineStr">
        <is>
          <t>RG13-S11: employer-connected Yes but partner type Unclear</t>
        </is>
      </c>
    </row>
    <row r="24">
      <c r="A24" s="32" t="inlineStr">
        <is>
          <t>WARN AU02</t>
        </is>
      </c>
      <c r="B24" s="32" t="inlineStr">
        <is>
          <t>AU02-S01: employer-connected Yes but partner type Unclear</t>
        </is>
      </c>
    </row>
    <row r="25">
      <c r="A25" s="32" t="inlineStr">
        <is>
          <t>WARN AU02</t>
        </is>
      </c>
      <c r="B25" s="32" t="inlineStr">
        <is>
          <t>AU02-S02: employer-connected Yes but partner type Unclear</t>
        </is>
      </c>
    </row>
    <row r="26">
      <c r="A26" s="32" t="inlineStr">
        <is>
          <t>WARN AU02</t>
        </is>
      </c>
      <c r="B26" s="32" t="inlineStr">
        <is>
          <t>AU02-S03: B group=Yes but evidence text/source tag missing</t>
        </is>
      </c>
    </row>
    <row r="27">
      <c r="A27" s="32" t="inlineStr">
        <is>
          <t>WARN AU02</t>
        </is>
      </c>
      <c r="B27" s="32" t="inlineStr">
        <is>
          <t>AU02-S04: employer-connected Yes but partner type Unclear</t>
        </is>
      </c>
    </row>
    <row r="28">
      <c r="A28" s="32" t="inlineStr">
        <is>
          <t>WARN AU02</t>
        </is>
      </c>
      <c r="B28" s="32" t="inlineStr">
        <is>
          <t>AU02-S09: employer-connected Yes but partner type Unclear</t>
        </is>
      </c>
    </row>
    <row r="29">
      <c r="A29" s="32" t="inlineStr">
        <is>
          <t>WARN AU02</t>
        </is>
      </c>
      <c r="B29" s="32" t="inlineStr">
        <is>
          <t>AU02-S10: employer-connected Yes but partner type Unclear</t>
        </is>
      </c>
    </row>
    <row r="30">
      <c r="A30" s="32" t="inlineStr">
        <is>
          <t>WARN AU02</t>
        </is>
      </c>
      <c r="B30" s="32" t="inlineStr">
        <is>
          <t>AU02-S11: employer-connected Yes but partner type Unclear</t>
        </is>
      </c>
    </row>
    <row r="31">
      <c r="A31" s="32" t="inlineStr">
        <is>
          <t>WARN AU02</t>
        </is>
      </c>
      <c r="B31" s="32" t="inlineStr">
        <is>
          <t>AU02-S12: employer-connected Yes but partner type Unclear</t>
        </is>
      </c>
    </row>
    <row r="32">
      <c r="A32" s="32" t="inlineStr">
        <is>
          <t>WARN AU02</t>
        </is>
      </c>
      <c r="B32" s="32" t="inlineStr">
        <is>
          <t>AU02-S13: employer-connected Yes but partner type Unclear</t>
        </is>
      </c>
    </row>
    <row r="33">
      <c r="A33" s="32" t="inlineStr">
        <is>
          <t>WARN AU02</t>
        </is>
      </c>
      <c r="B33" s="32" t="inlineStr">
        <is>
          <t>AU02-S15: employer-connected Yes but partner type Unclear</t>
        </is>
      </c>
    </row>
    <row r="34">
      <c r="A34" s="32" t="inlineStr">
        <is>
          <t>WARN AU02</t>
        </is>
      </c>
      <c r="B34" s="32" t="inlineStr">
        <is>
          <t>AU02-S16: employer-connected Yes but partner type Unclear</t>
        </is>
      </c>
    </row>
    <row r="35">
      <c r="A35" s="32" t="inlineStr">
        <is>
          <t>WARN AU02</t>
        </is>
      </c>
      <c r="B35" s="32" t="inlineStr">
        <is>
          <t>AU02-S16: possible simulation marked employer-connected — check</t>
        </is>
      </c>
    </row>
    <row r="36">
      <c r="A36" s="32" t="inlineStr">
        <is>
          <t>WARN AU02</t>
        </is>
      </c>
      <c r="B36" s="32" t="inlineStr">
        <is>
          <t>AU02-S17: employer-connected Yes but partner type Unclear</t>
        </is>
      </c>
    </row>
    <row r="37">
      <c r="A37" s="32" t="inlineStr">
        <is>
          <t>WARN AU02</t>
        </is>
      </c>
      <c r="B37" s="32" t="inlineStr">
        <is>
          <t>AU02-S20: employer-connected Yes but partner type Unclear</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Not yet reassessed (institution not reviewed)</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Not yet reassessed (institution not reviewed)</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Not yet reassessed (institution not reviewed)</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Not yet reassessed (institution not reviewed)</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Not yet reassessed (institution not reviewed)</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Not yet reassessed (institution not reviewed)</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Not yet reassessed (institution not reviewed)</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Not yet reassessed (institution not reviewed)</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Not yet reassessed (institution not reviewed)</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Not yet reassessed (institution not reviewed)</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Not yet reassessed (institution not reviewed)</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Not yet reassessed (institution not reviewed)</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Not yet reassessed (institution not reviewed)</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Not yet reassessed (institution not reviewed)</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Not yet reassessed (institution not reviewed)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Not yet reassessed (institution not reviewed)</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Not yet reassessed (institution not reviewed)</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Not yet reassessed (institution not reviewed)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Not yet reassessed (institution not reviewed)</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Not yet reassessed (institution not reviewed)</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Not yet reassessed (institution not reviewed)</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Not yet reassessed (institution not reviewed)</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Not yet reassessed (institution not reviewed)</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Not yet reassessed (institution not reviewed)</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Not yet reassessed (institution not reviewed)</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Not yet reassessed (institution not reviewed)</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Not yet reassessed (institution not reviewed)</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Not yet reassessed (institution not reviewed)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Not yet reassessed (institution not reviewed)</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Not yet reassessed (institution not reviewed)</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Not yet reassessed (institution not reviewed)</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Not yet reassessed (institution not reviewed)</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Not yet reassessed (institution not reviewed)</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Not yet reassessed (institution not reviewed)</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Not yet reassessed (institution not reviewed)</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Not yet reassessed (institution not reviewed)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Not yet reassessed (institution not reviewed)</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Not yet reassessed (institution not reviewed)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Not yet reassessed (institution not reviewed)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Not yet reassessed (institution not reviewed)</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Not yet reassessed (institution not reviewed)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Not yet reassessed (institution not reviewed)</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Not yet reassessed (institution not reviewed)</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Not yet reassessed (institution not reviewed)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Not yet reassessed (institution not reviewed)</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Not yet reassessed (institution not reviewed)</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Not yet reassessed (institution not reviewed)</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Not yet reassessed (institution not reviewed)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Not yet reassessed (institution not reviewed)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Not yet reassessed (institution not reviewed)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Not yet reassessed (institution not reviewed)</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2026-10-12T10:46:56Z</dcterms:created>
  <dcterms:modified xmlns:dcterms="http://purl.org/dc/terms/" xmlns:xsi="http://www.w3.org/2001/XMLSchema-instance" xsi:type="dcterms:W3CDTF">2026-10-12T10:46:57Z</dcterms:modified>
</cp:coreProperties>
</file>