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98" headerRowCount="1">
  <autoFilter ref="A6:AS98"/>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69" headerRowCount="1">
  <autoFilter ref="A6:K69"/>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216" headerRowCount="1">
  <autoFilter ref="A6:L216"/>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72" headerRowCount="1">
  <autoFilter ref="A6:G72"/>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register'!$AJ$7:$AJ$98,"Yes")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register'!$AJ$7:$AJ$98,"Yes")</f>
        <v/>
      </c>
      <c r="C11" s="72">
        <f>COUNTA('EL scheme register'!$D$7:$D$98)</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register'!$C$7:$C$98,A17,'EL scheme register'!$AJ$7:$AJ$98,"Yes")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register'!$AP$7:$AP$98,H17,'EL scheme register'!$AJ$7:$AJ$98,"Yes")</f>
        <v/>
      </c>
      <c r="M17">
        <f>COUNTIFS('EL scheme register'!$AP$7:$AP$98,H17,'EL scheme register'!$AJ$7:$AJ$98,"Yes",'EL scheme register'!$C$7:$C$98,"University-wide")</f>
        <v/>
      </c>
    </row>
    <row r="18">
      <c r="A18" s="24" t="inlineStr">
        <is>
          <t>Cross-faculty</t>
        </is>
      </c>
      <c r="B18" s="32">
        <f>COUNTIFS('EL scheme register'!$C$7:$C$98,A18,'EL scheme register'!$AJ$7:$AJ$98,"Yes")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register'!$AP$7:$AP$98,H18,'EL scheme register'!$AJ$7:$AJ$98,"Yes")</f>
        <v/>
      </c>
      <c r="M18">
        <f>COUNTIFS('EL scheme register'!$AP$7:$AP$98,H18,'EL scheme register'!$AJ$7:$AJ$98,"Yes",'EL scheme register'!$C$7:$C$98,"University-wide")</f>
        <v/>
      </c>
    </row>
    <row r="19">
      <c r="A19" s="24" t="inlineStr">
        <is>
          <t>Faculty/school</t>
        </is>
      </c>
      <c r="B19" s="32">
        <f>COUNTIFS('EL scheme register'!$C$7:$C$98,A19,'EL scheme register'!$AJ$7:$AJ$98,"Yes")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register'!$AP$7:$AP$98,H19,'EL scheme register'!$AJ$7:$AJ$98,"Yes")</f>
        <v/>
      </c>
      <c r="M19">
        <f>COUNTIFS('EL scheme register'!$AP$7:$AP$98,H19,'EL scheme register'!$AJ$7:$AJ$98,"Yes",'EL scheme register'!$C$7:$C$98,"University-wide")</f>
        <v/>
      </c>
    </row>
    <row r="20">
      <c r="A20" s="24" t="inlineStr">
        <is>
          <t>Programme/course</t>
        </is>
      </c>
      <c r="B20" s="32">
        <f>COUNTIFS('EL scheme register'!$C$7:$C$98,A20,'EL scheme register'!$AJ$7:$AJ$98,"Yes")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register'!$AP$7:$AP$98,H20,'EL scheme register'!$AJ$7:$AJ$98,"Yes")</f>
        <v/>
      </c>
      <c r="M20">
        <f>COUNTIFS('EL scheme register'!$AP$7:$AP$98,H20,'EL scheme register'!$AJ$7:$AJ$98,"Yes",'EL scheme register'!$C$7:$C$98,"University-wide")</f>
        <v/>
      </c>
    </row>
    <row r="21">
      <c r="A21" s="24" t="inlineStr">
        <is>
          <t>Unclear</t>
        </is>
      </c>
      <c r="B21" s="32">
        <f>COUNTIFS('EL scheme register'!$C$7:$C$98,A21,'EL scheme register'!$AJ$7:$AJ$98,"Yes")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register'!$AP$7:$AP$98,H21,'EL scheme register'!$AJ$7:$AJ$98,"Yes")</f>
        <v/>
      </c>
      <c r="M21">
        <f>COUNTIFS('EL scheme register'!$AP$7:$AP$98,H21,'EL scheme register'!$AJ$7:$AJ$98,"Yes",'EL scheme register'!$C$7:$C$98,"University-wide")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register'!$C$7:$C$98,"University-wide",'EL scheme register'!$Q$7:$Q$98,A26,'EL scheme register'!$AJ$7:$AJ$98,"Yes")</f>
        <v/>
      </c>
      <c r="C26" s="32">
        <f>SUMPRODUCT(('EL institution summary'!$A$7:$A$130&lt;&gt;"")/COUNTIF('EL institution summary'!$A$7:$A$130,'EL institution summary'!$A$7:$A$130&amp;"")*(COUNTIFS('EL scheme register'!$A$7:$A$98,'EL institution summary'!$A$7:$A$130,'EL scheme register'!$C$7:$C$98,"University-wide",'EL scheme register'!$Q$7:$Q$98,A26,'EL scheme register'!$AJ$7:$AJ$98,"Yes")&gt;0))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register'!$C$7:$C$98,"University-wide",'EL scheme register'!$Q$7:$Q$98,A27,'EL scheme register'!$AJ$7:$AJ$98,"Yes")</f>
        <v/>
      </c>
      <c r="C27" s="32">
        <f>SUMPRODUCT(('EL institution summary'!$A$7:$A$130&lt;&gt;"")/COUNTIF('EL institution summary'!$A$7:$A$130,'EL institution summary'!$A$7:$A$130&amp;"")*(COUNTIFS('EL scheme register'!$A$7:$A$98,'EL institution summary'!$A$7:$A$130,'EL scheme register'!$C$7:$C$98,"University-wide",'EL scheme register'!$Q$7:$Q$98,A27,'EL scheme register'!$AJ$7:$AJ$98,"Yes")&gt;0))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register'!$AO$7:$AO$98,H27,'EL scheme register'!$AJ$7:$AJ$98,"Yes")</f>
        <v/>
      </c>
    </row>
    <row r="28">
      <c r="A28" s="24" t="inlineStr">
        <is>
          <t>Optional/elective</t>
        </is>
      </c>
      <c r="B28" s="32">
        <f>COUNTIFS('EL scheme register'!$C$7:$C$98,"University-wide",'EL scheme register'!$Q$7:$Q$98,A28,'EL scheme register'!$AJ$7:$AJ$98,"Yes")</f>
        <v/>
      </c>
      <c r="C28" s="32">
        <f>SUMPRODUCT(('EL institution summary'!$A$7:$A$130&lt;&gt;"")/COUNTIF('EL institution summary'!$A$7:$A$130,'EL institution summary'!$A$7:$A$130&amp;"")*(COUNTIFS('EL scheme register'!$A$7:$A$98,'EL institution summary'!$A$7:$A$130,'EL scheme register'!$C$7:$C$98,"University-wide",'EL scheme register'!$Q$7:$Q$98,A28,'EL scheme register'!$AJ$7:$AJ$98,"Yes")&gt;0))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register'!$AO$7:$AO$98,H28,'EL scheme register'!$AJ$7:$AJ$98,"Yes")</f>
        <v/>
      </c>
    </row>
    <row r="29">
      <c r="A29" s="24" t="inlineStr">
        <is>
          <t>Selective/competitive</t>
        </is>
      </c>
      <c r="B29" s="32">
        <f>COUNTIFS('EL scheme register'!$C$7:$C$98,"University-wide",'EL scheme register'!$Q$7:$Q$98,A29,'EL scheme register'!$AJ$7:$AJ$98,"Yes")</f>
        <v/>
      </c>
      <c r="C29" s="32">
        <f>SUMPRODUCT(('EL institution summary'!$A$7:$A$130&lt;&gt;"")/COUNTIF('EL institution summary'!$A$7:$A$130,'EL institution summary'!$A$7:$A$130&amp;"")*(COUNTIFS('EL scheme register'!$A$7:$A$98,'EL institution summary'!$A$7:$A$130,'EL scheme register'!$C$7:$C$98,"University-wide",'EL scheme register'!$Q$7:$Q$98,A29,'EL scheme register'!$AJ$7:$AJ$98,"Yes")&gt;0))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register'!$AO$7:$AO$98,H29,'EL scheme register'!$AJ$7:$AJ$98,"Yes")</f>
        <v/>
      </c>
    </row>
    <row r="30">
      <c r="A30" s="24" t="inlineStr">
        <is>
          <t>Unclear</t>
        </is>
      </c>
      <c r="B30" s="32">
        <f>COUNTIFS('EL scheme register'!$C$7:$C$98,"University-wide",'EL scheme register'!$Q$7:$Q$98,A30,'EL scheme register'!$AJ$7:$AJ$98,"Yes")</f>
        <v/>
      </c>
      <c r="C30" s="32">
        <f>SUMPRODUCT(('EL institution summary'!$A$7:$A$130&lt;&gt;"")/COUNTIF('EL institution summary'!$A$7:$A$130,'EL institution summary'!$A$7:$A$130&amp;"")*(COUNTIFS('EL scheme register'!$A$7:$A$98,'EL institution summary'!$A$7:$A$130,'EL scheme register'!$C$7:$C$98,"University-wide",'EL scheme register'!$Q$7:$Q$98,A30,'EL scheme register'!$AJ$7:$AJ$98,"Yes")&gt;0))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register'!$AO$7:$AO$98,H30,'EL scheme register'!$AJ$7:$AJ$98,"Yes")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register'!$AO$7:$AO$98,H31,'EL scheme register'!$AJ$7:$AJ$98,"Yes")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register'!$AO$7:$AO$98,H32,'EL scheme register'!$AJ$7:$AJ$98,"Yes")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register'!$AO$7:$AO$98,H33,'EL scheme register'!$AJ$7:$AJ$98,"Yes")</f>
        <v/>
      </c>
    </row>
    <row r="34">
      <c r="A34" s="24" t="inlineStr">
        <is>
          <t>Business/commercial</t>
        </is>
      </c>
      <c r="B34" s="32">
        <f>COUNTIFS('EL scheme register'!$AB$7:$AB$98,A34,'EL scheme register'!$AJ$7:$AJ$98,"Yes")</f>
        <v/>
      </c>
      <c r="C34" s="32">
        <f>SUMPRODUCT(('EL institution summary'!$A$7:$A$130&lt;&gt;"")/COUNTIF('EL institution summary'!$A$7:$A$130,'EL institution summary'!$A$7:$A$130&amp;"")*(COUNTIFS('EL scheme register'!$A$7:$A$98,'EL institution summary'!$A$7:$A$130,'EL scheme register'!$AB$7:$AB$98,A34,'EL scheme register'!$AJ$7:$AJ$98,"Yes")&gt;0))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register'!$AO$7:$AO$98,H34,'EL scheme register'!$AJ$7:$AJ$98,"Yes")</f>
        <v/>
      </c>
    </row>
    <row r="35">
      <c r="A35" s="24" t="inlineStr">
        <is>
          <t>Public sector</t>
        </is>
      </c>
      <c r="B35" s="32">
        <f>COUNTIFS('EL scheme register'!$AB$7:$AB$98,A35,'EL scheme register'!$AJ$7:$AJ$98,"Yes")</f>
        <v/>
      </c>
      <c r="C35" s="32">
        <f>SUMPRODUCT(('EL institution summary'!$A$7:$A$130&lt;&gt;"")/COUNTIF('EL institution summary'!$A$7:$A$130,'EL institution summary'!$A$7:$A$130&amp;"")*(COUNTIFS('EL scheme register'!$A$7:$A$98,'EL institution summary'!$A$7:$A$130,'EL scheme register'!$AB$7:$AB$98,A35,'EL scheme register'!$AJ$7:$AJ$98,"Yes")&gt;0))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register'!$AO$7:$AO$98,H35,'EL scheme register'!$AJ$7:$AJ$98,"Yes")</f>
        <v/>
      </c>
    </row>
    <row r="36">
      <c r="A36" s="24" t="inlineStr">
        <is>
          <t>Charity/community</t>
        </is>
      </c>
      <c r="B36" s="32">
        <f>COUNTIFS('EL scheme register'!$AB$7:$AB$98,A36,'EL scheme register'!$AJ$7:$AJ$98,"Yes")</f>
        <v/>
      </c>
      <c r="C36" s="32">
        <f>SUMPRODUCT(('EL institution summary'!$A$7:$A$130&lt;&gt;"")/COUNTIF('EL institution summary'!$A$7:$A$130,'EL institution summary'!$A$7:$A$130&amp;"")*(COUNTIFS('EL scheme register'!$A$7:$A$98,'EL institution summary'!$A$7:$A$130,'EL scheme register'!$AB$7:$AB$98,A36,'EL scheme register'!$AJ$7:$AJ$98,"Yes")&gt;0))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register'!$AO$7:$AO$98,H36,'EL scheme register'!$AJ$7:$AJ$98,"Yes")</f>
        <v/>
      </c>
    </row>
    <row r="37">
      <c r="A37" s="24" t="inlineStr">
        <is>
          <t>Mixed</t>
        </is>
      </c>
      <c r="B37" s="32">
        <f>COUNTIFS('EL scheme register'!$AB$7:$AB$98,A37,'EL scheme register'!$AJ$7:$AJ$98,"Yes")</f>
        <v/>
      </c>
      <c r="C37" s="32">
        <f>SUMPRODUCT(('EL institution summary'!$A$7:$A$130&lt;&gt;"")/COUNTIF('EL institution summary'!$A$7:$A$130,'EL institution summary'!$A$7:$A$130&amp;"")*(COUNTIFS('EL scheme register'!$A$7:$A$98,'EL institution summary'!$A$7:$A$130,'EL scheme register'!$AB$7:$AB$98,A37,'EL scheme register'!$AJ$7:$AJ$98,"Yes")&gt;0))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register'!$AO$7:$AO$98,H37,'EL scheme register'!$AJ$7:$AJ$98,"Yes")</f>
        <v/>
      </c>
    </row>
    <row r="38">
      <c r="A38" s="24" t="inlineStr">
        <is>
          <t>Other</t>
        </is>
      </c>
      <c r="B38" s="32">
        <f>COUNTIFS('EL scheme register'!$AB$7:$AB$98,A38,'EL scheme register'!$AJ$7:$AJ$98,"Yes")</f>
        <v/>
      </c>
      <c r="C38" s="32">
        <f>SUMPRODUCT(('EL institution summary'!$A$7:$A$130&lt;&gt;"")/COUNTIF('EL institution summary'!$A$7:$A$130,'EL institution summary'!$A$7:$A$130&amp;"")*(COUNTIFS('EL scheme register'!$A$7:$A$98,'EL institution summary'!$A$7:$A$130,'EL scheme register'!$AB$7:$AB$98,A38,'EL scheme register'!$AJ$7:$AJ$98,"Yes")&gt;0))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register'!$AO$7:$AO$98,H38,'EL scheme register'!$AJ$7:$AJ$98,"Yes")</f>
        <v/>
      </c>
    </row>
    <row r="39">
      <c r="A39" s="24" t="inlineStr">
        <is>
          <t>Unclear</t>
        </is>
      </c>
      <c r="B39" s="32">
        <f>COUNTIFS('EL scheme register'!$AB$7:$AB$98,A39,'EL scheme register'!$AJ$7:$AJ$98,"Yes")</f>
        <v/>
      </c>
      <c r="C39" s="32">
        <f>SUMPRODUCT(('EL institution summary'!$A$7:$A$130&lt;&gt;"")/COUNTIF('EL institution summary'!$A$7:$A$130,'EL institution summary'!$A$7:$A$130&amp;"")*(COUNTIFS('EL scheme register'!$A$7:$A$98,'EL institution summary'!$A$7:$A$130,'EL scheme register'!$AB$7:$AB$98,A39,'EL scheme register'!$AJ$7:$AJ$98,"Yes")&gt;0))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register'!$AO$7:$AO$98,H39,'EL scheme register'!$AJ$7:$AJ$98,"Yes")</f>
        <v/>
      </c>
    </row>
    <row r="40">
      <c r="A40" s="24" t="inlineStr">
        <is>
          <t>None</t>
        </is>
      </c>
      <c r="B40" s="32">
        <f>COUNTIFS('EL scheme register'!$AB$7:$AB$98,A40,'EL scheme register'!$AJ$7:$AJ$98,"Yes")</f>
        <v/>
      </c>
      <c r="C40" s="32">
        <f>SUMPRODUCT(('EL institution summary'!$A$7:$A$130&lt;&gt;"")/COUNTIF('EL institution summary'!$A$7:$A$130,'EL institution summary'!$A$7:$A$130&amp;"")*(COUNTIFS('EL scheme register'!$A$7:$A$98,'EL institution summary'!$A$7:$A$130,'EL scheme register'!$AB$7:$AB$98,A40,'EL scheme register'!$AJ$7:$AJ$98,"Yes")&gt;0))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register'!$AF$7:$AF$98,"Meets all three",'EL scheme register'!$AG$7:$AG$98,"Current delivery confirmed",'EL scheme register'!$AI$7:$AI$98,"Yes")</f>
        <v/>
      </c>
    </row>
    <row r="45">
      <c r="A45" s="24" t="inlineStr">
        <is>
          <t>Meets all three; current status unclear</t>
        </is>
      </c>
      <c r="B45" s="32">
        <f>COUNTIFS('EL scheme register'!$AF$7:$AF$98,"Meets all three",'EL scheme register'!$AG$7:$AG$98,"Current status unclear",'EL scheme register'!$AI$7:$AI$98,"Yes")</f>
        <v/>
      </c>
    </row>
    <row r="46">
      <c r="A46" s="24" t="inlineStr">
        <is>
          <t>Meets all three; historical / paused only</t>
        </is>
      </c>
      <c r="B46" s="32">
        <f>COUNTIFS('EL scheme register'!$AF$7:$AF$98,"Meets all three",'EL scheme register'!$AG$7:$AG$98,"Historical delivery only",'EL scheme register'!$AI$7:$AI$98,"Yes")+COUNTIFS('EL scheme register'!$AF$7:$AF$98,"Meets all three",'EL scheme register'!$AG$7:$AG$98,"Paused/discontinued",'EL scheme register'!$AI$7:$AI$98,"Yes")</f>
        <v/>
      </c>
    </row>
    <row r="47">
      <c r="A47" s="24" t="inlineStr">
        <is>
          <t>Meets all three; announced / forthcoming</t>
        </is>
      </c>
      <c r="B47" s="32">
        <f>COUNTIFS('EL scheme register'!$AF$7:$AF$98,"Meets all three",'EL scheme register'!$AG$7:$AG$98,"Announced/forthcoming",'EL scheme register'!$AI$7:$AI$98,"Yes")</f>
        <v/>
      </c>
    </row>
    <row r="48">
      <c r="A48" s="24" t="inlineStr">
        <is>
          <t>Potentially relevant; evidence incomplete</t>
        </is>
      </c>
      <c r="B48" s="32">
        <f>COUNTIFS('EL scheme register'!$AF$7:$AF$98,"Potentially relevant; evidence incomplete",'EL scheme register'!$AI$7:$AI$98,"Yes")</f>
        <v/>
      </c>
    </row>
    <row r="49">
      <c r="A49" s="24" t="inlineStr">
        <is>
          <t>Outside strict definition (kept in register as near-miss)</t>
        </is>
      </c>
      <c r="B49" s="32">
        <f>COUNTIFS('EL scheme register'!$AF$7:$AF$98,"Outside strict definition",'EL scheme register'!$AI$7:$AI$98,"Yes")</f>
        <v/>
      </c>
    </row>
    <row r="50">
      <c r="A50" s="24" t="inlineStr">
        <is>
          <t xml:space="preserve">  memo: current qualifying schemes lasting &lt;1 week</t>
        </is>
      </c>
      <c r="B50" s="32">
        <f>COUNTIFS('EL scheme register'!$AQ$7:$AQ$98,"&lt;1 week",'EL scheme register'!$AJ$7:$AJ$98,"Yes")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Partial</t>
        </is>
      </c>
      <c r="I7" s="77">
        <f>COUNTIFS('EL scheme register'!$A$7:$A$98,$A7,'EL scheme register'!$C$7:$C$98,"University-wide",'EL scheme register'!$AJ$7:$AJ$98,"Yes")</f>
        <v/>
      </c>
      <c r="J7" s="77">
        <f>COUNTIFS('EL scheme register'!$A$7:$A$98,$A7,'EL scheme register'!$C$7:$C$98,"Cross-faculty",'EL scheme register'!$AJ$7:$AJ$98,"Yes")</f>
        <v/>
      </c>
      <c r="K7" s="77">
        <f>COUNTIFS('EL scheme register'!$A$7:$A$98,$A7,'EL scheme register'!$C$7:$C$98,"Faculty/school",'EL scheme register'!$AJ$7:$AJ$98,"Yes")</f>
        <v/>
      </c>
      <c r="L7" s="77">
        <f>COUNTIFS('EL scheme register'!$A$7:$A$98,$A7,'EL scheme register'!$C$7:$C$98,"Programme/course",'EL scheme register'!$AJ$7:$AJ$98,"Yes")</f>
        <v/>
      </c>
      <c r="M7" s="77">
        <f>COUNTIFS('EL scheme register'!$A$7:$A$98,$A7,'EL scheme register'!$C$7:$C$98,"Unclear",'EL scheme register'!$AJ$7:$AJ$98,"Yes")</f>
        <v/>
      </c>
      <c r="N7" s="77">
        <f>SUM(I7:M7)</f>
        <v/>
      </c>
      <c r="O7" s="77">
        <f>COUNTIFS('EL scheme register'!$A$7:$A$98,$A7,'EL scheme register'!$AF$7:$AF$98,"Potentially relevant; evidence incomplete",'EL scheme register'!$AI$7:$AI$98,"Yes")</f>
        <v/>
      </c>
      <c r="P7" s="77">
        <f>COUNTIFS('EL scheme register'!$A$7:$A$98,$A7,'EL scheme register'!$AF$7:$AF$98,"Outside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Science, social sciences, humanities, law and health largely unsearched (search limit). Engineering group design projects lack evidence of industry-set briefs. Current-year evidence missing for the SMC MSc and Company Projects. Birmingham Project partner count conflicts (7 vs 8 for 2026). Capgemini Community Challenge eligibility conflicts between pages. Further departmental instances likely. | PARTIAL REVIEW — remaining: Shared WebSearch budget exhausted after 14 searches. Remaining: science (Biosciences, Geography/Earth &amp; Environmental Sciences, Mathematics, Psychology); social sciences (INLOGOV/public policy consultancy, Government &amp; Society, Education, Social Policy); arts &amp; humanities (Professional Skills Module current format, cultural-sector projects); other (Law pro bono/clinics, Medicine/Health, Dentistry); computing (MSc/Year 2 team projects with industry); engineering module-level evidence for industry-set group design projects; current-year corroboration for S5/S6; MBA Grow Movement detail.</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Not started</t>
        </is>
      </c>
      <c r="I8" s="77">
        <f>COUNTIFS('EL scheme register'!$A$7:$A$98,$A8,'EL scheme register'!$C$7:$C$98,"University-wide",'EL scheme register'!$AJ$7:$AJ$98,"Yes")</f>
        <v/>
      </c>
      <c r="J8" s="77">
        <f>COUNTIFS('EL scheme register'!$A$7:$A$98,$A8,'EL scheme register'!$C$7:$C$98,"Cross-faculty",'EL scheme register'!$AJ$7:$AJ$98,"Yes")</f>
        <v/>
      </c>
      <c r="K8" s="77">
        <f>COUNTIFS('EL scheme register'!$A$7:$A$98,$A8,'EL scheme register'!$C$7:$C$98,"Faculty/school",'EL scheme register'!$AJ$7:$AJ$98,"Yes")</f>
        <v/>
      </c>
      <c r="L8" s="77">
        <f>COUNTIFS('EL scheme register'!$A$7:$A$98,$A8,'EL scheme register'!$C$7:$C$98,"Programme/course",'EL scheme register'!$AJ$7:$AJ$98,"Yes")</f>
        <v/>
      </c>
      <c r="M8" s="77">
        <f>COUNTIFS('EL scheme register'!$A$7:$A$98,$A8,'EL scheme register'!$C$7:$C$98,"Unclear",'EL scheme register'!$AJ$7:$AJ$98,"Yes")</f>
        <v/>
      </c>
      <c r="N8" s="77">
        <f>SUM(I8:M8)</f>
        <v/>
      </c>
      <c r="O8" s="77">
        <f>COUNTIFS('EL scheme register'!$A$7:$A$98,$A8,'EL scheme register'!$AF$7:$AF$98,"Potentially relevant; evidence incomplete",'EL scheme register'!$AI$7:$AI$98,"Yes")</f>
        <v/>
      </c>
      <c r="P8" s="77">
        <f>COUNTIFS('EL scheme register'!$A$7:$A$98,$A8,'EL scheme register'!$AF$7:$AF$98,"Outside strict definition")</f>
        <v/>
      </c>
      <c r="Q8" s="77">
        <f>COUNTIF('EL exclusions &amp; gaps'!$B$7:$B$5000,$A8)</f>
        <v/>
      </c>
      <c r="R8" s="77" t="inlineStr">
        <is>
          <t>Not reviewed</t>
        </is>
      </c>
      <c r="S8" s="77" t="inlineStr">
        <is>
          <t>Not reviewed</t>
        </is>
      </c>
      <c r="T8" s="77" t="inlineStr"/>
      <c r="U8" s="77" t="inlineStr"/>
      <c r="V8" s="77" t="inlineStr">
        <is>
          <t>Not reviewed</t>
        </is>
      </c>
      <c r="W8" s="77" t="inlineStr"/>
      <c r="X8" s="77" t="inlineStr"/>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Not started</t>
        </is>
      </c>
      <c r="I9" s="77">
        <f>COUNTIFS('EL scheme register'!$A$7:$A$98,$A9,'EL scheme register'!$C$7:$C$98,"University-wide",'EL scheme register'!$AJ$7:$AJ$98,"Yes")</f>
        <v/>
      </c>
      <c r="J9" s="77">
        <f>COUNTIFS('EL scheme register'!$A$7:$A$98,$A9,'EL scheme register'!$C$7:$C$98,"Cross-faculty",'EL scheme register'!$AJ$7:$AJ$98,"Yes")</f>
        <v/>
      </c>
      <c r="K9" s="77">
        <f>COUNTIFS('EL scheme register'!$A$7:$A$98,$A9,'EL scheme register'!$C$7:$C$98,"Faculty/school",'EL scheme register'!$AJ$7:$AJ$98,"Yes")</f>
        <v/>
      </c>
      <c r="L9" s="77">
        <f>COUNTIFS('EL scheme register'!$A$7:$A$98,$A9,'EL scheme register'!$C$7:$C$98,"Programme/course",'EL scheme register'!$AJ$7:$AJ$98,"Yes")</f>
        <v/>
      </c>
      <c r="M9" s="77">
        <f>COUNTIFS('EL scheme register'!$A$7:$A$98,$A9,'EL scheme register'!$C$7:$C$98,"Unclear",'EL scheme register'!$AJ$7:$AJ$98,"Yes")</f>
        <v/>
      </c>
      <c r="N9" s="77">
        <f>SUM(I9:M9)</f>
        <v/>
      </c>
      <c r="O9" s="77">
        <f>COUNTIFS('EL scheme register'!$A$7:$A$98,$A9,'EL scheme register'!$AF$7:$AF$98,"Potentially relevant; evidence incomplete",'EL scheme register'!$AI$7:$AI$98,"Yes")</f>
        <v/>
      </c>
      <c r="P9" s="77">
        <f>COUNTIFS('EL scheme register'!$A$7:$A$98,$A9,'EL scheme register'!$AF$7:$AF$98,"Outside strict definition")</f>
        <v/>
      </c>
      <c r="Q9" s="77">
        <f>COUNTIF('EL exclusions &amp; gaps'!$B$7:$B$5000,$A9)</f>
        <v/>
      </c>
      <c r="R9" s="77" t="inlineStr">
        <is>
          <t>Not reviewed</t>
        </is>
      </c>
      <c r="S9" s="77" t="inlineStr">
        <is>
          <t>Not reviewed</t>
        </is>
      </c>
      <c r="T9" s="77" t="inlineStr"/>
      <c r="U9" s="77" t="inlineStr"/>
      <c r="V9" s="77" t="inlineStr">
        <is>
          <t>Not reviewed</t>
        </is>
      </c>
      <c r="W9" s="77" t="inlineStr"/>
      <c r="X9" s="77" t="inlineStr"/>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Not started</t>
        </is>
      </c>
      <c r="I10" s="77">
        <f>COUNTIFS('EL scheme register'!$A$7:$A$98,$A10,'EL scheme register'!$C$7:$C$98,"University-wide",'EL scheme register'!$AJ$7:$AJ$98,"Yes")</f>
        <v/>
      </c>
      <c r="J10" s="77">
        <f>COUNTIFS('EL scheme register'!$A$7:$A$98,$A10,'EL scheme register'!$C$7:$C$98,"Cross-faculty",'EL scheme register'!$AJ$7:$AJ$98,"Yes")</f>
        <v/>
      </c>
      <c r="K10" s="77">
        <f>COUNTIFS('EL scheme register'!$A$7:$A$98,$A10,'EL scheme register'!$C$7:$C$98,"Faculty/school",'EL scheme register'!$AJ$7:$AJ$98,"Yes")</f>
        <v/>
      </c>
      <c r="L10" s="77">
        <f>COUNTIFS('EL scheme register'!$A$7:$A$98,$A10,'EL scheme register'!$C$7:$C$98,"Programme/course",'EL scheme register'!$AJ$7:$AJ$98,"Yes")</f>
        <v/>
      </c>
      <c r="M10" s="77">
        <f>COUNTIFS('EL scheme register'!$A$7:$A$98,$A10,'EL scheme register'!$C$7:$C$98,"Unclear",'EL scheme register'!$AJ$7:$AJ$98,"Yes")</f>
        <v/>
      </c>
      <c r="N10" s="77">
        <f>SUM(I10:M10)</f>
        <v/>
      </c>
      <c r="O10" s="77">
        <f>COUNTIFS('EL scheme register'!$A$7:$A$98,$A10,'EL scheme register'!$AF$7:$AF$98,"Potentially relevant; evidence incomplete",'EL scheme register'!$AI$7:$AI$98,"Yes")</f>
        <v/>
      </c>
      <c r="P10" s="77">
        <f>COUNTIFS('EL scheme register'!$A$7:$A$98,$A10,'EL scheme register'!$AF$7:$AF$98,"Outside strict definition")</f>
        <v/>
      </c>
      <c r="Q10" s="77">
        <f>COUNTIF('EL exclusions &amp; gaps'!$B$7:$B$5000,$A10)</f>
        <v/>
      </c>
      <c r="R10" s="77" t="inlineStr">
        <is>
          <t>Not reviewed</t>
        </is>
      </c>
      <c r="S10" s="77" t="inlineStr">
        <is>
          <t>Not reviewed</t>
        </is>
      </c>
      <c r="T10" s="77" t="inlineStr"/>
      <c r="U10" s="77" t="inlineStr"/>
      <c r="V10" s="77" t="inlineStr">
        <is>
          <t>Not reviewed</t>
        </is>
      </c>
      <c r="W10" s="77" t="inlineStr"/>
      <c r="X10" s="77" t="inlineStr"/>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Not started</t>
        </is>
      </c>
      <c r="I11" s="77">
        <f>COUNTIFS('EL scheme register'!$A$7:$A$98,$A11,'EL scheme register'!$C$7:$C$98,"University-wide",'EL scheme register'!$AJ$7:$AJ$98,"Yes")</f>
        <v/>
      </c>
      <c r="J11" s="77">
        <f>COUNTIFS('EL scheme register'!$A$7:$A$98,$A11,'EL scheme register'!$C$7:$C$98,"Cross-faculty",'EL scheme register'!$AJ$7:$AJ$98,"Yes")</f>
        <v/>
      </c>
      <c r="K11" s="77">
        <f>COUNTIFS('EL scheme register'!$A$7:$A$98,$A11,'EL scheme register'!$C$7:$C$98,"Faculty/school",'EL scheme register'!$AJ$7:$AJ$98,"Yes")</f>
        <v/>
      </c>
      <c r="L11" s="77">
        <f>COUNTIFS('EL scheme register'!$A$7:$A$98,$A11,'EL scheme register'!$C$7:$C$98,"Programme/course",'EL scheme register'!$AJ$7:$AJ$98,"Yes")</f>
        <v/>
      </c>
      <c r="M11" s="77">
        <f>COUNTIFS('EL scheme register'!$A$7:$A$98,$A11,'EL scheme register'!$C$7:$C$98,"Unclear",'EL scheme register'!$AJ$7:$AJ$98,"Yes")</f>
        <v/>
      </c>
      <c r="N11" s="77">
        <f>SUM(I11:M11)</f>
        <v/>
      </c>
      <c r="O11" s="77">
        <f>COUNTIFS('EL scheme register'!$A$7:$A$98,$A11,'EL scheme register'!$AF$7:$AF$98,"Potentially relevant; evidence incomplete",'EL scheme register'!$AI$7:$AI$98,"Yes")</f>
        <v/>
      </c>
      <c r="P11" s="77">
        <f>COUNTIFS('EL scheme register'!$A$7:$A$98,$A11,'EL scheme register'!$AF$7:$AF$98,"Outside strict definition")</f>
        <v/>
      </c>
      <c r="Q11" s="77">
        <f>COUNTIF('EL exclusions &amp; gaps'!$B$7:$B$5000,$A11)</f>
        <v/>
      </c>
      <c r="R11" s="77" t="inlineStr">
        <is>
          <t>Not reviewed</t>
        </is>
      </c>
      <c r="S11" s="77" t="inlineStr">
        <is>
          <t>Not reviewed</t>
        </is>
      </c>
      <c r="T11" s="77" t="inlineStr"/>
      <c r="U11" s="77" t="inlineStr"/>
      <c r="V11" s="77" t="inlineStr">
        <is>
          <t>Not reviewed</t>
        </is>
      </c>
      <c r="W11" s="77" t="inlineStr"/>
      <c r="X11" s="77" t="inlineStr"/>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Not started</t>
        </is>
      </c>
      <c r="I12" s="77">
        <f>COUNTIFS('EL scheme register'!$A$7:$A$98,$A12,'EL scheme register'!$C$7:$C$98,"University-wide",'EL scheme register'!$AJ$7:$AJ$98,"Yes")</f>
        <v/>
      </c>
      <c r="J12" s="77">
        <f>COUNTIFS('EL scheme register'!$A$7:$A$98,$A12,'EL scheme register'!$C$7:$C$98,"Cross-faculty",'EL scheme register'!$AJ$7:$AJ$98,"Yes")</f>
        <v/>
      </c>
      <c r="K12" s="77">
        <f>COUNTIFS('EL scheme register'!$A$7:$A$98,$A12,'EL scheme register'!$C$7:$C$98,"Faculty/school",'EL scheme register'!$AJ$7:$AJ$98,"Yes")</f>
        <v/>
      </c>
      <c r="L12" s="77">
        <f>COUNTIFS('EL scheme register'!$A$7:$A$98,$A12,'EL scheme register'!$C$7:$C$98,"Programme/course",'EL scheme register'!$AJ$7:$AJ$98,"Yes")</f>
        <v/>
      </c>
      <c r="M12" s="77">
        <f>COUNTIFS('EL scheme register'!$A$7:$A$98,$A12,'EL scheme register'!$C$7:$C$98,"Unclear",'EL scheme register'!$AJ$7:$AJ$98,"Yes")</f>
        <v/>
      </c>
      <c r="N12" s="77">
        <f>SUM(I12:M12)</f>
        <v/>
      </c>
      <c r="O12" s="77">
        <f>COUNTIFS('EL scheme register'!$A$7:$A$98,$A12,'EL scheme register'!$AF$7:$AF$98,"Potentially relevant; evidence incomplete",'EL scheme register'!$AI$7:$AI$98,"Yes")</f>
        <v/>
      </c>
      <c r="P12" s="77">
        <f>COUNTIFS('EL scheme register'!$A$7:$A$98,$A12,'EL scheme register'!$AF$7:$AF$98,"Outside strict definition")</f>
        <v/>
      </c>
      <c r="Q12" s="77">
        <f>COUNTIF('EL exclusions &amp; gaps'!$B$7:$B$5000,$A12)</f>
        <v/>
      </c>
      <c r="R12" s="77" t="inlineStr">
        <is>
          <t>Not reviewed</t>
        </is>
      </c>
      <c r="S12" s="77" t="inlineStr">
        <is>
          <t>Not reviewed</t>
        </is>
      </c>
      <c r="T12" s="77" t="inlineStr"/>
      <c r="U12" s="77" t="inlineStr"/>
      <c r="V12" s="77" t="inlineStr">
        <is>
          <t>Not reviewed</t>
        </is>
      </c>
      <c r="W12" s="77" t="inlineStr"/>
      <c r="X12" s="77" t="inlineStr"/>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Not started</t>
        </is>
      </c>
      <c r="I13" s="77">
        <f>COUNTIFS('EL scheme register'!$A$7:$A$98,$A13,'EL scheme register'!$C$7:$C$98,"University-wide",'EL scheme register'!$AJ$7:$AJ$98,"Yes")</f>
        <v/>
      </c>
      <c r="J13" s="77">
        <f>COUNTIFS('EL scheme register'!$A$7:$A$98,$A13,'EL scheme register'!$C$7:$C$98,"Cross-faculty",'EL scheme register'!$AJ$7:$AJ$98,"Yes")</f>
        <v/>
      </c>
      <c r="K13" s="77">
        <f>COUNTIFS('EL scheme register'!$A$7:$A$98,$A13,'EL scheme register'!$C$7:$C$98,"Faculty/school",'EL scheme register'!$AJ$7:$AJ$98,"Yes")</f>
        <v/>
      </c>
      <c r="L13" s="77">
        <f>COUNTIFS('EL scheme register'!$A$7:$A$98,$A13,'EL scheme register'!$C$7:$C$98,"Programme/course",'EL scheme register'!$AJ$7:$AJ$98,"Yes")</f>
        <v/>
      </c>
      <c r="M13" s="77">
        <f>COUNTIFS('EL scheme register'!$A$7:$A$98,$A13,'EL scheme register'!$C$7:$C$98,"Unclear",'EL scheme register'!$AJ$7:$AJ$98,"Yes")</f>
        <v/>
      </c>
      <c r="N13" s="77">
        <f>SUM(I13:M13)</f>
        <v/>
      </c>
      <c r="O13" s="77">
        <f>COUNTIFS('EL scheme register'!$A$7:$A$98,$A13,'EL scheme register'!$AF$7:$AF$98,"Potentially relevant; evidence incomplete",'EL scheme register'!$AI$7:$AI$98,"Yes")</f>
        <v/>
      </c>
      <c r="P13" s="77">
        <f>COUNTIFS('EL scheme register'!$A$7:$A$98,$A13,'EL scheme register'!$AF$7:$AF$98,"Outside strict definition")</f>
        <v/>
      </c>
      <c r="Q13" s="77">
        <f>COUNTIF('EL exclusions &amp; gaps'!$B$7:$B$5000,$A13)</f>
        <v/>
      </c>
      <c r="R13" s="77" t="inlineStr">
        <is>
          <t>Not reviewed</t>
        </is>
      </c>
      <c r="S13" s="77" t="inlineStr">
        <is>
          <t>Not reviewed</t>
        </is>
      </c>
      <c r="T13" s="77" t="inlineStr"/>
      <c r="U13" s="77" t="inlineStr"/>
      <c r="V13" s="77" t="inlineStr">
        <is>
          <t>Not reviewed</t>
        </is>
      </c>
      <c r="W13" s="77" t="inlineStr"/>
      <c r="X13" s="77" t="inlineStr"/>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Not started</t>
        </is>
      </c>
      <c r="I14" s="77">
        <f>COUNTIFS('EL scheme register'!$A$7:$A$98,$A14,'EL scheme register'!$C$7:$C$98,"University-wide",'EL scheme register'!$AJ$7:$AJ$98,"Yes")</f>
        <v/>
      </c>
      <c r="J14" s="77">
        <f>COUNTIFS('EL scheme register'!$A$7:$A$98,$A14,'EL scheme register'!$C$7:$C$98,"Cross-faculty",'EL scheme register'!$AJ$7:$AJ$98,"Yes")</f>
        <v/>
      </c>
      <c r="K14" s="77">
        <f>COUNTIFS('EL scheme register'!$A$7:$A$98,$A14,'EL scheme register'!$C$7:$C$98,"Faculty/school",'EL scheme register'!$AJ$7:$AJ$98,"Yes")</f>
        <v/>
      </c>
      <c r="L14" s="77">
        <f>COUNTIFS('EL scheme register'!$A$7:$A$98,$A14,'EL scheme register'!$C$7:$C$98,"Programme/course",'EL scheme register'!$AJ$7:$AJ$98,"Yes")</f>
        <v/>
      </c>
      <c r="M14" s="77">
        <f>COUNTIFS('EL scheme register'!$A$7:$A$98,$A14,'EL scheme register'!$C$7:$C$98,"Unclear",'EL scheme register'!$AJ$7:$AJ$98,"Yes")</f>
        <v/>
      </c>
      <c r="N14" s="77">
        <f>SUM(I14:M14)</f>
        <v/>
      </c>
      <c r="O14" s="77">
        <f>COUNTIFS('EL scheme register'!$A$7:$A$98,$A14,'EL scheme register'!$AF$7:$AF$98,"Potentially relevant; evidence incomplete",'EL scheme register'!$AI$7:$AI$98,"Yes")</f>
        <v/>
      </c>
      <c r="P14" s="77">
        <f>COUNTIFS('EL scheme register'!$A$7:$A$98,$A14,'EL scheme register'!$AF$7:$AF$98,"Outside strict definition")</f>
        <v/>
      </c>
      <c r="Q14" s="77">
        <f>COUNTIF('EL exclusions &amp; gaps'!$B$7:$B$5000,$A14)</f>
        <v/>
      </c>
      <c r="R14" s="77" t="inlineStr">
        <is>
          <t>Not reviewed</t>
        </is>
      </c>
      <c r="S14" s="77" t="inlineStr">
        <is>
          <t>Not reviewed</t>
        </is>
      </c>
      <c r="T14" s="77" t="inlineStr"/>
      <c r="U14" s="77" t="inlineStr"/>
      <c r="V14" s="77" t="inlineStr">
        <is>
          <t>Not reviewed</t>
        </is>
      </c>
      <c r="W14" s="77" t="inlineStr"/>
      <c r="X14" s="77" t="inlineStr"/>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Not started</t>
        </is>
      </c>
      <c r="I15" s="77">
        <f>COUNTIFS('EL scheme register'!$A$7:$A$98,$A15,'EL scheme register'!$C$7:$C$98,"University-wide",'EL scheme register'!$AJ$7:$AJ$98,"Yes")</f>
        <v/>
      </c>
      <c r="J15" s="77">
        <f>COUNTIFS('EL scheme register'!$A$7:$A$98,$A15,'EL scheme register'!$C$7:$C$98,"Cross-faculty",'EL scheme register'!$AJ$7:$AJ$98,"Yes")</f>
        <v/>
      </c>
      <c r="K15" s="77">
        <f>COUNTIFS('EL scheme register'!$A$7:$A$98,$A15,'EL scheme register'!$C$7:$C$98,"Faculty/school",'EL scheme register'!$AJ$7:$AJ$98,"Yes")</f>
        <v/>
      </c>
      <c r="L15" s="77">
        <f>COUNTIFS('EL scheme register'!$A$7:$A$98,$A15,'EL scheme register'!$C$7:$C$98,"Programme/course",'EL scheme register'!$AJ$7:$AJ$98,"Yes")</f>
        <v/>
      </c>
      <c r="M15" s="77">
        <f>COUNTIFS('EL scheme register'!$A$7:$A$98,$A15,'EL scheme register'!$C$7:$C$98,"Unclear",'EL scheme register'!$AJ$7:$AJ$98,"Yes")</f>
        <v/>
      </c>
      <c r="N15" s="77">
        <f>SUM(I15:M15)</f>
        <v/>
      </c>
      <c r="O15" s="77">
        <f>COUNTIFS('EL scheme register'!$A$7:$A$98,$A15,'EL scheme register'!$AF$7:$AF$98,"Potentially relevant; evidence incomplete",'EL scheme register'!$AI$7:$AI$98,"Yes")</f>
        <v/>
      </c>
      <c r="P15" s="77">
        <f>COUNTIFS('EL scheme register'!$A$7:$A$98,$A15,'EL scheme register'!$AF$7:$AF$98,"Outside strict definition")</f>
        <v/>
      </c>
      <c r="Q15" s="77">
        <f>COUNTIF('EL exclusions &amp; gaps'!$B$7:$B$5000,$A15)</f>
        <v/>
      </c>
      <c r="R15" s="77" t="inlineStr">
        <is>
          <t>Not reviewed</t>
        </is>
      </c>
      <c r="S15" s="77" t="inlineStr">
        <is>
          <t>Not reviewed</t>
        </is>
      </c>
      <c r="T15" s="77" t="inlineStr"/>
      <c r="U15" s="77" t="inlineStr"/>
      <c r="V15" s="77" t="inlineStr">
        <is>
          <t>Not reviewed</t>
        </is>
      </c>
      <c r="W15" s="77" t="inlineStr"/>
      <c r="X15" s="77" t="inlineStr"/>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Not started</t>
        </is>
      </c>
      <c r="I16" s="77">
        <f>COUNTIFS('EL scheme register'!$A$7:$A$98,$A16,'EL scheme register'!$C$7:$C$98,"University-wide",'EL scheme register'!$AJ$7:$AJ$98,"Yes")</f>
        <v/>
      </c>
      <c r="J16" s="77">
        <f>COUNTIFS('EL scheme register'!$A$7:$A$98,$A16,'EL scheme register'!$C$7:$C$98,"Cross-faculty",'EL scheme register'!$AJ$7:$AJ$98,"Yes")</f>
        <v/>
      </c>
      <c r="K16" s="77">
        <f>COUNTIFS('EL scheme register'!$A$7:$A$98,$A16,'EL scheme register'!$C$7:$C$98,"Faculty/school",'EL scheme register'!$AJ$7:$AJ$98,"Yes")</f>
        <v/>
      </c>
      <c r="L16" s="77">
        <f>COUNTIFS('EL scheme register'!$A$7:$A$98,$A16,'EL scheme register'!$C$7:$C$98,"Programme/course",'EL scheme register'!$AJ$7:$AJ$98,"Yes")</f>
        <v/>
      </c>
      <c r="M16" s="77">
        <f>COUNTIFS('EL scheme register'!$A$7:$A$98,$A16,'EL scheme register'!$C$7:$C$98,"Unclear",'EL scheme register'!$AJ$7:$AJ$98,"Yes")</f>
        <v/>
      </c>
      <c r="N16" s="77">
        <f>SUM(I16:M16)</f>
        <v/>
      </c>
      <c r="O16" s="77">
        <f>COUNTIFS('EL scheme register'!$A$7:$A$98,$A16,'EL scheme register'!$AF$7:$AF$98,"Potentially relevant; evidence incomplete",'EL scheme register'!$AI$7:$AI$98,"Yes")</f>
        <v/>
      </c>
      <c r="P16" s="77">
        <f>COUNTIFS('EL scheme register'!$A$7:$A$98,$A16,'EL scheme register'!$AF$7:$AF$98,"Outside strict definition")</f>
        <v/>
      </c>
      <c r="Q16" s="77">
        <f>COUNTIF('EL exclusions &amp; gaps'!$B$7:$B$5000,$A16)</f>
        <v/>
      </c>
      <c r="R16" s="77" t="inlineStr">
        <is>
          <t>Not reviewed</t>
        </is>
      </c>
      <c r="S16" s="77" t="inlineStr">
        <is>
          <t>Not reviewed</t>
        </is>
      </c>
      <c r="T16" s="77" t="inlineStr"/>
      <c r="U16" s="77" t="inlineStr"/>
      <c r="V16" s="77" t="inlineStr">
        <is>
          <t>Not reviewed</t>
        </is>
      </c>
      <c r="W16" s="77" t="inlineStr"/>
      <c r="X16" s="77" t="inlineStr"/>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Not started</t>
        </is>
      </c>
      <c r="I17" s="77">
        <f>COUNTIFS('EL scheme register'!$A$7:$A$98,$A17,'EL scheme register'!$C$7:$C$98,"University-wide",'EL scheme register'!$AJ$7:$AJ$98,"Yes")</f>
        <v/>
      </c>
      <c r="J17" s="77">
        <f>COUNTIFS('EL scheme register'!$A$7:$A$98,$A17,'EL scheme register'!$C$7:$C$98,"Cross-faculty",'EL scheme register'!$AJ$7:$AJ$98,"Yes")</f>
        <v/>
      </c>
      <c r="K17" s="77">
        <f>COUNTIFS('EL scheme register'!$A$7:$A$98,$A17,'EL scheme register'!$C$7:$C$98,"Faculty/school",'EL scheme register'!$AJ$7:$AJ$98,"Yes")</f>
        <v/>
      </c>
      <c r="L17" s="77">
        <f>COUNTIFS('EL scheme register'!$A$7:$A$98,$A17,'EL scheme register'!$C$7:$C$98,"Programme/course",'EL scheme register'!$AJ$7:$AJ$98,"Yes")</f>
        <v/>
      </c>
      <c r="M17" s="77">
        <f>COUNTIFS('EL scheme register'!$A$7:$A$98,$A17,'EL scheme register'!$C$7:$C$98,"Unclear",'EL scheme register'!$AJ$7:$AJ$98,"Yes")</f>
        <v/>
      </c>
      <c r="N17" s="77">
        <f>SUM(I17:M17)</f>
        <v/>
      </c>
      <c r="O17" s="77">
        <f>COUNTIFS('EL scheme register'!$A$7:$A$98,$A17,'EL scheme register'!$AF$7:$AF$98,"Potentially relevant; evidence incomplete",'EL scheme register'!$AI$7:$AI$98,"Yes")</f>
        <v/>
      </c>
      <c r="P17" s="77">
        <f>COUNTIFS('EL scheme register'!$A$7:$A$98,$A17,'EL scheme register'!$AF$7:$AF$98,"Outside strict definition")</f>
        <v/>
      </c>
      <c r="Q17" s="77">
        <f>COUNTIF('EL exclusions &amp; gaps'!$B$7:$B$5000,$A17)</f>
        <v/>
      </c>
      <c r="R17" s="77" t="inlineStr">
        <is>
          <t>Not reviewed</t>
        </is>
      </c>
      <c r="S17" s="77" t="inlineStr">
        <is>
          <t>Not reviewed</t>
        </is>
      </c>
      <c r="T17" s="77" t="inlineStr"/>
      <c r="U17" s="77" t="inlineStr"/>
      <c r="V17" s="77" t="inlineStr">
        <is>
          <t>Not reviewed</t>
        </is>
      </c>
      <c r="W17" s="77" t="inlineStr"/>
      <c r="X17" s="77" t="inlineStr"/>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Not started</t>
        </is>
      </c>
      <c r="I18" s="77">
        <f>COUNTIFS('EL scheme register'!$A$7:$A$98,$A18,'EL scheme register'!$C$7:$C$98,"University-wide",'EL scheme register'!$AJ$7:$AJ$98,"Yes")</f>
        <v/>
      </c>
      <c r="J18" s="77">
        <f>COUNTIFS('EL scheme register'!$A$7:$A$98,$A18,'EL scheme register'!$C$7:$C$98,"Cross-faculty",'EL scheme register'!$AJ$7:$AJ$98,"Yes")</f>
        <v/>
      </c>
      <c r="K18" s="77">
        <f>COUNTIFS('EL scheme register'!$A$7:$A$98,$A18,'EL scheme register'!$C$7:$C$98,"Faculty/school",'EL scheme register'!$AJ$7:$AJ$98,"Yes")</f>
        <v/>
      </c>
      <c r="L18" s="77">
        <f>COUNTIFS('EL scheme register'!$A$7:$A$98,$A18,'EL scheme register'!$C$7:$C$98,"Programme/course",'EL scheme register'!$AJ$7:$AJ$98,"Yes")</f>
        <v/>
      </c>
      <c r="M18" s="77">
        <f>COUNTIFS('EL scheme register'!$A$7:$A$98,$A18,'EL scheme register'!$C$7:$C$98,"Unclear",'EL scheme register'!$AJ$7:$AJ$98,"Yes")</f>
        <v/>
      </c>
      <c r="N18" s="77">
        <f>SUM(I18:M18)</f>
        <v/>
      </c>
      <c r="O18" s="77">
        <f>COUNTIFS('EL scheme register'!$A$7:$A$98,$A18,'EL scheme register'!$AF$7:$AF$98,"Potentially relevant; evidence incomplete",'EL scheme register'!$AI$7:$AI$98,"Yes")</f>
        <v/>
      </c>
      <c r="P18" s="77">
        <f>COUNTIFS('EL scheme register'!$A$7:$A$98,$A18,'EL scheme register'!$AF$7:$AF$98,"Outside strict definition")</f>
        <v/>
      </c>
      <c r="Q18" s="77">
        <f>COUNTIF('EL exclusions &amp; gaps'!$B$7:$B$5000,$A18)</f>
        <v/>
      </c>
      <c r="R18" s="77" t="inlineStr">
        <is>
          <t>Not reviewed</t>
        </is>
      </c>
      <c r="S18" s="77" t="inlineStr">
        <is>
          <t>Not reviewed</t>
        </is>
      </c>
      <c r="T18" s="77" t="inlineStr"/>
      <c r="U18" s="77" t="inlineStr"/>
      <c r="V18" s="77" t="inlineStr">
        <is>
          <t>Not reviewed</t>
        </is>
      </c>
      <c r="W18" s="77" t="inlineStr"/>
      <c r="X18" s="77" t="inlineStr"/>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register'!$A$7:$A$98,$A19,'EL scheme register'!$C$7:$C$98,"University-wide",'EL scheme register'!$AJ$7:$AJ$98,"Yes")</f>
        <v/>
      </c>
      <c r="J19" s="77">
        <f>COUNTIFS('EL scheme register'!$A$7:$A$98,$A19,'EL scheme register'!$C$7:$C$98,"Cross-faculty",'EL scheme register'!$AJ$7:$AJ$98,"Yes")</f>
        <v/>
      </c>
      <c r="K19" s="77">
        <f>COUNTIFS('EL scheme register'!$A$7:$A$98,$A19,'EL scheme register'!$C$7:$C$98,"Faculty/school",'EL scheme register'!$AJ$7:$AJ$98,"Yes")</f>
        <v/>
      </c>
      <c r="L19" s="77">
        <f>COUNTIFS('EL scheme register'!$A$7:$A$98,$A19,'EL scheme register'!$C$7:$C$98,"Programme/course",'EL scheme register'!$AJ$7:$AJ$98,"Yes")</f>
        <v/>
      </c>
      <c r="M19" s="77">
        <f>COUNTIFS('EL scheme register'!$A$7:$A$98,$A19,'EL scheme register'!$C$7:$C$98,"Unclear",'EL scheme register'!$AJ$7:$AJ$98,"Yes")</f>
        <v/>
      </c>
      <c r="N19" s="77">
        <f>SUM(I19:M19)</f>
        <v/>
      </c>
      <c r="O19" s="77">
        <f>COUNTIFS('EL scheme register'!$A$7:$A$98,$A19,'EL scheme register'!$AF$7:$AF$98,"Potentially relevant; evidence incomplete",'EL scheme register'!$AI$7:$AI$98,"Yes")</f>
        <v/>
      </c>
      <c r="P19" s="77">
        <f>COUNTIFS('EL scheme register'!$A$7:$A$98,$A19,'EL scheme register'!$AF$7:$AF$98,"Outside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Not started</t>
        </is>
      </c>
      <c r="I20" s="77">
        <f>COUNTIFS('EL scheme register'!$A$7:$A$98,$A20,'EL scheme register'!$C$7:$C$98,"University-wide",'EL scheme register'!$AJ$7:$AJ$98,"Yes")</f>
        <v/>
      </c>
      <c r="J20" s="77">
        <f>COUNTIFS('EL scheme register'!$A$7:$A$98,$A20,'EL scheme register'!$C$7:$C$98,"Cross-faculty",'EL scheme register'!$AJ$7:$AJ$98,"Yes")</f>
        <v/>
      </c>
      <c r="K20" s="77">
        <f>COUNTIFS('EL scheme register'!$A$7:$A$98,$A20,'EL scheme register'!$C$7:$C$98,"Faculty/school",'EL scheme register'!$AJ$7:$AJ$98,"Yes")</f>
        <v/>
      </c>
      <c r="L20" s="77">
        <f>COUNTIFS('EL scheme register'!$A$7:$A$98,$A20,'EL scheme register'!$C$7:$C$98,"Programme/course",'EL scheme register'!$AJ$7:$AJ$98,"Yes")</f>
        <v/>
      </c>
      <c r="M20" s="77">
        <f>COUNTIFS('EL scheme register'!$A$7:$A$98,$A20,'EL scheme register'!$C$7:$C$98,"Unclear",'EL scheme register'!$AJ$7:$AJ$98,"Yes")</f>
        <v/>
      </c>
      <c r="N20" s="77">
        <f>SUM(I20:M20)</f>
        <v/>
      </c>
      <c r="O20" s="77">
        <f>COUNTIFS('EL scheme register'!$A$7:$A$98,$A20,'EL scheme register'!$AF$7:$AF$98,"Potentially relevant; evidence incomplete",'EL scheme register'!$AI$7:$AI$98,"Yes")</f>
        <v/>
      </c>
      <c r="P20" s="77">
        <f>COUNTIFS('EL scheme register'!$A$7:$A$98,$A20,'EL scheme register'!$AF$7:$AF$98,"Outside strict definition")</f>
        <v/>
      </c>
      <c r="Q20" s="77">
        <f>COUNTIF('EL exclusions &amp; gaps'!$B$7:$B$5000,$A20)</f>
        <v/>
      </c>
      <c r="R20" s="77" t="inlineStr">
        <is>
          <t>Not reviewed</t>
        </is>
      </c>
      <c r="S20" s="77" t="inlineStr">
        <is>
          <t>Not reviewed</t>
        </is>
      </c>
      <c r="T20" s="77" t="inlineStr"/>
      <c r="U20" s="77" t="inlineStr"/>
      <c r="V20" s="77" t="inlineStr">
        <is>
          <t>Not reviewed</t>
        </is>
      </c>
      <c r="W20" s="77" t="inlineStr"/>
      <c r="X20" s="77" t="inlineStr"/>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Not started</t>
        </is>
      </c>
      <c r="I21" s="77">
        <f>COUNTIFS('EL scheme register'!$A$7:$A$98,$A21,'EL scheme register'!$C$7:$C$98,"University-wide",'EL scheme register'!$AJ$7:$AJ$98,"Yes")</f>
        <v/>
      </c>
      <c r="J21" s="77">
        <f>COUNTIFS('EL scheme register'!$A$7:$A$98,$A21,'EL scheme register'!$C$7:$C$98,"Cross-faculty",'EL scheme register'!$AJ$7:$AJ$98,"Yes")</f>
        <v/>
      </c>
      <c r="K21" s="77">
        <f>COUNTIFS('EL scheme register'!$A$7:$A$98,$A21,'EL scheme register'!$C$7:$C$98,"Faculty/school",'EL scheme register'!$AJ$7:$AJ$98,"Yes")</f>
        <v/>
      </c>
      <c r="L21" s="77">
        <f>COUNTIFS('EL scheme register'!$A$7:$A$98,$A21,'EL scheme register'!$C$7:$C$98,"Programme/course",'EL scheme register'!$AJ$7:$AJ$98,"Yes")</f>
        <v/>
      </c>
      <c r="M21" s="77">
        <f>COUNTIFS('EL scheme register'!$A$7:$A$98,$A21,'EL scheme register'!$C$7:$C$98,"Unclear",'EL scheme register'!$AJ$7:$AJ$98,"Yes")</f>
        <v/>
      </c>
      <c r="N21" s="77">
        <f>SUM(I21:M21)</f>
        <v/>
      </c>
      <c r="O21" s="77">
        <f>COUNTIFS('EL scheme register'!$A$7:$A$98,$A21,'EL scheme register'!$AF$7:$AF$98,"Potentially relevant; evidence incomplete",'EL scheme register'!$AI$7:$AI$98,"Yes")</f>
        <v/>
      </c>
      <c r="P21" s="77">
        <f>COUNTIFS('EL scheme register'!$A$7:$A$98,$A21,'EL scheme register'!$AF$7:$AF$98,"Outside strict definition")</f>
        <v/>
      </c>
      <c r="Q21" s="77">
        <f>COUNTIF('EL exclusions &amp; gaps'!$B$7:$B$5000,$A21)</f>
        <v/>
      </c>
      <c r="R21" s="77" t="inlineStr">
        <is>
          <t>Not reviewed</t>
        </is>
      </c>
      <c r="S21" s="77" t="inlineStr">
        <is>
          <t>Not reviewed</t>
        </is>
      </c>
      <c r="T21" s="77" t="inlineStr"/>
      <c r="U21" s="77" t="inlineStr"/>
      <c r="V21" s="77" t="inlineStr">
        <is>
          <t>Not reviewed</t>
        </is>
      </c>
      <c r="W21" s="77" t="inlineStr"/>
      <c r="X21" s="77" t="inlineStr"/>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Not started</t>
        </is>
      </c>
      <c r="I22" s="77">
        <f>COUNTIFS('EL scheme register'!$A$7:$A$98,$A22,'EL scheme register'!$C$7:$C$98,"University-wide",'EL scheme register'!$AJ$7:$AJ$98,"Yes")</f>
        <v/>
      </c>
      <c r="J22" s="77">
        <f>COUNTIFS('EL scheme register'!$A$7:$A$98,$A22,'EL scheme register'!$C$7:$C$98,"Cross-faculty",'EL scheme register'!$AJ$7:$AJ$98,"Yes")</f>
        <v/>
      </c>
      <c r="K22" s="77">
        <f>COUNTIFS('EL scheme register'!$A$7:$A$98,$A22,'EL scheme register'!$C$7:$C$98,"Faculty/school",'EL scheme register'!$AJ$7:$AJ$98,"Yes")</f>
        <v/>
      </c>
      <c r="L22" s="77">
        <f>COUNTIFS('EL scheme register'!$A$7:$A$98,$A22,'EL scheme register'!$C$7:$C$98,"Programme/course",'EL scheme register'!$AJ$7:$AJ$98,"Yes")</f>
        <v/>
      </c>
      <c r="M22" s="77">
        <f>COUNTIFS('EL scheme register'!$A$7:$A$98,$A22,'EL scheme register'!$C$7:$C$98,"Unclear",'EL scheme register'!$AJ$7:$AJ$98,"Yes")</f>
        <v/>
      </c>
      <c r="N22" s="77">
        <f>SUM(I22:M22)</f>
        <v/>
      </c>
      <c r="O22" s="77">
        <f>COUNTIFS('EL scheme register'!$A$7:$A$98,$A22,'EL scheme register'!$AF$7:$AF$98,"Potentially relevant; evidence incomplete",'EL scheme register'!$AI$7:$AI$98,"Yes")</f>
        <v/>
      </c>
      <c r="P22" s="77">
        <f>COUNTIFS('EL scheme register'!$A$7:$A$98,$A22,'EL scheme register'!$AF$7:$AF$98,"Outside strict definition")</f>
        <v/>
      </c>
      <c r="Q22" s="77">
        <f>COUNTIF('EL exclusions &amp; gaps'!$B$7:$B$5000,$A22)</f>
        <v/>
      </c>
      <c r="R22" s="77" t="inlineStr">
        <is>
          <t>Not reviewed</t>
        </is>
      </c>
      <c r="S22" s="77" t="inlineStr">
        <is>
          <t>Not reviewed</t>
        </is>
      </c>
      <c r="T22" s="77" t="inlineStr"/>
      <c r="U22" s="77" t="inlineStr"/>
      <c r="V22" s="77" t="inlineStr">
        <is>
          <t>Not reviewed</t>
        </is>
      </c>
      <c r="W22" s="77" t="inlineStr"/>
      <c r="X22" s="77" t="inlineStr"/>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Partial</t>
        </is>
      </c>
      <c r="I23" s="77">
        <f>COUNTIFS('EL scheme register'!$A$7:$A$98,$A23,'EL scheme register'!$C$7:$C$98,"University-wide",'EL scheme register'!$AJ$7:$AJ$98,"Yes")</f>
        <v/>
      </c>
      <c r="J23" s="77">
        <f>COUNTIFS('EL scheme register'!$A$7:$A$98,$A23,'EL scheme register'!$C$7:$C$98,"Cross-faculty",'EL scheme register'!$AJ$7:$AJ$98,"Yes")</f>
        <v/>
      </c>
      <c r="K23" s="77">
        <f>COUNTIFS('EL scheme register'!$A$7:$A$98,$A23,'EL scheme register'!$C$7:$C$98,"Faculty/school",'EL scheme register'!$AJ$7:$AJ$98,"Yes")</f>
        <v/>
      </c>
      <c r="L23" s="77">
        <f>COUNTIFS('EL scheme register'!$A$7:$A$98,$A23,'EL scheme register'!$C$7:$C$98,"Programme/course",'EL scheme register'!$AJ$7:$AJ$98,"Yes")</f>
        <v/>
      </c>
      <c r="M23" s="77">
        <f>COUNTIFS('EL scheme register'!$A$7:$A$98,$A23,'EL scheme register'!$C$7:$C$98,"Unclear",'EL scheme register'!$AJ$7:$AJ$98,"Yes")</f>
        <v/>
      </c>
      <c r="N23" s="77">
        <f>SUM(I23:M23)</f>
        <v/>
      </c>
      <c r="O23" s="77">
        <f>COUNTIFS('EL scheme register'!$A$7:$A$98,$A23,'EL scheme register'!$AF$7:$AF$98,"Potentially relevant; evidence incomplete",'EL scheme register'!$AI$7:$AI$98,"Yes")</f>
        <v/>
      </c>
      <c r="P23" s="77">
        <f>COUNTIFS('EL scheme register'!$A$7:$A$98,$A23,'EL scheme register'!$AF$7:$AF$98,"Outside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Arts/humanities/social sciences and 'other' areas not searched (budget). Careers Service programme status for 2026/27 (paused vs running) unresolved. GDP 2025/26 sponsor list; 3YP sponsored share; MBA SCP team counts; MaDe team structure and eligibility; TSC/Agency eligibility. Further departmental instances likely (e.g. Smith School MSc SEE, Blavatnik MPP, OII, Continuing Education). | PARTIAL REVIEW — remaining: Search budget exhausted after 13 searches (shared per-turn WebSearch limit). Remaining: arts/humanities/social sciences (Blavatnik MPP, OII, ODID, Humanities, Continuing Education), other (Law, Medical Sciences, Education), remaining science departments and Smith School, Saïd Executive MBA/MSc programmes, confirmation of Careers Service programme status for 2026/27.</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Not started</t>
        </is>
      </c>
      <c r="I24" s="77">
        <f>COUNTIFS('EL scheme register'!$A$7:$A$98,$A24,'EL scheme register'!$C$7:$C$98,"University-wide",'EL scheme register'!$AJ$7:$AJ$98,"Yes")</f>
        <v/>
      </c>
      <c r="J24" s="77">
        <f>COUNTIFS('EL scheme register'!$A$7:$A$98,$A24,'EL scheme register'!$C$7:$C$98,"Cross-faculty",'EL scheme register'!$AJ$7:$AJ$98,"Yes")</f>
        <v/>
      </c>
      <c r="K24" s="77">
        <f>COUNTIFS('EL scheme register'!$A$7:$A$98,$A24,'EL scheme register'!$C$7:$C$98,"Faculty/school",'EL scheme register'!$AJ$7:$AJ$98,"Yes")</f>
        <v/>
      </c>
      <c r="L24" s="77">
        <f>COUNTIFS('EL scheme register'!$A$7:$A$98,$A24,'EL scheme register'!$C$7:$C$98,"Programme/course",'EL scheme register'!$AJ$7:$AJ$98,"Yes")</f>
        <v/>
      </c>
      <c r="M24" s="77">
        <f>COUNTIFS('EL scheme register'!$A$7:$A$98,$A24,'EL scheme register'!$C$7:$C$98,"Unclear",'EL scheme register'!$AJ$7:$AJ$98,"Yes")</f>
        <v/>
      </c>
      <c r="N24" s="77">
        <f>SUM(I24:M24)</f>
        <v/>
      </c>
      <c r="O24" s="77">
        <f>COUNTIFS('EL scheme register'!$A$7:$A$98,$A24,'EL scheme register'!$AF$7:$AF$98,"Potentially relevant; evidence incomplete",'EL scheme register'!$AI$7:$AI$98,"Yes")</f>
        <v/>
      </c>
      <c r="P24" s="77">
        <f>COUNTIFS('EL scheme register'!$A$7:$A$98,$A24,'EL scheme register'!$AF$7:$AF$98,"Outside strict definition")</f>
        <v/>
      </c>
      <c r="Q24" s="77">
        <f>COUNTIF('EL exclusions &amp; gaps'!$B$7:$B$5000,$A24)</f>
        <v/>
      </c>
      <c r="R24" s="77" t="inlineStr">
        <is>
          <t>Not reviewed</t>
        </is>
      </c>
      <c r="S24" s="77" t="inlineStr">
        <is>
          <t>Not reviewed</t>
        </is>
      </c>
      <c r="T24" s="77" t="inlineStr"/>
      <c r="U24" s="77" t="inlineStr"/>
      <c r="V24" s="77" t="inlineStr">
        <is>
          <t>Not reviewed</t>
        </is>
      </c>
      <c r="W24" s="77" t="inlineStr"/>
      <c r="X24" s="77" t="inlineStr"/>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Not started</t>
        </is>
      </c>
      <c r="I25" s="77">
        <f>COUNTIFS('EL scheme register'!$A$7:$A$98,$A25,'EL scheme register'!$C$7:$C$98,"University-wide",'EL scheme register'!$AJ$7:$AJ$98,"Yes")</f>
        <v/>
      </c>
      <c r="J25" s="77">
        <f>COUNTIFS('EL scheme register'!$A$7:$A$98,$A25,'EL scheme register'!$C$7:$C$98,"Cross-faculty",'EL scheme register'!$AJ$7:$AJ$98,"Yes")</f>
        <v/>
      </c>
      <c r="K25" s="77">
        <f>COUNTIFS('EL scheme register'!$A$7:$A$98,$A25,'EL scheme register'!$C$7:$C$98,"Faculty/school",'EL scheme register'!$AJ$7:$AJ$98,"Yes")</f>
        <v/>
      </c>
      <c r="L25" s="77">
        <f>COUNTIFS('EL scheme register'!$A$7:$A$98,$A25,'EL scheme register'!$C$7:$C$98,"Programme/course",'EL scheme register'!$AJ$7:$AJ$98,"Yes")</f>
        <v/>
      </c>
      <c r="M25" s="77">
        <f>COUNTIFS('EL scheme register'!$A$7:$A$98,$A25,'EL scheme register'!$C$7:$C$98,"Unclear",'EL scheme register'!$AJ$7:$AJ$98,"Yes")</f>
        <v/>
      </c>
      <c r="N25" s="77">
        <f>SUM(I25:M25)</f>
        <v/>
      </c>
      <c r="O25" s="77">
        <f>COUNTIFS('EL scheme register'!$A$7:$A$98,$A25,'EL scheme register'!$AF$7:$AF$98,"Potentially relevant; evidence incomplete",'EL scheme register'!$AI$7:$AI$98,"Yes")</f>
        <v/>
      </c>
      <c r="P25" s="77">
        <f>COUNTIFS('EL scheme register'!$A$7:$A$98,$A25,'EL scheme register'!$AF$7:$AF$98,"Outside strict definition")</f>
        <v/>
      </c>
      <c r="Q25" s="77">
        <f>COUNTIF('EL exclusions &amp; gaps'!$B$7:$B$5000,$A25)</f>
        <v/>
      </c>
      <c r="R25" s="77" t="inlineStr">
        <is>
          <t>Not reviewed</t>
        </is>
      </c>
      <c r="S25" s="77" t="inlineStr">
        <is>
          <t>Not reviewed</t>
        </is>
      </c>
      <c r="T25" s="77" t="inlineStr"/>
      <c r="U25" s="77" t="inlineStr"/>
      <c r="V25" s="77" t="inlineStr">
        <is>
          <t>Not reviewed</t>
        </is>
      </c>
      <c r="W25" s="77" t="inlineStr"/>
      <c r="X25" s="77" t="inlineStr"/>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Not started</t>
        </is>
      </c>
      <c r="I26" s="77">
        <f>COUNTIFS('EL scheme register'!$A$7:$A$98,$A26,'EL scheme register'!$C$7:$C$98,"University-wide",'EL scheme register'!$AJ$7:$AJ$98,"Yes")</f>
        <v/>
      </c>
      <c r="J26" s="77">
        <f>COUNTIFS('EL scheme register'!$A$7:$A$98,$A26,'EL scheme register'!$C$7:$C$98,"Cross-faculty",'EL scheme register'!$AJ$7:$AJ$98,"Yes")</f>
        <v/>
      </c>
      <c r="K26" s="77">
        <f>COUNTIFS('EL scheme register'!$A$7:$A$98,$A26,'EL scheme register'!$C$7:$C$98,"Faculty/school",'EL scheme register'!$AJ$7:$AJ$98,"Yes")</f>
        <v/>
      </c>
      <c r="L26" s="77">
        <f>COUNTIFS('EL scheme register'!$A$7:$A$98,$A26,'EL scheme register'!$C$7:$C$98,"Programme/course",'EL scheme register'!$AJ$7:$AJ$98,"Yes")</f>
        <v/>
      </c>
      <c r="M26" s="77">
        <f>COUNTIFS('EL scheme register'!$A$7:$A$98,$A26,'EL scheme register'!$C$7:$C$98,"Unclear",'EL scheme register'!$AJ$7:$AJ$98,"Yes")</f>
        <v/>
      </c>
      <c r="N26" s="77">
        <f>SUM(I26:M26)</f>
        <v/>
      </c>
      <c r="O26" s="77">
        <f>COUNTIFS('EL scheme register'!$A$7:$A$98,$A26,'EL scheme register'!$AF$7:$AF$98,"Potentially relevant; evidence incomplete",'EL scheme register'!$AI$7:$AI$98,"Yes")</f>
        <v/>
      </c>
      <c r="P26" s="77">
        <f>COUNTIFS('EL scheme register'!$A$7:$A$98,$A26,'EL scheme register'!$AF$7:$AF$98,"Outside strict definition")</f>
        <v/>
      </c>
      <c r="Q26" s="77">
        <f>COUNTIF('EL exclusions &amp; gaps'!$B$7:$B$5000,$A26)</f>
        <v/>
      </c>
      <c r="R26" s="77" t="inlineStr">
        <is>
          <t>Not reviewed</t>
        </is>
      </c>
      <c r="S26" s="77" t="inlineStr">
        <is>
          <t>Not reviewed</t>
        </is>
      </c>
      <c r="T26" s="77" t="inlineStr"/>
      <c r="U26" s="77" t="inlineStr"/>
      <c r="V26" s="77" t="inlineStr">
        <is>
          <t>Not reviewed</t>
        </is>
      </c>
      <c r="W26" s="77" t="inlineStr"/>
      <c r="X26" s="77" t="inlineStr"/>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Not started</t>
        </is>
      </c>
      <c r="I27" s="77">
        <f>COUNTIFS('EL scheme register'!$A$7:$A$98,$A27,'EL scheme register'!$C$7:$C$98,"University-wide",'EL scheme register'!$AJ$7:$AJ$98,"Yes")</f>
        <v/>
      </c>
      <c r="J27" s="77">
        <f>COUNTIFS('EL scheme register'!$A$7:$A$98,$A27,'EL scheme register'!$C$7:$C$98,"Cross-faculty",'EL scheme register'!$AJ$7:$AJ$98,"Yes")</f>
        <v/>
      </c>
      <c r="K27" s="77">
        <f>COUNTIFS('EL scheme register'!$A$7:$A$98,$A27,'EL scheme register'!$C$7:$C$98,"Faculty/school",'EL scheme register'!$AJ$7:$AJ$98,"Yes")</f>
        <v/>
      </c>
      <c r="L27" s="77">
        <f>COUNTIFS('EL scheme register'!$A$7:$A$98,$A27,'EL scheme register'!$C$7:$C$98,"Programme/course",'EL scheme register'!$AJ$7:$AJ$98,"Yes")</f>
        <v/>
      </c>
      <c r="M27" s="77">
        <f>COUNTIFS('EL scheme register'!$A$7:$A$98,$A27,'EL scheme register'!$C$7:$C$98,"Unclear",'EL scheme register'!$AJ$7:$AJ$98,"Yes")</f>
        <v/>
      </c>
      <c r="N27" s="77">
        <f>SUM(I27:M27)</f>
        <v/>
      </c>
      <c r="O27" s="77">
        <f>COUNTIFS('EL scheme register'!$A$7:$A$98,$A27,'EL scheme register'!$AF$7:$AF$98,"Potentially relevant; evidence incomplete",'EL scheme register'!$AI$7:$AI$98,"Yes")</f>
        <v/>
      </c>
      <c r="P27" s="77">
        <f>COUNTIFS('EL scheme register'!$A$7:$A$98,$A27,'EL scheme register'!$AF$7:$AF$98,"Outside strict definition")</f>
        <v/>
      </c>
      <c r="Q27" s="77">
        <f>COUNTIF('EL exclusions &amp; gaps'!$B$7:$B$5000,$A27)</f>
        <v/>
      </c>
      <c r="R27" s="77" t="inlineStr">
        <is>
          <t>Not reviewed</t>
        </is>
      </c>
      <c r="S27" s="77" t="inlineStr">
        <is>
          <t>Not reviewed</t>
        </is>
      </c>
      <c r="T27" s="77" t="inlineStr"/>
      <c r="U27" s="77" t="inlineStr"/>
      <c r="V27" s="77" t="inlineStr">
        <is>
          <t>Not reviewed</t>
        </is>
      </c>
      <c r="W27" s="77" t="inlineStr"/>
      <c r="X27" s="77" t="inlineStr"/>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Not started</t>
        </is>
      </c>
      <c r="I28" s="77">
        <f>COUNTIFS('EL scheme register'!$A$7:$A$98,$A28,'EL scheme register'!$C$7:$C$98,"University-wide",'EL scheme register'!$AJ$7:$AJ$98,"Yes")</f>
        <v/>
      </c>
      <c r="J28" s="77">
        <f>COUNTIFS('EL scheme register'!$A$7:$A$98,$A28,'EL scheme register'!$C$7:$C$98,"Cross-faculty",'EL scheme register'!$AJ$7:$AJ$98,"Yes")</f>
        <v/>
      </c>
      <c r="K28" s="77">
        <f>COUNTIFS('EL scheme register'!$A$7:$A$98,$A28,'EL scheme register'!$C$7:$C$98,"Faculty/school",'EL scheme register'!$AJ$7:$AJ$98,"Yes")</f>
        <v/>
      </c>
      <c r="L28" s="77">
        <f>COUNTIFS('EL scheme register'!$A$7:$A$98,$A28,'EL scheme register'!$C$7:$C$98,"Programme/course",'EL scheme register'!$AJ$7:$AJ$98,"Yes")</f>
        <v/>
      </c>
      <c r="M28" s="77">
        <f>COUNTIFS('EL scheme register'!$A$7:$A$98,$A28,'EL scheme register'!$C$7:$C$98,"Unclear",'EL scheme register'!$AJ$7:$AJ$98,"Yes")</f>
        <v/>
      </c>
      <c r="N28" s="77">
        <f>SUM(I28:M28)</f>
        <v/>
      </c>
      <c r="O28" s="77">
        <f>COUNTIFS('EL scheme register'!$A$7:$A$98,$A28,'EL scheme register'!$AF$7:$AF$98,"Potentially relevant; evidence incomplete",'EL scheme register'!$AI$7:$AI$98,"Yes")</f>
        <v/>
      </c>
      <c r="P28" s="77">
        <f>COUNTIFS('EL scheme register'!$A$7:$A$98,$A28,'EL scheme register'!$AF$7:$AF$98,"Outside strict definition")</f>
        <v/>
      </c>
      <c r="Q28" s="77">
        <f>COUNTIF('EL exclusions &amp; gaps'!$B$7:$B$5000,$A28)</f>
        <v/>
      </c>
      <c r="R28" s="77" t="inlineStr">
        <is>
          <t>Not reviewed</t>
        </is>
      </c>
      <c r="S28" s="77" t="inlineStr">
        <is>
          <t>Not reviewed</t>
        </is>
      </c>
      <c r="T28" s="77" t="inlineStr"/>
      <c r="U28" s="77" t="inlineStr"/>
      <c r="V28" s="77" t="inlineStr">
        <is>
          <t>Not reviewed</t>
        </is>
      </c>
      <c r="W28" s="77" t="inlineStr"/>
      <c r="X28" s="77" t="inlineStr"/>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Not started</t>
        </is>
      </c>
      <c r="I29" s="77">
        <f>COUNTIFS('EL scheme register'!$A$7:$A$98,$A29,'EL scheme register'!$C$7:$C$98,"University-wide",'EL scheme register'!$AJ$7:$AJ$98,"Yes")</f>
        <v/>
      </c>
      <c r="J29" s="77">
        <f>COUNTIFS('EL scheme register'!$A$7:$A$98,$A29,'EL scheme register'!$C$7:$C$98,"Cross-faculty",'EL scheme register'!$AJ$7:$AJ$98,"Yes")</f>
        <v/>
      </c>
      <c r="K29" s="77">
        <f>COUNTIFS('EL scheme register'!$A$7:$A$98,$A29,'EL scheme register'!$C$7:$C$98,"Faculty/school",'EL scheme register'!$AJ$7:$AJ$98,"Yes")</f>
        <v/>
      </c>
      <c r="L29" s="77">
        <f>COUNTIFS('EL scheme register'!$A$7:$A$98,$A29,'EL scheme register'!$C$7:$C$98,"Programme/course",'EL scheme register'!$AJ$7:$AJ$98,"Yes")</f>
        <v/>
      </c>
      <c r="M29" s="77">
        <f>COUNTIFS('EL scheme register'!$A$7:$A$98,$A29,'EL scheme register'!$C$7:$C$98,"Unclear",'EL scheme register'!$AJ$7:$AJ$98,"Yes")</f>
        <v/>
      </c>
      <c r="N29" s="77">
        <f>SUM(I29:M29)</f>
        <v/>
      </c>
      <c r="O29" s="77">
        <f>COUNTIFS('EL scheme register'!$A$7:$A$98,$A29,'EL scheme register'!$AF$7:$AF$98,"Potentially relevant; evidence incomplete",'EL scheme register'!$AI$7:$AI$98,"Yes")</f>
        <v/>
      </c>
      <c r="P29" s="77">
        <f>COUNTIFS('EL scheme register'!$A$7:$A$98,$A29,'EL scheme register'!$AF$7:$AF$98,"Outside strict definition")</f>
        <v/>
      </c>
      <c r="Q29" s="77">
        <f>COUNTIF('EL exclusions &amp; gaps'!$B$7:$B$5000,$A29)</f>
        <v/>
      </c>
      <c r="R29" s="77" t="inlineStr">
        <is>
          <t>Not reviewed</t>
        </is>
      </c>
      <c r="S29" s="77" t="inlineStr">
        <is>
          <t>Not reviewed</t>
        </is>
      </c>
      <c r="T29" s="77" t="inlineStr"/>
      <c r="U29" s="77" t="inlineStr"/>
      <c r="V29" s="77" t="inlineStr">
        <is>
          <t>Not reviewed</t>
        </is>
      </c>
      <c r="W29" s="77" t="inlineStr"/>
      <c r="X29" s="77" t="inlineStr"/>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Not started</t>
        </is>
      </c>
      <c r="I30" s="77">
        <f>COUNTIFS('EL scheme register'!$A$7:$A$98,$A30,'EL scheme register'!$C$7:$C$98,"University-wide",'EL scheme register'!$AJ$7:$AJ$98,"Yes")</f>
        <v/>
      </c>
      <c r="J30" s="77">
        <f>COUNTIFS('EL scheme register'!$A$7:$A$98,$A30,'EL scheme register'!$C$7:$C$98,"Cross-faculty",'EL scheme register'!$AJ$7:$AJ$98,"Yes")</f>
        <v/>
      </c>
      <c r="K30" s="77">
        <f>COUNTIFS('EL scheme register'!$A$7:$A$98,$A30,'EL scheme register'!$C$7:$C$98,"Faculty/school",'EL scheme register'!$AJ$7:$AJ$98,"Yes")</f>
        <v/>
      </c>
      <c r="L30" s="77">
        <f>COUNTIFS('EL scheme register'!$A$7:$A$98,$A30,'EL scheme register'!$C$7:$C$98,"Programme/course",'EL scheme register'!$AJ$7:$AJ$98,"Yes")</f>
        <v/>
      </c>
      <c r="M30" s="77">
        <f>COUNTIFS('EL scheme register'!$A$7:$A$98,$A30,'EL scheme register'!$C$7:$C$98,"Unclear",'EL scheme register'!$AJ$7:$AJ$98,"Yes")</f>
        <v/>
      </c>
      <c r="N30" s="77">
        <f>SUM(I30:M30)</f>
        <v/>
      </c>
      <c r="O30" s="77">
        <f>COUNTIFS('EL scheme register'!$A$7:$A$98,$A30,'EL scheme register'!$AF$7:$AF$98,"Potentially relevant; evidence incomplete",'EL scheme register'!$AI$7:$AI$98,"Yes")</f>
        <v/>
      </c>
      <c r="P30" s="77">
        <f>COUNTIFS('EL scheme register'!$A$7:$A$98,$A30,'EL scheme register'!$AF$7:$AF$98,"Outside strict definition")</f>
        <v/>
      </c>
      <c r="Q30" s="77">
        <f>COUNTIF('EL exclusions &amp; gaps'!$B$7:$B$5000,$A30)</f>
        <v/>
      </c>
      <c r="R30" s="77" t="inlineStr">
        <is>
          <t>Not reviewed</t>
        </is>
      </c>
      <c r="S30" s="77" t="inlineStr">
        <is>
          <t>Not reviewed</t>
        </is>
      </c>
      <c r="T30" s="77" t="inlineStr"/>
      <c r="U30" s="77" t="inlineStr"/>
      <c r="V30" s="77" t="inlineStr">
        <is>
          <t>Not reviewed</t>
        </is>
      </c>
      <c r="W30" s="77" t="inlineStr"/>
      <c r="X30" s="77" t="inlineStr"/>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register'!$A$7:$A$98,$A31,'EL scheme register'!$C$7:$C$98,"University-wide",'EL scheme register'!$AJ$7:$AJ$98,"Yes")</f>
        <v/>
      </c>
      <c r="J31" s="77">
        <f>COUNTIFS('EL scheme register'!$A$7:$A$98,$A31,'EL scheme register'!$C$7:$C$98,"Cross-faculty",'EL scheme register'!$AJ$7:$AJ$98,"Yes")</f>
        <v/>
      </c>
      <c r="K31" s="77">
        <f>COUNTIFS('EL scheme register'!$A$7:$A$98,$A31,'EL scheme register'!$C$7:$C$98,"Faculty/school",'EL scheme register'!$AJ$7:$AJ$98,"Yes")</f>
        <v/>
      </c>
      <c r="L31" s="77">
        <f>COUNTIFS('EL scheme register'!$A$7:$A$98,$A31,'EL scheme register'!$C$7:$C$98,"Programme/course",'EL scheme register'!$AJ$7:$AJ$98,"Yes")</f>
        <v/>
      </c>
      <c r="M31" s="77">
        <f>COUNTIFS('EL scheme register'!$A$7:$A$98,$A31,'EL scheme register'!$C$7:$C$98,"Unclear",'EL scheme register'!$AJ$7:$AJ$98,"Yes")</f>
        <v/>
      </c>
      <c r="N31" s="77">
        <f>SUM(I31:M31)</f>
        <v/>
      </c>
      <c r="O31" s="77">
        <f>COUNTIFS('EL scheme register'!$A$7:$A$98,$A31,'EL scheme register'!$AF$7:$AF$98,"Potentially relevant; evidence incomplete",'EL scheme register'!$AI$7:$AI$98,"Yes")</f>
        <v/>
      </c>
      <c r="P31" s="77">
        <f>COUNTIFS('EL scheme register'!$A$7:$A$98,$A31,'EL scheme register'!$AF$7:$AF$98,"Outside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register'!$A$7:$A$98,$A32,'EL scheme register'!$C$7:$C$98,"University-wide",'EL scheme register'!$AJ$7:$AJ$98,"Yes")</f>
        <v/>
      </c>
      <c r="J32" s="77">
        <f>COUNTIFS('EL scheme register'!$A$7:$A$98,$A32,'EL scheme register'!$C$7:$C$98,"Cross-faculty",'EL scheme register'!$AJ$7:$AJ$98,"Yes")</f>
        <v/>
      </c>
      <c r="K32" s="77">
        <f>COUNTIFS('EL scheme register'!$A$7:$A$98,$A32,'EL scheme register'!$C$7:$C$98,"Faculty/school",'EL scheme register'!$AJ$7:$AJ$98,"Yes")</f>
        <v/>
      </c>
      <c r="L32" s="77">
        <f>COUNTIFS('EL scheme register'!$A$7:$A$98,$A32,'EL scheme register'!$C$7:$C$98,"Programme/course",'EL scheme register'!$AJ$7:$AJ$98,"Yes")</f>
        <v/>
      </c>
      <c r="M32" s="77">
        <f>COUNTIFS('EL scheme register'!$A$7:$A$98,$A32,'EL scheme register'!$C$7:$C$98,"Unclear",'EL scheme register'!$AJ$7:$AJ$98,"Yes")</f>
        <v/>
      </c>
      <c r="N32" s="77">
        <f>SUM(I32:M32)</f>
        <v/>
      </c>
      <c r="O32" s="77">
        <f>COUNTIFS('EL scheme register'!$A$7:$A$98,$A32,'EL scheme register'!$AF$7:$AF$98,"Potentially relevant; evidence incomplete",'EL scheme register'!$AI$7:$AI$98,"Yes")</f>
        <v/>
      </c>
      <c r="P32" s="77">
        <f>COUNTIFS('EL scheme register'!$A$7:$A$98,$A32,'EL scheme register'!$AF$7:$AF$98,"Outside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Not started</t>
        </is>
      </c>
      <c r="I33" s="77">
        <f>COUNTIFS('EL scheme register'!$A$7:$A$98,$A33,'EL scheme register'!$C$7:$C$98,"University-wide",'EL scheme register'!$AJ$7:$AJ$98,"Yes")</f>
        <v/>
      </c>
      <c r="J33" s="77">
        <f>COUNTIFS('EL scheme register'!$A$7:$A$98,$A33,'EL scheme register'!$C$7:$C$98,"Cross-faculty",'EL scheme register'!$AJ$7:$AJ$98,"Yes")</f>
        <v/>
      </c>
      <c r="K33" s="77">
        <f>COUNTIFS('EL scheme register'!$A$7:$A$98,$A33,'EL scheme register'!$C$7:$C$98,"Faculty/school",'EL scheme register'!$AJ$7:$AJ$98,"Yes")</f>
        <v/>
      </c>
      <c r="L33" s="77">
        <f>COUNTIFS('EL scheme register'!$A$7:$A$98,$A33,'EL scheme register'!$C$7:$C$98,"Programme/course",'EL scheme register'!$AJ$7:$AJ$98,"Yes")</f>
        <v/>
      </c>
      <c r="M33" s="77">
        <f>COUNTIFS('EL scheme register'!$A$7:$A$98,$A33,'EL scheme register'!$C$7:$C$98,"Unclear",'EL scheme register'!$AJ$7:$AJ$98,"Yes")</f>
        <v/>
      </c>
      <c r="N33" s="77">
        <f>SUM(I33:M33)</f>
        <v/>
      </c>
      <c r="O33" s="77">
        <f>COUNTIFS('EL scheme register'!$A$7:$A$98,$A33,'EL scheme register'!$AF$7:$AF$98,"Potentially relevant; evidence incomplete",'EL scheme register'!$AI$7:$AI$98,"Yes")</f>
        <v/>
      </c>
      <c r="P33" s="77">
        <f>COUNTIFS('EL scheme register'!$A$7:$A$98,$A33,'EL scheme register'!$AF$7:$AF$98,"Outside strict definition")</f>
        <v/>
      </c>
      <c r="Q33" s="77">
        <f>COUNTIF('EL exclusions &amp; gaps'!$B$7:$B$5000,$A33)</f>
        <v/>
      </c>
      <c r="R33" s="77" t="inlineStr">
        <is>
          <t>Not reviewed</t>
        </is>
      </c>
      <c r="S33" s="77" t="inlineStr">
        <is>
          <t>Not reviewed</t>
        </is>
      </c>
      <c r="T33" s="77" t="inlineStr"/>
      <c r="U33" s="77" t="inlineStr"/>
      <c r="V33" s="77" t="inlineStr">
        <is>
          <t>Not reviewed</t>
        </is>
      </c>
      <c r="W33" s="77" t="inlineStr"/>
      <c r="X33" s="77" t="inlineStr"/>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register'!$A$7:$A$98,$A34,'EL scheme register'!$C$7:$C$98,"University-wide",'EL scheme register'!$AJ$7:$AJ$98,"Yes")</f>
        <v/>
      </c>
      <c r="J34" s="77">
        <f>COUNTIFS('EL scheme register'!$A$7:$A$98,$A34,'EL scheme register'!$C$7:$C$98,"Cross-faculty",'EL scheme register'!$AJ$7:$AJ$98,"Yes")</f>
        <v/>
      </c>
      <c r="K34" s="77">
        <f>COUNTIFS('EL scheme register'!$A$7:$A$98,$A34,'EL scheme register'!$C$7:$C$98,"Faculty/school",'EL scheme register'!$AJ$7:$AJ$98,"Yes")</f>
        <v/>
      </c>
      <c r="L34" s="77">
        <f>COUNTIFS('EL scheme register'!$A$7:$A$98,$A34,'EL scheme register'!$C$7:$C$98,"Programme/course",'EL scheme register'!$AJ$7:$AJ$98,"Yes")</f>
        <v/>
      </c>
      <c r="M34" s="77">
        <f>COUNTIFS('EL scheme register'!$A$7:$A$98,$A34,'EL scheme register'!$C$7:$C$98,"Unclear",'EL scheme register'!$AJ$7:$AJ$98,"Yes")</f>
        <v/>
      </c>
      <c r="N34" s="77">
        <f>SUM(I34:M34)</f>
        <v/>
      </c>
      <c r="O34" s="77">
        <f>COUNTIFS('EL scheme register'!$A$7:$A$98,$A34,'EL scheme register'!$AF$7:$AF$98,"Potentially relevant; evidence incomplete",'EL scheme register'!$AI$7:$AI$98,"Yes")</f>
        <v/>
      </c>
      <c r="P34" s="77">
        <f>COUNTIFS('EL scheme register'!$A$7:$A$98,$A34,'EL scheme register'!$AF$7:$AF$98,"Outside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register'!$A$7:$A$98,$A35,'EL scheme register'!$C$7:$C$98,"University-wide",'EL scheme register'!$AJ$7:$AJ$98,"Yes")</f>
        <v/>
      </c>
      <c r="J35" s="77">
        <f>COUNTIFS('EL scheme register'!$A$7:$A$98,$A35,'EL scheme register'!$C$7:$C$98,"Cross-faculty",'EL scheme register'!$AJ$7:$AJ$98,"Yes")</f>
        <v/>
      </c>
      <c r="K35" s="77">
        <f>COUNTIFS('EL scheme register'!$A$7:$A$98,$A35,'EL scheme register'!$C$7:$C$98,"Faculty/school",'EL scheme register'!$AJ$7:$AJ$98,"Yes")</f>
        <v/>
      </c>
      <c r="L35" s="77">
        <f>COUNTIFS('EL scheme register'!$A$7:$A$98,$A35,'EL scheme register'!$C$7:$C$98,"Programme/course",'EL scheme register'!$AJ$7:$AJ$98,"Yes")</f>
        <v/>
      </c>
      <c r="M35" s="77">
        <f>COUNTIFS('EL scheme register'!$A$7:$A$98,$A35,'EL scheme register'!$C$7:$C$98,"Unclear",'EL scheme register'!$AJ$7:$AJ$98,"Yes")</f>
        <v/>
      </c>
      <c r="N35" s="77">
        <f>SUM(I35:M35)</f>
        <v/>
      </c>
      <c r="O35" s="77">
        <f>COUNTIFS('EL scheme register'!$A$7:$A$98,$A35,'EL scheme register'!$AF$7:$AF$98,"Potentially relevant; evidence incomplete",'EL scheme register'!$AI$7:$AI$98,"Yes")</f>
        <v/>
      </c>
      <c r="P35" s="77">
        <f>COUNTIFS('EL scheme register'!$A$7:$A$98,$A35,'EL scheme register'!$AF$7:$AF$98,"Outside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Partial</t>
        </is>
      </c>
      <c r="I36" s="77">
        <f>COUNTIFS('EL scheme register'!$A$7:$A$98,$A36,'EL scheme register'!$C$7:$C$98,"University-wide",'EL scheme register'!$AJ$7:$AJ$98,"Yes")</f>
        <v/>
      </c>
      <c r="J36" s="77">
        <f>COUNTIFS('EL scheme register'!$A$7:$A$98,$A36,'EL scheme register'!$C$7:$C$98,"Cross-faculty",'EL scheme register'!$AJ$7:$AJ$98,"Yes")</f>
        <v/>
      </c>
      <c r="K36" s="77">
        <f>COUNTIFS('EL scheme register'!$A$7:$A$98,$A36,'EL scheme register'!$C$7:$C$98,"Faculty/school",'EL scheme register'!$AJ$7:$AJ$98,"Yes")</f>
        <v/>
      </c>
      <c r="L36" s="77">
        <f>COUNTIFS('EL scheme register'!$A$7:$A$98,$A36,'EL scheme register'!$C$7:$C$98,"Programme/course",'EL scheme register'!$AJ$7:$AJ$98,"Yes")</f>
        <v/>
      </c>
      <c r="M36" s="77">
        <f>COUNTIFS('EL scheme register'!$A$7:$A$98,$A36,'EL scheme register'!$C$7:$C$98,"Unclear",'EL scheme register'!$AJ$7:$AJ$98,"Yes")</f>
        <v/>
      </c>
      <c r="N36" s="77">
        <f>SUM(I36:M36)</f>
        <v/>
      </c>
      <c r="O36" s="77">
        <f>COUNTIFS('EL scheme register'!$A$7:$A$98,$A36,'EL scheme register'!$AF$7:$AF$98,"Potentially relevant; evidence incomplete",'EL scheme register'!$AI$7:$AI$98,"Yes")</f>
        <v/>
      </c>
      <c r="P36" s="77">
        <f>COUNTIFS('EL scheme register'!$A$7:$A$98,$A36,'EL scheme register'!$AF$7:$AF$98,"Outside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t>
        </is>
      </c>
      <c r="U36" s="77" t="inlineStr">
        <is>
          <t>Business/management: 3; Central provision: 1</t>
        </is>
      </c>
      <c r="V36" s="77" t="inlineStr">
        <is>
          <t>Several distributed routes</t>
        </is>
      </c>
      <c r="W36" s="77" t="inlineStr">
        <is>
          <t>University of Queensland (partial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theme-</t>
        </is>
      </c>
      <c r="X36" s="77" t="inlineStr">
        <is>
          <t>Science, HASS and other faculties not searched; engineering discipline design courses not searched; Ventures Industry Challenge judging/brief role of external partners unclear; PBEL3000 2026-27 offering not confirmed; MGTS7818 status (likely replaced by Impact Academy) unconfirmed; no UQ participation numbers for Practera or BEL projects. | PARTIAL REVIEW — remaining: Science, arts/humanities/social sciences and other (law, health, architecture) areas not searched; engineering discipline capstones (civil, chemical, mechanical, mining, architecture studios) not searched; other UQ Ventures challenges not tested. Shared WebSearch budget for the session ran out after 12 searches for UQ.</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register'!$A$7:$A$98,$A37,'EL scheme register'!$C$7:$C$98,"University-wide",'EL scheme register'!$AJ$7:$AJ$98,"Yes")</f>
        <v/>
      </c>
      <c r="J37" s="77">
        <f>COUNTIFS('EL scheme register'!$A$7:$A$98,$A37,'EL scheme register'!$C$7:$C$98,"Cross-faculty",'EL scheme register'!$AJ$7:$AJ$98,"Yes")</f>
        <v/>
      </c>
      <c r="K37" s="77">
        <f>COUNTIFS('EL scheme register'!$A$7:$A$98,$A37,'EL scheme register'!$C$7:$C$98,"Faculty/school",'EL scheme register'!$AJ$7:$AJ$98,"Yes")</f>
        <v/>
      </c>
      <c r="L37" s="77">
        <f>COUNTIFS('EL scheme register'!$A$7:$A$98,$A37,'EL scheme register'!$C$7:$C$98,"Programme/course",'EL scheme register'!$AJ$7:$AJ$98,"Yes")</f>
        <v/>
      </c>
      <c r="M37" s="77">
        <f>COUNTIFS('EL scheme register'!$A$7:$A$98,$A37,'EL scheme register'!$C$7:$C$98,"Unclear",'EL scheme register'!$AJ$7:$AJ$98,"Yes")</f>
        <v/>
      </c>
      <c r="N37" s="77">
        <f>SUM(I37:M37)</f>
        <v/>
      </c>
      <c r="O37" s="77">
        <f>COUNTIFS('EL scheme register'!$A$7:$A$98,$A37,'EL scheme register'!$AF$7:$AF$98,"Potentially relevant; evidence incomplete",'EL scheme register'!$AI$7:$AI$98,"Yes")</f>
        <v/>
      </c>
      <c r="P37" s="77">
        <f>COUNTIFS('EL scheme register'!$A$7:$A$98,$A37,'EL scheme register'!$AF$7:$AF$98,"Outside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register'!$A$7:$A$98,$A38,'EL scheme register'!$C$7:$C$98,"University-wide",'EL scheme register'!$AJ$7:$AJ$98,"Yes")</f>
        <v/>
      </c>
      <c r="J38" s="77">
        <f>COUNTIFS('EL scheme register'!$A$7:$A$98,$A38,'EL scheme register'!$C$7:$C$98,"Cross-faculty",'EL scheme register'!$AJ$7:$AJ$98,"Yes")</f>
        <v/>
      </c>
      <c r="K38" s="77">
        <f>COUNTIFS('EL scheme register'!$A$7:$A$98,$A38,'EL scheme register'!$C$7:$C$98,"Faculty/school",'EL scheme register'!$AJ$7:$AJ$98,"Yes")</f>
        <v/>
      </c>
      <c r="L38" s="77">
        <f>COUNTIFS('EL scheme register'!$A$7:$A$98,$A38,'EL scheme register'!$C$7:$C$98,"Programme/course",'EL scheme register'!$AJ$7:$AJ$98,"Yes")</f>
        <v/>
      </c>
      <c r="M38" s="77">
        <f>COUNTIFS('EL scheme register'!$A$7:$A$98,$A38,'EL scheme register'!$C$7:$C$98,"Unclear",'EL scheme register'!$AJ$7:$AJ$98,"Yes")</f>
        <v/>
      </c>
      <c r="N38" s="77">
        <f>SUM(I38:M38)</f>
        <v/>
      </c>
      <c r="O38" s="77">
        <f>COUNTIFS('EL scheme register'!$A$7:$A$98,$A38,'EL scheme register'!$AF$7:$AF$98,"Potentially relevant; evidence incomplete",'EL scheme register'!$AI$7:$AI$98,"Yes")</f>
        <v/>
      </c>
      <c r="P38" s="77">
        <f>COUNTIFS('EL scheme register'!$A$7:$A$98,$A38,'EL scheme register'!$AF$7:$AF$98,"Outside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Partial</t>
        </is>
      </c>
      <c r="I39" s="77">
        <f>COUNTIFS('EL scheme register'!$A$7:$A$98,$A39,'EL scheme register'!$C$7:$C$98,"University-wide",'EL scheme register'!$AJ$7:$AJ$98,"Yes")</f>
        <v/>
      </c>
      <c r="J39" s="77">
        <f>COUNTIFS('EL scheme register'!$A$7:$A$98,$A39,'EL scheme register'!$C$7:$C$98,"Cross-faculty",'EL scheme register'!$AJ$7:$AJ$98,"Yes")</f>
        <v/>
      </c>
      <c r="K39" s="77">
        <f>COUNTIFS('EL scheme register'!$A$7:$A$98,$A39,'EL scheme register'!$C$7:$C$98,"Faculty/school",'EL scheme register'!$AJ$7:$AJ$98,"Yes")</f>
        <v/>
      </c>
      <c r="L39" s="77">
        <f>COUNTIFS('EL scheme register'!$A$7:$A$98,$A39,'EL scheme register'!$C$7:$C$98,"Programme/course",'EL scheme register'!$AJ$7:$AJ$98,"Yes")</f>
        <v/>
      </c>
      <c r="M39" s="77">
        <f>COUNTIFS('EL scheme register'!$A$7:$A$98,$A39,'EL scheme register'!$C$7:$C$98,"Unclear",'EL scheme register'!$AJ$7:$AJ$98,"Yes")</f>
        <v/>
      </c>
      <c r="N39" s="77">
        <f>SUM(I39:M39)</f>
        <v/>
      </c>
      <c r="O39" s="77">
        <f>COUNTIFS('EL scheme register'!$A$7:$A$98,$A39,'EL scheme register'!$AF$7:$AF$98,"Potentially relevant; evidence incomplete",'EL scheme register'!$AI$7:$AI$98,"Yes")</f>
        <v/>
      </c>
      <c r="P39" s="77">
        <f>COUNTIFS('EL scheme register'!$A$7:$A$98,$A39,'EL scheme register'!$AF$7:$AF$98,"Outside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 xml:space="preserve">UTS (partial review; the search budget ran out after the central searches). Two central routes were verified. Transdisciplinary (TD) Electives are 8 TD School subjects (6 or 8 cp) open to undergraduates across UTS, except BCII students. Each subject is paired with a partner on a three-year cycle; 2026 partners are UNICEF Australia, City of Sydney, Microsoft, Miro, Lane Cove Council and ServiceRocket. Partners co-design the challenge, record learning content, and mentor and give feedback in live sessions. Students from across faculties work in teams on proposals. The team format comes from search summaries, not quoted handbook text. The route is optional and elective, and 2026 delivery is confirmed. UTS Shopfront brokers projects from not-for-profits and social enterprises into coursework subjects. Students, usually final-year or postgraduate, work in teams as consultants for credit. It reports more than 1,698 cumulative projects (May 2026). The participating subjects were not identified. The Industry Innovation Project is a 13-week final-year BCII subject. Teams of 5–7 work with an industry mentor and present prototypes and a report to the partner (2026). No faculty-level searches </t>
        </is>
      </c>
      <c r="X39" s="77" t="inlineStr">
        <is>
          <t>Faculty-level provision was not searched at all because the search budget ran out. Also unresolved: group format of the TD Electives in the 2026 handbook; Shopfront host subjects; whether the Industry Innovation Project is core to BCII. Further departmental instances likely (e.g. engineering/IT capstones, business consulting subjects, design studios). | PARTIAL REVIEW — remaining: The search budget ran out after 7 searches. Still to do: (1) faculty-level searches for business (consulting or capstone subjects), engineering and IT (capstones, software studios), science, arts and social sciences (communication, education), and other areas (design, architecture and building, law, health); (2) checking the TD Electives group/team format and assessment in the 2026 handbook subject pages (only search-summary paraphrases were obtained); (3) the Shopfront participating-subject list and a quoted team-format extract; (4) the participation mode of the BCII Industry Innovation Project.</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register'!$A$7:$A$98,$A40,'EL scheme register'!$C$7:$C$98,"University-wide",'EL scheme register'!$AJ$7:$AJ$98,"Yes")</f>
        <v/>
      </c>
      <c r="J40" s="77">
        <f>COUNTIFS('EL scheme register'!$A$7:$A$98,$A40,'EL scheme register'!$C$7:$C$98,"Cross-faculty",'EL scheme register'!$AJ$7:$AJ$98,"Yes")</f>
        <v/>
      </c>
      <c r="K40" s="77">
        <f>COUNTIFS('EL scheme register'!$A$7:$A$98,$A40,'EL scheme register'!$C$7:$C$98,"Faculty/school",'EL scheme register'!$AJ$7:$AJ$98,"Yes")</f>
        <v/>
      </c>
      <c r="L40" s="77">
        <f>COUNTIFS('EL scheme register'!$A$7:$A$98,$A40,'EL scheme register'!$C$7:$C$98,"Programme/course",'EL scheme register'!$AJ$7:$AJ$98,"Yes")</f>
        <v/>
      </c>
      <c r="M40" s="77">
        <f>COUNTIFS('EL scheme register'!$A$7:$A$98,$A40,'EL scheme register'!$C$7:$C$98,"Unclear",'EL scheme register'!$AJ$7:$AJ$98,"Yes")</f>
        <v/>
      </c>
      <c r="N40" s="77">
        <f>SUM(I40:M40)</f>
        <v/>
      </c>
      <c r="O40" s="77">
        <f>COUNTIFS('EL scheme register'!$A$7:$A$98,$A40,'EL scheme register'!$AF$7:$AF$98,"Potentially relevant; evidence incomplete",'EL scheme register'!$AI$7:$AI$98,"Yes")</f>
        <v/>
      </c>
      <c r="P40" s="77">
        <f>COUNTIFS('EL scheme register'!$A$7:$A$98,$A40,'EL scheme register'!$AF$7:$AF$98,"Outside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register'!$A$7:$A$98,$A41,'EL scheme register'!$C$7:$C$98,"University-wide",'EL scheme register'!$AJ$7:$AJ$98,"Yes")</f>
        <v/>
      </c>
      <c r="J41" s="77">
        <f>COUNTIFS('EL scheme register'!$A$7:$A$98,$A41,'EL scheme register'!$C$7:$C$98,"Cross-faculty",'EL scheme register'!$AJ$7:$AJ$98,"Yes")</f>
        <v/>
      </c>
      <c r="K41" s="77">
        <f>COUNTIFS('EL scheme register'!$A$7:$A$98,$A41,'EL scheme register'!$C$7:$C$98,"Faculty/school",'EL scheme register'!$AJ$7:$AJ$98,"Yes")</f>
        <v/>
      </c>
      <c r="L41" s="77">
        <f>COUNTIFS('EL scheme register'!$A$7:$A$98,$A41,'EL scheme register'!$C$7:$C$98,"Programme/course",'EL scheme register'!$AJ$7:$AJ$98,"Yes")</f>
        <v/>
      </c>
      <c r="M41" s="77">
        <f>COUNTIFS('EL scheme register'!$A$7:$A$98,$A41,'EL scheme register'!$C$7:$C$98,"Unclear",'EL scheme register'!$AJ$7:$AJ$98,"Yes")</f>
        <v/>
      </c>
      <c r="N41" s="77">
        <f>SUM(I41:M41)</f>
        <v/>
      </c>
      <c r="O41" s="77">
        <f>COUNTIFS('EL scheme register'!$A$7:$A$98,$A41,'EL scheme register'!$AF$7:$AF$98,"Potentially relevant; evidence incomplete",'EL scheme register'!$AI$7:$AI$98,"Yes")</f>
        <v/>
      </c>
      <c r="P41" s="77">
        <f>COUNTIFS('EL scheme register'!$A$7:$A$98,$A41,'EL scheme register'!$AF$7:$AF$98,"Outside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Partial</t>
        </is>
      </c>
      <c r="I42" s="77">
        <f>COUNTIFS('EL scheme register'!$A$7:$A$98,$A42,'EL scheme register'!$C$7:$C$98,"University-wide",'EL scheme register'!$AJ$7:$AJ$98,"Yes")</f>
        <v/>
      </c>
      <c r="J42" s="77">
        <f>COUNTIFS('EL scheme register'!$A$7:$A$98,$A42,'EL scheme register'!$C$7:$C$98,"Cross-faculty",'EL scheme register'!$AJ$7:$AJ$98,"Yes")</f>
        <v/>
      </c>
      <c r="K42" s="77">
        <f>COUNTIFS('EL scheme register'!$A$7:$A$98,$A42,'EL scheme register'!$C$7:$C$98,"Faculty/school",'EL scheme register'!$AJ$7:$AJ$98,"Yes")</f>
        <v/>
      </c>
      <c r="L42" s="77">
        <f>COUNTIFS('EL scheme register'!$A$7:$A$98,$A42,'EL scheme register'!$C$7:$C$98,"Programme/course",'EL scheme register'!$AJ$7:$AJ$98,"Yes")</f>
        <v/>
      </c>
      <c r="M42" s="77">
        <f>COUNTIFS('EL scheme register'!$A$7:$A$98,$A42,'EL scheme register'!$C$7:$C$98,"Unclear",'EL scheme register'!$AJ$7:$AJ$98,"Yes")</f>
        <v/>
      </c>
      <c r="N42" s="77">
        <f>SUM(I42:M42)</f>
        <v/>
      </c>
      <c r="O42" s="77">
        <f>COUNTIFS('EL scheme register'!$A$7:$A$98,$A42,'EL scheme register'!$AF$7:$AF$98,"Potentially relevant; evidence incomplete",'EL scheme register'!$AI$7:$AI$98,"Yes")</f>
        <v/>
      </c>
      <c r="P42" s="77">
        <f>COUNTIFS('EL scheme register'!$A$7:$A$98,$A42,'EL scheme register'!$AF$7:$AF$98,"Outside strict definition")</f>
        <v/>
      </c>
      <c r="Q42" s="77">
        <f>COUNTIF('EL exclusions &amp; gaps'!$B$7:$B$5000,$A42)</f>
        <v/>
      </c>
      <c r="R42" s="77" t="inlineStr">
        <is>
          <t>Not evidenced</t>
        </is>
      </c>
      <c r="S42" s="77" t="inlineStr">
        <is>
          <t>Not evidenced</t>
        </is>
      </c>
      <c r="T42" s="77" t="inlineStr"/>
      <c r="U42" s="77" t="inlineStr"/>
      <c r="V42" s="77" t="inlineStr">
        <is>
          <t>Unclear</t>
        </is>
      </c>
      <c r="W42" s="77" t="inlineStr">
        <is>
          <t>St Andrews (partial review, 8 searches): no qualifying scheme verified through the documented search so far. Several group project routes were found, but none has evidence that an external organisation is the standard client. - Vertically Integrated Projects (VIP): credit-bearing modules (10-30 SCOTCAT per semester; 5 for returners) in which a supervisor leads a mixed-discipline, mixed-level student team working on an ongoing research project. Applications for 2026/27 opened in April 2026. Projects are academic-led. External practitioners appear only in individual projects (e.g. St Andrews Forest), and that project's report goes to an internal University board, so C is Unclear. - STEP (Summer Team Enterprise Programme): an online 7-week programme for teams of 6-7 undergraduates, running in 2026 and recorded on the HEAR. The consulting projects are designed by University staff for University Schools and service units, so they are internal clients (C = No). - CS3099 Software Engineering Team Project: a year-3 group software build (30 credits, running in 2026/27). A 2025 blog reports Experian and Skyscanner involvement, but their role is not described. - Management MSc: the course pag</t>
        </is>
      </c>
      <c r="X42" s="77" t="inlineStr">
        <is>
          <t>Review incomplete: science, AHSS and other areas not searched; Business School consultancy module (MSc/MLitt) not identified; VIP project-level external partners not enumerated; VIP faculty eligibility (legacy: Arts and Science) not re-verified; CS3099 partner role and compulsory status unknown; Playfair pro bono consultancy (student-led) not examined; 2026 STEP project list not retrieved. | PARTIAL REVIEW — remaining: Science, arts/humanities/social sciences and other (Medicine, Divinity) areas not searched; Business School consultancy-project module not identified; VIP project list not checked for external partners; Playfair not researched. Stopped after 8 searches because the shared per-turn WebSearch limit (200 calls) was exhausted.</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Not started</t>
        </is>
      </c>
      <c r="I43" s="77">
        <f>COUNTIFS('EL scheme register'!$A$7:$A$98,$A43,'EL scheme register'!$C$7:$C$98,"University-wide",'EL scheme register'!$AJ$7:$AJ$98,"Yes")</f>
        <v/>
      </c>
      <c r="J43" s="77">
        <f>COUNTIFS('EL scheme register'!$A$7:$A$98,$A43,'EL scheme register'!$C$7:$C$98,"Cross-faculty",'EL scheme register'!$AJ$7:$AJ$98,"Yes")</f>
        <v/>
      </c>
      <c r="K43" s="77">
        <f>COUNTIFS('EL scheme register'!$A$7:$A$98,$A43,'EL scheme register'!$C$7:$C$98,"Faculty/school",'EL scheme register'!$AJ$7:$AJ$98,"Yes")</f>
        <v/>
      </c>
      <c r="L43" s="77">
        <f>COUNTIFS('EL scheme register'!$A$7:$A$98,$A43,'EL scheme register'!$C$7:$C$98,"Programme/course",'EL scheme register'!$AJ$7:$AJ$98,"Yes")</f>
        <v/>
      </c>
      <c r="M43" s="77">
        <f>COUNTIFS('EL scheme register'!$A$7:$A$98,$A43,'EL scheme register'!$C$7:$C$98,"Unclear",'EL scheme register'!$AJ$7:$AJ$98,"Yes")</f>
        <v/>
      </c>
      <c r="N43" s="77">
        <f>SUM(I43:M43)</f>
        <v/>
      </c>
      <c r="O43" s="77">
        <f>COUNTIFS('EL scheme register'!$A$7:$A$98,$A43,'EL scheme register'!$AF$7:$AF$98,"Potentially relevant; evidence incomplete",'EL scheme register'!$AI$7:$AI$98,"Yes")</f>
        <v/>
      </c>
      <c r="P43" s="77">
        <f>COUNTIFS('EL scheme register'!$A$7:$A$98,$A43,'EL scheme register'!$AF$7:$AF$98,"Outside strict definition")</f>
        <v/>
      </c>
      <c r="Q43" s="77">
        <f>COUNTIF('EL exclusions &amp; gaps'!$B$7:$B$5000,$A43)</f>
        <v/>
      </c>
      <c r="R43" s="77" t="inlineStr">
        <is>
          <t>Not reviewed</t>
        </is>
      </c>
      <c r="S43" s="77" t="inlineStr">
        <is>
          <t>Not reviewed</t>
        </is>
      </c>
      <c r="T43" s="77" t="inlineStr"/>
      <c r="U43" s="77" t="inlineStr"/>
      <c r="V43" s="77" t="inlineStr">
        <is>
          <t>Not reviewed</t>
        </is>
      </c>
      <c r="W43" s="77" t="inlineStr"/>
      <c r="X43" s="77" t="inlineStr"/>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Not started</t>
        </is>
      </c>
      <c r="I44" s="77">
        <f>COUNTIFS('EL scheme register'!$A$7:$A$98,$A44,'EL scheme register'!$C$7:$C$98,"University-wide",'EL scheme register'!$AJ$7:$AJ$98,"Yes")</f>
        <v/>
      </c>
      <c r="J44" s="77">
        <f>COUNTIFS('EL scheme register'!$A$7:$A$98,$A44,'EL scheme register'!$C$7:$C$98,"Cross-faculty",'EL scheme register'!$AJ$7:$AJ$98,"Yes")</f>
        <v/>
      </c>
      <c r="K44" s="77">
        <f>COUNTIFS('EL scheme register'!$A$7:$A$98,$A44,'EL scheme register'!$C$7:$C$98,"Faculty/school",'EL scheme register'!$AJ$7:$AJ$98,"Yes")</f>
        <v/>
      </c>
      <c r="L44" s="77">
        <f>COUNTIFS('EL scheme register'!$A$7:$A$98,$A44,'EL scheme register'!$C$7:$C$98,"Programme/course",'EL scheme register'!$AJ$7:$AJ$98,"Yes")</f>
        <v/>
      </c>
      <c r="M44" s="77">
        <f>COUNTIFS('EL scheme register'!$A$7:$A$98,$A44,'EL scheme register'!$C$7:$C$98,"Unclear",'EL scheme register'!$AJ$7:$AJ$98,"Yes")</f>
        <v/>
      </c>
      <c r="N44" s="77">
        <f>SUM(I44:M44)</f>
        <v/>
      </c>
      <c r="O44" s="77">
        <f>COUNTIFS('EL scheme register'!$A$7:$A$98,$A44,'EL scheme register'!$AF$7:$AF$98,"Potentially relevant; evidence incomplete",'EL scheme register'!$AI$7:$AI$98,"Yes")</f>
        <v/>
      </c>
      <c r="P44" s="77">
        <f>COUNTIFS('EL scheme register'!$A$7:$A$98,$A44,'EL scheme register'!$AF$7:$AF$98,"Outside strict definition")</f>
        <v/>
      </c>
      <c r="Q44" s="77">
        <f>COUNTIF('EL exclusions &amp; gaps'!$B$7:$B$5000,$A44)</f>
        <v/>
      </c>
      <c r="R44" s="77" t="inlineStr">
        <is>
          <t>Not reviewed</t>
        </is>
      </c>
      <c r="S44" s="77" t="inlineStr">
        <is>
          <t>Not reviewed</t>
        </is>
      </c>
      <c r="T44" s="77" t="inlineStr"/>
      <c r="U44" s="77" t="inlineStr"/>
      <c r="V44" s="77" t="inlineStr">
        <is>
          <t>Not reviewed</t>
        </is>
      </c>
      <c r="W44" s="77" t="inlineStr"/>
      <c r="X44" s="77" t="inlineStr"/>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Partial</t>
        </is>
      </c>
      <c r="I45" s="77">
        <f>COUNTIFS('EL scheme register'!$A$7:$A$98,$A45,'EL scheme register'!$C$7:$C$98,"University-wide",'EL scheme register'!$AJ$7:$AJ$98,"Yes")</f>
        <v/>
      </c>
      <c r="J45" s="77">
        <f>COUNTIFS('EL scheme register'!$A$7:$A$98,$A45,'EL scheme register'!$C$7:$C$98,"Cross-faculty",'EL scheme register'!$AJ$7:$AJ$98,"Yes")</f>
        <v/>
      </c>
      <c r="K45" s="77">
        <f>COUNTIFS('EL scheme register'!$A$7:$A$98,$A45,'EL scheme register'!$C$7:$C$98,"Faculty/school",'EL scheme register'!$AJ$7:$AJ$98,"Yes")</f>
        <v/>
      </c>
      <c r="L45" s="77">
        <f>COUNTIFS('EL scheme register'!$A$7:$A$98,$A45,'EL scheme register'!$C$7:$C$98,"Programme/course",'EL scheme register'!$AJ$7:$AJ$98,"Yes")</f>
        <v/>
      </c>
      <c r="M45" s="77">
        <f>COUNTIFS('EL scheme register'!$A$7:$A$98,$A45,'EL scheme register'!$C$7:$C$98,"Unclear",'EL scheme register'!$AJ$7:$AJ$98,"Yes")</f>
        <v/>
      </c>
      <c r="N45" s="77">
        <f>SUM(I45:M45)</f>
        <v/>
      </c>
      <c r="O45" s="77">
        <f>COUNTIFS('EL scheme register'!$A$7:$A$98,$A45,'EL scheme register'!$AF$7:$AF$98,"Potentially relevant; evidence incomplete",'EL scheme register'!$AI$7:$AI$98,"Yes")</f>
        <v/>
      </c>
      <c r="P45" s="77">
        <f>COUNTIFS('EL scheme register'!$A$7:$A$98,$A45,'EL scheme register'!$AF$7:$AF$98,"Outside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Partial review: the search budget ran out after 4 searches. Aberdeen has at least three curricular routes that put students in teams on externally sponsored projects: - PD2503 Work-Based Learning: Team Projects with Employer Partners. A 15-credit, Level 2 elective open to undergraduates in any discipline, with entry by application and interview. Teams agree a project plan with a sponsoring organisation, submit a group report and pitch to the sponsors. It launched in January 2025 with 23 students; delivery in 2025/26 is not confirmed. - ED3537 Employer-led Interdisciplinary Project. A Level 3 small-group consultancy project hosted by micro-businesses, organisations or charities. The latest evidence is the 2023/24 catalogue. - ED251A Engineering Work Experience. A 15-credit second-year engineering course: a group consultancy project for a local engineering organisation, with current delivery confirmed for 2025/26. Computing Science also runs a Year 4 work-based learning course with employer-proposed projects and weekly employer meetings, but team working is unverified. Careers runs the extracurricular ABDN Grad Challenge, virtual cross-discipline team challenges set by employer partn</t>
        </is>
      </c>
      <c r="X45" s="77" t="inlineStr">
        <is>
          <t>Business school, science, arts/humanities/social sciences, law and medicine/health were not searched. The current status of PD2503 and ED3537 is unconfirmed. ED251A assessment and compulsory status, the Computing Science course code and group working, and Grad Challenge details are still open. Most evidence is search-summary paraphrase, not verbatim. The search budget was exhausted, so further departmental instances are likely. | PARTIAL REVIEW — remaining: The shared WebSearch budget ran out after 4 searches. Still to do: business school, science, arts/humanities/social sciences and other (law, medicine/health) areas are all unsearched. Also outstanding: verbatim evidence and 2025/26–2026/27 delivery for PD2503 and ED3537; ED251A assessment and compulsory status; Computing Science course code and team working; Grad Challenge details; ABDN Internships seven-week employer-project strand; engineering employer page (other engineering design projects).</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Not started</t>
        </is>
      </c>
      <c r="I46" s="77">
        <f>COUNTIFS('EL scheme register'!$A$7:$A$98,$A46,'EL scheme register'!$C$7:$C$98,"University-wide",'EL scheme register'!$AJ$7:$AJ$98,"Yes")</f>
        <v/>
      </c>
      <c r="J46" s="77">
        <f>COUNTIFS('EL scheme register'!$A$7:$A$98,$A46,'EL scheme register'!$C$7:$C$98,"Cross-faculty",'EL scheme register'!$AJ$7:$AJ$98,"Yes")</f>
        <v/>
      </c>
      <c r="K46" s="77">
        <f>COUNTIFS('EL scheme register'!$A$7:$A$98,$A46,'EL scheme register'!$C$7:$C$98,"Faculty/school",'EL scheme register'!$AJ$7:$AJ$98,"Yes")</f>
        <v/>
      </c>
      <c r="L46" s="77">
        <f>COUNTIFS('EL scheme register'!$A$7:$A$98,$A46,'EL scheme register'!$C$7:$C$98,"Programme/course",'EL scheme register'!$AJ$7:$AJ$98,"Yes")</f>
        <v/>
      </c>
      <c r="M46" s="77">
        <f>COUNTIFS('EL scheme register'!$A$7:$A$98,$A46,'EL scheme register'!$C$7:$C$98,"Unclear",'EL scheme register'!$AJ$7:$AJ$98,"Yes")</f>
        <v/>
      </c>
      <c r="N46" s="77">
        <f>SUM(I46:M46)</f>
        <v/>
      </c>
      <c r="O46" s="77">
        <f>COUNTIFS('EL scheme register'!$A$7:$A$98,$A46,'EL scheme register'!$AF$7:$AF$98,"Potentially relevant; evidence incomplete",'EL scheme register'!$AI$7:$AI$98,"Yes")</f>
        <v/>
      </c>
      <c r="P46" s="77">
        <f>COUNTIFS('EL scheme register'!$A$7:$A$98,$A46,'EL scheme register'!$AF$7:$AF$98,"Outside strict definition")</f>
        <v/>
      </c>
      <c r="Q46" s="77">
        <f>COUNTIF('EL exclusions &amp; gaps'!$B$7:$B$5000,$A46)</f>
        <v/>
      </c>
      <c r="R46" s="77" t="inlineStr">
        <is>
          <t>Not reviewed</t>
        </is>
      </c>
      <c r="S46" s="77" t="inlineStr">
        <is>
          <t>Not reviewed</t>
        </is>
      </c>
      <c r="T46" s="77" t="inlineStr"/>
      <c r="U46" s="77" t="inlineStr"/>
      <c r="V46" s="77" t="inlineStr">
        <is>
          <t>Not reviewed</t>
        </is>
      </c>
      <c r="W46" s="77" t="inlineStr"/>
      <c r="X46" s="77" t="inlineStr"/>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Not started</t>
        </is>
      </c>
      <c r="I47" s="77">
        <f>COUNTIFS('EL scheme register'!$A$7:$A$98,$A47,'EL scheme register'!$C$7:$C$98,"University-wide",'EL scheme register'!$AJ$7:$AJ$98,"Yes")</f>
        <v/>
      </c>
      <c r="J47" s="77">
        <f>COUNTIFS('EL scheme register'!$A$7:$A$98,$A47,'EL scheme register'!$C$7:$C$98,"Cross-faculty",'EL scheme register'!$AJ$7:$AJ$98,"Yes")</f>
        <v/>
      </c>
      <c r="K47" s="77">
        <f>COUNTIFS('EL scheme register'!$A$7:$A$98,$A47,'EL scheme register'!$C$7:$C$98,"Faculty/school",'EL scheme register'!$AJ$7:$AJ$98,"Yes")</f>
        <v/>
      </c>
      <c r="L47" s="77">
        <f>COUNTIFS('EL scheme register'!$A$7:$A$98,$A47,'EL scheme register'!$C$7:$C$98,"Programme/course",'EL scheme register'!$AJ$7:$AJ$98,"Yes")</f>
        <v/>
      </c>
      <c r="M47" s="77">
        <f>COUNTIFS('EL scheme register'!$A$7:$A$98,$A47,'EL scheme register'!$C$7:$C$98,"Unclear",'EL scheme register'!$AJ$7:$AJ$98,"Yes")</f>
        <v/>
      </c>
      <c r="N47" s="77">
        <f>SUM(I47:M47)</f>
        <v/>
      </c>
      <c r="O47" s="77">
        <f>COUNTIFS('EL scheme register'!$A$7:$A$98,$A47,'EL scheme register'!$AF$7:$AF$98,"Potentially relevant; evidence incomplete",'EL scheme register'!$AI$7:$AI$98,"Yes")</f>
        <v/>
      </c>
      <c r="P47" s="77">
        <f>COUNTIFS('EL scheme register'!$A$7:$A$98,$A47,'EL scheme register'!$AF$7:$AF$98,"Outside strict definition")</f>
        <v/>
      </c>
      <c r="Q47" s="77">
        <f>COUNTIF('EL exclusions &amp; gaps'!$B$7:$B$5000,$A47)</f>
        <v/>
      </c>
      <c r="R47" s="77" t="inlineStr">
        <is>
          <t>Not reviewed</t>
        </is>
      </c>
      <c r="S47" s="77" t="inlineStr">
        <is>
          <t>Not reviewed</t>
        </is>
      </c>
      <c r="T47" s="77" t="inlineStr"/>
      <c r="U47" s="77" t="inlineStr"/>
      <c r="V47" s="77" t="inlineStr">
        <is>
          <t>Not reviewed</t>
        </is>
      </c>
      <c r="W47" s="77" t="inlineStr"/>
      <c r="X47" s="77" t="inlineStr"/>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Partial</t>
        </is>
      </c>
      <c r="I48" s="77">
        <f>COUNTIFS('EL scheme register'!$A$7:$A$98,$A48,'EL scheme register'!$C$7:$C$98,"University-wide",'EL scheme register'!$AJ$7:$AJ$98,"Yes")</f>
        <v/>
      </c>
      <c r="J48" s="77">
        <f>COUNTIFS('EL scheme register'!$A$7:$A$98,$A48,'EL scheme register'!$C$7:$C$98,"Cross-faculty",'EL scheme register'!$AJ$7:$AJ$98,"Yes")</f>
        <v/>
      </c>
      <c r="K48" s="77">
        <f>COUNTIFS('EL scheme register'!$A$7:$A$98,$A48,'EL scheme register'!$C$7:$C$98,"Faculty/school",'EL scheme register'!$AJ$7:$AJ$98,"Yes")</f>
        <v/>
      </c>
      <c r="L48" s="77">
        <f>COUNTIFS('EL scheme register'!$A$7:$A$98,$A48,'EL scheme register'!$C$7:$C$98,"Programme/course",'EL scheme register'!$AJ$7:$AJ$98,"Yes")</f>
        <v/>
      </c>
      <c r="M48" s="77">
        <f>COUNTIFS('EL scheme register'!$A$7:$A$98,$A48,'EL scheme register'!$C$7:$C$98,"Unclear",'EL scheme register'!$AJ$7:$AJ$98,"Yes")</f>
        <v/>
      </c>
      <c r="N48" s="77">
        <f>SUM(I48:M48)</f>
        <v/>
      </c>
      <c r="O48" s="77">
        <f>COUNTIFS('EL scheme register'!$A$7:$A$98,$A48,'EL scheme register'!$AF$7:$AF$98,"Potentially relevant; evidence incomplete",'EL scheme register'!$AI$7:$AI$98,"Yes")</f>
        <v/>
      </c>
      <c r="P48" s="77">
        <f>COUNTIFS('EL scheme register'!$A$7:$A$98,$A48,'EL scheme register'!$AF$7:$AF$98,"Outside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Unclear</t>
        </is>
      </c>
      <c r="W48" s="77" t="inlineStr">
        <is>
          <t>Partial review (search budget exhausted after 6 searches; only central and business areas searched).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&amp; Informatics, sciences, arts/humanities/social sciences, law, medicine and IDS were not searched, so the extent of embedding cannot be judged</t>
        </is>
      </c>
      <c r="X48" s="77" t="inlineStr">
        <is>
          <t>Five of six areas wholly or partly unsearched (see partial_remaining). Current delivery of the PG Consultancy Project not corroborated for 2025/26+. Marketing capstone client involvement unknown. Business Analytics MSc / IBD consultancy projects and the 'Changing the Face of Consultancy' variant untested. | PARTIAL REVIEW — remaining: Search budget exhausted after 6 searches. Not searched: engineering_computing (School of Engineering and Informatics group/industry projects), science (Life Sciences, Maths &amp; Physical Sciences), arts_humanities_social_sciences (incl. Global Studies, Media, Psychology, Education), other (Law, BSMS medicine, IDS). Business partly searched (Business Analytics MSc / International Business and Development consultancy projects, Business School guaranteed internship/work project page, 'Changing the Face of Consultancy' scheme not tested). Legacy Connector Programme assessed from the legacy row only, not re-searched.</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Not started</t>
        </is>
      </c>
      <c r="I49" s="77">
        <f>COUNTIFS('EL scheme register'!$A$7:$A$98,$A49,'EL scheme register'!$C$7:$C$98,"University-wide",'EL scheme register'!$AJ$7:$AJ$98,"Yes")</f>
        <v/>
      </c>
      <c r="J49" s="77">
        <f>COUNTIFS('EL scheme register'!$A$7:$A$98,$A49,'EL scheme register'!$C$7:$C$98,"Cross-faculty",'EL scheme register'!$AJ$7:$AJ$98,"Yes")</f>
        <v/>
      </c>
      <c r="K49" s="77">
        <f>COUNTIFS('EL scheme register'!$A$7:$A$98,$A49,'EL scheme register'!$C$7:$C$98,"Faculty/school",'EL scheme register'!$AJ$7:$AJ$98,"Yes")</f>
        <v/>
      </c>
      <c r="L49" s="77">
        <f>COUNTIFS('EL scheme register'!$A$7:$A$98,$A49,'EL scheme register'!$C$7:$C$98,"Programme/course",'EL scheme register'!$AJ$7:$AJ$98,"Yes")</f>
        <v/>
      </c>
      <c r="M49" s="77">
        <f>COUNTIFS('EL scheme register'!$A$7:$A$98,$A49,'EL scheme register'!$C$7:$C$98,"Unclear",'EL scheme register'!$AJ$7:$AJ$98,"Yes")</f>
        <v/>
      </c>
      <c r="N49" s="77">
        <f>SUM(I49:M49)</f>
        <v/>
      </c>
      <c r="O49" s="77">
        <f>COUNTIFS('EL scheme register'!$A$7:$A$98,$A49,'EL scheme register'!$AF$7:$AF$98,"Potentially relevant; evidence incomplete",'EL scheme register'!$AI$7:$AI$98,"Yes")</f>
        <v/>
      </c>
      <c r="P49" s="77">
        <f>COUNTIFS('EL scheme register'!$A$7:$A$98,$A49,'EL scheme register'!$AF$7:$AF$98,"Outside strict definition")</f>
        <v/>
      </c>
      <c r="Q49" s="77">
        <f>COUNTIF('EL exclusions &amp; gaps'!$B$7:$B$5000,$A49)</f>
        <v/>
      </c>
      <c r="R49" s="77" t="inlineStr">
        <is>
          <t>Not reviewed</t>
        </is>
      </c>
      <c r="S49" s="77" t="inlineStr">
        <is>
          <t>Not reviewed</t>
        </is>
      </c>
      <c r="T49" s="77" t="inlineStr"/>
      <c r="U49" s="77" t="inlineStr"/>
      <c r="V49" s="77" t="inlineStr">
        <is>
          <t>Not reviewed</t>
        </is>
      </c>
      <c r="W49" s="77" t="inlineStr"/>
      <c r="X49" s="77" t="inlineStr"/>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Not started</t>
        </is>
      </c>
      <c r="I50" s="77">
        <f>COUNTIFS('EL scheme register'!$A$7:$A$98,$A50,'EL scheme register'!$C$7:$C$98,"University-wide",'EL scheme register'!$AJ$7:$AJ$98,"Yes")</f>
        <v/>
      </c>
      <c r="J50" s="77">
        <f>COUNTIFS('EL scheme register'!$A$7:$A$98,$A50,'EL scheme register'!$C$7:$C$98,"Cross-faculty",'EL scheme register'!$AJ$7:$AJ$98,"Yes")</f>
        <v/>
      </c>
      <c r="K50" s="77">
        <f>COUNTIFS('EL scheme register'!$A$7:$A$98,$A50,'EL scheme register'!$C$7:$C$98,"Faculty/school",'EL scheme register'!$AJ$7:$AJ$98,"Yes")</f>
        <v/>
      </c>
      <c r="L50" s="77">
        <f>COUNTIFS('EL scheme register'!$A$7:$A$98,$A50,'EL scheme register'!$C$7:$C$98,"Programme/course",'EL scheme register'!$AJ$7:$AJ$98,"Yes")</f>
        <v/>
      </c>
      <c r="M50" s="77">
        <f>COUNTIFS('EL scheme register'!$A$7:$A$98,$A50,'EL scheme register'!$C$7:$C$98,"Unclear",'EL scheme register'!$AJ$7:$AJ$98,"Yes")</f>
        <v/>
      </c>
      <c r="N50" s="77">
        <f>SUM(I50:M50)</f>
        <v/>
      </c>
      <c r="O50" s="77">
        <f>COUNTIFS('EL scheme register'!$A$7:$A$98,$A50,'EL scheme register'!$AF$7:$AF$98,"Potentially relevant; evidence incomplete",'EL scheme register'!$AI$7:$AI$98,"Yes")</f>
        <v/>
      </c>
      <c r="P50" s="77">
        <f>COUNTIFS('EL scheme register'!$A$7:$A$98,$A50,'EL scheme register'!$AF$7:$AF$98,"Outside strict definition")</f>
        <v/>
      </c>
      <c r="Q50" s="77">
        <f>COUNTIF('EL exclusions &amp; gaps'!$B$7:$B$5000,$A50)</f>
        <v/>
      </c>
      <c r="R50" s="77" t="inlineStr">
        <is>
          <t>Not reviewed</t>
        </is>
      </c>
      <c r="S50" s="77" t="inlineStr">
        <is>
          <t>Not reviewed</t>
        </is>
      </c>
      <c r="T50" s="77" t="inlineStr"/>
      <c r="U50" s="77" t="inlineStr"/>
      <c r="V50" s="77" t="inlineStr">
        <is>
          <t>Not reviewed</t>
        </is>
      </c>
      <c r="W50" s="77" t="inlineStr"/>
      <c r="X50" s="77" t="inlineStr"/>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register'!$A$7:$A$98,$A51,'EL scheme register'!$C$7:$C$98,"University-wide",'EL scheme register'!$AJ$7:$AJ$98,"Yes")</f>
        <v/>
      </c>
      <c r="J51" s="77">
        <f>COUNTIFS('EL scheme register'!$A$7:$A$98,$A51,'EL scheme register'!$C$7:$C$98,"Cross-faculty",'EL scheme register'!$AJ$7:$AJ$98,"Yes")</f>
        <v/>
      </c>
      <c r="K51" s="77">
        <f>COUNTIFS('EL scheme register'!$A$7:$A$98,$A51,'EL scheme register'!$C$7:$C$98,"Faculty/school",'EL scheme register'!$AJ$7:$AJ$98,"Yes")</f>
        <v/>
      </c>
      <c r="L51" s="77">
        <f>COUNTIFS('EL scheme register'!$A$7:$A$98,$A51,'EL scheme register'!$C$7:$C$98,"Programme/course",'EL scheme register'!$AJ$7:$AJ$98,"Yes")</f>
        <v/>
      </c>
      <c r="M51" s="77">
        <f>COUNTIFS('EL scheme register'!$A$7:$A$98,$A51,'EL scheme register'!$C$7:$C$98,"Unclear",'EL scheme register'!$AJ$7:$AJ$98,"Yes")</f>
        <v/>
      </c>
      <c r="N51" s="77">
        <f>SUM(I51:M51)</f>
        <v/>
      </c>
      <c r="O51" s="77">
        <f>COUNTIFS('EL scheme register'!$A$7:$A$98,$A51,'EL scheme register'!$AF$7:$AF$98,"Potentially relevant; evidence incomplete",'EL scheme register'!$AI$7:$AI$98,"Yes")</f>
        <v/>
      </c>
      <c r="P51" s="77">
        <f>COUNTIFS('EL scheme register'!$A$7:$A$98,$A51,'EL scheme register'!$AF$7:$AF$98,"Outside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Not started</t>
        </is>
      </c>
      <c r="I52" s="77">
        <f>COUNTIFS('EL scheme register'!$A$7:$A$98,$A52,'EL scheme register'!$C$7:$C$98,"University-wide",'EL scheme register'!$AJ$7:$AJ$98,"Yes")</f>
        <v/>
      </c>
      <c r="J52" s="77">
        <f>COUNTIFS('EL scheme register'!$A$7:$A$98,$A52,'EL scheme register'!$C$7:$C$98,"Cross-faculty",'EL scheme register'!$AJ$7:$AJ$98,"Yes")</f>
        <v/>
      </c>
      <c r="K52" s="77">
        <f>COUNTIFS('EL scheme register'!$A$7:$A$98,$A52,'EL scheme register'!$C$7:$C$98,"Faculty/school",'EL scheme register'!$AJ$7:$AJ$98,"Yes")</f>
        <v/>
      </c>
      <c r="L52" s="77">
        <f>COUNTIFS('EL scheme register'!$A$7:$A$98,$A52,'EL scheme register'!$C$7:$C$98,"Programme/course",'EL scheme register'!$AJ$7:$AJ$98,"Yes")</f>
        <v/>
      </c>
      <c r="M52" s="77">
        <f>COUNTIFS('EL scheme register'!$A$7:$A$98,$A52,'EL scheme register'!$C$7:$C$98,"Unclear",'EL scheme register'!$AJ$7:$AJ$98,"Yes")</f>
        <v/>
      </c>
      <c r="N52" s="77">
        <f>SUM(I52:M52)</f>
        <v/>
      </c>
      <c r="O52" s="77">
        <f>COUNTIFS('EL scheme register'!$A$7:$A$98,$A52,'EL scheme register'!$AF$7:$AF$98,"Potentially relevant; evidence incomplete",'EL scheme register'!$AI$7:$AI$98,"Yes")</f>
        <v/>
      </c>
      <c r="P52" s="77">
        <f>COUNTIFS('EL scheme register'!$A$7:$A$98,$A52,'EL scheme register'!$AF$7:$AF$98,"Outside strict definition")</f>
        <v/>
      </c>
      <c r="Q52" s="77">
        <f>COUNTIF('EL exclusions &amp; gaps'!$B$7:$B$5000,$A52)</f>
        <v/>
      </c>
      <c r="R52" s="77" t="inlineStr">
        <is>
          <t>Not reviewed</t>
        </is>
      </c>
      <c r="S52" s="77" t="inlineStr">
        <is>
          <t>Not reviewed</t>
        </is>
      </c>
      <c r="T52" s="77" t="inlineStr"/>
      <c r="U52" s="77" t="inlineStr"/>
      <c r="V52" s="77" t="inlineStr">
        <is>
          <t>Not reviewed</t>
        </is>
      </c>
      <c r="W52" s="77" t="inlineStr"/>
      <c r="X52" s="77" t="inlineStr"/>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register'!$A$7:$A$98,$A53,'EL scheme register'!$C$7:$C$98,"University-wide",'EL scheme register'!$AJ$7:$AJ$98,"Yes")</f>
        <v/>
      </c>
      <c r="J53" s="77">
        <f>COUNTIFS('EL scheme register'!$A$7:$A$98,$A53,'EL scheme register'!$C$7:$C$98,"Cross-faculty",'EL scheme register'!$AJ$7:$AJ$98,"Yes")</f>
        <v/>
      </c>
      <c r="K53" s="77">
        <f>COUNTIFS('EL scheme register'!$A$7:$A$98,$A53,'EL scheme register'!$C$7:$C$98,"Faculty/school",'EL scheme register'!$AJ$7:$AJ$98,"Yes")</f>
        <v/>
      </c>
      <c r="L53" s="77">
        <f>COUNTIFS('EL scheme register'!$A$7:$A$98,$A53,'EL scheme register'!$C$7:$C$98,"Programme/course",'EL scheme register'!$AJ$7:$AJ$98,"Yes")</f>
        <v/>
      </c>
      <c r="M53" s="77">
        <f>COUNTIFS('EL scheme register'!$A$7:$A$98,$A53,'EL scheme register'!$C$7:$C$98,"Unclear",'EL scheme register'!$AJ$7:$AJ$98,"Yes")</f>
        <v/>
      </c>
      <c r="N53" s="77">
        <f>SUM(I53:M53)</f>
        <v/>
      </c>
      <c r="O53" s="77">
        <f>COUNTIFS('EL scheme register'!$A$7:$A$98,$A53,'EL scheme register'!$AF$7:$AF$98,"Potentially relevant; evidence incomplete",'EL scheme register'!$AI$7:$AI$98,"Yes")</f>
        <v/>
      </c>
      <c r="P53" s="77">
        <f>COUNTIFS('EL scheme register'!$A$7:$A$98,$A53,'EL scheme register'!$AF$7:$AF$98,"Outside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register'!$A$7:$A$98,$A54,'EL scheme register'!$C$7:$C$98,"University-wide",'EL scheme register'!$AJ$7:$AJ$98,"Yes")</f>
        <v/>
      </c>
      <c r="J54" s="77">
        <f>COUNTIFS('EL scheme register'!$A$7:$A$98,$A54,'EL scheme register'!$C$7:$C$98,"Cross-faculty",'EL scheme register'!$AJ$7:$AJ$98,"Yes")</f>
        <v/>
      </c>
      <c r="K54" s="77">
        <f>COUNTIFS('EL scheme register'!$A$7:$A$98,$A54,'EL scheme register'!$C$7:$C$98,"Faculty/school",'EL scheme register'!$AJ$7:$AJ$98,"Yes")</f>
        <v/>
      </c>
      <c r="L54" s="77">
        <f>COUNTIFS('EL scheme register'!$A$7:$A$98,$A54,'EL scheme register'!$C$7:$C$98,"Programme/course",'EL scheme register'!$AJ$7:$AJ$98,"Yes")</f>
        <v/>
      </c>
      <c r="M54" s="77">
        <f>COUNTIFS('EL scheme register'!$A$7:$A$98,$A54,'EL scheme register'!$C$7:$C$98,"Unclear",'EL scheme register'!$AJ$7:$AJ$98,"Yes")</f>
        <v/>
      </c>
      <c r="N54" s="77">
        <f>SUM(I54:M54)</f>
        <v/>
      </c>
      <c r="O54" s="77">
        <f>COUNTIFS('EL scheme register'!$A$7:$A$98,$A54,'EL scheme register'!$AF$7:$AF$98,"Potentially relevant; evidence incomplete",'EL scheme register'!$AI$7:$AI$98,"Yes")</f>
        <v/>
      </c>
      <c r="P54" s="77">
        <f>COUNTIFS('EL scheme register'!$A$7:$A$98,$A54,'EL scheme register'!$AF$7:$AF$98,"Outside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Not started</t>
        </is>
      </c>
      <c r="I55" s="77">
        <f>COUNTIFS('EL scheme register'!$A$7:$A$98,$A55,'EL scheme register'!$C$7:$C$98,"University-wide",'EL scheme register'!$AJ$7:$AJ$98,"Yes")</f>
        <v/>
      </c>
      <c r="J55" s="77">
        <f>COUNTIFS('EL scheme register'!$A$7:$A$98,$A55,'EL scheme register'!$C$7:$C$98,"Cross-faculty",'EL scheme register'!$AJ$7:$AJ$98,"Yes")</f>
        <v/>
      </c>
      <c r="K55" s="77">
        <f>COUNTIFS('EL scheme register'!$A$7:$A$98,$A55,'EL scheme register'!$C$7:$C$98,"Faculty/school",'EL scheme register'!$AJ$7:$AJ$98,"Yes")</f>
        <v/>
      </c>
      <c r="L55" s="77">
        <f>COUNTIFS('EL scheme register'!$A$7:$A$98,$A55,'EL scheme register'!$C$7:$C$98,"Programme/course",'EL scheme register'!$AJ$7:$AJ$98,"Yes")</f>
        <v/>
      </c>
      <c r="M55" s="77">
        <f>COUNTIFS('EL scheme register'!$A$7:$A$98,$A55,'EL scheme register'!$C$7:$C$98,"Unclear",'EL scheme register'!$AJ$7:$AJ$98,"Yes")</f>
        <v/>
      </c>
      <c r="N55" s="77">
        <f>SUM(I55:M55)</f>
        <v/>
      </c>
      <c r="O55" s="77">
        <f>COUNTIFS('EL scheme register'!$A$7:$A$98,$A55,'EL scheme register'!$AF$7:$AF$98,"Potentially relevant; evidence incomplete",'EL scheme register'!$AI$7:$AI$98,"Yes")</f>
        <v/>
      </c>
      <c r="P55" s="77">
        <f>COUNTIFS('EL scheme register'!$A$7:$A$98,$A55,'EL scheme register'!$AF$7:$AF$98,"Outside strict definition")</f>
        <v/>
      </c>
      <c r="Q55" s="77">
        <f>COUNTIF('EL exclusions &amp; gaps'!$B$7:$B$5000,$A55)</f>
        <v/>
      </c>
      <c r="R55" s="77" t="inlineStr">
        <is>
          <t>Not reviewed</t>
        </is>
      </c>
      <c r="S55" s="77" t="inlineStr">
        <is>
          <t>Not reviewed</t>
        </is>
      </c>
      <c r="T55" s="77" t="inlineStr"/>
      <c r="U55" s="77" t="inlineStr"/>
      <c r="V55" s="77" t="inlineStr">
        <is>
          <t>Not reviewed</t>
        </is>
      </c>
      <c r="W55" s="77" t="inlineStr"/>
      <c r="X55" s="77" t="inlineStr"/>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register'!$A$7:$A$98,$A56,'EL scheme register'!$C$7:$C$98,"University-wide",'EL scheme register'!$AJ$7:$AJ$98,"Yes")</f>
        <v/>
      </c>
      <c r="J56" s="77">
        <f>COUNTIFS('EL scheme register'!$A$7:$A$98,$A56,'EL scheme register'!$C$7:$C$98,"Cross-faculty",'EL scheme register'!$AJ$7:$AJ$98,"Yes")</f>
        <v/>
      </c>
      <c r="K56" s="77">
        <f>COUNTIFS('EL scheme register'!$A$7:$A$98,$A56,'EL scheme register'!$C$7:$C$98,"Faculty/school",'EL scheme register'!$AJ$7:$AJ$98,"Yes")</f>
        <v/>
      </c>
      <c r="L56" s="77">
        <f>COUNTIFS('EL scheme register'!$A$7:$A$98,$A56,'EL scheme register'!$C$7:$C$98,"Programme/course",'EL scheme register'!$AJ$7:$AJ$98,"Yes")</f>
        <v/>
      </c>
      <c r="M56" s="77">
        <f>COUNTIFS('EL scheme register'!$A$7:$A$98,$A56,'EL scheme register'!$C$7:$C$98,"Unclear",'EL scheme register'!$AJ$7:$AJ$98,"Yes")</f>
        <v/>
      </c>
      <c r="N56" s="77">
        <f>SUM(I56:M56)</f>
        <v/>
      </c>
      <c r="O56" s="77">
        <f>COUNTIFS('EL scheme register'!$A$7:$A$98,$A56,'EL scheme register'!$AF$7:$AF$98,"Potentially relevant; evidence incomplete",'EL scheme register'!$AI$7:$AI$98,"Yes")</f>
        <v/>
      </c>
      <c r="P56" s="77">
        <f>COUNTIFS('EL scheme register'!$A$7:$A$98,$A56,'EL scheme register'!$AF$7:$AF$98,"Outside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Not started</t>
        </is>
      </c>
      <c r="I57" s="77">
        <f>COUNTIFS('EL scheme register'!$A$7:$A$98,$A57,'EL scheme register'!$C$7:$C$98,"University-wide",'EL scheme register'!$AJ$7:$AJ$98,"Yes")</f>
        <v/>
      </c>
      <c r="J57" s="77">
        <f>COUNTIFS('EL scheme register'!$A$7:$A$98,$A57,'EL scheme register'!$C$7:$C$98,"Cross-faculty",'EL scheme register'!$AJ$7:$AJ$98,"Yes")</f>
        <v/>
      </c>
      <c r="K57" s="77">
        <f>COUNTIFS('EL scheme register'!$A$7:$A$98,$A57,'EL scheme register'!$C$7:$C$98,"Faculty/school",'EL scheme register'!$AJ$7:$AJ$98,"Yes")</f>
        <v/>
      </c>
      <c r="L57" s="77">
        <f>COUNTIFS('EL scheme register'!$A$7:$A$98,$A57,'EL scheme register'!$C$7:$C$98,"Programme/course",'EL scheme register'!$AJ$7:$AJ$98,"Yes")</f>
        <v/>
      </c>
      <c r="M57" s="77">
        <f>COUNTIFS('EL scheme register'!$A$7:$A$98,$A57,'EL scheme register'!$C$7:$C$98,"Unclear",'EL scheme register'!$AJ$7:$AJ$98,"Yes")</f>
        <v/>
      </c>
      <c r="N57" s="77">
        <f>SUM(I57:M57)</f>
        <v/>
      </c>
      <c r="O57" s="77">
        <f>COUNTIFS('EL scheme register'!$A$7:$A$98,$A57,'EL scheme register'!$AF$7:$AF$98,"Potentially relevant; evidence incomplete",'EL scheme register'!$AI$7:$AI$98,"Yes")</f>
        <v/>
      </c>
      <c r="P57" s="77">
        <f>COUNTIFS('EL scheme register'!$A$7:$A$98,$A57,'EL scheme register'!$AF$7:$AF$98,"Outside strict definition")</f>
        <v/>
      </c>
      <c r="Q57" s="77">
        <f>COUNTIF('EL exclusions &amp; gaps'!$B$7:$B$5000,$A57)</f>
        <v/>
      </c>
      <c r="R57" s="77" t="inlineStr">
        <is>
          <t>Not reviewed</t>
        </is>
      </c>
      <c r="S57" s="77" t="inlineStr">
        <is>
          <t>Not reviewed</t>
        </is>
      </c>
      <c r="T57" s="77" t="inlineStr"/>
      <c r="U57" s="77" t="inlineStr"/>
      <c r="V57" s="77" t="inlineStr">
        <is>
          <t>Not reviewed</t>
        </is>
      </c>
      <c r="W57" s="77" t="inlineStr"/>
      <c r="X57" s="77" t="inlineStr"/>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register'!$A$7:$A$98,$A58,'EL scheme register'!$C$7:$C$98,"University-wide",'EL scheme register'!$AJ$7:$AJ$98,"Yes")</f>
        <v/>
      </c>
      <c r="J58" s="77">
        <f>COUNTIFS('EL scheme register'!$A$7:$A$98,$A58,'EL scheme register'!$C$7:$C$98,"Cross-faculty",'EL scheme register'!$AJ$7:$AJ$98,"Yes")</f>
        <v/>
      </c>
      <c r="K58" s="77">
        <f>COUNTIFS('EL scheme register'!$A$7:$A$98,$A58,'EL scheme register'!$C$7:$C$98,"Faculty/school",'EL scheme register'!$AJ$7:$AJ$98,"Yes")</f>
        <v/>
      </c>
      <c r="L58" s="77">
        <f>COUNTIFS('EL scheme register'!$A$7:$A$98,$A58,'EL scheme register'!$C$7:$C$98,"Programme/course",'EL scheme register'!$AJ$7:$AJ$98,"Yes")</f>
        <v/>
      </c>
      <c r="M58" s="77">
        <f>COUNTIFS('EL scheme register'!$A$7:$A$98,$A58,'EL scheme register'!$C$7:$C$98,"Unclear",'EL scheme register'!$AJ$7:$AJ$98,"Yes")</f>
        <v/>
      </c>
      <c r="N58" s="77">
        <f>SUM(I58:M58)</f>
        <v/>
      </c>
      <c r="O58" s="77">
        <f>COUNTIFS('EL scheme register'!$A$7:$A$98,$A58,'EL scheme register'!$AF$7:$AF$98,"Potentially relevant; evidence incomplete",'EL scheme register'!$AI$7:$AI$98,"Yes")</f>
        <v/>
      </c>
      <c r="P58" s="77">
        <f>COUNTIFS('EL scheme register'!$A$7:$A$98,$A58,'EL scheme register'!$AF$7:$AF$98,"Outside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register'!$A$7:$A$98,$A59,'EL scheme register'!$C$7:$C$98,"University-wide",'EL scheme register'!$AJ$7:$AJ$98,"Yes")</f>
        <v/>
      </c>
      <c r="J59" s="77">
        <f>COUNTIFS('EL scheme register'!$A$7:$A$98,$A59,'EL scheme register'!$C$7:$C$98,"Cross-faculty",'EL scheme register'!$AJ$7:$AJ$98,"Yes")</f>
        <v/>
      </c>
      <c r="K59" s="77">
        <f>COUNTIFS('EL scheme register'!$A$7:$A$98,$A59,'EL scheme register'!$C$7:$C$98,"Faculty/school",'EL scheme register'!$AJ$7:$AJ$98,"Yes")</f>
        <v/>
      </c>
      <c r="L59" s="77">
        <f>COUNTIFS('EL scheme register'!$A$7:$A$98,$A59,'EL scheme register'!$C$7:$C$98,"Programme/course",'EL scheme register'!$AJ$7:$AJ$98,"Yes")</f>
        <v/>
      </c>
      <c r="M59" s="77">
        <f>COUNTIFS('EL scheme register'!$A$7:$A$98,$A59,'EL scheme register'!$C$7:$C$98,"Unclear",'EL scheme register'!$AJ$7:$AJ$98,"Yes")</f>
        <v/>
      </c>
      <c r="N59" s="77">
        <f>SUM(I59:M59)</f>
        <v/>
      </c>
      <c r="O59" s="77">
        <f>COUNTIFS('EL scheme register'!$A$7:$A$98,$A59,'EL scheme register'!$AF$7:$AF$98,"Potentially relevant; evidence incomplete",'EL scheme register'!$AI$7:$AI$98,"Yes")</f>
        <v/>
      </c>
      <c r="P59" s="77">
        <f>COUNTIFS('EL scheme register'!$A$7:$A$98,$A59,'EL scheme register'!$AF$7:$AF$98,"Outside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register'!$A$7:$A$98,$A60,'EL scheme register'!$C$7:$C$98,"University-wide",'EL scheme register'!$AJ$7:$AJ$98,"Yes")</f>
        <v/>
      </c>
      <c r="J60" s="77">
        <f>COUNTIFS('EL scheme register'!$A$7:$A$98,$A60,'EL scheme register'!$C$7:$C$98,"Cross-faculty",'EL scheme register'!$AJ$7:$AJ$98,"Yes")</f>
        <v/>
      </c>
      <c r="K60" s="77">
        <f>COUNTIFS('EL scheme register'!$A$7:$A$98,$A60,'EL scheme register'!$C$7:$C$98,"Faculty/school",'EL scheme register'!$AJ$7:$AJ$98,"Yes")</f>
        <v/>
      </c>
      <c r="L60" s="77">
        <f>COUNTIFS('EL scheme register'!$A$7:$A$98,$A60,'EL scheme register'!$C$7:$C$98,"Programme/course",'EL scheme register'!$AJ$7:$AJ$98,"Yes")</f>
        <v/>
      </c>
      <c r="M60" s="77">
        <f>COUNTIFS('EL scheme register'!$A$7:$A$98,$A60,'EL scheme register'!$C$7:$C$98,"Unclear",'EL scheme register'!$AJ$7:$AJ$98,"Yes")</f>
        <v/>
      </c>
      <c r="N60" s="77">
        <f>SUM(I60:M60)</f>
        <v/>
      </c>
      <c r="O60" s="77">
        <f>COUNTIFS('EL scheme register'!$A$7:$A$98,$A60,'EL scheme register'!$AF$7:$AF$98,"Potentially relevant; evidence incomplete",'EL scheme register'!$AI$7:$AI$98,"Yes")</f>
        <v/>
      </c>
      <c r="P60" s="77">
        <f>COUNTIFS('EL scheme register'!$A$7:$A$98,$A60,'EL scheme register'!$AF$7:$AF$98,"Outside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register'!$A$7:$A$98,$A61,'EL scheme register'!$C$7:$C$98,"University-wide",'EL scheme register'!$AJ$7:$AJ$98,"Yes")</f>
        <v/>
      </c>
      <c r="J61" s="77">
        <f>COUNTIFS('EL scheme register'!$A$7:$A$98,$A61,'EL scheme register'!$C$7:$C$98,"Cross-faculty",'EL scheme register'!$AJ$7:$AJ$98,"Yes")</f>
        <v/>
      </c>
      <c r="K61" s="77">
        <f>COUNTIFS('EL scheme register'!$A$7:$A$98,$A61,'EL scheme register'!$C$7:$C$98,"Faculty/school",'EL scheme register'!$AJ$7:$AJ$98,"Yes")</f>
        <v/>
      </c>
      <c r="L61" s="77">
        <f>COUNTIFS('EL scheme register'!$A$7:$A$98,$A61,'EL scheme register'!$C$7:$C$98,"Programme/course",'EL scheme register'!$AJ$7:$AJ$98,"Yes")</f>
        <v/>
      </c>
      <c r="M61" s="77">
        <f>COUNTIFS('EL scheme register'!$A$7:$A$98,$A61,'EL scheme register'!$C$7:$C$98,"Unclear",'EL scheme register'!$AJ$7:$AJ$98,"Yes")</f>
        <v/>
      </c>
      <c r="N61" s="77">
        <f>SUM(I61:M61)</f>
        <v/>
      </c>
      <c r="O61" s="77">
        <f>COUNTIFS('EL scheme register'!$A$7:$A$98,$A61,'EL scheme register'!$AF$7:$AF$98,"Potentially relevant; evidence incomplete",'EL scheme register'!$AI$7:$AI$98,"Yes")</f>
        <v/>
      </c>
      <c r="P61" s="77">
        <f>COUNTIFS('EL scheme register'!$A$7:$A$98,$A61,'EL scheme register'!$AF$7:$AF$98,"Outside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register'!$A$7:$A$98,$A62,'EL scheme register'!$C$7:$C$98,"University-wide",'EL scheme register'!$AJ$7:$AJ$98,"Yes")</f>
        <v/>
      </c>
      <c r="J62" s="77">
        <f>COUNTIFS('EL scheme register'!$A$7:$A$98,$A62,'EL scheme register'!$C$7:$C$98,"Cross-faculty",'EL scheme register'!$AJ$7:$AJ$98,"Yes")</f>
        <v/>
      </c>
      <c r="K62" s="77">
        <f>COUNTIFS('EL scheme register'!$A$7:$A$98,$A62,'EL scheme register'!$C$7:$C$98,"Faculty/school",'EL scheme register'!$AJ$7:$AJ$98,"Yes")</f>
        <v/>
      </c>
      <c r="L62" s="77">
        <f>COUNTIFS('EL scheme register'!$A$7:$A$98,$A62,'EL scheme register'!$C$7:$C$98,"Programme/course",'EL scheme register'!$AJ$7:$AJ$98,"Yes")</f>
        <v/>
      </c>
      <c r="M62" s="77">
        <f>COUNTIFS('EL scheme register'!$A$7:$A$98,$A62,'EL scheme register'!$C$7:$C$98,"Unclear",'EL scheme register'!$AJ$7:$AJ$98,"Yes")</f>
        <v/>
      </c>
      <c r="N62" s="77">
        <f>SUM(I62:M62)</f>
        <v/>
      </c>
      <c r="O62" s="77">
        <f>COUNTIFS('EL scheme register'!$A$7:$A$98,$A62,'EL scheme register'!$AF$7:$AF$98,"Potentially relevant; evidence incomplete",'EL scheme register'!$AI$7:$AI$98,"Yes")</f>
        <v/>
      </c>
      <c r="P62" s="77">
        <f>COUNTIFS('EL scheme register'!$A$7:$A$98,$A62,'EL scheme register'!$AF$7:$AF$98,"Outside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register'!$A$7:$A$98,$A63,'EL scheme register'!$C$7:$C$98,"University-wide",'EL scheme register'!$AJ$7:$AJ$98,"Yes")</f>
        <v/>
      </c>
      <c r="J63" s="77">
        <f>COUNTIFS('EL scheme register'!$A$7:$A$98,$A63,'EL scheme register'!$C$7:$C$98,"Cross-faculty",'EL scheme register'!$AJ$7:$AJ$98,"Yes")</f>
        <v/>
      </c>
      <c r="K63" s="77">
        <f>COUNTIFS('EL scheme register'!$A$7:$A$98,$A63,'EL scheme register'!$C$7:$C$98,"Faculty/school",'EL scheme register'!$AJ$7:$AJ$98,"Yes")</f>
        <v/>
      </c>
      <c r="L63" s="77">
        <f>COUNTIFS('EL scheme register'!$A$7:$A$98,$A63,'EL scheme register'!$C$7:$C$98,"Programme/course",'EL scheme register'!$AJ$7:$AJ$98,"Yes")</f>
        <v/>
      </c>
      <c r="M63" s="77">
        <f>COUNTIFS('EL scheme register'!$A$7:$A$98,$A63,'EL scheme register'!$C$7:$C$98,"Unclear",'EL scheme register'!$AJ$7:$AJ$98,"Yes")</f>
        <v/>
      </c>
      <c r="N63" s="77">
        <f>SUM(I63:M63)</f>
        <v/>
      </c>
      <c r="O63" s="77">
        <f>COUNTIFS('EL scheme register'!$A$7:$A$98,$A63,'EL scheme register'!$AF$7:$AF$98,"Potentially relevant; evidence incomplete",'EL scheme register'!$AI$7:$AI$98,"Yes")</f>
        <v/>
      </c>
      <c r="P63" s="77">
        <f>COUNTIFS('EL scheme register'!$A$7:$A$98,$A63,'EL scheme register'!$AF$7:$AF$98,"Outside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register'!$A$7:$A$98,$A64,'EL scheme register'!$C$7:$C$98,"University-wide",'EL scheme register'!$AJ$7:$AJ$98,"Yes")</f>
        <v/>
      </c>
      <c r="J64" s="77">
        <f>COUNTIFS('EL scheme register'!$A$7:$A$98,$A64,'EL scheme register'!$C$7:$C$98,"Cross-faculty",'EL scheme register'!$AJ$7:$AJ$98,"Yes")</f>
        <v/>
      </c>
      <c r="K64" s="77">
        <f>COUNTIFS('EL scheme register'!$A$7:$A$98,$A64,'EL scheme register'!$C$7:$C$98,"Faculty/school",'EL scheme register'!$AJ$7:$AJ$98,"Yes")</f>
        <v/>
      </c>
      <c r="L64" s="77">
        <f>COUNTIFS('EL scheme register'!$A$7:$A$98,$A64,'EL scheme register'!$C$7:$C$98,"Programme/course",'EL scheme register'!$AJ$7:$AJ$98,"Yes")</f>
        <v/>
      </c>
      <c r="M64" s="77">
        <f>COUNTIFS('EL scheme register'!$A$7:$A$98,$A64,'EL scheme register'!$C$7:$C$98,"Unclear",'EL scheme register'!$AJ$7:$AJ$98,"Yes")</f>
        <v/>
      </c>
      <c r="N64" s="77">
        <f>SUM(I64:M64)</f>
        <v/>
      </c>
      <c r="O64" s="77">
        <f>COUNTIFS('EL scheme register'!$A$7:$A$98,$A64,'EL scheme register'!$AF$7:$AF$98,"Potentially relevant; evidence incomplete",'EL scheme register'!$AI$7:$AI$98,"Yes")</f>
        <v/>
      </c>
      <c r="P64" s="77">
        <f>COUNTIFS('EL scheme register'!$A$7:$A$98,$A64,'EL scheme register'!$AF$7:$AF$98,"Outside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register'!$A$7:$A$98,$A65,'EL scheme register'!$C$7:$C$98,"University-wide",'EL scheme register'!$AJ$7:$AJ$98,"Yes")</f>
        <v/>
      </c>
      <c r="J65" s="77">
        <f>COUNTIFS('EL scheme register'!$A$7:$A$98,$A65,'EL scheme register'!$C$7:$C$98,"Cross-faculty",'EL scheme register'!$AJ$7:$AJ$98,"Yes")</f>
        <v/>
      </c>
      <c r="K65" s="77">
        <f>COUNTIFS('EL scheme register'!$A$7:$A$98,$A65,'EL scheme register'!$C$7:$C$98,"Faculty/school",'EL scheme register'!$AJ$7:$AJ$98,"Yes")</f>
        <v/>
      </c>
      <c r="L65" s="77">
        <f>COUNTIFS('EL scheme register'!$A$7:$A$98,$A65,'EL scheme register'!$C$7:$C$98,"Programme/course",'EL scheme register'!$AJ$7:$AJ$98,"Yes")</f>
        <v/>
      </c>
      <c r="M65" s="77">
        <f>COUNTIFS('EL scheme register'!$A$7:$A$98,$A65,'EL scheme register'!$C$7:$C$98,"Unclear",'EL scheme register'!$AJ$7:$AJ$98,"Yes")</f>
        <v/>
      </c>
      <c r="N65" s="77">
        <f>SUM(I65:M65)</f>
        <v/>
      </c>
      <c r="O65" s="77">
        <f>COUNTIFS('EL scheme register'!$A$7:$A$98,$A65,'EL scheme register'!$AF$7:$AF$98,"Potentially relevant; evidence incomplete",'EL scheme register'!$AI$7:$AI$98,"Yes")</f>
        <v/>
      </c>
      <c r="P65" s="77">
        <f>COUNTIFS('EL scheme register'!$A$7:$A$98,$A65,'EL scheme register'!$AF$7:$AF$98,"Outside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register'!$A$7:$A$98,$A66,'EL scheme register'!$C$7:$C$98,"University-wide",'EL scheme register'!$AJ$7:$AJ$98,"Yes")</f>
        <v/>
      </c>
      <c r="J66" s="77">
        <f>COUNTIFS('EL scheme register'!$A$7:$A$98,$A66,'EL scheme register'!$C$7:$C$98,"Cross-faculty",'EL scheme register'!$AJ$7:$AJ$98,"Yes")</f>
        <v/>
      </c>
      <c r="K66" s="77">
        <f>COUNTIFS('EL scheme register'!$A$7:$A$98,$A66,'EL scheme register'!$C$7:$C$98,"Faculty/school",'EL scheme register'!$AJ$7:$AJ$98,"Yes")</f>
        <v/>
      </c>
      <c r="L66" s="77">
        <f>COUNTIFS('EL scheme register'!$A$7:$A$98,$A66,'EL scheme register'!$C$7:$C$98,"Programme/course",'EL scheme register'!$AJ$7:$AJ$98,"Yes")</f>
        <v/>
      </c>
      <c r="M66" s="77">
        <f>COUNTIFS('EL scheme register'!$A$7:$A$98,$A66,'EL scheme register'!$C$7:$C$98,"Unclear",'EL scheme register'!$AJ$7:$AJ$98,"Yes")</f>
        <v/>
      </c>
      <c r="N66" s="77">
        <f>SUM(I66:M66)</f>
        <v/>
      </c>
      <c r="O66" s="77">
        <f>COUNTIFS('EL scheme register'!$A$7:$A$98,$A66,'EL scheme register'!$AF$7:$AF$98,"Potentially relevant; evidence incomplete",'EL scheme register'!$AI$7:$AI$98,"Yes")</f>
        <v/>
      </c>
      <c r="P66" s="77">
        <f>COUNTIFS('EL scheme register'!$A$7:$A$98,$A66,'EL scheme register'!$AF$7:$AF$98,"Outside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register'!$A$7:$A$98,$A67,'EL scheme register'!$C$7:$C$98,"University-wide",'EL scheme register'!$AJ$7:$AJ$98,"Yes")</f>
        <v/>
      </c>
      <c r="J67" s="77">
        <f>COUNTIFS('EL scheme register'!$A$7:$A$98,$A67,'EL scheme register'!$C$7:$C$98,"Cross-faculty",'EL scheme register'!$AJ$7:$AJ$98,"Yes")</f>
        <v/>
      </c>
      <c r="K67" s="77">
        <f>COUNTIFS('EL scheme register'!$A$7:$A$98,$A67,'EL scheme register'!$C$7:$C$98,"Faculty/school",'EL scheme register'!$AJ$7:$AJ$98,"Yes")</f>
        <v/>
      </c>
      <c r="L67" s="77">
        <f>COUNTIFS('EL scheme register'!$A$7:$A$98,$A67,'EL scheme register'!$C$7:$C$98,"Programme/course",'EL scheme register'!$AJ$7:$AJ$98,"Yes")</f>
        <v/>
      </c>
      <c r="M67" s="77">
        <f>COUNTIFS('EL scheme register'!$A$7:$A$98,$A67,'EL scheme register'!$C$7:$C$98,"Unclear",'EL scheme register'!$AJ$7:$AJ$98,"Yes")</f>
        <v/>
      </c>
      <c r="N67" s="77">
        <f>SUM(I67:M67)</f>
        <v/>
      </c>
      <c r="O67" s="77">
        <f>COUNTIFS('EL scheme register'!$A$7:$A$98,$A67,'EL scheme register'!$AF$7:$AF$98,"Potentially relevant; evidence incomplete",'EL scheme register'!$AI$7:$AI$98,"Yes")</f>
        <v/>
      </c>
      <c r="P67" s="77">
        <f>COUNTIFS('EL scheme register'!$A$7:$A$98,$A67,'EL scheme register'!$AF$7:$AF$98,"Outside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register'!$A$7:$A$98,$A68,'EL scheme register'!$C$7:$C$98,"University-wide",'EL scheme register'!$AJ$7:$AJ$98,"Yes")</f>
        <v/>
      </c>
      <c r="J68" s="77">
        <f>COUNTIFS('EL scheme register'!$A$7:$A$98,$A68,'EL scheme register'!$C$7:$C$98,"Cross-faculty",'EL scheme register'!$AJ$7:$AJ$98,"Yes")</f>
        <v/>
      </c>
      <c r="K68" s="77">
        <f>COUNTIFS('EL scheme register'!$A$7:$A$98,$A68,'EL scheme register'!$C$7:$C$98,"Faculty/school",'EL scheme register'!$AJ$7:$AJ$98,"Yes")</f>
        <v/>
      </c>
      <c r="L68" s="77">
        <f>COUNTIFS('EL scheme register'!$A$7:$A$98,$A68,'EL scheme register'!$C$7:$C$98,"Programme/course",'EL scheme register'!$AJ$7:$AJ$98,"Yes")</f>
        <v/>
      </c>
      <c r="M68" s="77">
        <f>COUNTIFS('EL scheme register'!$A$7:$A$98,$A68,'EL scheme register'!$C$7:$C$98,"Unclear",'EL scheme register'!$AJ$7:$AJ$98,"Yes")</f>
        <v/>
      </c>
      <c r="N68" s="77">
        <f>SUM(I68:M68)</f>
        <v/>
      </c>
      <c r="O68" s="77">
        <f>COUNTIFS('EL scheme register'!$A$7:$A$98,$A68,'EL scheme register'!$AF$7:$AF$98,"Potentially relevant; evidence incomplete",'EL scheme register'!$AI$7:$AI$98,"Yes")</f>
        <v/>
      </c>
      <c r="P68" s="77">
        <f>COUNTIFS('EL scheme register'!$A$7:$A$98,$A68,'EL scheme register'!$AF$7:$AF$98,"Outside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register'!$A$7:$A$98,$A69,'EL scheme register'!$C$7:$C$98,"University-wide",'EL scheme register'!$AJ$7:$AJ$98,"Yes")</f>
        <v/>
      </c>
      <c r="J69" s="77">
        <f>COUNTIFS('EL scheme register'!$A$7:$A$98,$A69,'EL scheme register'!$C$7:$C$98,"Cross-faculty",'EL scheme register'!$AJ$7:$AJ$98,"Yes")</f>
        <v/>
      </c>
      <c r="K69" s="77">
        <f>COUNTIFS('EL scheme register'!$A$7:$A$98,$A69,'EL scheme register'!$C$7:$C$98,"Faculty/school",'EL scheme register'!$AJ$7:$AJ$98,"Yes")</f>
        <v/>
      </c>
      <c r="L69" s="77">
        <f>COUNTIFS('EL scheme register'!$A$7:$A$98,$A69,'EL scheme register'!$C$7:$C$98,"Programme/course",'EL scheme register'!$AJ$7:$AJ$98,"Yes")</f>
        <v/>
      </c>
      <c r="M69" s="77">
        <f>COUNTIFS('EL scheme register'!$A$7:$A$98,$A69,'EL scheme register'!$C$7:$C$98,"Unclear",'EL scheme register'!$AJ$7:$AJ$98,"Yes")</f>
        <v/>
      </c>
      <c r="N69" s="77">
        <f>SUM(I69:M69)</f>
        <v/>
      </c>
      <c r="O69" s="77">
        <f>COUNTIFS('EL scheme register'!$A$7:$A$98,$A69,'EL scheme register'!$AF$7:$AF$98,"Potentially relevant; evidence incomplete",'EL scheme register'!$AI$7:$AI$98,"Yes")</f>
        <v/>
      </c>
      <c r="P69" s="77">
        <f>COUNTIFS('EL scheme register'!$A$7:$A$98,$A69,'EL scheme register'!$AF$7:$AF$98,"Outside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register'!$A$7:$A$98,$A70,'EL scheme register'!$C$7:$C$98,"University-wide",'EL scheme register'!$AJ$7:$AJ$98,"Yes")</f>
        <v/>
      </c>
      <c r="J70" s="77">
        <f>COUNTIFS('EL scheme register'!$A$7:$A$98,$A70,'EL scheme register'!$C$7:$C$98,"Cross-faculty",'EL scheme register'!$AJ$7:$AJ$98,"Yes")</f>
        <v/>
      </c>
      <c r="K70" s="77">
        <f>COUNTIFS('EL scheme register'!$A$7:$A$98,$A70,'EL scheme register'!$C$7:$C$98,"Faculty/school",'EL scheme register'!$AJ$7:$AJ$98,"Yes")</f>
        <v/>
      </c>
      <c r="L70" s="77">
        <f>COUNTIFS('EL scheme register'!$A$7:$A$98,$A70,'EL scheme register'!$C$7:$C$98,"Programme/course",'EL scheme register'!$AJ$7:$AJ$98,"Yes")</f>
        <v/>
      </c>
      <c r="M70" s="77">
        <f>COUNTIFS('EL scheme register'!$A$7:$A$98,$A70,'EL scheme register'!$C$7:$C$98,"Unclear",'EL scheme register'!$AJ$7:$AJ$98,"Yes")</f>
        <v/>
      </c>
      <c r="N70" s="77">
        <f>SUM(I70:M70)</f>
        <v/>
      </c>
      <c r="O70" s="77">
        <f>COUNTIFS('EL scheme register'!$A$7:$A$98,$A70,'EL scheme register'!$AF$7:$AF$98,"Potentially relevant; evidence incomplete",'EL scheme register'!$AI$7:$AI$98,"Yes")</f>
        <v/>
      </c>
      <c r="P70" s="77">
        <f>COUNTIFS('EL scheme register'!$A$7:$A$98,$A70,'EL scheme register'!$AF$7:$AF$98,"Outside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register'!$A$7:$A$98,$A71,'EL scheme register'!$C$7:$C$98,"University-wide",'EL scheme register'!$AJ$7:$AJ$98,"Yes")</f>
        <v/>
      </c>
      <c r="J71" s="77">
        <f>COUNTIFS('EL scheme register'!$A$7:$A$98,$A71,'EL scheme register'!$C$7:$C$98,"Cross-faculty",'EL scheme register'!$AJ$7:$AJ$98,"Yes")</f>
        <v/>
      </c>
      <c r="K71" s="77">
        <f>COUNTIFS('EL scheme register'!$A$7:$A$98,$A71,'EL scheme register'!$C$7:$C$98,"Faculty/school",'EL scheme register'!$AJ$7:$AJ$98,"Yes")</f>
        <v/>
      </c>
      <c r="L71" s="77">
        <f>COUNTIFS('EL scheme register'!$A$7:$A$98,$A71,'EL scheme register'!$C$7:$C$98,"Programme/course",'EL scheme register'!$AJ$7:$AJ$98,"Yes")</f>
        <v/>
      </c>
      <c r="M71" s="77">
        <f>COUNTIFS('EL scheme register'!$A$7:$A$98,$A71,'EL scheme register'!$C$7:$C$98,"Unclear",'EL scheme register'!$AJ$7:$AJ$98,"Yes")</f>
        <v/>
      </c>
      <c r="N71" s="77">
        <f>SUM(I71:M71)</f>
        <v/>
      </c>
      <c r="O71" s="77">
        <f>COUNTIFS('EL scheme register'!$A$7:$A$98,$A71,'EL scheme register'!$AF$7:$AF$98,"Potentially relevant; evidence incomplete",'EL scheme register'!$AI$7:$AI$98,"Yes")</f>
        <v/>
      </c>
      <c r="P71" s="77">
        <f>COUNTIFS('EL scheme register'!$A$7:$A$98,$A71,'EL scheme register'!$AF$7:$AF$98,"Outside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register'!$A$7:$A$98,$A72,'EL scheme register'!$C$7:$C$98,"University-wide",'EL scheme register'!$AJ$7:$AJ$98,"Yes")</f>
        <v/>
      </c>
      <c r="J72" s="77">
        <f>COUNTIFS('EL scheme register'!$A$7:$A$98,$A72,'EL scheme register'!$C$7:$C$98,"Cross-faculty",'EL scheme register'!$AJ$7:$AJ$98,"Yes")</f>
        <v/>
      </c>
      <c r="K72" s="77">
        <f>COUNTIFS('EL scheme register'!$A$7:$A$98,$A72,'EL scheme register'!$C$7:$C$98,"Faculty/school",'EL scheme register'!$AJ$7:$AJ$98,"Yes")</f>
        <v/>
      </c>
      <c r="L72" s="77">
        <f>COUNTIFS('EL scheme register'!$A$7:$A$98,$A72,'EL scheme register'!$C$7:$C$98,"Programme/course",'EL scheme register'!$AJ$7:$AJ$98,"Yes")</f>
        <v/>
      </c>
      <c r="M72" s="77">
        <f>COUNTIFS('EL scheme register'!$A$7:$A$98,$A72,'EL scheme register'!$C$7:$C$98,"Unclear",'EL scheme register'!$AJ$7:$AJ$98,"Yes")</f>
        <v/>
      </c>
      <c r="N72" s="77">
        <f>SUM(I72:M72)</f>
        <v/>
      </c>
      <c r="O72" s="77">
        <f>COUNTIFS('EL scheme register'!$A$7:$A$98,$A72,'EL scheme register'!$AF$7:$AF$98,"Potentially relevant; evidence incomplete",'EL scheme register'!$AI$7:$AI$98,"Yes")</f>
        <v/>
      </c>
      <c r="P72" s="77">
        <f>COUNTIFS('EL scheme register'!$A$7:$A$98,$A72,'EL scheme register'!$AF$7:$AF$98,"Outside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register'!$A$7:$A$98,$A73,'EL scheme register'!$C$7:$C$98,"University-wide",'EL scheme register'!$AJ$7:$AJ$98,"Yes")</f>
        <v/>
      </c>
      <c r="J73" s="77">
        <f>COUNTIFS('EL scheme register'!$A$7:$A$98,$A73,'EL scheme register'!$C$7:$C$98,"Cross-faculty",'EL scheme register'!$AJ$7:$AJ$98,"Yes")</f>
        <v/>
      </c>
      <c r="K73" s="77">
        <f>COUNTIFS('EL scheme register'!$A$7:$A$98,$A73,'EL scheme register'!$C$7:$C$98,"Faculty/school",'EL scheme register'!$AJ$7:$AJ$98,"Yes")</f>
        <v/>
      </c>
      <c r="L73" s="77">
        <f>COUNTIFS('EL scheme register'!$A$7:$A$98,$A73,'EL scheme register'!$C$7:$C$98,"Programme/course",'EL scheme register'!$AJ$7:$AJ$98,"Yes")</f>
        <v/>
      </c>
      <c r="M73" s="77">
        <f>COUNTIFS('EL scheme register'!$A$7:$A$98,$A73,'EL scheme register'!$C$7:$C$98,"Unclear",'EL scheme register'!$AJ$7:$AJ$98,"Yes")</f>
        <v/>
      </c>
      <c r="N73" s="77">
        <f>SUM(I73:M73)</f>
        <v/>
      </c>
      <c r="O73" s="77">
        <f>COUNTIFS('EL scheme register'!$A$7:$A$98,$A73,'EL scheme register'!$AF$7:$AF$98,"Potentially relevant; evidence incomplete",'EL scheme register'!$AI$7:$AI$98,"Yes")</f>
        <v/>
      </c>
      <c r="P73" s="77">
        <f>COUNTIFS('EL scheme register'!$A$7:$A$98,$A73,'EL scheme register'!$AF$7:$AF$98,"Outside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register'!$A$7:$A$98,$A74,'EL scheme register'!$C$7:$C$98,"University-wide",'EL scheme register'!$AJ$7:$AJ$98,"Yes")</f>
        <v/>
      </c>
      <c r="J74" s="77">
        <f>COUNTIFS('EL scheme register'!$A$7:$A$98,$A74,'EL scheme register'!$C$7:$C$98,"Cross-faculty",'EL scheme register'!$AJ$7:$AJ$98,"Yes")</f>
        <v/>
      </c>
      <c r="K74" s="77">
        <f>COUNTIFS('EL scheme register'!$A$7:$A$98,$A74,'EL scheme register'!$C$7:$C$98,"Faculty/school",'EL scheme register'!$AJ$7:$AJ$98,"Yes")</f>
        <v/>
      </c>
      <c r="L74" s="77">
        <f>COUNTIFS('EL scheme register'!$A$7:$A$98,$A74,'EL scheme register'!$C$7:$C$98,"Programme/course",'EL scheme register'!$AJ$7:$AJ$98,"Yes")</f>
        <v/>
      </c>
      <c r="M74" s="77">
        <f>COUNTIFS('EL scheme register'!$A$7:$A$98,$A74,'EL scheme register'!$C$7:$C$98,"Unclear",'EL scheme register'!$AJ$7:$AJ$98,"Yes")</f>
        <v/>
      </c>
      <c r="N74" s="77">
        <f>SUM(I74:M74)</f>
        <v/>
      </c>
      <c r="O74" s="77">
        <f>COUNTIFS('EL scheme register'!$A$7:$A$98,$A74,'EL scheme register'!$AF$7:$AF$98,"Potentially relevant; evidence incomplete",'EL scheme register'!$AI$7:$AI$98,"Yes")</f>
        <v/>
      </c>
      <c r="P74" s="77">
        <f>COUNTIFS('EL scheme register'!$A$7:$A$98,$A74,'EL scheme register'!$AF$7:$AF$98,"Outside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register'!$A$7:$A$98,$A75,'EL scheme register'!$C$7:$C$98,"University-wide",'EL scheme register'!$AJ$7:$AJ$98,"Yes")</f>
        <v/>
      </c>
      <c r="J75" s="77">
        <f>COUNTIFS('EL scheme register'!$A$7:$A$98,$A75,'EL scheme register'!$C$7:$C$98,"Cross-faculty",'EL scheme register'!$AJ$7:$AJ$98,"Yes")</f>
        <v/>
      </c>
      <c r="K75" s="77">
        <f>COUNTIFS('EL scheme register'!$A$7:$A$98,$A75,'EL scheme register'!$C$7:$C$98,"Faculty/school",'EL scheme register'!$AJ$7:$AJ$98,"Yes")</f>
        <v/>
      </c>
      <c r="L75" s="77">
        <f>COUNTIFS('EL scheme register'!$A$7:$A$98,$A75,'EL scheme register'!$C$7:$C$98,"Programme/course",'EL scheme register'!$AJ$7:$AJ$98,"Yes")</f>
        <v/>
      </c>
      <c r="M75" s="77">
        <f>COUNTIFS('EL scheme register'!$A$7:$A$98,$A75,'EL scheme register'!$C$7:$C$98,"Unclear",'EL scheme register'!$AJ$7:$AJ$98,"Yes")</f>
        <v/>
      </c>
      <c r="N75" s="77">
        <f>SUM(I75:M75)</f>
        <v/>
      </c>
      <c r="O75" s="77">
        <f>COUNTIFS('EL scheme register'!$A$7:$A$98,$A75,'EL scheme register'!$AF$7:$AF$98,"Potentially relevant; evidence incomplete",'EL scheme register'!$AI$7:$AI$98,"Yes")</f>
        <v/>
      </c>
      <c r="P75" s="77">
        <f>COUNTIFS('EL scheme register'!$A$7:$A$98,$A75,'EL scheme register'!$AF$7:$AF$98,"Outside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register'!$A$7:$A$98,$A76,'EL scheme register'!$C$7:$C$98,"University-wide",'EL scheme register'!$AJ$7:$AJ$98,"Yes")</f>
        <v/>
      </c>
      <c r="J76" s="77">
        <f>COUNTIFS('EL scheme register'!$A$7:$A$98,$A76,'EL scheme register'!$C$7:$C$98,"Cross-faculty",'EL scheme register'!$AJ$7:$AJ$98,"Yes")</f>
        <v/>
      </c>
      <c r="K76" s="77">
        <f>COUNTIFS('EL scheme register'!$A$7:$A$98,$A76,'EL scheme register'!$C$7:$C$98,"Faculty/school",'EL scheme register'!$AJ$7:$AJ$98,"Yes")</f>
        <v/>
      </c>
      <c r="L76" s="77">
        <f>COUNTIFS('EL scheme register'!$A$7:$A$98,$A76,'EL scheme register'!$C$7:$C$98,"Programme/course",'EL scheme register'!$AJ$7:$AJ$98,"Yes")</f>
        <v/>
      </c>
      <c r="M76" s="77">
        <f>COUNTIFS('EL scheme register'!$A$7:$A$98,$A76,'EL scheme register'!$C$7:$C$98,"Unclear",'EL scheme register'!$AJ$7:$AJ$98,"Yes")</f>
        <v/>
      </c>
      <c r="N76" s="77">
        <f>SUM(I76:M76)</f>
        <v/>
      </c>
      <c r="O76" s="77">
        <f>COUNTIFS('EL scheme register'!$A$7:$A$98,$A76,'EL scheme register'!$AF$7:$AF$98,"Potentially relevant; evidence incomplete",'EL scheme register'!$AI$7:$AI$98,"Yes")</f>
        <v/>
      </c>
      <c r="P76" s="77">
        <f>COUNTIFS('EL scheme register'!$A$7:$A$98,$A76,'EL scheme register'!$AF$7:$AF$98,"Outside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register'!$A$7:$A$98,$A77,'EL scheme register'!$C$7:$C$98,"University-wide",'EL scheme register'!$AJ$7:$AJ$98,"Yes")</f>
        <v/>
      </c>
      <c r="J77" s="77">
        <f>COUNTIFS('EL scheme register'!$A$7:$A$98,$A77,'EL scheme register'!$C$7:$C$98,"Cross-faculty",'EL scheme register'!$AJ$7:$AJ$98,"Yes")</f>
        <v/>
      </c>
      <c r="K77" s="77">
        <f>COUNTIFS('EL scheme register'!$A$7:$A$98,$A77,'EL scheme register'!$C$7:$C$98,"Faculty/school",'EL scheme register'!$AJ$7:$AJ$98,"Yes")</f>
        <v/>
      </c>
      <c r="L77" s="77">
        <f>COUNTIFS('EL scheme register'!$A$7:$A$98,$A77,'EL scheme register'!$C$7:$C$98,"Programme/course",'EL scheme register'!$AJ$7:$AJ$98,"Yes")</f>
        <v/>
      </c>
      <c r="M77" s="77">
        <f>COUNTIFS('EL scheme register'!$A$7:$A$98,$A77,'EL scheme register'!$C$7:$C$98,"Unclear",'EL scheme register'!$AJ$7:$AJ$98,"Yes")</f>
        <v/>
      </c>
      <c r="N77" s="77">
        <f>SUM(I77:M77)</f>
        <v/>
      </c>
      <c r="O77" s="77">
        <f>COUNTIFS('EL scheme register'!$A$7:$A$98,$A77,'EL scheme register'!$AF$7:$AF$98,"Potentially relevant; evidence incomplete",'EL scheme register'!$AI$7:$AI$98,"Yes")</f>
        <v/>
      </c>
      <c r="P77" s="77">
        <f>COUNTIFS('EL scheme register'!$A$7:$A$98,$A77,'EL scheme register'!$AF$7:$AF$98,"Outside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register'!$A$7:$A$98,$A78,'EL scheme register'!$C$7:$C$98,"University-wide",'EL scheme register'!$AJ$7:$AJ$98,"Yes")</f>
        <v/>
      </c>
      <c r="J78" s="77">
        <f>COUNTIFS('EL scheme register'!$A$7:$A$98,$A78,'EL scheme register'!$C$7:$C$98,"Cross-faculty",'EL scheme register'!$AJ$7:$AJ$98,"Yes")</f>
        <v/>
      </c>
      <c r="K78" s="77">
        <f>COUNTIFS('EL scheme register'!$A$7:$A$98,$A78,'EL scheme register'!$C$7:$C$98,"Faculty/school",'EL scheme register'!$AJ$7:$AJ$98,"Yes")</f>
        <v/>
      </c>
      <c r="L78" s="77">
        <f>COUNTIFS('EL scheme register'!$A$7:$A$98,$A78,'EL scheme register'!$C$7:$C$98,"Programme/course",'EL scheme register'!$AJ$7:$AJ$98,"Yes")</f>
        <v/>
      </c>
      <c r="M78" s="77">
        <f>COUNTIFS('EL scheme register'!$A$7:$A$98,$A78,'EL scheme register'!$C$7:$C$98,"Unclear",'EL scheme register'!$AJ$7:$AJ$98,"Yes")</f>
        <v/>
      </c>
      <c r="N78" s="77">
        <f>SUM(I78:M78)</f>
        <v/>
      </c>
      <c r="O78" s="77">
        <f>COUNTIFS('EL scheme register'!$A$7:$A$98,$A78,'EL scheme register'!$AF$7:$AF$98,"Potentially relevant; evidence incomplete",'EL scheme register'!$AI$7:$AI$98,"Yes")</f>
        <v/>
      </c>
      <c r="P78" s="77">
        <f>COUNTIFS('EL scheme register'!$A$7:$A$98,$A78,'EL scheme register'!$AF$7:$AF$98,"Outside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register'!$A$7:$A$98,$A79,'EL scheme register'!$C$7:$C$98,"University-wide",'EL scheme register'!$AJ$7:$AJ$98,"Yes")</f>
        <v/>
      </c>
      <c r="J79" s="77">
        <f>COUNTIFS('EL scheme register'!$A$7:$A$98,$A79,'EL scheme register'!$C$7:$C$98,"Cross-faculty",'EL scheme register'!$AJ$7:$AJ$98,"Yes")</f>
        <v/>
      </c>
      <c r="K79" s="77">
        <f>COUNTIFS('EL scheme register'!$A$7:$A$98,$A79,'EL scheme register'!$C$7:$C$98,"Faculty/school",'EL scheme register'!$AJ$7:$AJ$98,"Yes")</f>
        <v/>
      </c>
      <c r="L79" s="77">
        <f>COUNTIFS('EL scheme register'!$A$7:$A$98,$A79,'EL scheme register'!$C$7:$C$98,"Programme/course",'EL scheme register'!$AJ$7:$AJ$98,"Yes")</f>
        <v/>
      </c>
      <c r="M79" s="77">
        <f>COUNTIFS('EL scheme register'!$A$7:$A$98,$A79,'EL scheme register'!$C$7:$C$98,"Unclear",'EL scheme register'!$AJ$7:$AJ$98,"Yes")</f>
        <v/>
      </c>
      <c r="N79" s="77">
        <f>SUM(I79:M79)</f>
        <v/>
      </c>
      <c r="O79" s="77">
        <f>COUNTIFS('EL scheme register'!$A$7:$A$98,$A79,'EL scheme register'!$AF$7:$AF$98,"Potentially relevant; evidence incomplete",'EL scheme register'!$AI$7:$AI$98,"Yes")</f>
        <v/>
      </c>
      <c r="P79" s="77">
        <f>COUNTIFS('EL scheme register'!$A$7:$A$98,$A79,'EL scheme register'!$AF$7:$AF$98,"Outside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register'!$A$7:$A$98,$A80,'EL scheme register'!$C$7:$C$98,"University-wide",'EL scheme register'!$AJ$7:$AJ$98,"Yes")</f>
        <v/>
      </c>
      <c r="J80" s="77">
        <f>COUNTIFS('EL scheme register'!$A$7:$A$98,$A80,'EL scheme register'!$C$7:$C$98,"Cross-faculty",'EL scheme register'!$AJ$7:$AJ$98,"Yes")</f>
        <v/>
      </c>
      <c r="K80" s="77">
        <f>COUNTIFS('EL scheme register'!$A$7:$A$98,$A80,'EL scheme register'!$C$7:$C$98,"Faculty/school",'EL scheme register'!$AJ$7:$AJ$98,"Yes")</f>
        <v/>
      </c>
      <c r="L80" s="77">
        <f>COUNTIFS('EL scheme register'!$A$7:$A$98,$A80,'EL scheme register'!$C$7:$C$98,"Programme/course",'EL scheme register'!$AJ$7:$AJ$98,"Yes")</f>
        <v/>
      </c>
      <c r="M80" s="77">
        <f>COUNTIFS('EL scheme register'!$A$7:$A$98,$A80,'EL scheme register'!$C$7:$C$98,"Unclear",'EL scheme register'!$AJ$7:$AJ$98,"Yes")</f>
        <v/>
      </c>
      <c r="N80" s="77">
        <f>SUM(I80:M80)</f>
        <v/>
      </c>
      <c r="O80" s="77">
        <f>COUNTIFS('EL scheme register'!$A$7:$A$98,$A80,'EL scheme register'!$AF$7:$AF$98,"Potentially relevant; evidence incomplete",'EL scheme register'!$AI$7:$AI$98,"Yes")</f>
        <v/>
      </c>
      <c r="P80" s="77">
        <f>COUNTIFS('EL scheme register'!$A$7:$A$98,$A80,'EL scheme register'!$AF$7:$AF$98,"Outside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register'!$A$7:$A$98,$A81,'EL scheme register'!$C$7:$C$98,"University-wide",'EL scheme register'!$AJ$7:$AJ$98,"Yes")</f>
        <v/>
      </c>
      <c r="J81" s="77">
        <f>COUNTIFS('EL scheme register'!$A$7:$A$98,$A81,'EL scheme register'!$C$7:$C$98,"Cross-faculty",'EL scheme register'!$AJ$7:$AJ$98,"Yes")</f>
        <v/>
      </c>
      <c r="K81" s="77">
        <f>COUNTIFS('EL scheme register'!$A$7:$A$98,$A81,'EL scheme register'!$C$7:$C$98,"Faculty/school",'EL scheme register'!$AJ$7:$AJ$98,"Yes")</f>
        <v/>
      </c>
      <c r="L81" s="77">
        <f>COUNTIFS('EL scheme register'!$A$7:$A$98,$A81,'EL scheme register'!$C$7:$C$98,"Programme/course",'EL scheme register'!$AJ$7:$AJ$98,"Yes")</f>
        <v/>
      </c>
      <c r="M81" s="77">
        <f>COUNTIFS('EL scheme register'!$A$7:$A$98,$A81,'EL scheme register'!$C$7:$C$98,"Unclear",'EL scheme register'!$AJ$7:$AJ$98,"Yes")</f>
        <v/>
      </c>
      <c r="N81" s="77">
        <f>SUM(I81:M81)</f>
        <v/>
      </c>
      <c r="O81" s="77">
        <f>COUNTIFS('EL scheme register'!$A$7:$A$98,$A81,'EL scheme register'!$AF$7:$AF$98,"Potentially relevant; evidence incomplete",'EL scheme register'!$AI$7:$AI$98,"Yes")</f>
        <v/>
      </c>
      <c r="P81" s="77">
        <f>COUNTIFS('EL scheme register'!$A$7:$A$98,$A81,'EL scheme register'!$AF$7:$AF$98,"Outside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register'!$A$7:$A$98,$A82,'EL scheme register'!$C$7:$C$98,"University-wide",'EL scheme register'!$AJ$7:$AJ$98,"Yes")</f>
        <v/>
      </c>
      <c r="J82" s="77">
        <f>COUNTIFS('EL scheme register'!$A$7:$A$98,$A82,'EL scheme register'!$C$7:$C$98,"Cross-faculty",'EL scheme register'!$AJ$7:$AJ$98,"Yes")</f>
        <v/>
      </c>
      <c r="K82" s="77">
        <f>COUNTIFS('EL scheme register'!$A$7:$A$98,$A82,'EL scheme register'!$C$7:$C$98,"Faculty/school",'EL scheme register'!$AJ$7:$AJ$98,"Yes")</f>
        <v/>
      </c>
      <c r="L82" s="77">
        <f>COUNTIFS('EL scheme register'!$A$7:$A$98,$A82,'EL scheme register'!$C$7:$C$98,"Programme/course",'EL scheme register'!$AJ$7:$AJ$98,"Yes")</f>
        <v/>
      </c>
      <c r="M82" s="77">
        <f>COUNTIFS('EL scheme register'!$A$7:$A$98,$A82,'EL scheme register'!$C$7:$C$98,"Unclear",'EL scheme register'!$AJ$7:$AJ$98,"Yes")</f>
        <v/>
      </c>
      <c r="N82" s="77">
        <f>SUM(I82:M82)</f>
        <v/>
      </c>
      <c r="O82" s="77">
        <f>COUNTIFS('EL scheme register'!$A$7:$A$98,$A82,'EL scheme register'!$AF$7:$AF$98,"Potentially relevant; evidence incomplete",'EL scheme register'!$AI$7:$AI$98,"Yes")</f>
        <v/>
      </c>
      <c r="P82" s="77">
        <f>COUNTIFS('EL scheme register'!$A$7:$A$98,$A82,'EL scheme register'!$AF$7:$AF$98,"Outside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register'!$A$7:$A$98,$A83,'EL scheme register'!$C$7:$C$98,"University-wide",'EL scheme register'!$AJ$7:$AJ$98,"Yes")</f>
        <v/>
      </c>
      <c r="J83" s="77">
        <f>COUNTIFS('EL scheme register'!$A$7:$A$98,$A83,'EL scheme register'!$C$7:$C$98,"Cross-faculty",'EL scheme register'!$AJ$7:$AJ$98,"Yes")</f>
        <v/>
      </c>
      <c r="K83" s="77">
        <f>COUNTIFS('EL scheme register'!$A$7:$A$98,$A83,'EL scheme register'!$C$7:$C$98,"Faculty/school",'EL scheme register'!$AJ$7:$AJ$98,"Yes")</f>
        <v/>
      </c>
      <c r="L83" s="77">
        <f>COUNTIFS('EL scheme register'!$A$7:$A$98,$A83,'EL scheme register'!$C$7:$C$98,"Programme/course",'EL scheme register'!$AJ$7:$AJ$98,"Yes")</f>
        <v/>
      </c>
      <c r="M83" s="77">
        <f>COUNTIFS('EL scheme register'!$A$7:$A$98,$A83,'EL scheme register'!$C$7:$C$98,"Unclear",'EL scheme register'!$AJ$7:$AJ$98,"Yes")</f>
        <v/>
      </c>
      <c r="N83" s="77">
        <f>SUM(I83:M83)</f>
        <v/>
      </c>
      <c r="O83" s="77">
        <f>COUNTIFS('EL scheme register'!$A$7:$A$98,$A83,'EL scheme register'!$AF$7:$AF$98,"Potentially relevant; evidence incomplete",'EL scheme register'!$AI$7:$AI$98,"Yes")</f>
        <v/>
      </c>
      <c r="P83" s="77">
        <f>COUNTIFS('EL scheme register'!$A$7:$A$98,$A83,'EL scheme register'!$AF$7:$AF$98,"Outside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register'!$A$7:$A$98,$A84,'EL scheme register'!$C$7:$C$98,"University-wide",'EL scheme register'!$AJ$7:$AJ$98,"Yes")</f>
        <v/>
      </c>
      <c r="J84" s="77">
        <f>COUNTIFS('EL scheme register'!$A$7:$A$98,$A84,'EL scheme register'!$C$7:$C$98,"Cross-faculty",'EL scheme register'!$AJ$7:$AJ$98,"Yes")</f>
        <v/>
      </c>
      <c r="K84" s="77">
        <f>COUNTIFS('EL scheme register'!$A$7:$A$98,$A84,'EL scheme register'!$C$7:$C$98,"Faculty/school",'EL scheme register'!$AJ$7:$AJ$98,"Yes")</f>
        <v/>
      </c>
      <c r="L84" s="77">
        <f>COUNTIFS('EL scheme register'!$A$7:$A$98,$A84,'EL scheme register'!$C$7:$C$98,"Programme/course",'EL scheme register'!$AJ$7:$AJ$98,"Yes")</f>
        <v/>
      </c>
      <c r="M84" s="77">
        <f>COUNTIFS('EL scheme register'!$A$7:$A$98,$A84,'EL scheme register'!$C$7:$C$98,"Unclear",'EL scheme register'!$AJ$7:$AJ$98,"Yes")</f>
        <v/>
      </c>
      <c r="N84" s="77">
        <f>SUM(I84:M84)</f>
        <v/>
      </c>
      <c r="O84" s="77">
        <f>COUNTIFS('EL scheme register'!$A$7:$A$98,$A84,'EL scheme register'!$AF$7:$AF$98,"Potentially relevant; evidence incomplete",'EL scheme register'!$AI$7:$AI$98,"Yes")</f>
        <v/>
      </c>
      <c r="P84" s="77">
        <f>COUNTIFS('EL scheme register'!$A$7:$A$98,$A84,'EL scheme register'!$AF$7:$AF$98,"Outside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register'!$A$7:$A$98,$A85,'EL scheme register'!$C$7:$C$98,"University-wide",'EL scheme register'!$AJ$7:$AJ$98,"Yes")</f>
        <v/>
      </c>
      <c r="J85" s="77">
        <f>COUNTIFS('EL scheme register'!$A$7:$A$98,$A85,'EL scheme register'!$C$7:$C$98,"Cross-faculty",'EL scheme register'!$AJ$7:$AJ$98,"Yes")</f>
        <v/>
      </c>
      <c r="K85" s="77">
        <f>COUNTIFS('EL scheme register'!$A$7:$A$98,$A85,'EL scheme register'!$C$7:$C$98,"Faculty/school",'EL scheme register'!$AJ$7:$AJ$98,"Yes")</f>
        <v/>
      </c>
      <c r="L85" s="77">
        <f>COUNTIFS('EL scheme register'!$A$7:$A$98,$A85,'EL scheme register'!$C$7:$C$98,"Programme/course",'EL scheme register'!$AJ$7:$AJ$98,"Yes")</f>
        <v/>
      </c>
      <c r="M85" s="77">
        <f>COUNTIFS('EL scheme register'!$A$7:$A$98,$A85,'EL scheme register'!$C$7:$C$98,"Unclear",'EL scheme register'!$AJ$7:$AJ$98,"Yes")</f>
        <v/>
      </c>
      <c r="N85" s="77">
        <f>SUM(I85:M85)</f>
        <v/>
      </c>
      <c r="O85" s="77">
        <f>COUNTIFS('EL scheme register'!$A$7:$A$98,$A85,'EL scheme register'!$AF$7:$AF$98,"Potentially relevant; evidence incomplete",'EL scheme register'!$AI$7:$AI$98,"Yes")</f>
        <v/>
      </c>
      <c r="P85" s="77">
        <f>COUNTIFS('EL scheme register'!$A$7:$A$98,$A85,'EL scheme register'!$AF$7:$AF$98,"Outside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register'!$A$7:$A$98,$A86,'EL scheme register'!$C$7:$C$98,"University-wide",'EL scheme register'!$AJ$7:$AJ$98,"Yes")</f>
        <v/>
      </c>
      <c r="J86" s="77">
        <f>COUNTIFS('EL scheme register'!$A$7:$A$98,$A86,'EL scheme register'!$C$7:$C$98,"Cross-faculty",'EL scheme register'!$AJ$7:$AJ$98,"Yes")</f>
        <v/>
      </c>
      <c r="K86" s="77">
        <f>COUNTIFS('EL scheme register'!$A$7:$A$98,$A86,'EL scheme register'!$C$7:$C$98,"Faculty/school",'EL scheme register'!$AJ$7:$AJ$98,"Yes")</f>
        <v/>
      </c>
      <c r="L86" s="77">
        <f>COUNTIFS('EL scheme register'!$A$7:$A$98,$A86,'EL scheme register'!$C$7:$C$98,"Programme/course",'EL scheme register'!$AJ$7:$AJ$98,"Yes")</f>
        <v/>
      </c>
      <c r="M86" s="77">
        <f>COUNTIFS('EL scheme register'!$A$7:$A$98,$A86,'EL scheme register'!$C$7:$C$98,"Unclear",'EL scheme register'!$AJ$7:$AJ$98,"Yes")</f>
        <v/>
      </c>
      <c r="N86" s="77">
        <f>SUM(I86:M86)</f>
        <v/>
      </c>
      <c r="O86" s="77">
        <f>COUNTIFS('EL scheme register'!$A$7:$A$98,$A86,'EL scheme register'!$AF$7:$AF$98,"Potentially relevant; evidence incomplete",'EL scheme register'!$AI$7:$AI$98,"Yes")</f>
        <v/>
      </c>
      <c r="P86" s="77">
        <f>COUNTIFS('EL scheme register'!$A$7:$A$98,$A86,'EL scheme register'!$AF$7:$AF$98,"Outside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register'!$A$7:$A$98,$A87,'EL scheme register'!$C$7:$C$98,"University-wide",'EL scheme register'!$AJ$7:$AJ$98,"Yes")</f>
        <v/>
      </c>
      <c r="J87" s="77">
        <f>COUNTIFS('EL scheme register'!$A$7:$A$98,$A87,'EL scheme register'!$C$7:$C$98,"Cross-faculty",'EL scheme register'!$AJ$7:$AJ$98,"Yes")</f>
        <v/>
      </c>
      <c r="K87" s="77">
        <f>COUNTIFS('EL scheme register'!$A$7:$A$98,$A87,'EL scheme register'!$C$7:$C$98,"Faculty/school",'EL scheme register'!$AJ$7:$AJ$98,"Yes")</f>
        <v/>
      </c>
      <c r="L87" s="77">
        <f>COUNTIFS('EL scheme register'!$A$7:$A$98,$A87,'EL scheme register'!$C$7:$C$98,"Programme/course",'EL scheme register'!$AJ$7:$AJ$98,"Yes")</f>
        <v/>
      </c>
      <c r="M87" s="77">
        <f>COUNTIFS('EL scheme register'!$A$7:$A$98,$A87,'EL scheme register'!$C$7:$C$98,"Unclear",'EL scheme register'!$AJ$7:$AJ$98,"Yes")</f>
        <v/>
      </c>
      <c r="N87" s="77">
        <f>SUM(I87:M87)</f>
        <v/>
      </c>
      <c r="O87" s="77">
        <f>COUNTIFS('EL scheme register'!$A$7:$A$98,$A87,'EL scheme register'!$AF$7:$AF$98,"Potentially relevant; evidence incomplete",'EL scheme register'!$AI$7:$AI$98,"Yes")</f>
        <v/>
      </c>
      <c r="P87" s="77">
        <f>COUNTIFS('EL scheme register'!$A$7:$A$98,$A87,'EL scheme register'!$AF$7:$AF$98,"Outside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register'!$A$7:$A$98,$A88,'EL scheme register'!$C$7:$C$98,"University-wide",'EL scheme register'!$AJ$7:$AJ$98,"Yes")</f>
        <v/>
      </c>
      <c r="J88" s="77">
        <f>COUNTIFS('EL scheme register'!$A$7:$A$98,$A88,'EL scheme register'!$C$7:$C$98,"Cross-faculty",'EL scheme register'!$AJ$7:$AJ$98,"Yes")</f>
        <v/>
      </c>
      <c r="K88" s="77">
        <f>COUNTIFS('EL scheme register'!$A$7:$A$98,$A88,'EL scheme register'!$C$7:$C$98,"Faculty/school",'EL scheme register'!$AJ$7:$AJ$98,"Yes")</f>
        <v/>
      </c>
      <c r="L88" s="77">
        <f>COUNTIFS('EL scheme register'!$A$7:$A$98,$A88,'EL scheme register'!$C$7:$C$98,"Programme/course",'EL scheme register'!$AJ$7:$AJ$98,"Yes")</f>
        <v/>
      </c>
      <c r="M88" s="77">
        <f>COUNTIFS('EL scheme register'!$A$7:$A$98,$A88,'EL scheme register'!$C$7:$C$98,"Unclear",'EL scheme register'!$AJ$7:$AJ$98,"Yes")</f>
        <v/>
      </c>
      <c r="N88" s="77">
        <f>SUM(I88:M88)</f>
        <v/>
      </c>
      <c r="O88" s="77">
        <f>COUNTIFS('EL scheme register'!$A$7:$A$98,$A88,'EL scheme register'!$AF$7:$AF$98,"Potentially relevant; evidence incomplete",'EL scheme register'!$AI$7:$AI$98,"Yes")</f>
        <v/>
      </c>
      <c r="P88" s="77">
        <f>COUNTIFS('EL scheme register'!$A$7:$A$98,$A88,'EL scheme register'!$AF$7:$AF$98,"Outside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register'!$A$7:$A$98,$A89,'EL scheme register'!$C$7:$C$98,"University-wide",'EL scheme register'!$AJ$7:$AJ$98,"Yes")</f>
        <v/>
      </c>
      <c r="J89" s="77">
        <f>COUNTIFS('EL scheme register'!$A$7:$A$98,$A89,'EL scheme register'!$C$7:$C$98,"Cross-faculty",'EL scheme register'!$AJ$7:$AJ$98,"Yes")</f>
        <v/>
      </c>
      <c r="K89" s="77">
        <f>COUNTIFS('EL scheme register'!$A$7:$A$98,$A89,'EL scheme register'!$C$7:$C$98,"Faculty/school",'EL scheme register'!$AJ$7:$AJ$98,"Yes")</f>
        <v/>
      </c>
      <c r="L89" s="77">
        <f>COUNTIFS('EL scheme register'!$A$7:$A$98,$A89,'EL scheme register'!$C$7:$C$98,"Programme/course",'EL scheme register'!$AJ$7:$AJ$98,"Yes")</f>
        <v/>
      </c>
      <c r="M89" s="77">
        <f>COUNTIFS('EL scheme register'!$A$7:$A$98,$A89,'EL scheme register'!$C$7:$C$98,"Unclear",'EL scheme register'!$AJ$7:$AJ$98,"Yes")</f>
        <v/>
      </c>
      <c r="N89" s="77">
        <f>SUM(I89:M89)</f>
        <v/>
      </c>
      <c r="O89" s="77">
        <f>COUNTIFS('EL scheme register'!$A$7:$A$98,$A89,'EL scheme register'!$AF$7:$AF$98,"Potentially relevant; evidence incomplete",'EL scheme register'!$AI$7:$AI$98,"Yes")</f>
        <v/>
      </c>
      <c r="P89" s="77">
        <f>COUNTIFS('EL scheme register'!$A$7:$A$98,$A89,'EL scheme register'!$AF$7:$AF$98,"Outside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register'!$A$7:$A$98,$A90,'EL scheme register'!$C$7:$C$98,"University-wide",'EL scheme register'!$AJ$7:$AJ$98,"Yes")</f>
        <v/>
      </c>
      <c r="J90" s="77">
        <f>COUNTIFS('EL scheme register'!$A$7:$A$98,$A90,'EL scheme register'!$C$7:$C$98,"Cross-faculty",'EL scheme register'!$AJ$7:$AJ$98,"Yes")</f>
        <v/>
      </c>
      <c r="K90" s="77">
        <f>COUNTIFS('EL scheme register'!$A$7:$A$98,$A90,'EL scheme register'!$C$7:$C$98,"Faculty/school",'EL scheme register'!$AJ$7:$AJ$98,"Yes")</f>
        <v/>
      </c>
      <c r="L90" s="77">
        <f>COUNTIFS('EL scheme register'!$A$7:$A$98,$A90,'EL scheme register'!$C$7:$C$98,"Programme/course",'EL scheme register'!$AJ$7:$AJ$98,"Yes")</f>
        <v/>
      </c>
      <c r="M90" s="77">
        <f>COUNTIFS('EL scheme register'!$A$7:$A$98,$A90,'EL scheme register'!$C$7:$C$98,"Unclear",'EL scheme register'!$AJ$7:$AJ$98,"Yes")</f>
        <v/>
      </c>
      <c r="N90" s="77">
        <f>SUM(I90:M90)</f>
        <v/>
      </c>
      <c r="O90" s="77">
        <f>COUNTIFS('EL scheme register'!$A$7:$A$98,$A90,'EL scheme register'!$AF$7:$AF$98,"Potentially relevant; evidence incomplete",'EL scheme register'!$AI$7:$AI$98,"Yes")</f>
        <v/>
      </c>
      <c r="P90" s="77">
        <f>COUNTIFS('EL scheme register'!$A$7:$A$98,$A90,'EL scheme register'!$AF$7:$AF$98,"Outside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register'!$A$7:$A$98,$A91,'EL scheme register'!$C$7:$C$98,"University-wide",'EL scheme register'!$AJ$7:$AJ$98,"Yes")</f>
        <v/>
      </c>
      <c r="J91" s="77">
        <f>COUNTIFS('EL scheme register'!$A$7:$A$98,$A91,'EL scheme register'!$C$7:$C$98,"Cross-faculty",'EL scheme register'!$AJ$7:$AJ$98,"Yes")</f>
        <v/>
      </c>
      <c r="K91" s="77">
        <f>COUNTIFS('EL scheme register'!$A$7:$A$98,$A91,'EL scheme register'!$C$7:$C$98,"Faculty/school",'EL scheme register'!$AJ$7:$AJ$98,"Yes")</f>
        <v/>
      </c>
      <c r="L91" s="77">
        <f>COUNTIFS('EL scheme register'!$A$7:$A$98,$A91,'EL scheme register'!$C$7:$C$98,"Programme/course",'EL scheme register'!$AJ$7:$AJ$98,"Yes")</f>
        <v/>
      </c>
      <c r="M91" s="77">
        <f>COUNTIFS('EL scheme register'!$A$7:$A$98,$A91,'EL scheme register'!$C$7:$C$98,"Unclear",'EL scheme register'!$AJ$7:$AJ$98,"Yes")</f>
        <v/>
      </c>
      <c r="N91" s="77">
        <f>SUM(I91:M91)</f>
        <v/>
      </c>
      <c r="O91" s="77">
        <f>COUNTIFS('EL scheme register'!$A$7:$A$98,$A91,'EL scheme register'!$AF$7:$AF$98,"Potentially relevant; evidence incomplete",'EL scheme register'!$AI$7:$AI$98,"Yes")</f>
        <v/>
      </c>
      <c r="P91" s="77">
        <f>COUNTIFS('EL scheme register'!$A$7:$A$98,$A91,'EL scheme register'!$AF$7:$AF$98,"Outside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register'!$A$7:$A$98,$A92,'EL scheme register'!$C$7:$C$98,"University-wide",'EL scheme register'!$AJ$7:$AJ$98,"Yes")</f>
        <v/>
      </c>
      <c r="J92" s="77">
        <f>COUNTIFS('EL scheme register'!$A$7:$A$98,$A92,'EL scheme register'!$C$7:$C$98,"Cross-faculty",'EL scheme register'!$AJ$7:$AJ$98,"Yes")</f>
        <v/>
      </c>
      <c r="K92" s="77">
        <f>COUNTIFS('EL scheme register'!$A$7:$A$98,$A92,'EL scheme register'!$C$7:$C$98,"Faculty/school",'EL scheme register'!$AJ$7:$AJ$98,"Yes")</f>
        <v/>
      </c>
      <c r="L92" s="77">
        <f>COUNTIFS('EL scheme register'!$A$7:$A$98,$A92,'EL scheme register'!$C$7:$C$98,"Programme/course",'EL scheme register'!$AJ$7:$AJ$98,"Yes")</f>
        <v/>
      </c>
      <c r="M92" s="77">
        <f>COUNTIFS('EL scheme register'!$A$7:$A$98,$A92,'EL scheme register'!$C$7:$C$98,"Unclear",'EL scheme register'!$AJ$7:$AJ$98,"Yes")</f>
        <v/>
      </c>
      <c r="N92" s="77">
        <f>SUM(I92:M92)</f>
        <v/>
      </c>
      <c r="O92" s="77">
        <f>COUNTIFS('EL scheme register'!$A$7:$A$98,$A92,'EL scheme register'!$AF$7:$AF$98,"Potentially relevant; evidence incomplete",'EL scheme register'!$AI$7:$AI$98,"Yes")</f>
        <v/>
      </c>
      <c r="P92" s="77">
        <f>COUNTIFS('EL scheme register'!$A$7:$A$98,$A92,'EL scheme register'!$AF$7:$AF$98,"Outside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register'!$A$7:$A$98,$A93,'EL scheme register'!$C$7:$C$98,"University-wide",'EL scheme register'!$AJ$7:$AJ$98,"Yes")</f>
        <v/>
      </c>
      <c r="J93" s="77">
        <f>COUNTIFS('EL scheme register'!$A$7:$A$98,$A93,'EL scheme register'!$C$7:$C$98,"Cross-faculty",'EL scheme register'!$AJ$7:$AJ$98,"Yes")</f>
        <v/>
      </c>
      <c r="K93" s="77">
        <f>COUNTIFS('EL scheme register'!$A$7:$A$98,$A93,'EL scheme register'!$C$7:$C$98,"Faculty/school",'EL scheme register'!$AJ$7:$AJ$98,"Yes")</f>
        <v/>
      </c>
      <c r="L93" s="77">
        <f>COUNTIFS('EL scheme register'!$A$7:$A$98,$A93,'EL scheme register'!$C$7:$C$98,"Programme/course",'EL scheme register'!$AJ$7:$AJ$98,"Yes")</f>
        <v/>
      </c>
      <c r="M93" s="77">
        <f>COUNTIFS('EL scheme register'!$A$7:$A$98,$A93,'EL scheme register'!$C$7:$C$98,"Unclear",'EL scheme register'!$AJ$7:$AJ$98,"Yes")</f>
        <v/>
      </c>
      <c r="N93" s="77">
        <f>SUM(I93:M93)</f>
        <v/>
      </c>
      <c r="O93" s="77">
        <f>COUNTIFS('EL scheme register'!$A$7:$A$98,$A93,'EL scheme register'!$AF$7:$AF$98,"Potentially relevant; evidence incomplete",'EL scheme register'!$AI$7:$AI$98,"Yes")</f>
        <v/>
      </c>
      <c r="P93" s="77">
        <f>COUNTIFS('EL scheme register'!$A$7:$A$98,$A93,'EL scheme register'!$AF$7:$AF$98,"Outside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register'!$A$7:$A$98,$A94,'EL scheme register'!$C$7:$C$98,"University-wide",'EL scheme register'!$AJ$7:$AJ$98,"Yes")</f>
        <v/>
      </c>
      <c r="J94" s="77">
        <f>COUNTIFS('EL scheme register'!$A$7:$A$98,$A94,'EL scheme register'!$C$7:$C$98,"Cross-faculty",'EL scheme register'!$AJ$7:$AJ$98,"Yes")</f>
        <v/>
      </c>
      <c r="K94" s="77">
        <f>COUNTIFS('EL scheme register'!$A$7:$A$98,$A94,'EL scheme register'!$C$7:$C$98,"Faculty/school",'EL scheme register'!$AJ$7:$AJ$98,"Yes")</f>
        <v/>
      </c>
      <c r="L94" s="77">
        <f>COUNTIFS('EL scheme register'!$A$7:$A$98,$A94,'EL scheme register'!$C$7:$C$98,"Programme/course",'EL scheme register'!$AJ$7:$AJ$98,"Yes")</f>
        <v/>
      </c>
      <c r="M94" s="77">
        <f>COUNTIFS('EL scheme register'!$A$7:$A$98,$A94,'EL scheme register'!$C$7:$C$98,"Unclear",'EL scheme register'!$AJ$7:$AJ$98,"Yes")</f>
        <v/>
      </c>
      <c r="N94" s="77">
        <f>SUM(I94:M94)</f>
        <v/>
      </c>
      <c r="O94" s="77">
        <f>COUNTIFS('EL scheme register'!$A$7:$A$98,$A94,'EL scheme register'!$AF$7:$AF$98,"Potentially relevant; evidence incomplete",'EL scheme register'!$AI$7:$AI$98,"Yes")</f>
        <v/>
      </c>
      <c r="P94" s="77">
        <f>COUNTIFS('EL scheme register'!$A$7:$A$98,$A94,'EL scheme register'!$AF$7:$AF$98,"Outside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register'!$A$7:$A$98,$A95,'EL scheme register'!$C$7:$C$98,"University-wide",'EL scheme register'!$AJ$7:$AJ$98,"Yes")</f>
        <v/>
      </c>
      <c r="J95" s="77">
        <f>COUNTIFS('EL scheme register'!$A$7:$A$98,$A95,'EL scheme register'!$C$7:$C$98,"Cross-faculty",'EL scheme register'!$AJ$7:$AJ$98,"Yes")</f>
        <v/>
      </c>
      <c r="K95" s="77">
        <f>COUNTIFS('EL scheme register'!$A$7:$A$98,$A95,'EL scheme register'!$C$7:$C$98,"Faculty/school",'EL scheme register'!$AJ$7:$AJ$98,"Yes")</f>
        <v/>
      </c>
      <c r="L95" s="77">
        <f>COUNTIFS('EL scheme register'!$A$7:$A$98,$A95,'EL scheme register'!$C$7:$C$98,"Programme/course",'EL scheme register'!$AJ$7:$AJ$98,"Yes")</f>
        <v/>
      </c>
      <c r="M95" s="77">
        <f>COUNTIFS('EL scheme register'!$A$7:$A$98,$A95,'EL scheme register'!$C$7:$C$98,"Unclear",'EL scheme register'!$AJ$7:$AJ$98,"Yes")</f>
        <v/>
      </c>
      <c r="N95" s="77">
        <f>SUM(I95:M95)</f>
        <v/>
      </c>
      <c r="O95" s="77">
        <f>COUNTIFS('EL scheme register'!$A$7:$A$98,$A95,'EL scheme register'!$AF$7:$AF$98,"Potentially relevant; evidence incomplete",'EL scheme register'!$AI$7:$AI$98,"Yes")</f>
        <v/>
      </c>
      <c r="P95" s="77">
        <f>COUNTIFS('EL scheme register'!$A$7:$A$98,$A95,'EL scheme register'!$AF$7:$AF$98,"Outside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register'!$A$7:$A$98,$A96,'EL scheme register'!$C$7:$C$98,"University-wide",'EL scheme register'!$AJ$7:$AJ$98,"Yes")</f>
        <v/>
      </c>
      <c r="J96" s="77">
        <f>COUNTIFS('EL scheme register'!$A$7:$A$98,$A96,'EL scheme register'!$C$7:$C$98,"Cross-faculty",'EL scheme register'!$AJ$7:$AJ$98,"Yes")</f>
        <v/>
      </c>
      <c r="K96" s="77">
        <f>COUNTIFS('EL scheme register'!$A$7:$A$98,$A96,'EL scheme register'!$C$7:$C$98,"Faculty/school",'EL scheme register'!$AJ$7:$AJ$98,"Yes")</f>
        <v/>
      </c>
      <c r="L96" s="77">
        <f>COUNTIFS('EL scheme register'!$A$7:$A$98,$A96,'EL scheme register'!$C$7:$C$98,"Programme/course",'EL scheme register'!$AJ$7:$AJ$98,"Yes")</f>
        <v/>
      </c>
      <c r="M96" s="77">
        <f>COUNTIFS('EL scheme register'!$A$7:$A$98,$A96,'EL scheme register'!$C$7:$C$98,"Unclear",'EL scheme register'!$AJ$7:$AJ$98,"Yes")</f>
        <v/>
      </c>
      <c r="N96" s="77">
        <f>SUM(I96:M96)</f>
        <v/>
      </c>
      <c r="O96" s="77">
        <f>COUNTIFS('EL scheme register'!$A$7:$A$98,$A96,'EL scheme register'!$AF$7:$AF$98,"Potentially relevant; evidence incomplete",'EL scheme register'!$AI$7:$AI$98,"Yes")</f>
        <v/>
      </c>
      <c r="P96" s="77">
        <f>COUNTIFS('EL scheme register'!$A$7:$A$98,$A96,'EL scheme register'!$AF$7:$AF$98,"Outside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register'!$A$7:$A$98,$A97,'EL scheme register'!$C$7:$C$98,"University-wide",'EL scheme register'!$AJ$7:$AJ$98,"Yes")</f>
        <v/>
      </c>
      <c r="J97" s="77">
        <f>COUNTIFS('EL scheme register'!$A$7:$A$98,$A97,'EL scheme register'!$C$7:$C$98,"Cross-faculty",'EL scheme register'!$AJ$7:$AJ$98,"Yes")</f>
        <v/>
      </c>
      <c r="K97" s="77">
        <f>COUNTIFS('EL scheme register'!$A$7:$A$98,$A97,'EL scheme register'!$C$7:$C$98,"Faculty/school",'EL scheme register'!$AJ$7:$AJ$98,"Yes")</f>
        <v/>
      </c>
      <c r="L97" s="77">
        <f>COUNTIFS('EL scheme register'!$A$7:$A$98,$A97,'EL scheme register'!$C$7:$C$98,"Programme/course",'EL scheme register'!$AJ$7:$AJ$98,"Yes")</f>
        <v/>
      </c>
      <c r="M97" s="77">
        <f>COUNTIFS('EL scheme register'!$A$7:$A$98,$A97,'EL scheme register'!$C$7:$C$98,"Unclear",'EL scheme register'!$AJ$7:$AJ$98,"Yes")</f>
        <v/>
      </c>
      <c r="N97" s="77">
        <f>SUM(I97:M97)</f>
        <v/>
      </c>
      <c r="O97" s="77">
        <f>COUNTIFS('EL scheme register'!$A$7:$A$98,$A97,'EL scheme register'!$AF$7:$AF$98,"Potentially relevant; evidence incomplete",'EL scheme register'!$AI$7:$AI$98,"Yes")</f>
        <v/>
      </c>
      <c r="P97" s="77">
        <f>COUNTIFS('EL scheme register'!$A$7:$A$98,$A97,'EL scheme register'!$AF$7:$AF$98,"Outside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register'!$A$7:$A$98,$A98,'EL scheme register'!$C$7:$C$98,"University-wide",'EL scheme register'!$AJ$7:$AJ$98,"Yes")</f>
        <v/>
      </c>
      <c r="J98" s="77">
        <f>COUNTIFS('EL scheme register'!$A$7:$A$98,$A98,'EL scheme register'!$C$7:$C$98,"Cross-faculty",'EL scheme register'!$AJ$7:$AJ$98,"Yes")</f>
        <v/>
      </c>
      <c r="K98" s="77">
        <f>COUNTIFS('EL scheme register'!$A$7:$A$98,$A98,'EL scheme register'!$C$7:$C$98,"Faculty/school",'EL scheme register'!$AJ$7:$AJ$98,"Yes")</f>
        <v/>
      </c>
      <c r="L98" s="77">
        <f>COUNTIFS('EL scheme register'!$A$7:$A$98,$A98,'EL scheme register'!$C$7:$C$98,"Programme/course",'EL scheme register'!$AJ$7:$AJ$98,"Yes")</f>
        <v/>
      </c>
      <c r="M98" s="77">
        <f>COUNTIFS('EL scheme register'!$A$7:$A$98,$A98,'EL scheme register'!$C$7:$C$98,"Unclear",'EL scheme register'!$AJ$7:$AJ$98,"Yes")</f>
        <v/>
      </c>
      <c r="N98" s="77">
        <f>SUM(I98:M98)</f>
        <v/>
      </c>
      <c r="O98" s="77">
        <f>COUNTIFS('EL scheme register'!$A$7:$A$98,$A98,'EL scheme register'!$AF$7:$AF$98,"Potentially relevant; evidence incomplete",'EL scheme register'!$AI$7:$AI$98,"Yes")</f>
        <v/>
      </c>
      <c r="P98" s="77">
        <f>COUNTIFS('EL scheme register'!$A$7:$A$98,$A98,'EL scheme register'!$AF$7:$AF$98,"Outside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register'!$A$7:$A$98,$A99,'EL scheme register'!$C$7:$C$98,"University-wide",'EL scheme register'!$AJ$7:$AJ$98,"Yes")</f>
        <v/>
      </c>
      <c r="J99" s="77">
        <f>COUNTIFS('EL scheme register'!$A$7:$A$98,$A99,'EL scheme register'!$C$7:$C$98,"Cross-faculty",'EL scheme register'!$AJ$7:$AJ$98,"Yes")</f>
        <v/>
      </c>
      <c r="K99" s="77">
        <f>COUNTIFS('EL scheme register'!$A$7:$A$98,$A99,'EL scheme register'!$C$7:$C$98,"Faculty/school",'EL scheme register'!$AJ$7:$AJ$98,"Yes")</f>
        <v/>
      </c>
      <c r="L99" s="77">
        <f>COUNTIFS('EL scheme register'!$A$7:$A$98,$A99,'EL scheme register'!$C$7:$C$98,"Programme/course",'EL scheme register'!$AJ$7:$AJ$98,"Yes")</f>
        <v/>
      </c>
      <c r="M99" s="77">
        <f>COUNTIFS('EL scheme register'!$A$7:$A$98,$A99,'EL scheme register'!$C$7:$C$98,"Unclear",'EL scheme register'!$AJ$7:$AJ$98,"Yes")</f>
        <v/>
      </c>
      <c r="N99" s="77">
        <f>SUM(I99:M99)</f>
        <v/>
      </c>
      <c r="O99" s="77">
        <f>COUNTIFS('EL scheme register'!$A$7:$A$98,$A99,'EL scheme register'!$AF$7:$AF$98,"Potentially relevant; evidence incomplete",'EL scheme register'!$AI$7:$AI$98,"Yes")</f>
        <v/>
      </c>
      <c r="P99" s="77">
        <f>COUNTIFS('EL scheme register'!$A$7:$A$98,$A99,'EL scheme register'!$AF$7:$AF$98,"Outside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register'!$A$7:$A$98,$A100,'EL scheme register'!$C$7:$C$98,"University-wide",'EL scheme register'!$AJ$7:$AJ$98,"Yes")</f>
        <v/>
      </c>
      <c r="J100" s="77">
        <f>COUNTIFS('EL scheme register'!$A$7:$A$98,$A100,'EL scheme register'!$C$7:$C$98,"Cross-faculty",'EL scheme register'!$AJ$7:$AJ$98,"Yes")</f>
        <v/>
      </c>
      <c r="K100" s="77">
        <f>COUNTIFS('EL scheme register'!$A$7:$A$98,$A100,'EL scheme register'!$C$7:$C$98,"Faculty/school",'EL scheme register'!$AJ$7:$AJ$98,"Yes")</f>
        <v/>
      </c>
      <c r="L100" s="77">
        <f>COUNTIFS('EL scheme register'!$A$7:$A$98,$A100,'EL scheme register'!$C$7:$C$98,"Programme/course",'EL scheme register'!$AJ$7:$AJ$98,"Yes")</f>
        <v/>
      </c>
      <c r="M100" s="77">
        <f>COUNTIFS('EL scheme register'!$A$7:$A$98,$A100,'EL scheme register'!$C$7:$C$98,"Unclear",'EL scheme register'!$AJ$7:$AJ$98,"Yes")</f>
        <v/>
      </c>
      <c r="N100" s="77">
        <f>SUM(I100:M100)</f>
        <v/>
      </c>
      <c r="O100" s="77">
        <f>COUNTIFS('EL scheme register'!$A$7:$A$98,$A100,'EL scheme register'!$AF$7:$AF$98,"Potentially relevant; evidence incomplete",'EL scheme register'!$AI$7:$AI$98,"Yes")</f>
        <v/>
      </c>
      <c r="P100" s="77">
        <f>COUNTIFS('EL scheme register'!$A$7:$A$98,$A100,'EL scheme register'!$AF$7:$AF$98,"Outside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register'!$A$7:$A$98,$A101,'EL scheme register'!$C$7:$C$98,"University-wide",'EL scheme register'!$AJ$7:$AJ$98,"Yes")</f>
        <v/>
      </c>
      <c r="J101" s="77">
        <f>COUNTIFS('EL scheme register'!$A$7:$A$98,$A101,'EL scheme register'!$C$7:$C$98,"Cross-faculty",'EL scheme register'!$AJ$7:$AJ$98,"Yes")</f>
        <v/>
      </c>
      <c r="K101" s="77">
        <f>COUNTIFS('EL scheme register'!$A$7:$A$98,$A101,'EL scheme register'!$C$7:$C$98,"Faculty/school",'EL scheme register'!$AJ$7:$AJ$98,"Yes")</f>
        <v/>
      </c>
      <c r="L101" s="77">
        <f>COUNTIFS('EL scheme register'!$A$7:$A$98,$A101,'EL scheme register'!$C$7:$C$98,"Programme/course",'EL scheme register'!$AJ$7:$AJ$98,"Yes")</f>
        <v/>
      </c>
      <c r="M101" s="77">
        <f>COUNTIFS('EL scheme register'!$A$7:$A$98,$A101,'EL scheme register'!$C$7:$C$98,"Unclear",'EL scheme register'!$AJ$7:$AJ$98,"Yes")</f>
        <v/>
      </c>
      <c r="N101" s="77">
        <f>SUM(I101:M101)</f>
        <v/>
      </c>
      <c r="O101" s="77">
        <f>COUNTIFS('EL scheme register'!$A$7:$A$98,$A101,'EL scheme register'!$AF$7:$AF$98,"Potentially relevant; evidence incomplete",'EL scheme register'!$AI$7:$AI$98,"Yes")</f>
        <v/>
      </c>
      <c r="P101" s="77">
        <f>COUNTIFS('EL scheme register'!$A$7:$A$98,$A101,'EL scheme register'!$AF$7:$AF$98,"Outside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register'!$A$7:$A$98,$A102,'EL scheme register'!$C$7:$C$98,"University-wide",'EL scheme register'!$AJ$7:$AJ$98,"Yes")</f>
        <v/>
      </c>
      <c r="J102" s="77">
        <f>COUNTIFS('EL scheme register'!$A$7:$A$98,$A102,'EL scheme register'!$C$7:$C$98,"Cross-faculty",'EL scheme register'!$AJ$7:$AJ$98,"Yes")</f>
        <v/>
      </c>
      <c r="K102" s="77">
        <f>COUNTIFS('EL scheme register'!$A$7:$A$98,$A102,'EL scheme register'!$C$7:$C$98,"Faculty/school",'EL scheme register'!$AJ$7:$AJ$98,"Yes")</f>
        <v/>
      </c>
      <c r="L102" s="77">
        <f>COUNTIFS('EL scheme register'!$A$7:$A$98,$A102,'EL scheme register'!$C$7:$C$98,"Programme/course",'EL scheme register'!$AJ$7:$AJ$98,"Yes")</f>
        <v/>
      </c>
      <c r="M102" s="77">
        <f>COUNTIFS('EL scheme register'!$A$7:$A$98,$A102,'EL scheme register'!$C$7:$C$98,"Unclear",'EL scheme register'!$AJ$7:$AJ$98,"Yes")</f>
        <v/>
      </c>
      <c r="N102" s="77">
        <f>SUM(I102:M102)</f>
        <v/>
      </c>
      <c r="O102" s="77">
        <f>COUNTIFS('EL scheme register'!$A$7:$A$98,$A102,'EL scheme register'!$AF$7:$AF$98,"Potentially relevant; evidence incomplete",'EL scheme register'!$AI$7:$AI$98,"Yes")</f>
        <v/>
      </c>
      <c r="P102" s="77">
        <f>COUNTIFS('EL scheme register'!$A$7:$A$98,$A102,'EL scheme register'!$AF$7:$AF$98,"Outside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register'!$A$7:$A$98,$A103,'EL scheme register'!$C$7:$C$98,"University-wide",'EL scheme register'!$AJ$7:$AJ$98,"Yes")</f>
        <v/>
      </c>
      <c r="J103" s="77">
        <f>COUNTIFS('EL scheme register'!$A$7:$A$98,$A103,'EL scheme register'!$C$7:$C$98,"Cross-faculty",'EL scheme register'!$AJ$7:$AJ$98,"Yes")</f>
        <v/>
      </c>
      <c r="K103" s="77">
        <f>COUNTIFS('EL scheme register'!$A$7:$A$98,$A103,'EL scheme register'!$C$7:$C$98,"Faculty/school",'EL scheme register'!$AJ$7:$AJ$98,"Yes")</f>
        <v/>
      </c>
      <c r="L103" s="77">
        <f>COUNTIFS('EL scheme register'!$A$7:$A$98,$A103,'EL scheme register'!$C$7:$C$98,"Programme/course",'EL scheme register'!$AJ$7:$AJ$98,"Yes")</f>
        <v/>
      </c>
      <c r="M103" s="77">
        <f>COUNTIFS('EL scheme register'!$A$7:$A$98,$A103,'EL scheme register'!$C$7:$C$98,"Unclear",'EL scheme register'!$AJ$7:$AJ$98,"Yes")</f>
        <v/>
      </c>
      <c r="N103" s="77">
        <f>SUM(I103:M103)</f>
        <v/>
      </c>
      <c r="O103" s="77">
        <f>COUNTIFS('EL scheme register'!$A$7:$A$98,$A103,'EL scheme register'!$AF$7:$AF$98,"Potentially relevant; evidence incomplete",'EL scheme register'!$AI$7:$AI$98,"Yes")</f>
        <v/>
      </c>
      <c r="P103" s="77">
        <f>COUNTIFS('EL scheme register'!$A$7:$A$98,$A103,'EL scheme register'!$AF$7:$AF$98,"Outside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register'!$A$7:$A$98,$A104,'EL scheme register'!$C$7:$C$98,"University-wide",'EL scheme register'!$AJ$7:$AJ$98,"Yes")</f>
        <v/>
      </c>
      <c r="J104" s="77">
        <f>COUNTIFS('EL scheme register'!$A$7:$A$98,$A104,'EL scheme register'!$C$7:$C$98,"Cross-faculty",'EL scheme register'!$AJ$7:$AJ$98,"Yes")</f>
        <v/>
      </c>
      <c r="K104" s="77">
        <f>COUNTIFS('EL scheme register'!$A$7:$A$98,$A104,'EL scheme register'!$C$7:$C$98,"Faculty/school",'EL scheme register'!$AJ$7:$AJ$98,"Yes")</f>
        <v/>
      </c>
      <c r="L104" s="77">
        <f>COUNTIFS('EL scheme register'!$A$7:$A$98,$A104,'EL scheme register'!$C$7:$C$98,"Programme/course",'EL scheme register'!$AJ$7:$AJ$98,"Yes")</f>
        <v/>
      </c>
      <c r="M104" s="77">
        <f>COUNTIFS('EL scheme register'!$A$7:$A$98,$A104,'EL scheme register'!$C$7:$C$98,"Unclear",'EL scheme register'!$AJ$7:$AJ$98,"Yes")</f>
        <v/>
      </c>
      <c r="N104" s="77">
        <f>SUM(I104:M104)</f>
        <v/>
      </c>
      <c r="O104" s="77">
        <f>COUNTIFS('EL scheme register'!$A$7:$A$98,$A104,'EL scheme register'!$AF$7:$AF$98,"Potentially relevant; evidence incomplete",'EL scheme register'!$AI$7:$AI$98,"Yes")</f>
        <v/>
      </c>
      <c r="P104" s="77">
        <f>COUNTIFS('EL scheme register'!$A$7:$A$98,$A104,'EL scheme register'!$AF$7:$AF$98,"Outside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register'!$A$7:$A$98,$A105,'EL scheme register'!$C$7:$C$98,"University-wide",'EL scheme register'!$AJ$7:$AJ$98,"Yes")</f>
        <v/>
      </c>
      <c r="J105" s="77">
        <f>COUNTIFS('EL scheme register'!$A$7:$A$98,$A105,'EL scheme register'!$C$7:$C$98,"Cross-faculty",'EL scheme register'!$AJ$7:$AJ$98,"Yes")</f>
        <v/>
      </c>
      <c r="K105" s="77">
        <f>COUNTIFS('EL scheme register'!$A$7:$A$98,$A105,'EL scheme register'!$C$7:$C$98,"Faculty/school",'EL scheme register'!$AJ$7:$AJ$98,"Yes")</f>
        <v/>
      </c>
      <c r="L105" s="77">
        <f>COUNTIFS('EL scheme register'!$A$7:$A$98,$A105,'EL scheme register'!$C$7:$C$98,"Programme/course",'EL scheme register'!$AJ$7:$AJ$98,"Yes")</f>
        <v/>
      </c>
      <c r="M105" s="77">
        <f>COUNTIFS('EL scheme register'!$A$7:$A$98,$A105,'EL scheme register'!$C$7:$C$98,"Unclear",'EL scheme register'!$AJ$7:$AJ$98,"Yes")</f>
        <v/>
      </c>
      <c r="N105" s="77">
        <f>SUM(I105:M105)</f>
        <v/>
      </c>
      <c r="O105" s="77">
        <f>COUNTIFS('EL scheme register'!$A$7:$A$98,$A105,'EL scheme register'!$AF$7:$AF$98,"Potentially relevant; evidence incomplete",'EL scheme register'!$AI$7:$AI$98,"Yes")</f>
        <v/>
      </c>
      <c r="P105" s="77">
        <f>COUNTIFS('EL scheme register'!$A$7:$A$98,$A105,'EL scheme register'!$AF$7:$AF$98,"Outside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register'!$A$7:$A$98,$A106,'EL scheme register'!$C$7:$C$98,"University-wide",'EL scheme register'!$AJ$7:$AJ$98,"Yes")</f>
        <v/>
      </c>
      <c r="J106" s="77">
        <f>COUNTIFS('EL scheme register'!$A$7:$A$98,$A106,'EL scheme register'!$C$7:$C$98,"Cross-faculty",'EL scheme register'!$AJ$7:$AJ$98,"Yes")</f>
        <v/>
      </c>
      <c r="K106" s="77">
        <f>COUNTIFS('EL scheme register'!$A$7:$A$98,$A106,'EL scheme register'!$C$7:$C$98,"Faculty/school",'EL scheme register'!$AJ$7:$AJ$98,"Yes")</f>
        <v/>
      </c>
      <c r="L106" s="77">
        <f>COUNTIFS('EL scheme register'!$A$7:$A$98,$A106,'EL scheme register'!$C$7:$C$98,"Programme/course",'EL scheme register'!$AJ$7:$AJ$98,"Yes")</f>
        <v/>
      </c>
      <c r="M106" s="77">
        <f>COUNTIFS('EL scheme register'!$A$7:$A$98,$A106,'EL scheme register'!$C$7:$C$98,"Unclear",'EL scheme register'!$AJ$7:$AJ$98,"Yes")</f>
        <v/>
      </c>
      <c r="N106" s="77">
        <f>SUM(I106:M106)</f>
        <v/>
      </c>
      <c r="O106" s="77">
        <f>COUNTIFS('EL scheme register'!$A$7:$A$98,$A106,'EL scheme register'!$AF$7:$AF$98,"Potentially relevant; evidence incomplete",'EL scheme register'!$AI$7:$AI$98,"Yes")</f>
        <v/>
      </c>
      <c r="P106" s="77">
        <f>COUNTIFS('EL scheme register'!$A$7:$A$98,$A106,'EL scheme register'!$AF$7:$AF$98,"Outside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register'!$A$7:$A$98,$A107,'EL scheme register'!$C$7:$C$98,"University-wide",'EL scheme register'!$AJ$7:$AJ$98,"Yes")</f>
        <v/>
      </c>
      <c r="J107" s="77">
        <f>COUNTIFS('EL scheme register'!$A$7:$A$98,$A107,'EL scheme register'!$C$7:$C$98,"Cross-faculty",'EL scheme register'!$AJ$7:$AJ$98,"Yes")</f>
        <v/>
      </c>
      <c r="K107" s="77">
        <f>COUNTIFS('EL scheme register'!$A$7:$A$98,$A107,'EL scheme register'!$C$7:$C$98,"Faculty/school",'EL scheme register'!$AJ$7:$AJ$98,"Yes")</f>
        <v/>
      </c>
      <c r="L107" s="77">
        <f>COUNTIFS('EL scheme register'!$A$7:$A$98,$A107,'EL scheme register'!$C$7:$C$98,"Programme/course",'EL scheme register'!$AJ$7:$AJ$98,"Yes")</f>
        <v/>
      </c>
      <c r="M107" s="77">
        <f>COUNTIFS('EL scheme register'!$A$7:$A$98,$A107,'EL scheme register'!$C$7:$C$98,"Unclear",'EL scheme register'!$AJ$7:$AJ$98,"Yes")</f>
        <v/>
      </c>
      <c r="N107" s="77">
        <f>SUM(I107:M107)</f>
        <v/>
      </c>
      <c r="O107" s="77">
        <f>COUNTIFS('EL scheme register'!$A$7:$A$98,$A107,'EL scheme register'!$AF$7:$AF$98,"Potentially relevant; evidence incomplete",'EL scheme register'!$AI$7:$AI$98,"Yes")</f>
        <v/>
      </c>
      <c r="P107" s="77">
        <f>COUNTIFS('EL scheme register'!$A$7:$A$98,$A107,'EL scheme register'!$AF$7:$AF$98,"Outside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register'!$A$7:$A$98,$A108,'EL scheme register'!$C$7:$C$98,"University-wide",'EL scheme register'!$AJ$7:$AJ$98,"Yes")</f>
        <v/>
      </c>
      <c r="J108" s="77">
        <f>COUNTIFS('EL scheme register'!$A$7:$A$98,$A108,'EL scheme register'!$C$7:$C$98,"Cross-faculty",'EL scheme register'!$AJ$7:$AJ$98,"Yes")</f>
        <v/>
      </c>
      <c r="K108" s="77">
        <f>COUNTIFS('EL scheme register'!$A$7:$A$98,$A108,'EL scheme register'!$C$7:$C$98,"Faculty/school",'EL scheme register'!$AJ$7:$AJ$98,"Yes")</f>
        <v/>
      </c>
      <c r="L108" s="77">
        <f>COUNTIFS('EL scheme register'!$A$7:$A$98,$A108,'EL scheme register'!$C$7:$C$98,"Programme/course",'EL scheme register'!$AJ$7:$AJ$98,"Yes")</f>
        <v/>
      </c>
      <c r="M108" s="77">
        <f>COUNTIFS('EL scheme register'!$A$7:$A$98,$A108,'EL scheme register'!$C$7:$C$98,"Unclear",'EL scheme register'!$AJ$7:$AJ$98,"Yes")</f>
        <v/>
      </c>
      <c r="N108" s="77">
        <f>SUM(I108:M108)</f>
        <v/>
      </c>
      <c r="O108" s="77">
        <f>COUNTIFS('EL scheme register'!$A$7:$A$98,$A108,'EL scheme register'!$AF$7:$AF$98,"Potentially relevant; evidence incomplete",'EL scheme register'!$AI$7:$AI$98,"Yes")</f>
        <v/>
      </c>
      <c r="P108" s="77">
        <f>COUNTIFS('EL scheme register'!$A$7:$A$98,$A108,'EL scheme register'!$AF$7:$AF$98,"Outside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register'!$A$7:$A$98,$A109,'EL scheme register'!$C$7:$C$98,"University-wide",'EL scheme register'!$AJ$7:$AJ$98,"Yes")</f>
        <v/>
      </c>
      <c r="J109" s="77">
        <f>COUNTIFS('EL scheme register'!$A$7:$A$98,$A109,'EL scheme register'!$C$7:$C$98,"Cross-faculty",'EL scheme register'!$AJ$7:$AJ$98,"Yes")</f>
        <v/>
      </c>
      <c r="K109" s="77">
        <f>COUNTIFS('EL scheme register'!$A$7:$A$98,$A109,'EL scheme register'!$C$7:$C$98,"Faculty/school",'EL scheme register'!$AJ$7:$AJ$98,"Yes")</f>
        <v/>
      </c>
      <c r="L109" s="77">
        <f>COUNTIFS('EL scheme register'!$A$7:$A$98,$A109,'EL scheme register'!$C$7:$C$98,"Programme/course",'EL scheme register'!$AJ$7:$AJ$98,"Yes")</f>
        <v/>
      </c>
      <c r="M109" s="77">
        <f>COUNTIFS('EL scheme register'!$A$7:$A$98,$A109,'EL scheme register'!$C$7:$C$98,"Unclear",'EL scheme register'!$AJ$7:$AJ$98,"Yes")</f>
        <v/>
      </c>
      <c r="N109" s="77">
        <f>SUM(I109:M109)</f>
        <v/>
      </c>
      <c r="O109" s="77">
        <f>COUNTIFS('EL scheme register'!$A$7:$A$98,$A109,'EL scheme register'!$AF$7:$AF$98,"Potentially relevant; evidence incomplete",'EL scheme register'!$AI$7:$AI$98,"Yes")</f>
        <v/>
      </c>
      <c r="P109" s="77">
        <f>COUNTIFS('EL scheme register'!$A$7:$A$98,$A109,'EL scheme register'!$AF$7:$AF$98,"Outside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register'!$A$7:$A$98,$A110,'EL scheme register'!$C$7:$C$98,"University-wide",'EL scheme register'!$AJ$7:$AJ$98,"Yes")</f>
        <v/>
      </c>
      <c r="J110" s="77">
        <f>COUNTIFS('EL scheme register'!$A$7:$A$98,$A110,'EL scheme register'!$C$7:$C$98,"Cross-faculty",'EL scheme register'!$AJ$7:$AJ$98,"Yes")</f>
        <v/>
      </c>
      <c r="K110" s="77">
        <f>COUNTIFS('EL scheme register'!$A$7:$A$98,$A110,'EL scheme register'!$C$7:$C$98,"Faculty/school",'EL scheme register'!$AJ$7:$AJ$98,"Yes")</f>
        <v/>
      </c>
      <c r="L110" s="77">
        <f>COUNTIFS('EL scheme register'!$A$7:$A$98,$A110,'EL scheme register'!$C$7:$C$98,"Programme/course",'EL scheme register'!$AJ$7:$AJ$98,"Yes")</f>
        <v/>
      </c>
      <c r="M110" s="77">
        <f>COUNTIFS('EL scheme register'!$A$7:$A$98,$A110,'EL scheme register'!$C$7:$C$98,"Unclear",'EL scheme register'!$AJ$7:$AJ$98,"Yes")</f>
        <v/>
      </c>
      <c r="N110" s="77">
        <f>SUM(I110:M110)</f>
        <v/>
      </c>
      <c r="O110" s="77">
        <f>COUNTIFS('EL scheme register'!$A$7:$A$98,$A110,'EL scheme register'!$AF$7:$AF$98,"Potentially relevant; evidence incomplete",'EL scheme register'!$AI$7:$AI$98,"Yes")</f>
        <v/>
      </c>
      <c r="P110" s="77">
        <f>COUNTIFS('EL scheme register'!$A$7:$A$98,$A110,'EL scheme register'!$AF$7:$AF$98,"Outside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register'!$A$7:$A$98,$A111,'EL scheme register'!$C$7:$C$98,"University-wide",'EL scheme register'!$AJ$7:$AJ$98,"Yes")</f>
        <v/>
      </c>
      <c r="J111" s="77">
        <f>COUNTIFS('EL scheme register'!$A$7:$A$98,$A111,'EL scheme register'!$C$7:$C$98,"Cross-faculty",'EL scheme register'!$AJ$7:$AJ$98,"Yes")</f>
        <v/>
      </c>
      <c r="K111" s="77">
        <f>COUNTIFS('EL scheme register'!$A$7:$A$98,$A111,'EL scheme register'!$C$7:$C$98,"Faculty/school",'EL scheme register'!$AJ$7:$AJ$98,"Yes")</f>
        <v/>
      </c>
      <c r="L111" s="77">
        <f>COUNTIFS('EL scheme register'!$A$7:$A$98,$A111,'EL scheme register'!$C$7:$C$98,"Programme/course",'EL scheme register'!$AJ$7:$AJ$98,"Yes")</f>
        <v/>
      </c>
      <c r="M111" s="77">
        <f>COUNTIFS('EL scheme register'!$A$7:$A$98,$A111,'EL scheme register'!$C$7:$C$98,"Unclear",'EL scheme register'!$AJ$7:$AJ$98,"Yes")</f>
        <v/>
      </c>
      <c r="N111" s="77">
        <f>SUM(I111:M111)</f>
        <v/>
      </c>
      <c r="O111" s="77">
        <f>COUNTIFS('EL scheme register'!$A$7:$A$98,$A111,'EL scheme register'!$AF$7:$AF$98,"Potentially relevant; evidence incomplete",'EL scheme register'!$AI$7:$AI$98,"Yes")</f>
        <v/>
      </c>
      <c r="P111" s="77">
        <f>COUNTIFS('EL scheme register'!$A$7:$A$98,$A111,'EL scheme register'!$AF$7:$AF$98,"Outside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register'!$A$7:$A$98,$A112,'EL scheme register'!$C$7:$C$98,"University-wide",'EL scheme register'!$AJ$7:$AJ$98,"Yes")</f>
        <v/>
      </c>
      <c r="J112" s="77">
        <f>COUNTIFS('EL scheme register'!$A$7:$A$98,$A112,'EL scheme register'!$C$7:$C$98,"Cross-faculty",'EL scheme register'!$AJ$7:$AJ$98,"Yes")</f>
        <v/>
      </c>
      <c r="K112" s="77">
        <f>COUNTIFS('EL scheme register'!$A$7:$A$98,$A112,'EL scheme register'!$C$7:$C$98,"Faculty/school",'EL scheme register'!$AJ$7:$AJ$98,"Yes")</f>
        <v/>
      </c>
      <c r="L112" s="77">
        <f>COUNTIFS('EL scheme register'!$A$7:$A$98,$A112,'EL scheme register'!$C$7:$C$98,"Programme/course",'EL scheme register'!$AJ$7:$AJ$98,"Yes")</f>
        <v/>
      </c>
      <c r="M112" s="77">
        <f>COUNTIFS('EL scheme register'!$A$7:$A$98,$A112,'EL scheme register'!$C$7:$C$98,"Unclear",'EL scheme register'!$AJ$7:$AJ$98,"Yes")</f>
        <v/>
      </c>
      <c r="N112" s="77">
        <f>SUM(I112:M112)</f>
        <v/>
      </c>
      <c r="O112" s="77">
        <f>COUNTIFS('EL scheme register'!$A$7:$A$98,$A112,'EL scheme register'!$AF$7:$AF$98,"Potentially relevant; evidence incomplete",'EL scheme register'!$AI$7:$AI$98,"Yes")</f>
        <v/>
      </c>
      <c r="P112" s="77">
        <f>COUNTIFS('EL scheme register'!$A$7:$A$98,$A112,'EL scheme register'!$AF$7:$AF$98,"Outside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register'!$A$7:$A$98,$A113,'EL scheme register'!$C$7:$C$98,"University-wide",'EL scheme register'!$AJ$7:$AJ$98,"Yes")</f>
        <v/>
      </c>
      <c r="J113" s="77">
        <f>COUNTIFS('EL scheme register'!$A$7:$A$98,$A113,'EL scheme register'!$C$7:$C$98,"Cross-faculty",'EL scheme register'!$AJ$7:$AJ$98,"Yes")</f>
        <v/>
      </c>
      <c r="K113" s="77">
        <f>COUNTIFS('EL scheme register'!$A$7:$A$98,$A113,'EL scheme register'!$C$7:$C$98,"Faculty/school",'EL scheme register'!$AJ$7:$AJ$98,"Yes")</f>
        <v/>
      </c>
      <c r="L113" s="77">
        <f>COUNTIFS('EL scheme register'!$A$7:$A$98,$A113,'EL scheme register'!$C$7:$C$98,"Programme/course",'EL scheme register'!$AJ$7:$AJ$98,"Yes")</f>
        <v/>
      </c>
      <c r="M113" s="77">
        <f>COUNTIFS('EL scheme register'!$A$7:$A$98,$A113,'EL scheme register'!$C$7:$C$98,"Unclear",'EL scheme register'!$AJ$7:$AJ$98,"Yes")</f>
        <v/>
      </c>
      <c r="N113" s="77">
        <f>SUM(I113:M113)</f>
        <v/>
      </c>
      <c r="O113" s="77">
        <f>COUNTIFS('EL scheme register'!$A$7:$A$98,$A113,'EL scheme register'!$AF$7:$AF$98,"Potentially relevant; evidence incomplete",'EL scheme register'!$AI$7:$AI$98,"Yes")</f>
        <v/>
      </c>
      <c r="P113" s="77">
        <f>COUNTIFS('EL scheme register'!$A$7:$A$98,$A113,'EL scheme register'!$AF$7:$AF$98,"Outside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register'!$A$7:$A$98,$A114,'EL scheme register'!$C$7:$C$98,"University-wide",'EL scheme register'!$AJ$7:$AJ$98,"Yes")</f>
        <v/>
      </c>
      <c r="J114" s="77">
        <f>COUNTIFS('EL scheme register'!$A$7:$A$98,$A114,'EL scheme register'!$C$7:$C$98,"Cross-faculty",'EL scheme register'!$AJ$7:$AJ$98,"Yes")</f>
        <v/>
      </c>
      <c r="K114" s="77">
        <f>COUNTIFS('EL scheme register'!$A$7:$A$98,$A114,'EL scheme register'!$C$7:$C$98,"Faculty/school",'EL scheme register'!$AJ$7:$AJ$98,"Yes")</f>
        <v/>
      </c>
      <c r="L114" s="77">
        <f>COUNTIFS('EL scheme register'!$A$7:$A$98,$A114,'EL scheme register'!$C$7:$C$98,"Programme/course",'EL scheme register'!$AJ$7:$AJ$98,"Yes")</f>
        <v/>
      </c>
      <c r="M114" s="77">
        <f>COUNTIFS('EL scheme register'!$A$7:$A$98,$A114,'EL scheme register'!$C$7:$C$98,"Unclear",'EL scheme register'!$AJ$7:$AJ$98,"Yes")</f>
        <v/>
      </c>
      <c r="N114" s="77">
        <f>SUM(I114:M114)</f>
        <v/>
      </c>
      <c r="O114" s="77">
        <f>COUNTIFS('EL scheme register'!$A$7:$A$98,$A114,'EL scheme register'!$AF$7:$AF$98,"Potentially relevant; evidence incomplete",'EL scheme register'!$AI$7:$AI$98,"Yes")</f>
        <v/>
      </c>
      <c r="P114" s="77">
        <f>COUNTIFS('EL scheme register'!$A$7:$A$98,$A114,'EL scheme register'!$AF$7:$AF$98,"Outside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register'!$A$7:$A$98,$A115,'EL scheme register'!$C$7:$C$98,"University-wide",'EL scheme register'!$AJ$7:$AJ$98,"Yes")</f>
        <v/>
      </c>
      <c r="J115" s="77">
        <f>COUNTIFS('EL scheme register'!$A$7:$A$98,$A115,'EL scheme register'!$C$7:$C$98,"Cross-faculty",'EL scheme register'!$AJ$7:$AJ$98,"Yes")</f>
        <v/>
      </c>
      <c r="K115" s="77">
        <f>COUNTIFS('EL scheme register'!$A$7:$A$98,$A115,'EL scheme register'!$C$7:$C$98,"Faculty/school",'EL scheme register'!$AJ$7:$AJ$98,"Yes")</f>
        <v/>
      </c>
      <c r="L115" s="77">
        <f>COUNTIFS('EL scheme register'!$A$7:$A$98,$A115,'EL scheme register'!$C$7:$C$98,"Programme/course",'EL scheme register'!$AJ$7:$AJ$98,"Yes")</f>
        <v/>
      </c>
      <c r="M115" s="77">
        <f>COUNTIFS('EL scheme register'!$A$7:$A$98,$A115,'EL scheme register'!$C$7:$C$98,"Unclear",'EL scheme register'!$AJ$7:$AJ$98,"Yes")</f>
        <v/>
      </c>
      <c r="N115" s="77">
        <f>SUM(I115:M115)</f>
        <v/>
      </c>
      <c r="O115" s="77">
        <f>COUNTIFS('EL scheme register'!$A$7:$A$98,$A115,'EL scheme register'!$AF$7:$AF$98,"Potentially relevant; evidence incomplete",'EL scheme register'!$AI$7:$AI$98,"Yes")</f>
        <v/>
      </c>
      <c r="P115" s="77">
        <f>COUNTIFS('EL scheme register'!$A$7:$A$98,$A115,'EL scheme register'!$AF$7:$AF$98,"Outside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register'!$A$7:$A$98,$A116,'EL scheme register'!$C$7:$C$98,"University-wide",'EL scheme register'!$AJ$7:$AJ$98,"Yes")</f>
        <v/>
      </c>
      <c r="J116" s="77">
        <f>COUNTIFS('EL scheme register'!$A$7:$A$98,$A116,'EL scheme register'!$C$7:$C$98,"Cross-faculty",'EL scheme register'!$AJ$7:$AJ$98,"Yes")</f>
        <v/>
      </c>
      <c r="K116" s="77">
        <f>COUNTIFS('EL scheme register'!$A$7:$A$98,$A116,'EL scheme register'!$C$7:$C$98,"Faculty/school",'EL scheme register'!$AJ$7:$AJ$98,"Yes")</f>
        <v/>
      </c>
      <c r="L116" s="77">
        <f>COUNTIFS('EL scheme register'!$A$7:$A$98,$A116,'EL scheme register'!$C$7:$C$98,"Programme/course",'EL scheme register'!$AJ$7:$AJ$98,"Yes")</f>
        <v/>
      </c>
      <c r="M116" s="77">
        <f>COUNTIFS('EL scheme register'!$A$7:$A$98,$A116,'EL scheme register'!$C$7:$C$98,"Unclear",'EL scheme register'!$AJ$7:$AJ$98,"Yes")</f>
        <v/>
      </c>
      <c r="N116" s="77">
        <f>SUM(I116:M116)</f>
        <v/>
      </c>
      <c r="O116" s="77">
        <f>COUNTIFS('EL scheme register'!$A$7:$A$98,$A116,'EL scheme register'!$AF$7:$AF$98,"Potentially relevant; evidence incomplete",'EL scheme register'!$AI$7:$AI$98,"Yes")</f>
        <v/>
      </c>
      <c r="P116" s="77">
        <f>COUNTIFS('EL scheme register'!$A$7:$A$98,$A116,'EL scheme register'!$AF$7:$AF$98,"Outside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register'!$A$7:$A$98,$A117,'EL scheme register'!$C$7:$C$98,"University-wide",'EL scheme register'!$AJ$7:$AJ$98,"Yes")</f>
        <v/>
      </c>
      <c r="J117" s="77">
        <f>COUNTIFS('EL scheme register'!$A$7:$A$98,$A117,'EL scheme register'!$C$7:$C$98,"Cross-faculty",'EL scheme register'!$AJ$7:$AJ$98,"Yes")</f>
        <v/>
      </c>
      <c r="K117" s="77">
        <f>COUNTIFS('EL scheme register'!$A$7:$A$98,$A117,'EL scheme register'!$C$7:$C$98,"Faculty/school",'EL scheme register'!$AJ$7:$AJ$98,"Yes")</f>
        <v/>
      </c>
      <c r="L117" s="77">
        <f>COUNTIFS('EL scheme register'!$A$7:$A$98,$A117,'EL scheme register'!$C$7:$C$98,"Programme/course",'EL scheme register'!$AJ$7:$AJ$98,"Yes")</f>
        <v/>
      </c>
      <c r="M117" s="77">
        <f>COUNTIFS('EL scheme register'!$A$7:$A$98,$A117,'EL scheme register'!$C$7:$C$98,"Unclear",'EL scheme register'!$AJ$7:$AJ$98,"Yes")</f>
        <v/>
      </c>
      <c r="N117" s="77">
        <f>SUM(I117:M117)</f>
        <v/>
      </c>
      <c r="O117" s="77">
        <f>COUNTIFS('EL scheme register'!$A$7:$A$98,$A117,'EL scheme register'!$AF$7:$AF$98,"Potentially relevant; evidence incomplete",'EL scheme register'!$AI$7:$AI$98,"Yes")</f>
        <v/>
      </c>
      <c r="P117" s="77">
        <f>COUNTIFS('EL scheme register'!$A$7:$A$98,$A117,'EL scheme register'!$AF$7:$AF$98,"Outside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register'!$A$7:$A$98,$A118,'EL scheme register'!$C$7:$C$98,"University-wide",'EL scheme register'!$AJ$7:$AJ$98,"Yes")</f>
        <v/>
      </c>
      <c r="J118" s="77">
        <f>COUNTIFS('EL scheme register'!$A$7:$A$98,$A118,'EL scheme register'!$C$7:$C$98,"Cross-faculty",'EL scheme register'!$AJ$7:$AJ$98,"Yes")</f>
        <v/>
      </c>
      <c r="K118" s="77">
        <f>COUNTIFS('EL scheme register'!$A$7:$A$98,$A118,'EL scheme register'!$C$7:$C$98,"Faculty/school",'EL scheme register'!$AJ$7:$AJ$98,"Yes")</f>
        <v/>
      </c>
      <c r="L118" s="77">
        <f>COUNTIFS('EL scheme register'!$A$7:$A$98,$A118,'EL scheme register'!$C$7:$C$98,"Programme/course",'EL scheme register'!$AJ$7:$AJ$98,"Yes")</f>
        <v/>
      </c>
      <c r="M118" s="77">
        <f>COUNTIFS('EL scheme register'!$A$7:$A$98,$A118,'EL scheme register'!$C$7:$C$98,"Unclear",'EL scheme register'!$AJ$7:$AJ$98,"Yes")</f>
        <v/>
      </c>
      <c r="N118" s="77">
        <f>SUM(I118:M118)</f>
        <v/>
      </c>
      <c r="O118" s="77">
        <f>COUNTIFS('EL scheme register'!$A$7:$A$98,$A118,'EL scheme register'!$AF$7:$AF$98,"Potentially relevant; evidence incomplete",'EL scheme register'!$AI$7:$AI$98,"Yes")</f>
        <v/>
      </c>
      <c r="P118" s="77">
        <f>COUNTIFS('EL scheme register'!$A$7:$A$98,$A118,'EL scheme register'!$AF$7:$AF$98,"Outside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register'!$A$7:$A$98,$A119,'EL scheme register'!$C$7:$C$98,"University-wide",'EL scheme register'!$AJ$7:$AJ$98,"Yes")</f>
        <v/>
      </c>
      <c r="J119" s="77">
        <f>COUNTIFS('EL scheme register'!$A$7:$A$98,$A119,'EL scheme register'!$C$7:$C$98,"Cross-faculty",'EL scheme register'!$AJ$7:$AJ$98,"Yes")</f>
        <v/>
      </c>
      <c r="K119" s="77">
        <f>COUNTIFS('EL scheme register'!$A$7:$A$98,$A119,'EL scheme register'!$C$7:$C$98,"Faculty/school",'EL scheme register'!$AJ$7:$AJ$98,"Yes")</f>
        <v/>
      </c>
      <c r="L119" s="77">
        <f>COUNTIFS('EL scheme register'!$A$7:$A$98,$A119,'EL scheme register'!$C$7:$C$98,"Programme/course",'EL scheme register'!$AJ$7:$AJ$98,"Yes")</f>
        <v/>
      </c>
      <c r="M119" s="77">
        <f>COUNTIFS('EL scheme register'!$A$7:$A$98,$A119,'EL scheme register'!$C$7:$C$98,"Unclear",'EL scheme register'!$AJ$7:$AJ$98,"Yes")</f>
        <v/>
      </c>
      <c r="N119" s="77">
        <f>SUM(I119:M119)</f>
        <v/>
      </c>
      <c r="O119" s="77">
        <f>COUNTIFS('EL scheme register'!$A$7:$A$98,$A119,'EL scheme register'!$AF$7:$AF$98,"Potentially relevant; evidence incomplete",'EL scheme register'!$AI$7:$AI$98,"Yes")</f>
        <v/>
      </c>
      <c r="P119" s="77">
        <f>COUNTIFS('EL scheme register'!$A$7:$A$98,$A119,'EL scheme register'!$AF$7:$AF$98,"Outside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register'!$A$7:$A$98,$A120,'EL scheme register'!$C$7:$C$98,"University-wide",'EL scheme register'!$AJ$7:$AJ$98,"Yes")</f>
        <v/>
      </c>
      <c r="J120" s="77">
        <f>COUNTIFS('EL scheme register'!$A$7:$A$98,$A120,'EL scheme register'!$C$7:$C$98,"Cross-faculty",'EL scheme register'!$AJ$7:$AJ$98,"Yes")</f>
        <v/>
      </c>
      <c r="K120" s="77">
        <f>COUNTIFS('EL scheme register'!$A$7:$A$98,$A120,'EL scheme register'!$C$7:$C$98,"Faculty/school",'EL scheme register'!$AJ$7:$AJ$98,"Yes")</f>
        <v/>
      </c>
      <c r="L120" s="77">
        <f>COUNTIFS('EL scheme register'!$A$7:$A$98,$A120,'EL scheme register'!$C$7:$C$98,"Programme/course",'EL scheme register'!$AJ$7:$AJ$98,"Yes")</f>
        <v/>
      </c>
      <c r="M120" s="77">
        <f>COUNTIFS('EL scheme register'!$A$7:$A$98,$A120,'EL scheme register'!$C$7:$C$98,"Unclear",'EL scheme register'!$AJ$7:$AJ$98,"Yes")</f>
        <v/>
      </c>
      <c r="N120" s="77">
        <f>SUM(I120:M120)</f>
        <v/>
      </c>
      <c r="O120" s="77">
        <f>COUNTIFS('EL scheme register'!$A$7:$A$98,$A120,'EL scheme register'!$AF$7:$AF$98,"Potentially relevant; evidence incomplete",'EL scheme register'!$AI$7:$AI$98,"Yes")</f>
        <v/>
      </c>
      <c r="P120" s="77">
        <f>COUNTIFS('EL scheme register'!$A$7:$A$98,$A120,'EL scheme register'!$AF$7:$AF$98,"Outside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register'!$A$7:$A$98,$A121,'EL scheme register'!$C$7:$C$98,"University-wide",'EL scheme register'!$AJ$7:$AJ$98,"Yes")</f>
        <v/>
      </c>
      <c r="J121" s="77">
        <f>COUNTIFS('EL scheme register'!$A$7:$A$98,$A121,'EL scheme register'!$C$7:$C$98,"Cross-faculty",'EL scheme register'!$AJ$7:$AJ$98,"Yes")</f>
        <v/>
      </c>
      <c r="K121" s="77">
        <f>COUNTIFS('EL scheme register'!$A$7:$A$98,$A121,'EL scheme register'!$C$7:$C$98,"Faculty/school",'EL scheme register'!$AJ$7:$AJ$98,"Yes")</f>
        <v/>
      </c>
      <c r="L121" s="77">
        <f>COUNTIFS('EL scheme register'!$A$7:$A$98,$A121,'EL scheme register'!$C$7:$C$98,"Programme/course",'EL scheme register'!$AJ$7:$AJ$98,"Yes")</f>
        <v/>
      </c>
      <c r="M121" s="77">
        <f>COUNTIFS('EL scheme register'!$A$7:$A$98,$A121,'EL scheme register'!$C$7:$C$98,"Unclear",'EL scheme register'!$AJ$7:$AJ$98,"Yes")</f>
        <v/>
      </c>
      <c r="N121" s="77">
        <f>SUM(I121:M121)</f>
        <v/>
      </c>
      <c r="O121" s="77">
        <f>COUNTIFS('EL scheme register'!$A$7:$A$98,$A121,'EL scheme register'!$AF$7:$AF$98,"Potentially relevant; evidence incomplete",'EL scheme register'!$AI$7:$AI$98,"Yes")</f>
        <v/>
      </c>
      <c r="P121" s="77">
        <f>COUNTIFS('EL scheme register'!$A$7:$A$98,$A121,'EL scheme register'!$AF$7:$AF$98,"Outside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register'!$A$7:$A$98,$A122,'EL scheme register'!$C$7:$C$98,"University-wide",'EL scheme register'!$AJ$7:$AJ$98,"Yes")</f>
        <v/>
      </c>
      <c r="J122" s="77">
        <f>COUNTIFS('EL scheme register'!$A$7:$A$98,$A122,'EL scheme register'!$C$7:$C$98,"Cross-faculty",'EL scheme register'!$AJ$7:$AJ$98,"Yes")</f>
        <v/>
      </c>
      <c r="K122" s="77">
        <f>COUNTIFS('EL scheme register'!$A$7:$A$98,$A122,'EL scheme register'!$C$7:$C$98,"Faculty/school",'EL scheme register'!$AJ$7:$AJ$98,"Yes")</f>
        <v/>
      </c>
      <c r="L122" s="77">
        <f>COUNTIFS('EL scheme register'!$A$7:$A$98,$A122,'EL scheme register'!$C$7:$C$98,"Programme/course",'EL scheme register'!$AJ$7:$AJ$98,"Yes")</f>
        <v/>
      </c>
      <c r="M122" s="77">
        <f>COUNTIFS('EL scheme register'!$A$7:$A$98,$A122,'EL scheme register'!$C$7:$C$98,"Unclear",'EL scheme register'!$AJ$7:$AJ$98,"Yes")</f>
        <v/>
      </c>
      <c r="N122" s="77">
        <f>SUM(I122:M122)</f>
        <v/>
      </c>
      <c r="O122" s="77">
        <f>COUNTIFS('EL scheme register'!$A$7:$A$98,$A122,'EL scheme register'!$AF$7:$AF$98,"Potentially relevant; evidence incomplete",'EL scheme register'!$AI$7:$AI$98,"Yes")</f>
        <v/>
      </c>
      <c r="P122" s="77">
        <f>COUNTIFS('EL scheme register'!$A$7:$A$98,$A122,'EL scheme register'!$AF$7:$AF$98,"Outside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register'!$A$7:$A$98,$A123,'EL scheme register'!$C$7:$C$98,"University-wide",'EL scheme register'!$AJ$7:$AJ$98,"Yes")</f>
        <v/>
      </c>
      <c r="J123" s="77">
        <f>COUNTIFS('EL scheme register'!$A$7:$A$98,$A123,'EL scheme register'!$C$7:$C$98,"Cross-faculty",'EL scheme register'!$AJ$7:$AJ$98,"Yes")</f>
        <v/>
      </c>
      <c r="K123" s="77">
        <f>COUNTIFS('EL scheme register'!$A$7:$A$98,$A123,'EL scheme register'!$C$7:$C$98,"Faculty/school",'EL scheme register'!$AJ$7:$AJ$98,"Yes")</f>
        <v/>
      </c>
      <c r="L123" s="77">
        <f>COUNTIFS('EL scheme register'!$A$7:$A$98,$A123,'EL scheme register'!$C$7:$C$98,"Programme/course",'EL scheme register'!$AJ$7:$AJ$98,"Yes")</f>
        <v/>
      </c>
      <c r="M123" s="77">
        <f>COUNTIFS('EL scheme register'!$A$7:$A$98,$A123,'EL scheme register'!$C$7:$C$98,"Unclear",'EL scheme register'!$AJ$7:$AJ$98,"Yes")</f>
        <v/>
      </c>
      <c r="N123" s="77">
        <f>SUM(I123:M123)</f>
        <v/>
      </c>
      <c r="O123" s="77">
        <f>COUNTIFS('EL scheme register'!$A$7:$A$98,$A123,'EL scheme register'!$AF$7:$AF$98,"Potentially relevant; evidence incomplete",'EL scheme register'!$AI$7:$AI$98,"Yes")</f>
        <v/>
      </c>
      <c r="P123" s="77">
        <f>COUNTIFS('EL scheme register'!$A$7:$A$98,$A123,'EL scheme register'!$AF$7:$AF$98,"Outside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register'!$A$7:$A$98,$A124,'EL scheme register'!$C$7:$C$98,"University-wide",'EL scheme register'!$AJ$7:$AJ$98,"Yes")</f>
        <v/>
      </c>
      <c r="J124" s="77">
        <f>COUNTIFS('EL scheme register'!$A$7:$A$98,$A124,'EL scheme register'!$C$7:$C$98,"Cross-faculty",'EL scheme register'!$AJ$7:$AJ$98,"Yes")</f>
        <v/>
      </c>
      <c r="K124" s="77">
        <f>COUNTIFS('EL scheme register'!$A$7:$A$98,$A124,'EL scheme register'!$C$7:$C$98,"Faculty/school",'EL scheme register'!$AJ$7:$AJ$98,"Yes")</f>
        <v/>
      </c>
      <c r="L124" s="77">
        <f>COUNTIFS('EL scheme register'!$A$7:$A$98,$A124,'EL scheme register'!$C$7:$C$98,"Programme/course",'EL scheme register'!$AJ$7:$AJ$98,"Yes")</f>
        <v/>
      </c>
      <c r="M124" s="77">
        <f>COUNTIFS('EL scheme register'!$A$7:$A$98,$A124,'EL scheme register'!$C$7:$C$98,"Unclear",'EL scheme register'!$AJ$7:$AJ$98,"Yes")</f>
        <v/>
      </c>
      <c r="N124" s="77">
        <f>SUM(I124:M124)</f>
        <v/>
      </c>
      <c r="O124" s="77">
        <f>COUNTIFS('EL scheme register'!$A$7:$A$98,$A124,'EL scheme register'!$AF$7:$AF$98,"Potentially relevant; evidence incomplete",'EL scheme register'!$AI$7:$AI$98,"Yes")</f>
        <v/>
      </c>
      <c r="P124" s="77">
        <f>COUNTIFS('EL scheme register'!$A$7:$A$98,$A124,'EL scheme register'!$AF$7:$AF$98,"Outside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register'!$A$7:$A$98,$A125,'EL scheme register'!$C$7:$C$98,"University-wide",'EL scheme register'!$AJ$7:$AJ$98,"Yes")</f>
        <v/>
      </c>
      <c r="J125" s="77">
        <f>COUNTIFS('EL scheme register'!$A$7:$A$98,$A125,'EL scheme register'!$C$7:$C$98,"Cross-faculty",'EL scheme register'!$AJ$7:$AJ$98,"Yes")</f>
        <v/>
      </c>
      <c r="K125" s="77">
        <f>COUNTIFS('EL scheme register'!$A$7:$A$98,$A125,'EL scheme register'!$C$7:$C$98,"Faculty/school",'EL scheme register'!$AJ$7:$AJ$98,"Yes")</f>
        <v/>
      </c>
      <c r="L125" s="77">
        <f>COUNTIFS('EL scheme register'!$A$7:$A$98,$A125,'EL scheme register'!$C$7:$C$98,"Programme/course",'EL scheme register'!$AJ$7:$AJ$98,"Yes")</f>
        <v/>
      </c>
      <c r="M125" s="77">
        <f>COUNTIFS('EL scheme register'!$A$7:$A$98,$A125,'EL scheme register'!$C$7:$C$98,"Unclear",'EL scheme register'!$AJ$7:$AJ$98,"Yes")</f>
        <v/>
      </c>
      <c r="N125" s="77">
        <f>SUM(I125:M125)</f>
        <v/>
      </c>
      <c r="O125" s="77">
        <f>COUNTIFS('EL scheme register'!$A$7:$A$98,$A125,'EL scheme register'!$AF$7:$AF$98,"Potentially relevant; evidence incomplete",'EL scheme register'!$AI$7:$AI$98,"Yes")</f>
        <v/>
      </c>
      <c r="P125" s="77">
        <f>COUNTIFS('EL scheme register'!$A$7:$A$98,$A125,'EL scheme register'!$AF$7:$AF$98,"Outside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register'!$A$7:$A$98,$A126,'EL scheme register'!$C$7:$C$98,"University-wide",'EL scheme register'!$AJ$7:$AJ$98,"Yes")</f>
        <v/>
      </c>
      <c r="J126" s="77">
        <f>COUNTIFS('EL scheme register'!$A$7:$A$98,$A126,'EL scheme register'!$C$7:$C$98,"Cross-faculty",'EL scheme register'!$AJ$7:$AJ$98,"Yes")</f>
        <v/>
      </c>
      <c r="K126" s="77">
        <f>COUNTIFS('EL scheme register'!$A$7:$A$98,$A126,'EL scheme register'!$C$7:$C$98,"Faculty/school",'EL scheme register'!$AJ$7:$AJ$98,"Yes")</f>
        <v/>
      </c>
      <c r="L126" s="77">
        <f>COUNTIFS('EL scheme register'!$A$7:$A$98,$A126,'EL scheme register'!$C$7:$C$98,"Programme/course",'EL scheme register'!$AJ$7:$AJ$98,"Yes")</f>
        <v/>
      </c>
      <c r="M126" s="77">
        <f>COUNTIFS('EL scheme register'!$A$7:$A$98,$A126,'EL scheme register'!$C$7:$C$98,"Unclear",'EL scheme register'!$AJ$7:$AJ$98,"Yes")</f>
        <v/>
      </c>
      <c r="N126" s="77">
        <f>SUM(I126:M126)</f>
        <v/>
      </c>
      <c r="O126" s="77">
        <f>COUNTIFS('EL scheme register'!$A$7:$A$98,$A126,'EL scheme register'!$AF$7:$AF$98,"Potentially relevant; evidence incomplete",'EL scheme register'!$AI$7:$AI$98,"Yes")</f>
        <v/>
      </c>
      <c r="P126" s="77">
        <f>COUNTIFS('EL scheme register'!$A$7:$A$98,$A126,'EL scheme register'!$AF$7:$AF$98,"Outside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register'!$A$7:$A$98,$A127,'EL scheme register'!$C$7:$C$98,"University-wide",'EL scheme register'!$AJ$7:$AJ$98,"Yes")</f>
        <v/>
      </c>
      <c r="J127" s="77">
        <f>COUNTIFS('EL scheme register'!$A$7:$A$98,$A127,'EL scheme register'!$C$7:$C$98,"Cross-faculty",'EL scheme register'!$AJ$7:$AJ$98,"Yes")</f>
        <v/>
      </c>
      <c r="K127" s="77">
        <f>COUNTIFS('EL scheme register'!$A$7:$A$98,$A127,'EL scheme register'!$C$7:$C$98,"Faculty/school",'EL scheme register'!$AJ$7:$AJ$98,"Yes")</f>
        <v/>
      </c>
      <c r="L127" s="77">
        <f>COUNTIFS('EL scheme register'!$A$7:$A$98,$A127,'EL scheme register'!$C$7:$C$98,"Programme/course",'EL scheme register'!$AJ$7:$AJ$98,"Yes")</f>
        <v/>
      </c>
      <c r="M127" s="77">
        <f>COUNTIFS('EL scheme register'!$A$7:$A$98,$A127,'EL scheme register'!$C$7:$C$98,"Unclear",'EL scheme register'!$AJ$7:$AJ$98,"Yes")</f>
        <v/>
      </c>
      <c r="N127" s="77">
        <f>SUM(I127:M127)</f>
        <v/>
      </c>
      <c r="O127" s="77">
        <f>COUNTIFS('EL scheme register'!$A$7:$A$98,$A127,'EL scheme register'!$AF$7:$AF$98,"Potentially relevant; evidence incomplete",'EL scheme register'!$AI$7:$AI$98,"Yes")</f>
        <v/>
      </c>
      <c r="P127" s="77">
        <f>COUNTIFS('EL scheme register'!$A$7:$A$98,$A127,'EL scheme register'!$AF$7:$AF$98,"Outside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register'!$A$7:$A$98,$A128,'EL scheme register'!$C$7:$C$98,"University-wide",'EL scheme register'!$AJ$7:$AJ$98,"Yes")</f>
        <v/>
      </c>
      <c r="J128" s="77">
        <f>COUNTIFS('EL scheme register'!$A$7:$A$98,$A128,'EL scheme register'!$C$7:$C$98,"Cross-faculty",'EL scheme register'!$AJ$7:$AJ$98,"Yes")</f>
        <v/>
      </c>
      <c r="K128" s="77">
        <f>COUNTIFS('EL scheme register'!$A$7:$A$98,$A128,'EL scheme register'!$C$7:$C$98,"Faculty/school",'EL scheme register'!$AJ$7:$AJ$98,"Yes")</f>
        <v/>
      </c>
      <c r="L128" s="77">
        <f>COUNTIFS('EL scheme register'!$A$7:$A$98,$A128,'EL scheme register'!$C$7:$C$98,"Programme/course",'EL scheme register'!$AJ$7:$AJ$98,"Yes")</f>
        <v/>
      </c>
      <c r="M128" s="77">
        <f>COUNTIFS('EL scheme register'!$A$7:$A$98,$A128,'EL scheme register'!$C$7:$C$98,"Unclear",'EL scheme register'!$AJ$7:$AJ$98,"Yes")</f>
        <v/>
      </c>
      <c r="N128" s="77">
        <f>SUM(I128:M128)</f>
        <v/>
      </c>
      <c r="O128" s="77">
        <f>COUNTIFS('EL scheme register'!$A$7:$A$98,$A128,'EL scheme register'!$AF$7:$AF$98,"Potentially relevant; evidence incomplete",'EL scheme register'!$AI$7:$AI$98,"Yes")</f>
        <v/>
      </c>
      <c r="P128" s="77">
        <f>COUNTIFS('EL scheme register'!$A$7:$A$98,$A128,'EL scheme register'!$AF$7:$AF$98,"Outside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register'!$A$7:$A$98,$A129,'EL scheme register'!$C$7:$C$98,"University-wide",'EL scheme register'!$AJ$7:$AJ$98,"Yes")</f>
        <v/>
      </c>
      <c r="J129" s="77">
        <f>COUNTIFS('EL scheme register'!$A$7:$A$98,$A129,'EL scheme register'!$C$7:$C$98,"Cross-faculty",'EL scheme register'!$AJ$7:$AJ$98,"Yes")</f>
        <v/>
      </c>
      <c r="K129" s="77">
        <f>COUNTIFS('EL scheme register'!$A$7:$A$98,$A129,'EL scheme register'!$C$7:$C$98,"Faculty/school",'EL scheme register'!$AJ$7:$AJ$98,"Yes")</f>
        <v/>
      </c>
      <c r="L129" s="77">
        <f>COUNTIFS('EL scheme register'!$A$7:$A$98,$A129,'EL scheme register'!$C$7:$C$98,"Programme/course",'EL scheme register'!$AJ$7:$AJ$98,"Yes")</f>
        <v/>
      </c>
      <c r="M129" s="77">
        <f>COUNTIFS('EL scheme register'!$A$7:$A$98,$A129,'EL scheme register'!$C$7:$C$98,"Unclear",'EL scheme register'!$AJ$7:$AJ$98,"Yes")</f>
        <v/>
      </c>
      <c r="N129" s="77">
        <f>SUM(I129:M129)</f>
        <v/>
      </c>
      <c r="O129" s="77">
        <f>COUNTIFS('EL scheme register'!$A$7:$A$98,$A129,'EL scheme register'!$AF$7:$AF$98,"Potentially relevant; evidence incomplete",'EL scheme register'!$AI$7:$AI$98,"Yes")</f>
        <v/>
      </c>
      <c r="P129" s="77">
        <f>COUNTIFS('EL scheme register'!$A$7:$A$98,$A129,'EL scheme register'!$AF$7:$AF$98,"Outside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register'!$A$7:$A$98,$A130,'EL scheme register'!$C$7:$C$98,"University-wide",'EL scheme register'!$AJ$7:$AJ$98,"Yes")</f>
        <v/>
      </c>
      <c r="J130" s="77">
        <f>COUNTIFS('EL scheme register'!$A$7:$A$98,$A130,'EL scheme register'!$C$7:$C$98,"Cross-faculty",'EL scheme register'!$AJ$7:$AJ$98,"Yes")</f>
        <v/>
      </c>
      <c r="K130" s="77">
        <f>COUNTIFS('EL scheme register'!$A$7:$A$98,$A130,'EL scheme register'!$C$7:$C$98,"Faculty/school",'EL scheme register'!$AJ$7:$AJ$98,"Yes")</f>
        <v/>
      </c>
      <c r="L130" s="77">
        <f>COUNTIFS('EL scheme register'!$A$7:$A$98,$A130,'EL scheme register'!$C$7:$C$98,"Programme/course",'EL scheme register'!$AJ$7:$AJ$98,"Yes")</f>
        <v/>
      </c>
      <c r="M130" s="77">
        <f>COUNTIFS('EL scheme register'!$A$7:$A$98,$A130,'EL scheme register'!$C$7:$C$98,"Unclear",'EL scheme register'!$AJ$7:$AJ$98,"Yes")</f>
        <v/>
      </c>
      <c r="N130" s="77">
        <f>SUM(I130:M130)</f>
        <v/>
      </c>
      <c r="O130" s="77">
        <f>COUNTIFS('EL scheme register'!$A$7:$A$98,$A130,'EL scheme register'!$AF$7:$AF$98,"Potentially relevant; evidence incomplete",'EL scheme register'!$AI$7:$AI$98,"Yes")</f>
        <v/>
      </c>
      <c r="P130" s="77">
        <f>COUNTIFS('EL scheme register'!$A$7:$A$98,$A130,'EL scheme register'!$AF$7:$AF$98,"Outside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9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AU06</t>
        </is>
      </c>
      <c r="B30" s="77" t="inlineStr">
        <is>
          <t>Queensland</t>
        </is>
      </c>
      <c r="C30" s="77" t="inlineStr">
        <is>
          <t>University-wide</t>
        </is>
      </c>
      <c r="D30" s="77" t="inlineStr">
        <is>
          <t>AU06-S01</t>
        </is>
      </c>
      <c r="E30" s="77" t="inlineStr"/>
      <c r="F30" s="77" t="inlineStr">
        <is>
          <t>No</t>
        </is>
      </c>
      <c r="G30" s="79" t="inlineStr">
        <is>
          <t>Ventures Industry Challenge</t>
        </is>
      </c>
      <c r="H30" s="77" t="inlineStr">
        <is>
          <t>Ventures Industry Challenge</t>
        </is>
      </c>
      <c r="I30" s="77" t="inlineStr"/>
      <c r="J3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30" s="77" t="inlineStr">
        <is>
          <t>UQ Ventures (central entrepreneurship/innovation unit)</t>
        </is>
      </c>
      <c r="L30" s="77" t="inlineStr">
        <is>
          <t>Teams of current UQ students from any faculty, discipline or year level</t>
        </is>
      </c>
      <c r="M30" s="77" t="inlineStr">
        <is>
          <t>Central provision</t>
        </is>
      </c>
      <c r="N30" s="77" t="inlineStr">
        <is>
          <t>Mixed</t>
        </is>
      </c>
      <c r="O30" s="77" t="inlineStr">
        <is>
          <t>Any</t>
        </is>
      </c>
      <c r="P30" s="77" t="inlineStr">
        <is>
          <t>Current UQ students; register and join a team at the first panel session (26 August in 2026).</t>
        </is>
      </c>
      <c r="Q30" s="77" t="inlineStr">
        <is>
          <t>Optional/elective</t>
        </is>
      </c>
      <c r="R30" s="77" t="inlineStr">
        <is>
          <t>Extracurricular</t>
        </is>
      </c>
      <c r="S30" s="77" t="inlineStr">
        <is>
          <t>No credit; pitch competition judged against criteria provided to participants; prizes (up to $11,000 in an earlier, undated edition).</t>
        </is>
      </c>
      <c r="T30" s="77" t="inlineStr">
        <is>
          <t>Across September (approx. 4 weeks) in 2026</t>
        </is>
      </c>
      <c r="U30" s="77" t="inlineStr">
        <is>
          <t>In person workshops/panel sessions, mentoring and final pitch</t>
        </is>
      </c>
      <c r="V30" s="77" t="inlineStr">
        <is>
          <t>Yes</t>
        </is>
      </c>
      <c r="W30" s="77" t="inlineStr">
        <is>
          <t>Teams tackle a defined annual challenge theme and pitch a solution (identifiable output: solution pitch) [1][3].</t>
        </is>
      </c>
      <c r="X30" s="77" t="inlineStr">
        <is>
          <t>Yes</t>
        </is>
      </c>
      <c r="Y30" s="77" t="inlineStr">
        <is>
          <t>'Open to teams of current UQ students'; trans-disciplinary teams formed at first panel session [1][3].</t>
        </is>
      </c>
      <c r="Z30" s="77" t="inlineStr">
        <is>
          <t>Unclear</t>
        </is>
      </c>
      <c r="AA3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30" s="77" t="inlineStr">
        <is>
          <t>Mixed</t>
        </is>
      </c>
      <c r="AC30" s="77" t="inlineStr">
        <is>
          <t>Theme partner (varies by year: not-for-profit, port operator, internal UQ initiative); industry mentors; judging panel composition not evidenced</t>
        </is>
      </c>
      <c r="AD30" s="77" t="inlineStr">
        <is>
          <t>WaterStart (2020); Port of Brisbane (2024); UQ SEXtember (internal, 2026); ASHM (2026, attribution to specific page unclear)</t>
        </is>
      </c>
      <c r="AE30" s="77" t="inlineStr">
        <is>
          <t>Team solution pitch</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Over 40 teams (2020, inaugural edition) [1]</t>
        </is>
      </c>
      <c r="AL30" s="77" t="inlineStr">
        <is>
          <t>AU06-S01-R1; AU06-S01-R2; AU06-S01-R3</t>
        </is>
      </c>
      <c r="AM30" s="77" t="inlineStr">
        <is>
          <t>Whether external partners set the problem statements and sit on the judging panel; 2026 partner is internal UQ SEXtember; prize amounts for 2026 not published.</t>
        </is>
      </c>
      <c r="AN30" s="77" t="inlineStr">
        <is>
          <t>UQ Ventures challenges</t>
        </is>
      </c>
      <c r="AO30" s="77" t="inlineStr">
        <is>
          <t>Australia</t>
        </is>
      </c>
      <c r="AP30" s="77" t="inlineStr">
        <is>
          <t>Australia</t>
        </is>
      </c>
      <c r="AQ30" s="77" t="inlineStr">
        <is>
          <t>1–4 weeks</t>
        </is>
      </c>
      <c r="AR30" s="77" t="inlineStr">
        <is>
          <t>Unclear</t>
        </is>
      </c>
      <c r="AS30" s="77" t="inlineStr"/>
    </row>
    <row r="31">
      <c r="A31" s="77" t="inlineStr">
        <is>
          <t>AU06</t>
        </is>
      </c>
      <c r="B31" s="77" t="inlineStr">
        <is>
          <t>Queensland</t>
        </is>
      </c>
      <c r="C31" s="77" t="inlineStr">
        <is>
          <t>University-wide</t>
        </is>
      </c>
      <c r="D31" s="77" t="inlineStr">
        <is>
          <t>AU06-S02</t>
        </is>
      </c>
      <c r="E31" s="77" t="inlineStr"/>
      <c r="F31" s="77" t="inlineStr">
        <is>
          <t>No</t>
        </is>
      </c>
      <c r="G31" s="79" t="inlineStr">
        <is>
          <t>Practera SAIEP - Industry Experience Projects</t>
        </is>
      </c>
      <c r="H31" s="77" t="inlineStr">
        <is>
          <t>Practera SAIEP Industry Experience Projects</t>
        </is>
      </c>
      <c r="I31" s="77" t="inlineStr"/>
      <c r="J3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31" s="77" t="inlineStr">
        <is>
          <t>UQ Careers and Employability (delivered by Practera)</t>
        </is>
      </c>
      <c r="L31" s="77" t="inlineStr">
        <is>
          <t>Any currently enrolled UQ student</t>
        </is>
      </c>
      <c r="M31" s="77" t="inlineStr">
        <is>
          <t>Central provision</t>
        </is>
      </c>
      <c r="N31" s="77" t="inlineStr">
        <is>
          <t>Mixed</t>
        </is>
      </c>
      <c r="O31" s="77" t="inlineStr">
        <is>
          <t>Any</t>
        </is>
      </c>
      <c r="P31" s="77" t="inlineStr">
        <is>
          <t>Current UQ enrolment; limited places; compulsory orientation; minimum 25 hours commitment; no fee.</t>
        </is>
      </c>
      <c r="Q31" s="77" t="inlineStr">
        <is>
          <t>Selective/competitive</t>
        </is>
      </c>
      <c r="R31" s="77" t="inlineStr">
        <is>
          <t>Extracurricular</t>
        </is>
      </c>
      <c r="S31" s="77" t="inlineStr">
        <is>
          <t>No credit; certificate and LinkedIn badge</t>
        </is>
      </c>
      <c r="T31" s="77" t="inlineStr">
        <is>
          <t>Two weeks, minimum 25 hours</t>
        </is>
      </c>
      <c r="U31" s="77" t="inlineStr">
        <is>
          <t>Virtual, mixed-institution teams</t>
        </is>
      </c>
      <c r="V31" s="77" t="inlineStr">
        <is>
          <t>Yes</t>
        </is>
      </c>
      <c r="W31" s="77" t="inlineStr">
        <is>
          <t>Students respond to a project brief from an organisation (e.g. export brief) producing a project outcome on which the client gives feedback [1].</t>
        </is>
      </c>
      <c r="X31" s="77" t="inlineStr">
        <is>
          <t>Yes</t>
        </is>
      </c>
      <c r="Y31" s="77" t="inlineStr">
        <is>
          <t>'student teams across Australian institutions work on real industry projects' [1].</t>
        </is>
      </c>
      <c r="Z31" s="77" t="inlineStr">
        <is>
          <t>Yes</t>
        </is>
      </c>
      <c r="AA31" s="77" t="inlineStr">
        <is>
          <t>Australian/global employers provide the brief and give 'direct feedback from their client on their project outcome' [1]. Live client, not a simulation, per the UQ page.</t>
        </is>
      </c>
      <c r="AB31" s="77" t="inlineStr">
        <is>
          <t>Business/commercial</t>
        </is>
      </c>
      <c r="AC31" s="77" t="inlineStr">
        <is>
          <t>Supplies brief; receives outputs and gives feedback</t>
        </is>
      </c>
      <c r="AD31" s="77" t="inlineStr">
        <is>
          <t>Past clients named on UQ page (undated): Infosys, FlyFreely, Synapse Medical</t>
        </is>
      </c>
      <c r="AE31" s="77" t="inlineStr">
        <is>
          <t>Team project outcome/recommendations to client</t>
        </is>
      </c>
      <c r="AF31" s="77">
        <f>IF(OR(V31="No",X31="No",Z31="No"),"Outside strict definition",IF(AND(V31="Yes",X31="Yes",Z31="Yes"),"Meets all three","Potentially relevant; evidence incomplete"))</f>
        <v/>
      </c>
      <c r="AG31" s="77" t="inlineStr">
        <is>
          <t>Current delivery confirmed</t>
        </is>
      </c>
      <c r="AH31" s="77" t="inlineStr">
        <is>
          <t>2026/27</t>
        </is>
      </c>
      <c r="AI31" s="77" t="inlineStr">
        <is>
          <t>Yes</t>
        </is>
      </c>
      <c r="AJ31" s="77">
        <f>IF(AND(AI31="Yes",AF31="Meets all three",AG31="Current delivery confirmed"),"Yes","No")</f>
        <v/>
      </c>
      <c r="AK31" s="77" t="inlineStr"/>
      <c r="AL31" s="77" t="inlineStr">
        <is>
          <t>AU06-S02-R1</t>
        </is>
      </c>
      <c r="AM31" s="77" t="inlineStr">
        <is>
          <t>Number of UQ participants not published; brief/output format per stream not detailed; short (2-week) format.</t>
        </is>
      </c>
      <c r="AN31" s="77" t="inlineStr"/>
      <c r="AO31" s="77" t="inlineStr">
        <is>
          <t>Australia</t>
        </is>
      </c>
      <c r="AP31" s="77" t="inlineStr">
        <is>
          <t>Australia</t>
        </is>
      </c>
      <c r="AQ31" s="77" t="inlineStr">
        <is>
          <t>1–4 weeks</t>
        </is>
      </c>
      <c r="AR31" s="77" t="inlineStr">
        <is>
          <t>All/standard</t>
        </is>
      </c>
      <c r="AS31" s="77" t="inlineStr"/>
    </row>
    <row r="32">
      <c r="A32" s="77" t="inlineStr">
        <is>
          <t>AU06</t>
        </is>
      </c>
      <c r="B32" s="77" t="inlineStr">
        <is>
          <t>Queensland</t>
        </is>
      </c>
      <c r="C32" s="77" t="inlineStr">
        <is>
          <t>Faculty/school</t>
        </is>
      </c>
      <c r="D32" s="77" t="inlineStr">
        <is>
          <t>AU06-S03</t>
        </is>
      </c>
      <c r="E32" s="77" t="inlineStr"/>
      <c r="F32" s="77" t="inlineStr">
        <is>
          <t>No</t>
        </is>
      </c>
      <c r="G32" s="79" t="inlineStr">
        <is>
          <t>Industry Consulting Project (Business Industry Consultancy Project)</t>
        </is>
      </c>
      <c r="H32" s="77" t="inlineStr">
        <is>
          <t>BEL Industry Consulting Project</t>
        </is>
      </c>
      <c r="I32" s="77" t="inlineStr">
        <is>
          <t>RBUS3888; RBUS4888; RBUS7888; BSAN7215</t>
        </is>
      </c>
      <c r="J3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32" s="77" t="inlineStr">
        <is>
          <t>Faculty of Business, Economics and Law (BEL Employability/WIL team)</t>
        </is>
      </c>
      <c r="L32" s="77" t="inlineStr">
        <is>
          <t>BEL Faculty students eligible for RBUS3888 (UG), RBUS4888, RBUS7888 (PG) or BSAN7215 (PG business analytics)</t>
        </is>
      </c>
      <c r="M32" s="77" t="inlineStr">
        <is>
          <t>Business/management</t>
        </is>
      </c>
      <c r="N32" s="77" t="inlineStr">
        <is>
          <t>Mixed</t>
        </is>
      </c>
      <c r="O32" s="77" t="inlineStr">
        <is>
          <t>Final year</t>
        </is>
      </c>
      <c r="P32" s="77" t="inlineStr">
        <is>
          <t>Final year with an elective available; minimum GPA 4.0; application via BEL WIL form and Head of School approval.</t>
        </is>
      </c>
      <c r="Q32" s="77" t="inlineStr">
        <is>
          <t>Selective/competitive</t>
        </is>
      </c>
      <c r="R32" s="77" t="inlineStr">
        <is>
          <t>Curricular</t>
        </is>
      </c>
      <c r="S32" s="77" t="inlineStr">
        <is>
          <t>Credit-bearing elective course (units not confirmed in search)</t>
        </is>
      </c>
      <c r="T32" s="77" t="inlineStr">
        <is>
          <t>One semester</t>
        </is>
      </c>
      <c r="U32" s="77" t="inlineStr">
        <is>
          <t>Weekly team meetings with project mentor; client engagement</t>
        </is>
      </c>
      <c r="V32" s="77" t="inlineStr">
        <is>
          <t>Yes</t>
        </is>
      </c>
      <c r="W32" s="77" t="inlineStr">
        <is>
          <t>'professional response to a project brief provided by an industry partner'; final deliverable a team report for the client (2500-3000 words guide) [1].</t>
        </is>
      </c>
      <c r="X32" s="77" t="inlineStr">
        <is>
          <t>Yes</t>
        </is>
      </c>
      <c r="Y32" s="77" t="inlineStr">
        <is>
          <t>'meet weekly to work with your project team'; mentor assigned to the group; team report [1].</t>
        </is>
      </c>
      <c r="Z32" s="77" t="inlineStr">
        <is>
          <t>Yes</t>
        </is>
      </c>
      <c r="AA32" s="77" t="inlineStr">
        <is>
          <t>Industry partner provides the project brief and receives the team's client report [1]; partner-facing BEL page invites organisations to have students 'develop a tailored response to your project brief' [2].</t>
        </is>
      </c>
      <c r="AB32" s="77" t="inlineStr">
        <is>
          <t>Mixed</t>
        </is>
      </c>
      <c r="AC32" s="77" t="inlineStr">
        <is>
          <t>Supplies brief; client for team report</t>
        </is>
      </c>
      <c r="AD32" s="77" t="inlineStr">
        <is>
          <t>Cancer Council Queensland; Netball Queensland (past partners, undated) [1]</t>
        </is>
      </c>
      <c r="AE32" s="77" t="inlineStr">
        <is>
          <t>Team client report</t>
        </is>
      </c>
      <c r="AF32" s="77">
        <f>IF(OR(V32="No",X32="No",Z32="No"),"Outside strict definition",IF(AND(V32="Yes",X32="Yes",Z32="Yes"),"Meets all three","Potentially relevant; evidence incomplete"))</f>
        <v/>
      </c>
      <c r="AG32" s="77" t="inlineStr">
        <is>
          <t>Current delivery confirmed</t>
        </is>
      </c>
      <c r="AH32" s="77" t="inlineStr">
        <is>
          <t>2026/27</t>
        </is>
      </c>
      <c r="AI32" s="77" t="inlineStr">
        <is>
          <t>Yes</t>
        </is>
      </c>
      <c r="AJ32" s="77">
        <f>IF(AND(AI32="Yes",AF32="Meets all three",AG32="Current delivery confirmed"),"Yes","No")</f>
        <v/>
      </c>
      <c r="AK32" s="77" t="inlineStr"/>
      <c r="AL32" s="77" t="inlineStr">
        <is>
          <t>AU06-S03-R1; AU06-S03-R2; AU06-S03-R3</t>
        </is>
      </c>
      <c r="AM32" s="77" t="inlineStr">
        <is>
          <t>Places per semester; unit value; split of UG/PG uptake.</t>
        </is>
      </c>
      <c r="AN32" s="77" t="inlineStr"/>
      <c r="AO32" s="77" t="inlineStr">
        <is>
          <t>Australia</t>
        </is>
      </c>
      <c r="AP32" s="77" t="inlineStr">
        <is>
          <t>Australia</t>
        </is>
      </c>
      <c r="AQ32" s="77" t="inlineStr">
        <is>
          <t>~1 term/semester</t>
        </is>
      </c>
      <c r="AR32" s="77" t="inlineStr">
        <is>
          <t>All/standard</t>
        </is>
      </c>
      <c r="AS32" s="77" t="inlineStr"/>
    </row>
    <row r="33">
      <c r="A33" s="77" t="inlineStr">
        <is>
          <t>AU06</t>
        </is>
      </c>
      <c r="B33" s="77" t="inlineStr">
        <is>
          <t>Queensland</t>
        </is>
      </c>
      <c r="C33" s="77" t="inlineStr">
        <is>
          <t>Faculty/school</t>
        </is>
      </c>
      <c r="D33" s="77" t="inlineStr">
        <is>
          <t>AU06-S04</t>
        </is>
      </c>
      <c r="E33" s="77" t="inlineStr"/>
      <c r="F33" s="77" t="inlineStr">
        <is>
          <t>No</t>
        </is>
      </c>
      <c r="G33" s="79" t="inlineStr">
        <is>
          <t>Learning by Doing in a Disruptive World</t>
        </is>
      </c>
      <c r="H33" s="77" t="inlineStr">
        <is>
          <t>Learning by Doing in a Disruptive World (BEL Employability Capstone)</t>
        </is>
      </c>
      <c r="I33" s="77" t="inlineStr">
        <is>
          <t>PBEL3000</t>
        </is>
      </c>
      <c r="J3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33" s="77" t="inlineStr">
        <is>
          <t>UQ Business School, Faculty of Business, Economics and Law</t>
        </is>
      </c>
      <c r="L33" s="77" t="inlineStr">
        <is>
          <t>BEL students; listed as elective in BCom, BEcon and combined degrees (2025 program rules)</t>
        </is>
      </c>
      <c r="M33" s="77" t="inlineStr">
        <is>
          <t>Business/management</t>
        </is>
      </c>
      <c r="N33" s="77" t="inlineStr">
        <is>
          <t>Undergraduate</t>
        </is>
      </c>
      <c r="O33" s="77" t="inlineStr">
        <is>
          <t>Later years (3000-level)</t>
        </is>
      </c>
      <c r="P33" s="77" t="inlineStr">
        <is>
          <t>Entry by application only</t>
        </is>
      </c>
      <c r="Q33" s="77" t="inlineStr">
        <is>
          <t>Selective/competitive</t>
        </is>
      </c>
      <c r="R33" s="77" t="inlineStr">
        <is>
          <t>Curricular</t>
        </is>
      </c>
      <c r="S33" s="77" t="inlineStr">
        <is>
          <t>2 units; team presentation 30%, industry report 40%, individual reflections/peer contribution remainder (2024 profile)</t>
        </is>
      </c>
      <c r="T33" s="77" t="inlineStr">
        <is>
          <t>One (summer) semester; 65 contact hours</t>
        </is>
      </c>
      <c r="U33" s="77" t="inlineStr">
        <is>
          <t>In person, studio/open-office workshop</t>
        </is>
      </c>
      <c r="V33" s="77" t="inlineStr">
        <is>
          <t>Yes</t>
        </is>
      </c>
      <c r="W33" s="77" t="inlineStr">
        <is>
          <t>Real industry problem; team pitch (10 min) and final industry report (2,000-3,000 words) on putting the solution into practice [1][2].</t>
        </is>
      </c>
      <c r="X33" s="77" t="inlineStr">
        <is>
          <t>Yes</t>
        </is>
      </c>
      <c r="Y33" s="77" t="inlineStr">
        <is>
          <t>Teams of 3-5 [2]; 'students partner with other students from across the Business, Economics and Law Faculty to work with an industry partner' [1].</t>
        </is>
      </c>
      <c r="Z33" s="77" t="inlineStr">
        <is>
          <t>Yes</t>
        </is>
      </c>
      <c r="AA33" s="77" t="inlineStr">
        <is>
          <t>Industry partner poses the problem, advises teams, receives the pitch, questions the team and gives feedback [1][2]; 2022 award notice: helped four industry partners [3].</t>
        </is>
      </c>
      <c r="AB33" s="77" t="inlineStr">
        <is>
          <t>Business/commercial</t>
        </is>
      </c>
      <c r="AC33" s="77" t="inlineStr">
        <is>
          <t>Problem owner; adviser; audience/feedback on pitch</t>
        </is>
      </c>
      <c r="AD33" s="77" t="inlineStr"/>
      <c r="AE33" s="77" t="inlineStr">
        <is>
          <t>Team pitch and industry report</t>
        </is>
      </c>
      <c r="AF33" s="77">
        <f>IF(OR(V33="No",X33="No",Z33="No"),"Outside strict definition",IF(AND(V33="Yes",X33="Yes",Z33="Yes"),"Meets all three","Potentially relevant; evidence incomplete"))</f>
        <v/>
      </c>
      <c r="AG33" s="77" t="inlineStr">
        <is>
          <t>Current delivery confirmed</t>
        </is>
      </c>
      <c r="AH33" s="77" t="inlineStr">
        <is>
          <t>2025/26 (Summer Semester 2025)</t>
        </is>
      </c>
      <c r="AI33" s="77" t="inlineStr">
        <is>
          <t>Yes</t>
        </is>
      </c>
      <c r="AJ33" s="77">
        <f>IF(AND(AI33="Yes",AF33="Meets all three",AG33="Current delivery confirmed"),"Yes","No")</f>
        <v/>
      </c>
      <c r="AK33" s="77" t="inlineStr"/>
      <c r="AL33" s="77" t="inlineStr">
        <is>
          <t>AU06-S04-R1; AU06-S04-R2; AU06-S04-R3</t>
        </is>
      </c>
      <c r="AM33" s="77" t="inlineStr">
        <is>
          <t>Course page lists most recent offering as Summer Semester 2025 (Nov 2025-Feb 2026); 2026-27 offering not confirmed. Named partners not found.</t>
        </is>
      </c>
      <c r="AN33" s="77" t="inlineStr"/>
      <c r="AO33" s="77" t="inlineStr">
        <is>
          <t>Australia</t>
        </is>
      </c>
      <c r="AP33" s="77" t="inlineStr">
        <is>
          <t>Australia</t>
        </is>
      </c>
      <c r="AQ33" s="77" t="inlineStr">
        <is>
          <t>~1 term/semester</t>
        </is>
      </c>
      <c r="AR33" s="77" t="inlineStr">
        <is>
          <t>All/standard</t>
        </is>
      </c>
      <c r="AS33" s="77" t="inlineStr"/>
    </row>
    <row r="34">
      <c r="A34" s="77" t="inlineStr">
        <is>
          <t>AU06</t>
        </is>
      </c>
      <c r="B34" s="77" t="inlineStr">
        <is>
          <t>Queensland</t>
        </is>
      </c>
      <c r="C34" s="77" t="inlineStr">
        <is>
          <t>Programme/course</t>
        </is>
      </c>
      <c r="D34" s="77" t="inlineStr">
        <is>
          <t>AU06-S05</t>
        </is>
      </c>
      <c r="E34" s="77" t="inlineStr"/>
      <c r="F34" s="77" t="inlineStr">
        <is>
          <t>No</t>
        </is>
      </c>
      <c r="G34" s="79" t="inlineStr">
        <is>
          <t>Impact Academy 1: Discovering New Solutions for Complex Problems</t>
        </is>
      </c>
      <c r="H34" s="77" t="inlineStr">
        <is>
          <t>UQ MBA Impact Academy 1</t>
        </is>
      </c>
      <c r="I34" s="77" t="inlineStr">
        <is>
          <t>MGTS7820</t>
        </is>
      </c>
      <c r="J3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34" s="77" t="inlineStr">
        <is>
          <t>UQ Business School (MBA)</t>
        </is>
      </c>
      <c r="L34" s="77" t="inlineStr">
        <is>
          <t>Master of Business Administration</t>
        </is>
      </c>
      <c r="M34" s="77" t="inlineStr">
        <is>
          <t>Business/management</t>
        </is>
      </c>
      <c r="N34" s="77" t="inlineStr">
        <is>
          <t>Postgraduate taught</t>
        </is>
      </c>
      <c r="O34" s="77" t="inlineStr">
        <is>
          <t>MBA</t>
        </is>
      </c>
      <c r="P34" s="77" t="inlineStr">
        <is>
          <t>MBA students; incompatible with MGTS7818</t>
        </is>
      </c>
      <c r="Q34" s="77" t="inlineStr">
        <is>
          <t>Optional/elective</t>
        </is>
      </c>
      <c r="R34" s="77" t="inlineStr">
        <is>
          <t>Curricular</t>
        </is>
      </c>
      <c r="S34" s="77" t="inlineStr">
        <is>
          <t>Credit-bearing course; stakeholder and situation analysis 40% (2026 profile)</t>
        </is>
      </c>
      <c r="T34" s="77" t="inlineStr">
        <is>
          <t>One semester (projects typically 3-4 months)</t>
        </is>
      </c>
      <c r="U34" s="77" t="inlineStr">
        <is>
          <t>Team consulting project</t>
        </is>
      </c>
      <c r="V34" s="77" t="inlineStr">
        <is>
          <t>Yes</t>
        </is>
      </c>
      <c r="W34" s="77" t="inlineStr">
        <is>
          <t>Project on a real complex problem with stakeholder analysis and final presentation [1][2].</t>
        </is>
      </c>
      <c r="X34" s="77" t="inlineStr">
        <is>
          <t>Yes</t>
        </is>
      </c>
      <c r="Y34" s="77" t="inlineStr">
        <is>
          <t>'students work in teams on projects' [1]; each group conducts stakeholder conversations [1].</t>
        </is>
      </c>
      <c r="Z34" s="77" t="inlineStr">
        <is>
          <t>Yes</t>
        </is>
      </c>
      <c r="AA34" s="77" t="inlineStr">
        <is>
          <t>Projects come from a curated list of real problems; final presentations delivered to project sponsors (2026 offering) [1]; MBA projects delivered for 70+ industry partners incl. corporates, NFPs, government and startups, free to partners [2][3].</t>
        </is>
      </c>
      <c r="AB34" s="77" t="inlineStr">
        <is>
          <t>Mixed</t>
        </is>
      </c>
      <c r="AC34" s="77" t="inlineStr">
        <is>
          <t>Project sponsor supplying problem; receives final presentation</t>
        </is>
      </c>
      <c r="AD34" s="77" t="inlineStr">
        <is>
          <t>Past MBA project partners (undated list): Suncorp, Hatch, Anglicare, Queensland Police, Boeing Research and Technology, Unity Water; also Avcair, BenchOn, People With Purpose; CSIRO (student example) [3]</t>
        </is>
      </c>
      <c r="AE34" s="77" t="inlineStr">
        <is>
          <t>Stakeholder/situation analysis and final presentation to sponsor</t>
        </is>
      </c>
      <c r="AF34" s="77">
        <f>IF(OR(V34="No",X34="No",Z34="No"),"Outside strict definition",IF(AND(V34="Yes",X34="Yes",Z34="Yes"),"Meets all three","Potentially relevant; evidence incomplete"))</f>
        <v/>
      </c>
      <c r="AG34" s="77" t="inlineStr">
        <is>
          <t>Current delivery confirmed</t>
        </is>
      </c>
      <c r="AH34" s="77" t="inlineStr">
        <is>
          <t>2026</t>
        </is>
      </c>
      <c r="AI34" s="77" t="inlineStr">
        <is>
          <t>Yes</t>
        </is>
      </c>
      <c r="AJ34" s="77">
        <f>IF(AND(AI34="Yes",AF34="Meets all three",AG34="Current delivery confirmed"),"Yes","No")</f>
        <v/>
      </c>
      <c r="AK34" s="77" t="inlineStr">
        <is>
          <t>70+ industry partners cumulatively (MBA projects, undated) [2]</t>
        </is>
      </c>
      <c r="AL34" s="77" t="inlineStr">
        <is>
          <t>AU06-S05-R1; AU06-S05-R2; AU06-S05-R3</t>
        </is>
      </c>
      <c r="AM34" s="77" t="inlineStr">
        <is>
          <t>Whether all sponsors in the curated list are external (some may be UQ-internal or student ventures in later Impact Academy courses); partner list undated.</t>
        </is>
      </c>
      <c r="AN34" s="77" t="inlineStr"/>
      <c r="AO34" s="77" t="inlineStr">
        <is>
          <t>Australia</t>
        </is>
      </c>
      <c r="AP34" s="77" t="inlineStr">
        <is>
          <t>Australia</t>
        </is>
      </c>
      <c r="AQ34" s="77" t="inlineStr">
        <is>
          <t>~1 term/semester</t>
        </is>
      </c>
      <c r="AR34" s="77" t="inlineStr">
        <is>
          <t>All/standard</t>
        </is>
      </c>
      <c r="AS34" s="77" t="inlineStr"/>
    </row>
    <row r="35">
      <c r="A35" s="77" t="inlineStr">
        <is>
          <t>AU06</t>
        </is>
      </c>
      <c r="B35" s="77" t="inlineStr">
        <is>
          <t>Queensland</t>
        </is>
      </c>
      <c r="C35" s="77" t="inlineStr">
        <is>
          <t>Programme/course</t>
        </is>
      </c>
      <c r="D35" s="77" t="inlineStr">
        <is>
          <t>AU06-S06</t>
        </is>
      </c>
      <c r="E35" s="77" t="inlineStr"/>
      <c r="F35" s="77" t="inlineStr">
        <is>
          <t>No</t>
        </is>
      </c>
      <c r="G35" s="79" t="inlineStr">
        <is>
          <t>Industry Engagement Capstone</t>
        </is>
      </c>
      <c r="H35" s="77" t="inlineStr">
        <is>
          <t>MBA Industry Engagement Capstone</t>
        </is>
      </c>
      <c r="I35" s="77" t="inlineStr">
        <is>
          <t>MGTS7818</t>
        </is>
      </c>
      <c r="J3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35" s="77" t="inlineStr">
        <is>
          <t>UQ Business School (MBA)</t>
        </is>
      </c>
      <c r="L35" s="77" t="inlineStr">
        <is>
          <t>Master of Business Administration</t>
        </is>
      </c>
      <c r="M35" s="77" t="inlineStr">
        <is>
          <t>Business/management</t>
        </is>
      </c>
      <c r="N35" s="77" t="inlineStr">
        <is>
          <t>Postgraduate taught</t>
        </is>
      </c>
      <c r="O35" s="77" t="inlineStr">
        <is>
          <t>MBA final stage</t>
        </is>
      </c>
      <c r="P35" s="77" t="inlineStr">
        <is>
          <t>MBA students</t>
        </is>
      </c>
      <c r="Q35" s="77" t="inlineStr">
        <is>
          <t>Unclear</t>
        </is>
      </c>
      <c r="R35" s="77" t="inlineStr">
        <is>
          <t>Curricular</t>
        </is>
      </c>
      <c r="S35" s="77" t="inlineStr">
        <is>
          <t>2 units; proposal pitch 25%, final client presentation and report 75% (2024 profile)</t>
        </is>
      </c>
      <c r="T35" s="77" t="inlineStr">
        <is>
          <t>One semester</t>
        </is>
      </c>
      <c r="U35" s="77" t="inlineStr">
        <is>
          <t>In person, Brisbane</t>
        </is>
      </c>
      <c r="V35" s="77" t="inlineStr">
        <is>
          <t>Yes</t>
        </is>
      </c>
      <c r="W35" s="77" t="inlineStr">
        <is>
          <t>Strategic consultancy project with proposal and final report/presentation [1].</t>
        </is>
      </c>
      <c r="X35" s="77" t="inlineStr">
        <is>
          <t>Yes</t>
        </is>
      </c>
      <c r="Y35" s="77" t="inlineStr">
        <is>
          <t>Consultancy teams, each with a mentor [1].</t>
        </is>
      </c>
      <c r="Z35" s="77" t="inlineStr">
        <is>
          <t>Yes</t>
        </is>
      </c>
      <c r="AA35" s="77" t="inlineStr">
        <is>
          <t>Industry partner is client: meets team within first two weeks, signs off proposal, receives final presentation and report [1].</t>
        </is>
      </c>
      <c r="AB35" s="77" t="inlineStr">
        <is>
          <t>Mixed</t>
        </is>
      </c>
      <c r="AC35" s="77" t="inlineStr">
        <is>
          <t>Client</t>
        </is>
      </c>
      <c r="AD35" s="77" t="inlineStr"/>
      <c r="AE35" s="77" t="inlineStr">
        <is>
          <t>Client report and presentation</t>
        </is>
      </c>
      <c r="AF35" s="77">
        <f>IF(OR(V35="No",X35="No",Z35="No"),"Outside strict definition",IF(AND(V35="Yes",X35="Yes",Z35="Yes"),"Meets all three","Potentially relevant; evidence incomplete"))</f>
        <v/>
      </c>
      <c r="AG35" s="77" t="inlineStr">
        <is>
          <t>Current status unclear</t>
        </is>
      </c>
      <c r="AH35" s="77" t="inlineStr">
        <is>
          <t>2024</t>
        </is>
      </c>
      <c r="AI35" s="77" t="inlineStr">
        <is>
          <t>Yes</t>
        </is>
      </c>
      <c r="AJ35" s="77">
        <f>IF(AND(AI35="Yes",AF35="Meets all three",AG35="Current delivery confirmed"),"Yes","No")</f>
        <v/>
      </c>
      <c r="AK35" s="77" t="inlineStr"/>
      <c r="AL35" s="77" t="inlineStr">
        <is>
          <t>AU06-S06-R1; AU06-S06-R2</t>
        </is>
      </c>
      <c r="AM35" s="77" t="inlineStr">
        <is>
          <t>Latest offerings found were Semester 1 and 2, 2024; MGTS7820 (Impact Academy) lists MGTS7818 as incompatible and Impact Academy is described as the former 'MBA capstone projects', suggesting replacement, but discontinuation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AU09</t>
        </is>
      </c>
      <c r="B36" s="77" t="inlineStr">
        <is>
          <t>University of Technology Sydney</t>
        </is>
      </c>
      <c r="C36" s="77" t="inlineStr">
        <is>
          <t>University-wide</t>
        </is>
      </c>
      <c r="D36" s="77" t="inlineStr">
        <is>
          <t>AU09-S01</t>
        </is>
      </c>
      <c r="E36" s="77" t="inlineStr"/>
      <c r="F36" s="77" t="inlineStr">
        <is>
          <t>No</t>
        </is>
      </c>
      <c r="G36" s="79" t="inlineStr">
        <is>
          <t>Transdisciplinary (TD) Electives</t>
        </is>
      </c>
      <c r="H36" s="77" t="inlineStr">
        <is>
          <t>Transdisciplinary Electives</t>
        </is>
      </c>
      <c r="I36" s="77" t="inlineStr">
        <is>
          <t>e.g. 95002/95010 TD: Reframing, remixing, reimagining society (UNICEF Australia); 95005 Shaping Technologies that Shape Us (Microsoft); 95004 (ServiceRocket); 95006 (City of Sydney); 95008 (Miro); Pathways to Societal Transitions (Lane Cove Council)</t>
        </is>
      </c>
      <c r="J36"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36" s="77" t="inlineStr">
        <is>
          <t>TD School (Transdisciplinary School)</t>
        </is>
      </c>
      <c r="L36" s="77" t="inlineStr">
        <is>
          <t>All UTS undergraduate degrees with elective space; BCII students take different electives</t>
        </is>
      </c>
      <c r="M36" s="77" t="inlineStr">
        <is>
          <t>Central provision</t>
        </is>
      </c>
      <c r="N36" s="77" t="inlineStr">
        <is>
          <t>Undergraduate</t>
        </is>
      </c>
      <c r="O36" s="77" t="inlineStr">
        <is>
          <t>Unclear</t>
        </is>
      </c>
      <c r="P36" s="77" t="inlineStr">
        <is>
          <t>Undergraduates with elective space; BCII students excluded (they take their own elective subjects).</t>
        </is>
      </c>
      <c r="Q36" s="77" t="inlineStr">
        <is>
          <t>Optional/elective</t>
        </is>
      </c>
      <c r="R36" s="77" t="inlineStr">
        <is>
          <t>Curricular</t>
        </is>
      </c>
      <c r="S36" s="77" t="inlineStr">
        <is>
          <t>6 cp (e.g. 95002) or 8 cp '+' version (e.g. 95010) per 2026 handbook / 2027 pre-approved list. Group assessment format for 2026 not verified; the pre-2025 handbook for 95009 lists a 40% major task with a 10-minute presentation, poster and Miro board.</t>
        </is>
      </c>
      <c r="T36" s="77" t="inlineStr">
        <is>
          <t>One teaching session (e.g. 95002 fortnightly in Autumn, or July block)</t>
        </is>
      </c>
      <c r="U36" s="77" t="inlineStr">
        <is>
          <t>Fortnightly in session or block mode; mix of pre-recorded partner content and live sessions</t>
        </is>
      </c>
      <c r="V36" s="77" t="inlineStr">
        <is>
          <t>Yes</t>
        </is>
      </c>
      <c r="W36"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36" s="77" t="inlineStr">
        <is>
          <t>Yes</t>
        </is>
      </c>
      <c r="Y36" s="77" t="inlineStr">
        <is>
          <t>Search summaries tied to the student-facing TD Electives page state that students from across all faculties collaborate in teams on the subject's challenge [1]. This is a search-summary paraphrase, not a quoted extract, and the team format in the 2026 handbook assessment was not verified. Downgrade to Unclear if the handbook shows individual assessment only.</t>
        </is>
      </c>
      <c r="Z36" s="77" t="inlineStr">
        <is>
          <t>Yes</t>
        </is>
      </c>
      <c r="AA36"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36" s="77" t="inlineStr">
        <is>
          <t>Mixed</t>
        </is>
      </c>
      <c r="AC36" s="77" t="inlineStr">
        <is>
          <t>Sets the challenge, provides content, mentors and gives feedback; receives pitches in some offerings</t>
        </is>
      </c>
      <c r="AD36" s="77" t="inlineStr">
        <is>
          <t>2026: UNICEF Australia, City of Sydney, Microsoft, Miro, Lane Cove Council, ServiceRocket [3]; earlier: Australian Red Cross, Stockland, Regen Studios (search summary)</t>
        </is>
      </c>
      <c r="AE36" s="77" t="inlineStr">
        <is>
          <t>Team proposals/ideas responding to the partner challenge (presentation, poster, Miro board in a pre-2025 example)</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AU09-S01-R1; AU09-S01-R2; AU09-S01-R3; AU09-S01-R4; AU09-S01-R5</t>
        </is>
      </c>
      <c r="AM36" s="77" t="inlineStr">
        <is>
          <t>Group format rests on search-summary paraphrase. 2026 subject assessment details were not retrieved. The phrase 'eight electives embedded in every undergraduate degree' probably means availability of the suite, not compulsion, so the scheme is recorded as optional. Current delivery rests on the dated 2026 brochure and the 2026 handbook entry for 95010.</t>
        </is>
      </c>
      <c r="AN36" s="77" t="inlineStr">
        <is>
          <t>Transdisciplinary electives</t>
        </is>
      </c>
      <c r="AO36" s="77" t="inlineStr">
        <is>
          <t>Australia</t>
        </is>
      </c>
      <c r="AP36" s="77" t="inlineStr">
        <is>
          <t>Australia</t>
        </is>
      </c>
      <c r="AQ36" s="77" t="inlineStr">
        <is>
          <t>~1 term/semester</t>
        </is>
      </c>
      <c r="AR36" s="77" t="inlineStr">
        <is>
          <t>All/standard</t>
        </is>
      </c>
      <c r="AS36" s="77" t="inlineStr"/>
    </row>
    <row r="37">
      <c r="A37" s="77" t="inlineStr">
        <is>
          <t>AU09</t>
        </is>
      </c>
      <c r="B37" s="77" t="inlineStr">
        <is>
          <t>University of Technology Sydney</t>
        </is>
      </c>
      <c r="C37" s="77" t="inlineStr">
        <is>
          <t>Programme/course</t>
        </is>
      </c>
      <c r="D37" s="77" t="inlineStr">
        <is>
          <t>AU09-S02</t>
        </is>
      </c>
      <c r="E37" s="77" t="inlineStr"/>
      <c r="F37" s="77" t="inlineStr">
        <is>
          <t>No</t>
        </is>
      </c>
      <c r="G37" s="79" t="inlineStr">
        <is>
          <t>Industry Innovation Project</t>
        </is>
      </c>
      <c r="H37" s="77" t="inlineStr">
        <is>
          <t>Industry Innovation Project</t>
        </is>
      </c>
      <c r="I37" s="77" t="inlineStr"/>
      <c r="J37"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37" s="77" t="inlineStr">
        <is>
          <t>TD School</t>
        </is>
      </c>
      <c r="L37" s="77" t="inlineStr">
        <is>
          <t>Bachelor of Creative Intelligence and Innovation (combined with students' core degrees)</t>
        </is>
      </c>
      <c r="M37" s="77" t="inlineStr">
        <is>
          <t>Central provision</t>
        </is>
      </c>
      <c r="N37" s="77" t="inlineStr">
        <is>
          <t>Undergraduate</t>
        </is>
      </c>
      <c r="O37" s="77" t="inlineStr">
        <is>
          <t>Final year</t>
        </is>
      </c>
      <c r="P37" s="77" t="inlineStr">
        <is>
          <t>BCII students only</t>
        </is>
      </c>
      <c r="Q37" s="77" t="inlineStr">
        <is>
          <t>Unclear</t>
        </is>
      </c>
      <c r="R37" s="77" t="inlineStr">
        <is>
          <t>Curricular</t>
        </is>
      </c>
      <c r="S37" s="77" t="inlineStr">
        <is>
          <t>Final presentation and report (weighting not retrieved)</t>
        </is>
      </c>
      <c r="T37" s="77" t="inlineStr">
        <is>
          <t>13 weeks (March–June 2026)</t>
        </is>
      </c>
      <c r="U37" s="77" t="inlineStr">
        <is>
          <t>In-session team project with weekly partner check-ins</t>
        </is>
      </c>
      <c r="V37" s="77" t="inlineStr">
        <is>
          <t>Yes</t>
        </is>
      </c>
      <c r="W37" s="77" t="inlineStr">
        <is>
          <t>Partner brief, which students reframe; final presentation of initiatives, insights and prototypes with a report [1][2].</t>
        </is>
      </c>
      <c r="X37" s="77" t="inlineStr">
        <is>
          <t>Yes</t>
        </is>
      </c>
      <c r="Y37" s="77" t="inlineStr">
        <is>
          <t>Coordinator allocates students into multidisciplinary teams of 5–7 [1] (search-summary paraphrase of partner page).</t>
        </is>
      </c>
      <c r="Z37" s="77" t="inlineStr">
        <is>
          <t>Yes</t>
        </is>
      </c>
      <c r="AA37"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37" s="77" t="inlineStr">
        <is>
          <t>Business/commercial</t>
        </is>
      </c>
      <c r="AC37" s="77" t="inlineStr">
        <is>
          <t>Supplies brief, mentors, gives feedback, receives final presentation</t>
        </is>
      </c>
      <c r="AD37" s="77" t="inlineStr"/>
      <c r="AE37" s="77" t="inlineStr">
        <is>
          <t>Prototypes/initiatives, final presentation and report</t>
        </is>
      </c>
      <c r="AF37" s="77">
        <f>IF(OR(V37="No",X37="No",Z37="No"),"Outside strict definition",IF(AND(V37="Yes",X37="Yes",Z37="Yes"),"Meets all three","Potentially relevant; evidence incomplete"))</f>
        <v/>
      </c>
      <c r="AG37" s="77" t="inlineStr">
        <is>
          <t>Current delivery confirmed</t>
        </is>
      </c>
      <c r="AH37" s="77" t="inlineStr">
        <is>
          <t>2026</t>
        </is>
      </c>
      <c r="AI37" s="77" t="inlineStr">
        <is>
          <t>Yes</t>
        </is>
      </c>
      <c r="AJ37" s="77">
        <f>IF(AND(AI37="Yes",AF37="Meets all three",AG37="Current delivery confirmed"),"Yes","No")</f>
        <v/>
      </c>
      <c r="AK37" s="77" t="inlineStr"/>
      <c r="AL37" s="77" t="inlineStr">
        <is>
          <t>AU09-S02-R1; AU09-S02-R2</t>
        </is>
      </c>
      <c r="AM37" s="77" t="inlineStr">
        <is>
          <t>Not confirmed whether the subject is a core BCII requirement. Partners described only as 'industry partners', so sector mix is unverified. Projects are chosen by student vote from partner proposals.</t>
        </is>
      </c>
      <c r="AN37" s="77" t="inlineStr"/>
      <c r="AO37" s="77" t="inlineStr">
        <is>
          <t>Australia</t>
        </is>
      </c>
      <c r="AP37" s="77" t="inlineStr">
        <is>
          <t>Australia</t>
        </is>
      </c>
      <c r="AQ37" s="77" t="inlineStr">
        <is>
          <t>~1 term/semester</t>
        </is>
      </c>
      <c r="AR37" s="77" t="inlineStr">
        <is>
          <t>All/standard</t>
        </is>
      </c>
      <c r="AS37" s="77" t="inlineStr"/>
    </row>
    <row r="38">
      <c r="A38" s="77" t="inlineStr">
        <is>
          <t>AU09</t>
        </is>
      </c>
      <c r="B38" s="77" t="inlineStr">
        <is>
          <t>University of Technology Sydney</t>
        </is>
      </c>
      <c r="C38" s="77" t="inlineStr">
        <is>
          <t>Unclear</t>
        </is>
      </c>
      <c r="D38" s="77" t="inlineStr">
        <is>
          <t>AU09-S03</t>
        </is>
      </c>
      <c r="E38" s="77" t="inlineStr"/>
      <c r="F38" s="77" t="inlineStr">
        <is>
          <t>No</t>
        </is>
      </c>
      <c r="G38" s="79" t="inlineStr">
        <is>
          <t>UTS Shopfront Community Program – community projects in coursework</t>
        </is>
      </c>
      <c r="H38" s="77" t="inlineStr">
        <is>
          <t>UTS Shopfront community projects</t>
        </is>
      </c>
      <c r="I38" s="77" t="inlineStr">
        <is>
          <t>Various participating coursework subjects (not identified)</t>
        </is>
      </c>
      <c r="J38"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38" s="77" t="inlineStr">
        <is>
          <t>UTS Shopfront (Social Justice / community engagement, central)</t>
        </is>
      </c>
      <c r="L38" s="77" t="inlineStr">
        <is>
          <t>Students in participating coursework subjects (faculties not identified)</t>
        </is>
      </c>
      <c r="M38" s="77" t="inlineStr">
        <is>
          <t>Central provision</t>
        </is>
      </c>
      <c r="N38" s="77" t="inlineStr">
        <is>
          <t>Mixed</t>
        </is>
      </c>
      <c r="O38" s="77" t="inlineStr">
        <is>
          <t>Usually final-year UG or PG</t>
        </is>
      </c>
      <c r="P38" s="77" t="inlineStr">
        <is>
          <t>Enrolled in a subject that takes Shopfront projects</t>
        </is>
      </c>
      <c r="Q38" s="77" t="inlineStr">
        <is>
          <t>Unclear</t>
        </is>
      </c>
      <c r="R38" s="77" t="inlineStr">
        <is>
          <t>Curricular</t>
        </is>
      </c>
      <c r="S38" s="77" t="inlineStr">
        <is>
          <t>Course credit within host subjects (details vary)</t>
        </is>
      </c>
      <c r="T38" s="77" t="inlineStr">
        <is>
          <t>One teaching session</t>
        </is>
      </c>
      <c r="U38" s="77" t="inlineStr">
        <is>
          <t>Team consultancy within subjects</t>
        </is>
      </c>
      <c r="V38" s="77" t="inlineStr">
        <is>
          <t>Yes</t>
        </is>
      </c>
      <c r="W38" s="77" t="inlineStr">
        <is>
          <t>Organisations identify and submit defined projects, which students deliver within coursework (e.g. research for a legal centre) [1][2].</t>
        </is>
      </c>
      <c r="X38" s="77" t="inlineStr">
        <is>
          <t>Yes</t>
        </is>
      </c>
      <c r="Y38" s="77" t="inlineStr">
        <is>
          <t>Students work in teams as external consultants [1] (search-summary paraphrase). Not verified whether all host subjects use teams.</t>
        </is>
      </c>
      <c r="Z38" s="77" t="inlineStr">
        <is>
          <t>Yes</t>
        </is>
      </c>
      <c r="AA38" s="77" t="inlineStr">
        <is>
          <t>Community organisations propose the project, nominate a key contact giving up to 2 hours/week, and receive the outputs [1][2].</t>
        </is>
      </c>
      <c r="AB38" s="77" t="inlineStr">
        <is>
          <t>Charity/community</t>
        </is>
      </c>
      <c r="AC38" s="77" t="inlineStr">
        <is>
          <t>Proposes project, liaises (up to 2 hrs/week), receives deliverable</t>
        </is>
      </c>
      <c r="AD38" s="77" t="inlineStr">
        <is>
          <t>HIV/AIDS Legal Centre (NSW); Glebe Youth Service (2024 article) [3]</t>
        </is>
      </c>
      <c r="AE38" s="77" t="inlineStr">
        <is>
          <t>Consultancy outputs (research reports, programmes, etc.) for the organisation</t>
        </is>
      </c>
      <c r="AF38" s="77">
        <f>IF(OR(V38="No",X38="No",Z38="No"),"Outside strict definition",IF(AND(V38="Yes",X38="Yes",Z38="Yes"),"Meets all three","Potentially relevant; evidence incomplete"))</f>
        <v/>
      </c>
      <c r="AG38" s="77" t="inlineStr">
        <is>
          <t>Current delivery confirmed</t>
        </is>
      </c>
      <c r="AH38" s="77" t="inlineStr">
        <is>
          <t>2026</t>
        </is>
      </c>
      <c r="AI38" s="77" t="inlineStr">
        <is>
          <t>Yes</t>
        </is>
      </c>
      <c r="AJ38" s="77">
        <f>IF(AND(AI38="Yes",AF38="Meets all three",AG38="Current delivery confirmed"),"Yes","No")</f>
        <v/>
      </c>
      <c r="AK38" s="77" t="inlineStr">
        <is>
          <t>Cumulative: more than 1,698 projects for over 1,199 community organisations as of May 2026 (one UTS Shopfront page; the exact page could not be separated in the search summary). A 2024 UTS page gives 1,614 projects and 1,115 organisations.</t>
        </is>
      </c>
      <c r="AL38" s="77" t="inlineStr">
        <is>
          <t>AU09-S03-R1; AU09-S03-R2; AU09-S03-R3</t>
        </is>
      </c>
      <c r="AM38" s="77" t="inlineStr">
        <is>
          <t>Participating subjects and faculties not identified, so reach is Unclear. Team format and the May 2026 count are search-summary paraphrases. Eligibility rules for organisations appear to differ between older and newer pages.</t>
        </is>
      </c>
      <c r="AN38" s="77" t="inlineStr"/>
      <c r="AO38" s="77" t="inlineStr">
        <is>
          <t>Australia</t>
        </is>
      </c>
      <c r="AP38" s="77" t="inlineStr">
        <is>
          <t>Australia</t>
        </is>
      </c>
      <c r="AQ38" s="77" t="inlineStr">
        <is>
          <t>~1 term/semester</t>
        </is>
      </c>
      <c r="AR38" s="77" t="inlineStr">
        <is>
          <t>All/standard</t>
        </is>
      </c>
      <c r="AS38" s="77" t="inlineStr"/>
    </row>
    <row r="39">
      <c r="A39" s="77" t="inlineStr">
        <is>
          <t>RG01</t>
        </is>
      </c>
      <c r="B39" s="77" t="inlineStr">
        <is>
          <t>Birmingham</t>
        </is>
      </c>
      <c r="C39" s="77" t="inlineStr">
        <is>
          <t>University-wide</t>
        </is>
      </c>
      <c r="D39" s="77" t="inlineStr">
        <is>
          <t>RG01-S01</t>
        </is>
      </c>
      <c r="E39" s="77" t="inlineStr"/>
      <c r="F39" s="77" t="inlineStr">
        <is>
          <t>No</t>
        </is>
      </c>
      <c r="G39" s="79" t="inlineStr">
        <is>
          <t>The Birmingham Project</t>
        </is>
      </c>
      <c r="H39" s="77" t="inlineStr">
        <is>
          <t>The Birmingham Project</t>
        </is>
      </c>
      <c r="I39" s="77" t="inlineStr"/>
      <c r="J39"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39" s="77" t="inlineStr">
        <is>
          <t>Careers Network (central)</t>
        </is>
      </c>
      <c r="L39" s="77" t="inlineStr">
        <is>
          <t>Registered first-year undergraduates on any course (incl. Erasmus students) at the Birmingham (Edgbaston) campus</t>
        </is>
      </c>
      <c r="M39" s="77" t="inlineStr">
        <is>
          <t>Central provision</t>
        </is>
      </c>
      <c r="N39" s="77" t="inlineStr">
        <is>
          <t>Undergraduate</t>
        </is>
      </c>
      <c r="O39" s="77" t="inlineStr">
        <is>
          <t>Year 1</t>
        </is>
      </c>
      <c r="P39" s="77" t="inlineStr">
        <is>
          <t>First-year UG, Birmingham campus only; must attend every day of the week; Birmingham Scholars and students from IMD Quintile 1 neighbourhoods encouraged/get early enrolment (16 March 2026; general enrolment 30 March 2026).</t>
        </is>
      </c>
      <c r="Q39" s="77" t="inlineStr">
        <is>
          <t>Optional/elective</t>
        </is>
      </c>
      <c r="R39" s="77" t="inlineStr">
        <is>
          <t>Extracurricular</t>
        </is>
      </c>
      <c r="S39" s="77" t="inlineStr">
        <is>
          <t>Non-credit-bearing; recorded as a pass/fail module on the University transcript. Group video presentation 50% + individual self-evaluation 50%.</t>
        </is>
      </c>
      <c r="T39" s="77" t="inlineStr">
        <is>
          <t>One week (5 days, full-time), June</t>
        </is>
      </c>
      <c r="U39" s="77" t="inlineStr">
        <is>
          <t>In person, Edgbaston campus</t>
        </is>
      </c>
      <c r="V39" s="77" t="inlineStr">
        <is>
          <t>Yes</t>
        </is>
      </c>
      <c r="W39" s="77" t="inlineStr">
        <is>
          <t>Defined challenge question per team, solution developed over the week and delivered as an assessed group video presentation [1][2].</t>
        </is>
      </c>
      <c r="X39" s="77" t="inlineStr">
        <is>
          <t>Yes</t>
        </is>
      </c>
      <c r="Y39" s="77" t="inlineStr">
        <is>
          <t>Students work in small interdisciplinary teams/groups with students from across the university; assessed group presentation [1][3].</t>
        </is>
      </c>
      <c r="Z39" s="77" t="inlineStr">
        <is>
          <t>Yes</t>
        </is>
      </c>
      <c r="AA39" s="77" t="inlineStr">
        <is>
          <t>Employer partners set the challenges ('seven employer-set challenges' in the 2026 news item), an industry professional supports each challenge, and teams present to industry professionals on the final day [1][4][5].</t>
        </is>
      </c>
      <c r="AB39" s="77" t="inlineStr">
        <is>
          <t>Mixed</t>
        </is>
      </c>
      <c r="AC39" s="77" t="inlineStr">
        <is>
          <t>Set the challenge question; industry professional supports each challenge team; industry professionals attend/receive final presentations.</t>
        </is>
      </c>
      <c r="AD39" s="77" t="inlineStr">
        <is>
          <t>2026 news item: Birmingham City FC, Conde Nast, Expedia Group, HSBC, Siemens, Transport for West Midlands, West Midlands Combined Authority; employer partners page lists 8 supporters for June 2026 incl. new partner BBC Studios Drama Productions.</t>
        </is>
      </c>
      <c r="AE39" s="77" t="inlineStr">
        <is>
          <t>Group video presentation of solution; individual self-evaluation</t>
        </is>
      </c>
      <c r="AF39" s="77">
        <f>IF(OR(V39="No",X39="No",Z39="No"),"Outside strict definition",IF(AND(V39="Yes",X39="Yes",Z39="Yes"),"Meets all three","Potentially relevant; evidence incomplete"))</f>
        <v/>
      </c>
      <c r="AG39" s="77" t="inlineStr">
        <is>
          <t>Current delivery confirmed</t>
        </is>
      </c>
      <c r="AH39" s="77" t="inlineStr">
        <is>
          <t>2026 (8-12 June 2026 run; a 7-11 June 2027 run was also reported)</t>
        </is>
      </c>
      <c r="AI39" s="77" t="inlineStr">
        <is>
          <t>Yes</t>
        </is>
      </c>
      <c r="AJ39" s="77">
        <f>IF(AND(AI39="Yes",AF39="Meets all three",AG39="Current delivery confirmed"),"Yes","No")</f>
        <v/>
      </c>
      <c r="AK39" s="77" t="inlineStr">
        <is>
          <t>More than 2,000 students have completed the programme since 2013 (cumulative participants; 2026 news item).</t>
        </is>
      </c>
      <c r="AL39" s="77" t="inlineStr">
        <is>
          <t>RG01-S01-R1; RG01-S01-R2; RG01-S01-R3; RG01-S01-R4; RG01-S01-R5</t>
        </is>
      </c>
      <c r="AM39" s="77" t="inlineStr">
        <is>
          <t>Partner count differs (7 in news item vs 8 on partner page for 2026). Annual places not published. 2027 dates came from a search summary of the project page and are not separately verified.</t>
        </is>
      </c>
      <c r="AN39" s="77" t="inlineStr">
        <is>
          <t>Birmingham Project</t>
        </is>
      </c>
      <c r="AO39" s="77" t="inlineStr">
        <is>
          <t>UK</t>
        </is>
      </c>
      <c r="AP39" s="77" t="inlineStr">
        <is>
          <t>UK – Russell Group</t>
        </is>
      </c>
      <c r="AQ39" s="77" t="inlineStr">
        <is>
          <t>1–4 weeks</t>
        </is>
      </c>
      <c r="AR39" s="77" t="inlineStr">
        <is>
          <t>All/standard</t>
        </is>
      </c>
      <c r="AS39" s="77" t="inlineStr"/>
    </row>
    <row r="40">
      <c r="A40" s="77" t="inlineStr">
        <is>
          <t>RG01</t>
        </is>
      </c>
      <c r="B40" s="77" t="inlineStr">
        <is>
          <t>Birmingham</t>
        </is>
      </c>
      <c r="C40" s="77" t="inlineStr">
        <is>
          <t>University-wide</t>
        </is>
      </c>
      <c r="D40" s="77" t="inlineStr">
        <is>
          <t>RG01-S02</t>
        </is>
      </c>
      <c r="E40" s="77" t="inlineStr"/>
      <c r="F40" s="77" t="inlineStr">
        <is>
          <t>No</t>
        </is>
      </c>
      <c r="G40" s="79" t="inlineStr">
        <is>
          <t>Masters Consultancy Challenge (MCC)</t>
        </is>
      </c>
      <c r="H40" s="77" t="inlineStr">
        <is>
          <t>Masters Consultancy Challenge</t>
        </is>
      </c>
      <c r="I40" s="77" t="inlineStr"/>
      <c r="J40"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40" s="77" t="inlineStr">
        <is>
          <t>Careers Network (central, postgraduate)</t>
        </is>
      </c>
      <c r="L40" s="77" t="inlineStr">
        <is>
          <t>PGT students from any of the five Colleges registered on Edgbaston-campus programmes</t>
        </is>
      </c>
      <c r="M40" s="77" t="inlineStr">
        <is>
          <t>Central provision</t>
        </is>
      </c>
      <c r="N40" s="77" t="inlineStr">
        <is>
          <t>Postgraduate taught</t>
        </is>
      </c>
      <c r="O40" s="77" t="inlineStr">
        <is>
          <t>Masters (summer period)</t>
        </is>
      </c>
      <c r="P40" s="77" t="inlineStr">
        <is>
          <t>PGT only; Edgbaston-campus programmes; limited places allocated on quality of application.</t>
        </is>
      </c>
      <c r="Q40" s="77" t="inlineStr">
        <is>
          <t>Selective/competitive</t>
        </is>
      </c>
      <c r="R40" s="77" t="inlineStr">
        <is>
          <t>Extracurricular</t>
        </is>
      </c>
      <c r="S40" s="77" t="inlineStr">
        <is>
          <t>None evidenced</t>
        </is>
      </c>
      <c r="T40" s="77" t="inlineStr">
        <is>
          <t>3 weeks (8-26 June 2026; 9-27 June 2025)</t>
        </is>
      </c>
      <c r="U40" s="77" t="inlineStr">
        <is>
          <t>Intensive programme; mode not specified</t>
        </is>
      </c>
      <c r="V40" s="77" t="inlineStr">
        <is>
          <t>Yes</t>
        </is>
      </c>
      <c r="W40" s="77" t="inlineStr">
        <is>
          <t>Defined 'challenge' set by the firm, solved by teams and presented as challenge solutions [1][2].</t>
        </is>
      </c>
      <c r="X40" s="77" t="inlineStr">
        <is>
          <t>Yes</t>
        </is>
      </c>
      <c r="Y40" s="77" t="inlineStr">
        <is>
          <t>'students will form interdisciplinary groups to solve a challenge' [1].</t>
        </is>
      </c>
      <c r="Z40" s="77" t="inlineStr">
        <is>
          <t>Yes</t>
        </is>
      </c>
      <c r="AA40"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40" s="77" t="inlineStr">
        <is>
          <t>Business/commercial</t>
        </is>
      </c>
      <c r="AC40" s="77" t="inlineStr">
        <is>
          <t>Sets the challenge brief; industry representatives sit on the judging panel.</t>
        </is>
      </c>
      <c r="AD40" s="77" t="inlineStr">
        <is>
          <t>Turner &amp; Townsend (2025, 2026)</t>
        </is>
      </c>
      <c r="AE40" s="77" t="inlineStr">
        <is>
          <t>Team challenge solution and presentation to judging panel</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c r="AL40" s="77" t="inlineStr">
        <is>
          <t>RG01-S02-R1; RG01-S02-R2; RG01-S02-R3</t>
        </is>
      </c>
      <c r="AM40" s="77" t="inlineStr">
        <is>
          <t>Whether the Turner &amp; Townsend brief is a live organisational problem or a designed scenario ('simulates'); number of places; credit/recognition.</t>
        </is>
      </c>
      <c r="AN40" s="77" t="inlineStr"/>
      <c r="AO40" s="77" t="inlineStr">
        <is>
          <t>UK</t>
        </is>
      </c>
      <c r="AP40" s="77" t="inlineStr">
        <is>
          <t>UK – Russell Group</t>
        </is>
      </c>
      <c r="AQ40" s="77" t="inlineStr">
        <is>
          <t>1–4 weeks</t>
        </is>
      </c>
      <c r="AR40" s="77" t="inlineStr">
        <is>
          <t>All/standard</t>
        </is>
      </c>
      <c r="AS40" s="77" t="inlineStr"/>
    </row>
    <row r="41">
      <c r="A41" s="77" t="inlineStr">
        <is>
          <t>RG01</t>
        </is>
      </c>
      <c r="B41" s="77" t="inlineStr">
        <is>
          <t>Birmingham</t>
        </is>
      </c>
      <c r="C41" s="77" t="inlineStr">
        <is>
          <t>University-wide</t>
        </is>
      </c>
      <c r="D41" s="77" t="inlineStr">
        <is>
          <t>RG01-S03</t>
        </is>
      </c>
      <c r="E41" s="77" t="inlineStr"/>
      <c r="F41" s="77" t="inlineStr">
        <is>
          <t>No</t>
        </is>
      </c>
      <c r="G41" s="79" t="inlineStr">
        <is>
          <t>Impact Challenge</t>
        </is>
      </c>
      <c r="H41" s="77" t="inlineStr">
        <is>
          <t>Impact Challenge</t>
        </is>
      </c>
      <c r="I41" s="77" t="inlineStr"/>
      <c r="J41" s="77" t="inlineStr">
        <is>
          <t>Paid (GBP125) week-long on-campus work-experience programme for widening-participation undergraduates. Students work in small teams on a project set by an employer and present their outputs at the end of the week; compulsory follow-up session.</t>
        </is>
      </c>
      <c r="K41" s="77" t="inlineStr">
        <is>
          <t>Careers Network (Equality, diversity and inclusion careers support)</t>
        </is>
      </c>
      <c r="L41" s="77" t="inlineStr">
        <is>
          <t>Penultimate and final-year undergraduates in any discipline meeting WP criteria</t>
        </is>
      </c>
      <c r="M41" s="77" t="inlineStr">
        <is>
          <t>Central provision</t>
        </is>
      </c>
      <c r="N41" s="77" t="inlineStr">
        <is>
          <t>Undergraduate</t>
        </is>
      </c>
      <c r="O41" s="77" t="inlineStr">
        <is>
          <t>Penultimate and final year</t>
        </is>
      </c>
      <c r="P41" s="77" t="inlineStr">
        <is>
          <t>Birmingham Scholars, students with home address in IMD Quintile 1, and/or students registered with a disability / in receipt of DSA.</t>
        </is>
      </c>
      <c r="Q41" s="77" t="inlineStr">
        <is>
          <t>Selective/competitive</t>
        </is>
      </c>
      <c r="R41" s="77" t="inlineStr">
        <is>
          <t>Extracurricular</t>
        </is>
      </c>
      <c r="S41" s="77" t="inlineStr">
        <is>
          <t>Not credit-bearing; GBP125 payment on completion</t>
        </is>
      </c>
      <c r="T41" s="77" t="inlineStr">
        <is>
          <t>One week (15-19 June 2026) + follow-up session 22 or 24 June</t>
        </is>
      </c>
      <c r="U41" s="77" t="inlineStr">
        <is>
          <t>In person, on campus</t>
        </is>
      </c>
      <c r="V41" s="77" t="inlineStr">
        <is>
          <t>Yes</t>
        </is>
      </c>
      <c r="W41" s="77" t="inlineStr">
        <is>
          <t>Team project set by an employer with outputs presented at end of week; past briefs e.g. a campaign for Grace Cares, a patient feedback strategy for The Patient Centre, marketing work for CoachBright [1].</t>
        </is>
      </c>
      <c r="X41" s="77" t="inlineStr">
        <is>
          <t>Yes</t>
        </is>
      </c>
      <c r="Y41" s="77" t="inlineStr">
        <is>
          <t>Students work 'in small teams on a project set by an employer' [1].</t>
        </is>
      </c>
      <c r="Z41" s="77" t="inlineStr">
        <is>
          <t>Yes</t>
        </is>
      </c>
      <c r="AA41" s="77" t="inlineStr">
        <is>
          <t>Employer sets the project and receives the presented outputs [1]. One past brief was internal (study of student engagement with Careers Network, which informed the Careers Corner location).</t>
        </is>
      </c>
      <c r="AB41" s="77" t="inlineStr">
        <is>
          <t>Mixed</t>
        </is>
      </c>
      <c r="AC41" s="77" t="inlineStr">
        <is>
          <t>Sets the project brief; receives end-of-week presentation. Mostly charities/social enterprises/health organisations in examples; one internal (Careers Network) brief evidenced.</t>
        </is>
      </c>
      <c r="AD41" s="77" t="inlineStr">
        <is>
          <t>Past briefs (undated): Grace Cares, The Patient Centre, CoachBright; internal: Careers Network.</t>
        </is>
      </c>
      <c r="AE41" s="77" t="inlineStr">
        <is>
          <t>Team outputs (e.g. campaign, strategy) presented at end of week</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RG01-S03-R1</t>
        </is>
      </c>
      <c r="AM41" s="77" t="inlineStr">
        <is>
          <t>Number of places/teams; whether internal briefs recur each year (would lower external coverage).</t>
        </is>
      </c>
      <c r="AN41" s="77" t="inlineStr"/>
      <c r="AO41" s="77" t="inlineStr">
        <is>
          <t>UK</t>
        </is>
      </c>
      <c r="AP41" s="77" t="inlineStr">
        <is>
          <t>UK – Russell Group</t>
        </is>
      </c>
      <c r="AQ41" s="77" t="inlineStr">
        <is>
          <t>1–4 weeks</t>
        </is>
      </c>
      <c r="AR41" s="77" t="inlineStr">
        <is>
          <t>All/standard</t>
        </is>
      </c>
      <c r="AS41" s="77" t="inlineStr"/>
    </row>
    <row r="42">
      <c r="A42" s="77" t="inlineStr">
        <is>
          <t>RG01</t>
        </is>
      </c>
      <c r="B42" s="77" t="inlineStr">
        <is>
          <t>Birmingham</t>
        </is>
      </c>
      <c r="C42" s="77" t="inlineStr">
        <is>
          <t>Cross-faculty</t>
        </is>
      </c>
      <c r="D42" s="77" t="inlineStr">
        <is>
          <t>RG01-S04</t>
        </is>
      </c>
      <c r="E42" s="77" t="inlineStr"/>
      <c r="F42" s="77" t="inlineStr">
        <is>
          <t>No</t>
        </is>
      </c>
      <c r="G42" s="79" t="inlineStr">
        <is>
          <t>Capgemini Community Challenge</t>
        </is>
      </c>
      <c r="H42" s="77" t="inlineStr">
        <is>
          <t>Capgemini Community Challenge</t>
        </is>
      </c>
      <c r="I42" s="77" t="inlineStr"/>
      <c r="J42"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42" s="77" t="inlineStr">
        <is>
          <t>Birmingham Business School with Capgemini; advertised via Careers Network</t>
        </is>
      </c>
      <c r="L42" s="77" t="inlineStr">
        <is>
          <t>Intranet: first, second and penultimate-year UGs in business, computing, engineering, maths and sciences subjects; Business School page: 'exclusive to undergraduate students at Birmingham Business School' (conflict)</t>
        </is>
      </c>
      <c r="M42" s="77" t="inlineStr">
        <is>
          <t>Business/management; Engineering/computing; Science</t>
        </is>
      </c>
      <c r="N42" s="77" t="inlineStr">
        <is>
          <t>Undergraduate</t>
        </is>
      </c>
      <c r="O42" s="77" t="inlineStr">
        <is>
          <t>First, second and penultimate year</t>
        </is>
      </c>
      <c r="P42" s="77" t="inlineStr">
        <is>
          <t>Application-based; subject eligibility stated differently on two pages.</t>
        </is>
      </c>
      <c r="Q42" s="77" t="inlineStr">
        <is>
          <t>Selective/competitive</t>
        </is>
      </c>
      <c r="R42" s="77" t="inlineStr">
        <is>
          <t>Extracurricular</t>
        </is>
      </c>
      <c r="S42" s="77" t="inlineStr">
        <is>
          <t>None evidenced; unpaid but all expenses covered</t>
        </is>
      </c>
      <c r="T42" s="77" t="inlineStr">
        <is>
          <t>One week (8-12 June 2026) + team-building session</t>
        </is>
      </c>
      <c r="U42" s="77" t="inlineStr">
        <is>
          <t>In person at Capgemini Telford office</t>
        </is>
      </c>
      <c r="V42" s="77" t="inlineStr">
        <is>
          <t>Yes</t>
        </is>
      </c>
      <c r="W42" s="77" t="inlineStr">
        <is>
          <t>Solutions-based consultancy projects for third-sector clients [1][2].</t>
        </is>
      </c>
      <c r="X42" s="77" t="inlineStr">
        <is>
          <t>Yes</t>
        </is>
      </c>
      <c r="Y42" s="77" t="inlineStr">
        <is>
          <t>Undergraduates 'work in consultancy teams' for a third-sector client [1][3].</t>
        </is>
      </c>
      <c r="Z42" s="77" t="inlineStr">
        <is>
          <t>Yes</t>
        </is>
      </c>
      <c r="AA42" s="77" t="inlineStr">
        <is>
          <t>Third-sector organisations act as clients for the team consultancy projects; Capgemini hosts the week at its client-solutions facilities [1][2][3].</t>
        </is>
      </c>
      <c r="AB42" s="77" t="inlineStr">
        <is>
          <t>Charity/community</t>
        </is>
      </c>
      <c r="AC42" s="77" t="inlineStr">
        <is>
          <t>Charity clients commission/receive the consultancy solutions; Capgemini (business) hosts and sponsors.</t>
        </is>
      </c>
      <c r="AD42" s="77" t="inlineStr">
        <is>
          <t>Host: Capgemini (2026). Past clients (undated/2015-2024): Ironbridge Gorge Museum Trust, Age Concern, Air Ambulance, Shropshire Wildlife Trust; a Telford charity (2024).</t>
        </is>
      </c>
      <c r="AE42" s="77" t="inlineStr">
        <is>
          <t>Consultancy solutions for the charity client</t>
        </is>
      </c>
      <c r="AF42" s="77">
        <f>IF(OR(V42="No",X42="No",Z42="No"),"Outside strict definition",IF(AND(V42="Yes",X42="Yes",Z42="Yes"),"Meets all three","Potentially relevant; evidence incomplete"))</f>
        <v/>
      </c>
      <c r="AG42" s="77" t="inlineStr">
        <is>
          <t>Current delivery confirmed</t>
        </is>
      </c>
      <c r="AH42" s="77" t="inlineStr">
        <is>
          <t>2026</t>
        </is>
      </c>
      <c r="AI42" s="77" t="inlineStr">
        <is>
          <t>Yes</t>
        </is>
      </c>
      <c r="AJ42" s="77">
        <f>IF(AND(AI42="Yes",AF42="Meets all three",AG42="Current delivery confirmed"),"Yes","No")</f>
        <v/>
      </c>
      <c r="AK42" s="77" t="inlineStr"/>
      <c r="AL42" s="77" t="inlineStr">
        <is>
          <t>RG01-S04-R1; RG01-S04-R2; RG01-S04-R3</t>
        </is>
      </c>
      <c r="AM42" s="77" t="inlineStr">
        <is>
          <t>Eligibility conflict (BBS-only vs business/computing/engineering/maths/sciences); number of places; Capgemini staff role in coaching not evidenced.</t>
        </is>
      </c>
      <c r="AN42" s="77" t="inlineStr"/>
      <c r="AO42" s="77" t="inlineStr">
        <is>
          <t>UK</t>
        </is>
      </c>
      <c r="AP42" s="77" t="inlineStr">
        <is>
          <t>UK – Russell Group</t>
        </is>
      </c>
      <c r="AQ42" s="77" t="inlineStr">
        <is>
          <t>1–4 weeks</t>
        </is>
      </c>
      <c r="AR42" s="77" t="inlineStr">
        <is>
          <t>All/standard</t>
        </is>
      </c>
      <c r="AS42" s="77" t="inlineStr"/>
    </row>
    <row r="43">
      <c r="A43" s="77" t="inlineStr">
        <is>
          <t>RG01</t>
        </is>
      </c>
      <c r="B43" s="77" t="inlineStr">
        <is>
          <t>Birmingham</t>
        </is>
      </c>
      <c r="C43" s="77" t="inlineStr">
        <is>
          <t>Programme/course</t>
        </is>
      </c>
      <c r="D43" s="77" t="inlineStr">
        <is>
          <t>RG01-S05</t>
        </is>
      </c>
      <c r="E43" s="77" t="inlineStr"/>
      <c r="F43" s="77" t="inlineStr">
        <is>
          <t>No</t>
        </is>
      </c>
      <c r="G43" s="79" t="inlineStr">
        <is>
          <t>MSc Strategic Marketing and Consulting: Consultancy Skills and Practice (group consultancy project)</t>
        </is>
      </c>
      <c r="H43" s="77" t="inlineStr"/>
      <c r="I43" s="77" t="inlineStr"/>
      <c r="J43"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43" s="77" t="inlineStr">
        <is>
          <t>Birmingham Business School</t>
        </is>
      </c>
      <c r="L43" s="77" t="inlineStr">
        <is>
          <t>MSc Strategic Marketing and Consulting</t>
        </is>
      </c>
      <c r="M43" s="77" t="inlineStr">
        <is>
          <t>Business/management</t>
        </is>
      </c>
      <c r="N43" s="77" t="inlineStr">
        <is>
          <t>Postgraduate taught</t>
        </is>
      </c>
      <c r="O43" s="77" t="inlineStr">
        <is>
          <t>Masters</t>
        </is>
      </c>
      <c r="P43" s="77" t="inlineStr">
        <is>
          <t>Students on the named MSc</t>
        </is>
      </c>
      <c r="Q43" s="77" t="inlineStr">
        <is>
          <t>Unclear</t>
        </is>
      </c>
      <c r="R43" s="77" t="inlineStr">
        <is>
          <t>Curricular</t>
        </is>
      </c>
      <c r="S43" s="77" t="inlineStr">
        <is>
          <t>20-credit module (of 180)</t>
        </is>
      </c>
      <c r="T43" s="77" t="inlineStr">
        <is>
          <t>Not stated (within one-year MSc)</t>
        </is>
      </c>
      <c r="U43" s="77" t="inlineStr">
        <is>
          <t>In person</t>
        </is>
      </c>
      <c r="V43" s="77" t="inlineStr">
        <is>
          <t>Yes</t>
        </is>
      </c>
      <c r="W43" s="77" t="inlineStr">
        <is>
          <t>Group consultancy project with recommendations presented to the client [1].</t>
        </is>
      </c>
      <c r="X43" s="77" t="inlineStr">
        <is>
          <t>Yes</t>
        </is>
      </c>
      <c r="Y43" s="77" t="inlineStr">
        <is>
          <t>Course page describes a 'group consultancy project' [1].</t>
        </is>
      </c>
      <c r="Z43" s="77" t="inlineStr">
        <is>
          <t>Yes</t>
        </is>
      </c>
      <c r="AA43" s="77" t="inlineStr">
        <is>
          <t>Project is for a real external organisation; students present recommendations directly to the client [1].</t>
        </is>
      </c>
      <c r="AB43" s="77" t="inlineStr">
        <is>
          <t>Mixed</t>
        </is>
      </c>
      <c r="AC43" s="77" t="inlineStr">
        <is>
          <t>Client supplies the consultancy problem and receives recommendations</t>
        </is>
      </c>
      <c r="AD43" s="77" t="inlineStr"/>
      <c r="AE43" s="77" t="inlineStr">
        <is>
          <t>Consultancy recommendations presented to client</t>
        </is>
      </c>
      <c r="AF43" s="77">
        <f>IF(OR(V43="No",X43="No",Z43="No"),"Outside strict definition",IF(AND(V43="Yes",X43="Yes",Z43="Yes"),"Meets all three","Potentially relevant; evidence incomplete"))</f>
        <v/>
      </c>
      <c r="AG43" s="77" t="inlineStr">
        <is>
          <t>Current status unclear</t>
        </is>
      </c>
      <c r="AH43" s="77" t="inlineStr"/>
      <c r="AI43" s="77" t="inlineStr">
        <is>
          <t>Yes</t>
        </is>
      </c>
      <c r="AJ43" s="77">
        <f>IF(AND(AI43="Yes",AF43="Meets all three",AG43="Current delivery confirmed"),"Yes","No")</f>
        <v/>
      </c>
      <c r="AK43" s="77" t="inlineStr"/>
      <c r="AL43" s="77" t="inlineStr">
        <is>
          <t>RG01-S05-R1; RG01-S05-R2</t>
        </is>
      </c>
      <c r="AM43" s="77" t="inlineStr">
        <is>
          <t>Course page undated and not corroborated by a dated 2025/26-2026/27 source; whether the module is core; group size. A student story [2] about applying (CV/cover letter) to live briefs may refer to the individual company project rather than this group project.</t>
        </is>
      </c>
      <c r="AN43" s="77" t="inlineStr"/>
      <c r="AO43" s="77" t="inlineStr">
        <is>
          <t>UK</t>
        </is>
      </c>
      <c r="AP43" s="77" t="inlineStr">
        <is>
          <t>UK – Russell Group</t>
        </is>
      </c>
      <c r="AQ43" s="77" t="inlineStr">
        <is>
          <t>Unclear</t>
        </is>
      </c>
      <c r="AR43" s="77" t="inlineStr">
        <is>
          <t>All/standard</t>
        </is>
      </c>
      <c r="AS43" s="77" t="inlineStr"/>
    </row>
    <row r="44">
      <c r="A44" s="77" t="inlineStr">
        <is>
          <t>RG01</t>
        </is>
      </c>
      <c r="B44" s="77" t="inlineStr">
        <is>
          <t>Birmingham</t>
        </is>
      </c>
      <c r="C44" s="77" t="inlineStr">
        <is>
          <t>Faculty/school</t>
        </is>
      </c>
      <c r="D44" s="77" t="inlineStr">
        <is>
          <t>RG01-S06</t>
        </is>
      </c>
      <c r="E44" s="77" t="inlineStr"/>
      <c r="F44" s="77" t="inlineStr">
        <is>
          <t>No</t>
        </is>
      </c>
      <c r="G44" s="79" t="inlineStr">
        <is>
          <t>Masters Company Projects (Birmingham Business School)</t>
        </is>
      </c>
      <c r="H44" s="77" t="inlineStr"/>
      <c r="I44" s="77" t="inlineStr"/>
      <c r="J44"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44" s="77" t="inlineStr">
        <is>
          <t>Birmingham Business School (BBS Careers)</t>
        </is>
      </c>
      <c r="L44" s="77" t="inlineStr">
        <is>
          <t>Selected BBS MSc programmes; MBA (option)</t>
        </is>
      </c>
      <c r="M44" s="77" t="inlineStr">
        <is>
          <t>Business/management</t>
        </is>
      </c>
      <c r="N44" s="77" t="inlineStr">
        <is>
          <t>Postgraduate taught</t>
        </is>
      </c>
      <c r="O44" s="77" t="inlineStr">
        <is>
          <t>Final stage of Masters</t>
        </is>
      </c>
      <c r="P44" s="77" t="inlineStr">
        <is>
          <t>Selected programmes only; MBA students choose between company project, entrepreneurial project or dissertation</t>
        </is>
      </c>
      <c r="Q44" s="77" t="inlineStr">
        <is>
          <t>Optional/elective</t>
        </is>
      </c>
      <c r="R44" s="77" t="inlineStr">
        <is>
          <t>Curricular</t>
        </is>
      </c>
      <c r="S44" s="77" t="inlineStr">
        <is>
          <t>MBA Company Project 40 credits; MSc credit not stated (final project/dissertation equivalent)</t>
        </is>
      </c>
      <c r="T44" s="77" t="inlineStr">
        <is>
          <t>Not stated (summer final-project period)</t>
        </is>
      </c>
      <c r="U44" s="77" t="inlineStr">
        <is>
          <t>With host organisation</t>
        </is>
      </c>
      <c r="V44" s="77" t="inlineStr">
        <is>
          <t>Yes</t>
        </is>
      </c>
      <c r="W44" s="77" t="inlineStr">
        <is>
          <t>Project on a live business challenge for an organisation [1].</t>
        </is>
      </c>
      <c r="X44" s="77" t="inlineStr">
        <is>
          <t>Unclear</t>
        </is>
      </c>
      <c r="Y44" s="77" t="inlineStr">
        <is>
          <t>Sources do not say whether company projects are individual or team; functions as the final project/dissertation route, which is typically individual.</t>
        </is>
      </c>
      <c r="Z44" s="77" t="inlineStr">
        <is>
          <t>Yes</t>
        </is>
      </c>
      <c r="AA44" s="77" t="inlineStr">
        <is>
          <t>Organisation provides the live business challenge and hosts the project [1].</t>
        </is>
      </c>
      <c r="AB44" s="77" t="inlineStr">
        <is>
          <t>Business/commercial</t>
        </is>
      </c>
      <c r="AC44" s="77" t="inlineStr">
        <is>
          <t>Provides live business challenge; hosts student</t>
        </is>
      </c>
      <c r="AD44" s="77" t="inlineStr">
        <is>
          <t>MBA (reported, undated): Microsoft, BT, Sebring</t>
        </is>
      </c>
      <c r="AE44" s="77" t="inlineStr">
        <is>
          <t>Company project report</t>
        </is>
      </c>
      <c r="AF44" s="77">
        <f>IF(OR(V44="No",X44="No",Z44="No"),"Outside strict definition",IF(AND(V44="Yes",X44="Yes",Z44="Yes"),"Meets all three","Potentially relevant; evidence incomplete"))</f>
        <v/>
      </c>
      <c r="AG44" s="77" t="inlineStr">
        <is>
          <t>Current status unclear</t>
        </is>
      </c>
      <c r="AH44" s="77" t="inlineStr"/>
      <c r="AI44" s="77" t="inlineStr">
        <is>
          <t>Yes</t>
        </is>
      </c>
      <c r="AJ44" s="77">
        <f>IF(AND(AI44="Yes",AF44="Meets all three",AG44="Current delivery confirmed"),"Yes","No")</f>
        <v/>
      </c>
      <c r="AK44" s="77" t="inlineStr"/>
      <c r="AL44" s="77" t="inlineStr">
        <is>
          <t>RG01-S06-R1</t>
        </is>
      </c>
      <c r="AM44" s="77" t="inlineStr">
        <is>
          <t>Individual vs group; current-year evidence; credits for MSc variants.</t>
        </is>
      </c>
      <c r="AN44" s="77" t="inlineStr"/>
      <c r="AO44" s="77" t="inlineStr">
        <is>
          <t>UK</t>
        </is>
      </c>
      <c r="AP44" s="77" t="inlineStr">
        <is>
          <t>UK – Russell Group</t>
        </is>
      </c>
      <c r="AQ44" s="77" t="inlineStr">
        <is>
          <t>Unclear</t>
        </is>
      </c>
      <c r="AR44" s="77" t="inlineStr">
        <is>
          <t>All/standard</t>
        </is>
      </c>
      <c r="AS44" s="77" t="inlineStr"/>
    </row>
    <row r="45">
      <c r="A45" s="77" t="inlineStr">
        <is>
          <t>RG01</t>
        </is>
      </c>
      <c r="B45" s="77" t="inlineStr">
        <is>
          <t>Birmingham</t>
        </is>
      </c>
      <c r="C45" s="77" t="inlineStr">
        <is>
          <t>Programme/course</t>
        </is>
      </c>
      <c r="D45" s="77" t="inlineStr">
        <is>
          <t>RG01-S07</t>
        </is>
      </c>
      <c r="E45" s="77" t="inlineStr"/>
      <c r="F45" s="77" t="inlineStr">
        <is>
          <t>No</t>
        </is>
      </c>
      <c r="G45" s="79" t="inlineStr">
        <is>
          <t>Chemical / Energy Engineering final-year industry-linked design project</t>
        </is>
      </c>
      <c r="H45" s="77" t="inlineStr"/>
      <c r="I45" s="77" t="inlineStr"/>
      <c r="J45"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45" s="77" t="inlineStr">
        <is>
          <t>School of Chemical Engineering</t>
        </is>
      </c>
      <c r="L45" s="77" t="inlineStr">
        <is>
          <t>Chemical Engineering and Energy Engineering BEng/MEng (incl. industrial/international variants)</t>
        </is>
      </c>
      <c r="M45" s="77" t="inlineStr">
        <is>
          <t>Engineering/computing</t>
        </is>
      </c>
      <c r="N45" s="77" t="inlineStr">
        <is>
          <t>Undergraduate</t>
        </is>
      </c>
      <c r="O45" s="77" t="inlineStr">
        <is>
          <t>Final year</t>
        </is>
      </c>
      <c r="P45" s="77" t="inlineStr">
        <is>
          <t>Students on named programmes</t>
        </is>
      </c>
      <c r="Q45" s="77" t="inlineStr">
        <is>
          <t>Unclear</t>
        </is>
      </c>
      <c r="R45" s="77" t="inlineStr">
        <is>
          <t>Curricular</t>
        </is>
      </c>
      <c r="S45" s="77" t="inlineStr">
        <is>
          <t>40 credits (MEng with International and Industrial Study)</t>
        </is>
      </c>
      <c r="T45" s="77" t="inlineStr">
        <is>
          <t>Final year (length not stated)</t>
        </is>
      </c>
      <c r="U45" s="77" t="inlineStr">
        <is>
          <t>In person</t>
        </is>
      </c>
      <c r="V45" s="77" t="inlineStr">
        <is>
          <t>Yes</t>
        </is>
      </c>
      <c r="W45" s="77" t="inlineStr">
        <is>
          <t>Design project on a chemical process, 40 credits [2][3].</t>
        </is>
      </c>
      <c r="X45" s="77" t="inlineStr">
        <is>
          <t>Unclear</t>
        </is>
      </c>
      <c r="Y45" s="77" t="inlineStr">
        <is>
          <t>Programme stresses 'team-based project work' [3] but no source states the design project is done in teams.</t>
        </is>
      </c>
      <c r="Z45" s="77" t="inlineStr">
        <is>
          <t>Unclear</t>
        </is>
      </c>
      <c r="AA45" s="77" t="inlineStr">
        <is>
          <t>'final year sees you working closely with industry figures, as you develop your design project' [1]; 'industry relevant/industry linked' - no evidence that a company sets the brief, supervises or assesses.</t>
        </is>
      </c>
      <c r="AB45" s="77" t="inlineStr">
        <is>
          <t>Unclear</t>
        </is>
      </c>
      <c r="AC45" s="77" t="inlineStr">
        <is>
          <t>Unclear (industry figures involved in some way)</t>
        </is>
      </c>
      <c r="AD45" s="77" t="inlineStr"/>
      <c r="AE45" s="77" t="inlineStr">
        <is>
          <t>Process design</t>
        </is>
      </c>
      <c r="AF45" s="77">
        <f>IF(OR(V45="No",X45="No",Z45="No"),"Outside strict definition",IF(AND(V45="Yes",X45="Yes",Z45="Yes"),"Meets all three","Potentially relevant; evidence incomplete"))</f>
        <v/>
      </c>
      <c r="AG45" s="77" t="inlineStr">
        <is>
          <t>Current status unclear</t>
        </is>
      </c>
      <c r="AH45" s="77" t="inlineStr"/>
      <c r="AI45" s="77" t="inlineStr">
        <is>
          <t>Yes</t>
        </is>
      </c>
      <c r="AJ45" s="77">
        <f>IF(AND(AI45="Yes",AF45="Meets all three",AG45="Current delivery confirmed"),"Yes","No")</f>
        <v/>
      </c>
      <c r="AK45" s="77" t="inlineStr"/>
      <c r="AL45" s="77" t="inlineStr">
        <is>
          <t>RG01-S07-R1; RG01-S07-R2; RG01-S07-R3</t>
        </is>
      </c>
      <c r="AM45" s="77" t="inlineStr">
        <is>
          <t>Group format and industry role; course pages show module tables for future intakes only.</t>
        </is>
      </c>
      <c r="AN45" s="77" t="inlineStr"/>
      <c r="AO45" s="77" t="inlineStr">
        <is>
          <t>UK</t>
        </is>
      </c>
      <c r="AP45" s="77" t="inlineStr">
        <is>
          <t>UK – Russell Group</t>
        </is>
      </c>
      <c r="AQ45" s="77" t="inlineStr">
        <is>
          <t>Unclear</t>
        </is>
      </c>
      <c r="AR45" s="77" t="inlineStr">
        <is>
          <t>Unclear</t>
        </is>
      </c>
      <c r="AS45" s="77" t="inlineStr"/>
    </row>
    <row r="46">
      <c r="A46" s="77" t="inlineStr">
        <is>
          <t>RG13</t>
        </is>
      </c>
      <c r="B46" s="77" t="inlineStr">
        <is>
          <t>London School of Economics</t>
        </is>
      </c>
      <c r="C46" s="77" t="inlineStr">
        <is>
          <t>University-wide</t>
        </is>
      </c>
      <c r="D46" s="77" t="inlineStr">
        <is>
          <t>RG13-S01</t>
        </is>
      </c>
      <c r="E46" s="77" t="inlineStr"/>
      <c r="F46" s="77" t="inlineStr">
        <is>
          <t>No</t>
        </is>
      </c>
      <c r="G46" s="79" t="inlineStr">
        <is>
          <t>LSE100: The LSE Course</t>
        </is>
      </c>
      <c r="H46" s="77" t="inlineStr">
        <is>
          <t>LSE100: The LSE Course</t>
        </is>
      </c>
      <c r="I46" s="77" t="inlineStr">
        <is>
          <t>LSE100 (LSE100A/B/C themed variants)</t>
        </is>
      </c>
      <c r="J46"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46" s="77" t="inlineStr">
        <is>
          <t>LSE100 (central, School-level course)</t>
        </is>
      </c>
      <c r="L46" s="77" t="inlineStr">
        <is>
          <t>All undergraduate programmes</t>
        </is>
      </c>
      <c r="M46" s="77" t="inlineStr">
        <is>
          <t>Central provision</t>
        </is>
      </c>
      <c r="N46" s="77" t="inlineStr">
        <is>
          <t>Undergraduate</t>
        </is>
      </c>
      <c r="O46" s="77" t="inlineStr">
        <is>
          <t>Year 1</t>
        </is>
      </c>
      <c r="P46" s="77" t="inlineStr">
        <is>
          <t>All first-year LSE undergraduates (not postgraduates). Counts as one half-unit-equivalent first-year mark (not towards classification for LLB).</t>
        </is>
      </c>
      <c r="Q46" s="77" t="inlineStr">
        <is>
          <t>Compulsory for all students (at stated level)</t>
        </is>
      </c>
      <c r="R46" s="77" t="inlineStr">
        <is>
          <t>Curricular</t>
        </is>
      </c>
      <c r="S46" s="77" t="inlineStr">
        <is>
          <t>Half-unit equivalent. 2025/26 LSE100A: critical evaluation 50% (1,000 words) + project 50% (3,000 words). 2024 policy: group project mark = presentation 25% + digital report 75%; single group mark.</t>
        </is>
      </c>
      <c r="T46" s="77" t="inlineStr">
        <is>
          <t>Autumn and Winter Terms; group project over Winter Term</t>
        </is>
      </c>
      <c r="U46" s="77" t="inlineStr">
        <is>
          <t>In person seminars</t>
        </is>
      </c>
      <c r="V46" s="77" t="inlineStr">
        <is>
          <t>Yes</t>
        </is>
      </c>
      <c r="W46" s="77" t="inlineStr">
        <is>
          <t>Group research project with defined task (analyse a system, propose a policy proposal or strategic plan) and identifiable outputs: digital report and presentation [1][2][3].</t>
        </is>
      </c>
      <c r="X46" s="77" t="inlineStr">
        <is>
          <t>Yes</t>
        </is>
      </c>
      <c r="Y46" s="77" t="inlineStr">
        <is>
          <t>Groups of 4-5 students allocated by seminar teacher; single group mark for joint digital report and presentation [1][2].</t>
        </is>
      </c>
      <c r="Z46" s="77" t="inlineStr">
        <is>
          <t>No</t>
        </is>
      </c>
      <c r="AA46"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46" s="77" t="inlineStr">
        <is>
          <t>None</t>
        </is>
      </c>
      <c r="AC46" s="77" t="inlineStr">
        <is>
          <t>None evidenced</t>
        </is>
      </c>
      <c r="AD46" s="77" t="inlineStr"/>
      <c r="AE46" s="77" t="inlineStr">
        <is>
          <t>Group digital report + 10-minute group presentation</t>
        </is>
      </c>
      <c r="AF46" s="77">
        <f>IF(OR(V46="No",X46="No",Z46="No"),"Outside strict definition",IF(AND(V46="Yes",X46="Yes",Z46="Yes"),"Meets all three","Potentially relevant; evidence incomplete"))</f>
        <v/>
      </c>
      <c r="AG46" s="77" t="inlineStr">
        <is>
          <t>Current delivery confirmed</t>
        </is>
      </c>
      <c r="AH46" s="77" t="inlineStr">
        <is>
          <t>2025/26</t>
        </is>
      </c>
      <c r="AI46" s="77" t="inlineStr">
        <is>
          <t>Yes</t>
        </is>
      </c>
      <c r="AJ46" s="77">
        <f>IF(AND(AI46="Yes",AF46="Meets all three",AG46="Current delivery confirmed"),"Yes","No")</f>
        <v/>
      </c>
      <c r="AK46" s="77" t="inlineStr"/>
      <c r="AL46" s="77" t="inlineStr">
        <is>
          <t>RG13-S01-R1; RG13-S01-R2; RG13-S01-R3; RG13-S01-R4</t>
        </is>
      </c>
      <c r="AM46" s="77" t="inlineStr">
        <is>
          <t>Whether any individual LSE100 themes involve external organisations as audiences/judges (Moodle-only material).</t>
        </is>
      </c>
      <c r="AN46" s="77" t="inlineStr">
        <is>
          <t>LSE100</t>
        </is>
      </c>
      <c r="AO46" s="77" t="inlineStr">
        <is>
          <t>UK</t>
        </is>
      </c>
      <c r="AP46" s="77" t="inlineStr">
        <is>
          <t>UK – Russell Group</t>
        </is>
      </c>
      <c r="AQ46" s="77" t="inlineStr">
        <is>
          <t>Unclear</t>
        </is>
      </c>
      <c r="AR46" s="77" t="inlineStr">
        <is>
          <t>Unclear</t>
        </is>
      </c>
      <c r="AS46" s="77" t="inlineStr"/>
    </row>
    <row r="47">
      <c r="A47" s="77" t="inlineStr">
        <is>
          <t>RG13</t>
        </is>
      </c>
      <c r="B47" s="77" t="inlineStr">
        <is>
          <t>London School of Economics</t>
        </is>
      </c>
      <c r="C47" s="77" t="inlineStr">
        <is>
          <t>University-wide</t>
        </is>
      </c>
      <c r="D47" s="77" t="inlineStr">
        <is>
          <t>RG13-S02</t>
        </is>
      </c>
      <c r="E47" s="77" t="inlineStr"/>
      <c r="F47" s="77" t="inlineStr">
        <is>
          <t>No</t>
        </is>
      </c>
      <c r="G47" s="79" t="inlineStr">
        <is>
          <t>Future17</t>
        </is>
      </c>
      <c r="H47" s="77" t="inlineStr">
        <is>
          <t>Future17</t>
        </is>
      </c>
      <c r="I47" s="77" t="inlineStr"/>
      <c r="J47"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47" s="77" t="inlineStr">
        <is>
          <t>LSE100 (LSE recruitment) / QS and international university consortium (delivery)</t>
        </is>
      </c>
      <c r="L47" s="77" t="inlineStr">
        <is>
          <t>All LSE undergraduate programmes</t>
        </is>
      </c>
      <c r="M47" s="77" t="inlineStr">
        <is>
          <t>Central provision</t>
        </is>
      </c>
      <c r="N47" s="77" t="inlineStr">
        <is>
          <t>Undergraduate</t>
        </is>
      </c>
      <c r="O47" s="77" t="inlineStr">
        <is>
          <t>Any undergraduate year (not restricted in evidence)</t>
        </is>
      </c>
      <c r="P47" s="77" t="inlineStr">
        <is>
          <t>Open to all LSE undergraduates via application; criteria: interest in SDGs, collaboration/communication, leadership potential, analytical skills.</t>
        </is>
      </c>
      <c r="Q47" s="77" t="inlineStr">
        <is>
          <t>Selective/competitive</t>
        </is>
      </c>
      <c r="R47" s="77" t="inlineStr">
        <is>
          <t>Unclear</t>
        </is>
      </c>
      <c r="S47" s="77" t="inlineStr">
        <is>
          <t>No evidence of credit; described as accessible 'alongside your studies' (probably extracurricular).</t>
        </is>
      </c>
      <c r="T47" s="77" t="inlineStr">
        <is>
          <t>~12 weeks; LSE recruits two cohorts per academic year</t>
        </is>
      </c>
      <c r="U47" s="77" t="inlineStr">
        <is>
          <t>Fully online, international teams</t>
        </is>
      </c>
      <c r="V47" s="77" t="inlineStr">
        <is>
          <t>Yes</t>
        </is>
      </c>
      <c r="W47" s="77" t="inlineStr">
        <is>
          <t>Teams address a specific sustainability challenge set by a partner and present solutions at the Future17 Solution Showcase [1].</t>
        </is>
      </c>
      <c r="X47" s="77" t="inlineStr">
        <is>
          <t>Yes</t>
        </is>
      </c>
      <c r="Y47" s="77" t="inlineStr">
        <is>
          <t>Students work in teams of about five with students from other universities, each team with 1-2 academic mentors [1].</t>
        </is>
      </c>
      <c r="Z47" s="77" t="inlineStr">
        <is>
          <t>Yes</t>
        </is>
      </c>
      <c r="AA47" s="77" t="inlineStr">
        <is>
          <t>Challenges are set by global organisations (business, charity or NGO partners); students work with the partner on its SDG challenge [1].</t>
        </is>
      </c>
      <c r="AB47" s="77" t="inlineStr">
        <is>
          <t>Mixed</t>
        </is>
      </c>
      <c r="AC47" s="77" t="inlineStr">
        <is>
          <t>Sets live challenge; works with team; receives solutions at showcase</t>
        </is>
      </c>
      <c r="AD47" s="77" t="inlineStr"/>
      <c r="AE47" s="77" t="inlineStr">
        <is>
          <t>Solution/recommendations presented at Future17 Solution Showcase</t>
        </is>
      </c>
      <c r="AF47" s="77">
        <f>IF(OR(V47="No",X47="No",Z47="No"),"Outside strict definition",IF(AND(V47="Yes",X47="Yes",Z47="Yes"),"Meets all three","Potentially relevant; evidence incomplete"))</f>
        <v/>
      </c>
      <c r="AG47" s="77" t="inlineStr">
        <is>
          <t>Current delivery confirmed</t>
        </is>
      </c>
      <c r="AH47" s="77" t="inlineStr">
        <is>
          <t>2026/27 (application call closing 7 Sept 2026)</t>
        </is>
      </c>
      <c r="AI47" s="77" t="inlineStr">
        <is>
          <t>Yes</t>
        </is>
      </c>
      <c r="AJ47" s="77">
        <f>IF(AND(AI47="Yes",AF47="Meets all three",AG47="Current delivery confirmed"),"Yes","No")</f>
        <v/>
      </c>
      <c r="AK47" s="77" t="inlineStr"/>
      <c r="AL47" s="77" t="inlineStr">
        <is>
          <t>RG13-S02-R1</t>
        </is>
      </c>
      <c r="AM47" s="77" t="inlineStr">
        <is>
          <t>Credit status; number of LSE participants; named partner organisations for LSE cohorts; whether the September 2026 call is for the autumn 2026 cohort (assumed).</t>
        </is>
      </c>
      <c r="AN47" s="77" t="inlineStr">
        <is>
          <t>Future17</t>
        </is>
      </c>
      <c r="AO47" s="77" t="inlineStr">
        <is>
          <t>UK</t>
        </is>
      </c>
      <c r="AP47" s="77" t="inlineStr">
        <is>
          <t>UK – Russell Group</t>
        </is>
      </c>
      <c r="AQ47" s="77" t="inlineStr">
        <is>
          <t>Unclear</t>
        </is>
      </c>
      <c r="AR47" s="77" t="inlineStr">
        <is>
          <t>Unclear</t>
        </is>
      </c>
      <c r="AS47" s="77" t="inlineStr"/>
    </row>
    <row r="48">
      <c r="A48" s="77" t="inlineStr">
        <is>
          <t>RG13</t>
        </is>
      </c>
      <c r="B48" s="77" t="inlineStr">
        <is>
          <t>London School of Economics</t>
        </is>
      </c>
      <c r="C48" s="77" t="inlineStr">
        <is>
          <t>University-wide</t>
        </is>
      </c>
      <c r="D48" s="77" t="inlineStr">
        <is>
          <t>RG13-S03</t>
        </is>
      </c>
      <c r="E48" s="77" t="inlineStr"/>
      <c r="F48" s="77" t="inlineStr">
        <is>
          <t>No</t>
        </is>
      </c>
      <c r="G48" s="79" t="inlineStr">
        <is>
          <t>LSE Community Engagement Programme (CEP)</t>
        </is>
      </c>
      <c r="H48" s="77" t="inlineStr">
        <is>
          <t>LSE Community Engagement Programme (CEP)</t>
        </is>
      </c>
      <c r="I48" s="77" t="inlineStr"/>
      <c r="J48"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48" s="77" t="inlineStr">
        <is>
          <t>LSE Volunteer Centre (LSE Careers)</t>
        </is>
      </c>
      <c r="L48" s="77" t="inlineStr">
        <is>
          <t>All current LSE students</t>
        </is>
      </c>
      <c r="M48" s="77" t="inlineStr">
        <is>
          <t>Central provision</t>
        </is>
      </c>
      <c r="N48" s="77" t="inlineStr">
        <is>
          <t>Mixed</t>
        </is>
      </c>
      <c r="O48" s="77" t="inlineStr">
        <is>
          <t>Any</t>
        </is>
      </c>
      <c r="P48" s="77" t="inlineStr">
        <is>
          <t>Current LSE students; application via CareerHub</t>
        </is>
      </c>
      <c r="Q48" s="77" t="inlineStr">
        <is>
          <t>Selective/competitive</t>
        </is>
      </c>
      <c r="R48" s="77" t="inlineStr">
        <is>
          <t>Extracurricular</t>
        </is>
      </c>
      <c r="S48" s="77" t="inlineStr">
        <is>
          <t>None (extracurricular)</t>
        </is>
      </c>
      <c r="T48" s="77" t="inlineStr">
        <is>
          <t>c. 10-16 weeks (26 Nov 2025-25 Mar 2026; 13 Jan-17 Mar 2027)</t>
        </is>
      </c>
      <c r="U48" s="77" t="inlineStr">
        <is>
          <t>Team consultancy, hybrid</t>
        </is>
      </c>
      <c r="V48" s="77" t="inlineStr">
        <is>
          <t>Yes</t>
        </is>
      </c>
      <c r="W48" s="77" t="inlineStr">
        <is>
          <t>Teams answer a charity's project brief and produce actionable recommendations in consultancy reports and presentations [1][2].</t>
        </is>
      </c>
      <c r="X48" s="77" t="inlineStr">
        <is>
          <t>Yes</t>
        </is>
      </c>
      <c r="Y48" s="77" t="inlineStr">
        <is>
          <t>Delivered by student teams; team support from Volunteer Centre, alumni mentor and the charity [1][2].</t>
        </is>
      </c>
      <c r="Z48" s="77" t="inlineStr">
        <is>
          <t>Yes</t>
        </is>
      </c>
      <c r="AA48" s="77" t="inlineStr">
        <is>
          <t>Charities apply with project briefs, act as clients with whom teams liaise, and receive the consultancy report/presentation [1][2][3].</t>
        </is>
      </c>
      <c r="AB48" s="77" t="inlineStr">
        <is>
          <t>Charity/community</t>
        </is>
      </c>
      <c r="AC48" s="77" t="inlineStr">
        <is>
          <t>Client: sets brief, liaises with team, receives report/presentation</t>
        </is>
      </c>
      <c r="AD48" s="77" t="inlineStr"/>
      <c r="AE48" s="77" t="inlineStr">
        <is>
          <t>Consultancy report and presentation to the charity</t>
        </is>
      </c>
      <c r="AF48" s="77">
        <f>IF(OR(V48="No",X48="No",Z48="No"),"Outside strict definition",IF(AND(V48="Yes",X48="Yes",Z48="Yes"),"Meets all three","Potentially relevant; evidence incomplete"))</f>
        <v/>
      </c>
      <c r="AG48" s="77" t="inlineStr">
        <is>
          <t>Current delivery confirmed</t>
        </is>
      </c>
      <c r="AH48" s="77" t="inlineStr">
        <is>
          <t>2025/26 (ran Nov 2025-Mar 2026); 2026/27 round recruiting</t>
        </is>
      </c>
      <c r="AI48" s="77" t="inlineStr">
        <is>
          <t>Yes</t>
        </is>
      </c>
      <c r="AJ48" s="77">
        <f>IF(AND(AI48="Yes",AF48="Meets all three",AG48="Current delivery confirmed"),"Yes","No")</f>
        <v/>
      </c>
      <c r="AK48" s="77" t="inlineStr">
        <is>
          <t>Team size 6-7 students reported in Volunteer Centre blog posts (2023-2024); number of teams/charities not published in sources found.</t>
        </is>
      </c>
      <c r="AL48" s="77" t="inlineStr">
        <is>
          <t>RG13-S03-R1; RG13-S03-R2; RG13-S03-R3</t>
        </is>
      </c>
      <c r="AM48" s="77" t="inlineStr"/>
      <c r="AN48" s="77" t="inlineStr"/>
      <c r="AO48" s="77" t="inlineStr">
        <is>
          <t>UK</t>
        </is>
      </c>
      <c r="AP48" s="77" t="inlineStr">
        <is>
          <t>UK – Russell Group</t>
        </is>
      </c>
      <c r="AQ48" s="77" t="inlineStr">
        <is>
          <t>Unclear</t>
        </is>
      </c>
      <c r="AR48" s="77" t="inlineStr">
        <is>
          <t>Unclear</t>
        </is>
      </c>
      <c r="AS48" s="77" t="inlineStr"/>
    </row>
    <row r="49">
      <c r="A49" s="77" t="inlineStr">
        <is>
          <t>RG13</t>
        </is>
      </c>
      <c r="B49" s="77" t="inlineStr">
        <is>
          <t>London School of Economics</t>
        </is>
      </c>
      <c r="C49" s="77" t="inlineStr">
        <is>
          <t>University-wide</t>
        </is>
      </c>
      <c r="D49" s="77" t="inlineStr">
        <is>
          <t>RG13-S04</t>
        </is>
      </c>
      <c r="E49" s="77" t="inlineStr"/>
      <c r="F49" s="77" t="inlineStr">
        <is>
          <t>No</t>
        </is>
      </c>
      <c r="G49" s="79" t="inlineStr">
        <is>
          <t>Research Volunteering Scheme (RVS)</t>
        </is>
      </c>
      <c r="H49" s="77" t="inlineStr">
        <is>
          <t>Research Volunteering Scheme (RVS)</t>
        </is>
      </c>
      <c r="I49" s="77" t="inlineStr"/>
      <c r="J49"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49" s="77" t="inlineStr">
        <is>
          <t>LSE Volunteer Centre (LSE Careers)</t>
        </is>
      </c>
      <c r="L49" s="77" t="inlineStr">
        <is>
          <t>All current LSE postgraduate students</t>
        </is>
      </c>
      <c r="M49" s="77" t="inlineStr">
        <is>
          <t>Central provision</t>
        </is>
      </c>
      <c r="N49" s="77" t="inlineStr">
        <is>
          <t>Mixed</t>
        </is>
      </c>
      <c r="O49" s="77" t="inlineStr">
        <is>
          <t>Any postgraduate year</t>
        </is>
      </c>
      <c r="P49" s="77" t="inlineStr">
        <is>
          <t>Postgraduates only (taught and research); current LSE students</t>
        </is>
      </c>
      <c r="Q49" s="77" t="inlineStr">
        <is>
          <t>Selective/competitive</t>
        </is>
      </c>
      <c r="R49" s="77" t="inlineStr">
        <is>
          <t>Extracurricular</t>
        </is>
      </c>
      <c r="S49" s="77" t="inlineStr">
        <is>
          <t>None (extracurricular)</t>
        </is>
      </c>
      <c r="T49" s="77" t="inlineStr">
        <is>
          <t>November to March (2025/26: 12 Nov 2025 - mid-March 2026)</t>
        </is>
      </c>
      <c r="U49" s="77" t="inlineStr">
        <is>
          <t>Team research project</t>
        </is>
      </c>
      <c r="V49" s="77" t="inlineStr">
        <is>
          <t>Yes</t>
        </is>
      </c>
      <c r="W49" s="77" t="inlineStr">
        <is>
          <t>Each team answers a defined charity research question and submits a research paper, plus a presentation [1].</t>
        </is>
      </c>
      <c r="X49" s="77" t="inlineStr">
        <is>
          <t>Yes</t>
        </is>
      </c>
      <c r="Y49" s="77" t="inlineStr">
        <is>
          <t>'Teams of LSE postgraduates' answer each question [1].</t>
        </is>
      </c>
      <c r="Z49" s="77" t="inlineStr">
        <is>
          <t>Yes</t>
        </is>
      </c>
      <c r="AA49" s="77" t="inlineStr">
        <is>
          <t>Charities apply to submit the academic question and receive the paper and presentation [1][2].</t>
        </is>
      </c>
      <c r="AB49" s="77" t="inlineStr">
        <is>
          <t>Charity/community</t>
        </is>
      </c>
      <c r="AC49" s="77" t="inlineStr">
        <is>
          <t>Poses research question; receives research paper and presentation</t>
        </is>
      </c>
      <c r="AD49" s="77" t="inlineStr"/>
      <c r="AE49" s="77" t="inlineStr">
        <is>
          <t>Secondary-research paper (literature review) + presentation to charity</t>
        </is>
      </c>
      <c r="AF49" s="77">
        <f>IF(OR(V49="No",X49="No",Z49="No"),"Outside strict definition",IF(AND(V49="Yes",X49="Yes",Z49="Yes"),"Meets all three","Potentially relevant; evidence incomplete"))</f>
        <v/>
      </c>
      <c r="AG49" s="77" t="inlineStr">
        <is>
          <t>Current delivery confirmed</t>
        </is>
      </c>
      <c r="AH49" s="77" t="inlineStr">
        <is>
          <t>2025/26 (2026/27 round recruiting)</t>
        </is>
      </c>
      <c r="AI49" s="77" t="inlineStr">
        <is>
          <t>Yes</t>
        </is>
      </c>
      <c r="AJ49" s="77">
        <f>IF(AND(AI49="Yes",AF49="Meets all three",AG49="Current delivery confirmed"),"Yes","No")</f>
        <v/>
      </c>
      <c r="AK49" s="77" t="inlineStr">
        <is>
          <t>10 charity questions (projects), 2025/26 round [1].</t>
        </is>
      </c>
      <c r="AL49" s="77" t="inlineStr">
        <is>
          <t>RG13-S04-R1; RG13-S04-R2; RG13-S04-R3</t>
        </is>
      </c>
      <c r="AM49" s="77" t="inlineStr">
        <is>
          <t>Student level is postgraduate only (taught + research), recorded as Mixed; borderline on 'substantive project' because output is a literature review.</t>
        </is>
      </c>
      <c r="AN49" s="77" t="inlineStr"/>
      <c r="AO49" s="77" t="inlineStr">
        <is>
          <t>UK</t>
        </is>
      </c>
      <c r="AP49" s="77" t="inlineStr">
        <is>
          <t>UK – Russell Group</t>
        </is>
      </c>
      <c r="AQ49" s="77" t="inlineStr">
        <is>
          <t>Unclear</t>
        </is>
      </c>
      <c r="AR49" s="77" t="inlineStr">
        <is>
          <t>Unclear</t>
        </is>
      </c>
      <c r="AS49" s="77" t="inlineStr"/>
    </row>
    <row r="50">
      <c r="A50" s="77" t="inlineStr">
        <is>
          <t>RG13</t>
        </is>
      </c>
      <c r="B50" s="77" t="inlineStr">
        <is>
          <t>London School of Economics</t>
        </is>
      </c>
      <c r="C50" s="77" t="inlineStr">
        <is>
          <t>Faculty/school</t>
        </is>
      </c>
      <c r="D50" s="77" t="inlineStr">
        <is>
          <t>RG13-S05</t>
        </is>
      </c>
      <c r="E50" s="77" t="inlineStr"/>
      <c r="F50" s="77" t="inlineStr">
        <is>
          <t>Yes</t>
        </is>
      </c>
      <c r="G50" s="79" t="inlineStr">
        <is>
          <t>Department of Management Business Projects (Employer Partnerships)</t>
        </is>
      </c>
      <c r="H50" s="77" t="inlineStr">
        <is>
          <t>Department of Management Business Projects (Employer Partnerships)</t>
        </is>
      </c>
      <c r="I50" s="77" t="inlineStr"/>
      <c r="J50"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50" s="77" t="inlineStr">
        <is>
          <t>Department of Management, Employer Relations</t>
        </is>
      </c>
      <c r="L50" s="77" t="inlineStr">
        <is>
          <t>Students on specified Department of Management MSc programmes</t>
        </is>
      </c>
      <c r="M50" s="77" t="inlineStr">
        <is>
          <t>Business/management</t>
        </is>
      </c>
      <c r="N50" s="77" t="inlineStr">
        <is>
          <t>Postgraduate taught</t>
        </is>
      </c>
      <c r="O50" s="77" t="inlineStr"/>
      <c r="P50" s="77" t="inlineStr"/>
      <c r="Q50" s="77" t="inlineStr">
        <is>
          <t>Compulsory within specified programmes</t>
        </is>
      </c>
      <c r="R50" s="77" t="inlineStr">
        <is>
          <t>Curricular</t>
        </is>
      </c>
      <c r="S50" s="77" t="inlineStr"/>
      <c r="T50" s="77" t="inlineStr"/>
      <c r="U50" s="77" t="inlineStr"/>
      <c r="V50" s="77" t="inlineStr">
        <is>
          <t>Yes</t>
        </is>
      </c>
      <c r="W50" s="77" t="inlineStr">
        <is>
          <t>Students work on a business project or challenge provided by an organisation [1].</t>
        </is>
      </c>
      <c r="X50" s="77" t="inlineStr">
        <is>
          <t>Yes</t>
        </is>
      </c>
      <c r="Y50" s="77" t="inlineStr">
        <is>
          <t>GMiM projects 4-6 students; HRO Links teams of two [1].</t>
        </is>
      </c>
      <c r="Z50" s="77" t="inlineStr">
        <is>
          <t>Yes</t>
        </is>
      </c>
      <c r="AA50" s="77" t="inlineStr">
        <is>
          <t>Sponsors supply the brief and a Project Supervisor who checks in throughout; students give final presentation and/or business report to the organisation [1].</t>
        </is>
      </c>
      <c r="AB50" s="77" t="inlineStr">
        <is>
          <t>Mixed</t>
        </is>
      </c>
      <c r="AC50" s="77" t="inlineStr">
        <is>
          <t>Sponsor/client</t>
        </is>
      </c>
      <c r="AD50" s="77" t="inlineStr"/>
      <c r="AE50" s="77" t="inlineStr"/>
      <c r="AF50" s="77">
        <f>IF(OR(V50="No",X50="No",Z50="No"),"Outside strict definition",IF(AND(V50="Yes",X50="Yes",Z50="Yes"),"Meets all three","Potentially relevant; evidence incomplete"))</f>
        <v/>
      </c>
      <c r="AG50" s="77" t="inlineStr">
        <is>
          <t>Current delivery confirmed</t>
        </is>
      </c>
      <c r="AH50" s="77" t="inlineStr">
        <is>
          <t>2026/27 (GMiM proposals due 26 Aug 2026; projects Oct 2026-Jan 2027)</t>
        </is>
      </c>
      <c r="AI50" s="77" t="inlineStr">
        <is>
          <t>No</t>
        </is>
      </c>
      <c r="AJ50" s="77">
        <f>IF(AND(AI50="Yes",AF50="Meets all three",AG50="Current delivery confirmed"),"Yes","No")</f>
        <v/>
      </c>
      <c r="AK50" s="77" t="inlineStr"/>
      <c r="AL50" s="77" t="inlineStr">
        <is>
          <t>RG13-S05-R1</t>
        </is>
      </c>
      <c r="AM50" s="77" t="inlineStr">
        <is>
          <t>Open Innovation (OI) stream not separately evidenced (programme/course not identified).</t>
        </is>
      </c>
      <c r="AN50" s="77" t="inlineStr"/>
      <c r="AO50" s="77" t="inlineStr">
        <is>
          <t>UK</t>
        </is>
      </c>
      <c r="AP50" s="77" t="inlineStr">
        <is>
          <t>UK – Russell Group</t>
        </is>
      </c>
      <c r="AQ50" s="77" t="inlineStr">
        <is>
          <t>Unclear</t>
        </is>
      </c>
      <c r="AR50" s="77" t="inlineStr">
        <is>
          <t>Unclear</t>
        </is>
      </c>
      <c r="AS50" s="77" t="inlineStr">
        <is>
          <t>No (umbrella; children counted)</t>
        </is>
      </c>
    </row>
    <row r="51">
      <c r="A51" s="77" t="inlineStr">
        <is>
          <t>RG13</t>
        </is>
      </c>
      <c r="B51" s="77" t="inlineStr">
        <is>
          <t>London School of Economics</t>
        </is>
      </c>
      <c r="C51" s="77" t="inlineStr">
        <is>
          <t>Programme/course</t>
        </is>
      </c>
      <c r="D51" s="77" t="inlineStr">
        <is>
          <t>RG13-S06</t>
        </is>
      </c>
      <c r="E51" s="77" t="inlineStr">
        <is>
          <t>RG13-S05</t>
        </is>
      </c>
      <c r="F51" s="77" t="inlineStr">
        <is>
          <t>No</t>
        </is>
      </c>
      <c r="G51" s="79" t="inlineStr">
        <is>
          <t>GMiM Capstone Course - Management in Action</t>
        </is>
      </c>
      <c r="H51" s="77" t="inlineStr">
        <is>
          <t>GMiM Capstone Course - Management in Action</t>
        </is>
      </c>
      <c r="I51" s="77" t="inlineStr">
        <is>
          <t>MG488B (with MG488A)</t>
        </is>
      </c>
      <c r="J51"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51" s="77" t="inlineStr">
        <is>
          <t>Department of Management</t>
        </is>
      </c>
      <c r="L51" s="77" t="inlineStr">
        <is>
          <t>Global Master's in Management (GMiM)</t>
        </is>
      </c>
      <c r="M51" s="77" t="inlineStr">
        <is>
          <t>Business/management</t>
        </is>
      </c>
      <c r="N51" s="77" t="inlineStr">
        <is>
          <t>Postgraduate taught</t>
        </is>
      </c>
      <c r="O51" s="77" t="inlineStr">
        <is>
          <t>Year 2 of GMiM</t>
        </is>
      </c>
      <c r="P51" s="77" t="inlineStr"/>
      <c r="Q51" s="77" t="inlineStr">
        <is>
          <t>Compulsory within specified programmes</t>
        </is>
      </c>
      <c r="R51" s="77" t="inlineStr">
        <is>
          <t>Curricular</t>
        </is>
      </c>
      <c r="S51" s="77" t="inlineStr">
        <is>
          <t>Capstone project 65% of combined grade; MG488A 35% (participation 10%, 2,000-word essay 25%). Criteria include 'Effectiveness of Client Management'.</t>
        </is>
      </c>
      <c r="T51" s="77" t="inlineStr">
        <is>
          <t>Autumn Term (Oct-Jan)</t>
        </is>
      </c>
      <c r="U51" s="77" t="inlineStr">
        <is>
          <t>Team consultancy project</t>
        </is>
      </c>
      <c r="V51" s="77" t="inlineStr">
        <is>
          <t>Yes</t>
        </is>
      </c>
      <c r="W51" s="77" t="inlineStr">
        <is>
          <t>Client project with scoped objectives, research methodology and recommendations; assessed via oral presentation and slides [1].</t>
        </is>
      </c>
      <c r="X51" s="77" t="inlineStr">
        <is>
          <t>Yes</t>
        </is>
      </c>
      <c r="Y51" s="77" t="inlineStr">
        <is>
          <t>Projects allocated, on average, to groups of 4-6 students; group assessment [1][2].</t>
        </is>
      </c>
      <c r="Z51" s="77" t="inlineStr">
        <is>
          <t>Yes</t>
        </is>
      </c>
      <c r="AA51" s="77" t="inlineStr">
        <is>
          <t>Projects sourced by LSE from client partners; client management assessed; final presentations to sponsors [1][2].</t>
        </is>
      </c>
      <c r="AB51" s="77" t="inlineStr">
        <is>
          <t>Mixed</t>
        </is>
      </c>
      <c r="AC51" s="77" t="inlineStr">
        <is>
          <t>Client: supplies business problem, interacts with team, receives presentation</t>
        </is>
      </c>
      <c r="AD51" s="77" t="inlineStr"/>
      <c r="AE51" s="77" t="inlineStr">
        <is>
          <t>Client presentation (c.30 min) + slides and appendices</t>
        </is>
      </c>
      <c r="AF51" s="77">
        <f>IF(OR(V51="No",X51="No",Z51="No"),"Outside strict definition",IF(AND(V51="Yes",X51="Yes",Z51="Yes"),"Meets all three","Potentially relevant; evidence incomplete"))</f>
        <v/>
      </c>
      <c r="AG51" s="77" t="inlineStr">
        <is>
          <t>Current delivery confirmed</t>
        </is>
      </c>
      <c r="AH51" s="77" t="inlineStr">
        <is>
          <t>2025/26 (2026/27 recruiting sponsors)</t>
        </is>
      </c>
      <c r="AI51" s="77" t="inlineStr">
        <is>
          <t>Yes</t>
        </is>
      </c>
      <c r="AJ51" s="77">
        <f>IF(AND(AI51="Yes",AF51="Meets all three",AG51="Current delivery confirmed"),"Yes","No")</f>
        <v/>
      </c>
      <c r="AK51" s="77" t="inlineStr"/>
      <c r="AL51" s="77" t="inlineStr">
        <is>
          <t>RG13-S06-R1; RG13-S06-R2</t>
        </is>
      </c>
      <c r="AM51" s="77" t="inlineStr">
        <is>
          <t>Whether compulsory for all GMiM students (inferred from 'capstone' and assessment wording, not from regulations).</t>
        </is>
      </c>
      <c r="AN51" s="77" t="inlineStr"/>
      <c r="AO51" s="77" t="inlineStr">
        <is>
          <t>UK</t>
        </is>
      </c>
      <c r="AP51" s="77" t="inlineStr">
        <is>
          <t>UK – Russell Group</t>
        </is>
      </c>
      <c r="AQ51" s="77" t="inlineStr">
        <is>
          <t>Unclear</t>
        </is>
      </c>
      <c r="AR51" s="77" t="inlineStr">
        <is>
          <t>Unclear</t>
        </is>
      </c>
      <c r="AS51" s="77" t="inlineStr"/>
    </row>
    <row r="52">
      <c r="A52" s="77" t="inlineStr">
        <is>
          <t>RG13</t>
        </is>
      </c>
      <c r="B52" s="77" t="inlineStr">
        <is>
          <t>London School of Economics</t>
        </is>
      </c>
      <c r="C52" s="77" t="inlineStr">
        <is>
          <t>Programme/course</t>
        </is>
      </c>
      <c r="D52" s="77" t="inlineStr">
        <is>
          <t>RG13-S07</t>
        </is>
      </c>
      <c r="E52" s="77" t="inlineStr">
        <is>
          <t>RG13-S05</t>
        </is>
      </c>
      <c r="F52" s="77" t="inlineStr">
        <is>
          <t>No</t>
        </is>
      </c>
      <c r="G52" s="79" t="inlineStr">
        <is>
          <t>CEMS &amp; MBA Business Projects</t>
        </is>
      </c>
      <c r="H52" s="77" t="inlineStr">
        <is>
          <t>CEMS &amp; MBA Business Projects</t>
        </is>
      </c>
      <c r="I52" s="77" t="inlineStr"/>
      <c r="J52" s="77" t="inlineStr">
        <is>
          <t>Sponsored business projects for CEMS (Master's in International Management) students at LSE and MBA students: teams of 4-6 work February-May on an organisation's business problem and present final recommendations to sponsors.</t>
        </is>
      </c>
      <c r="K52" s="77" t="inlineStr">
        <is>
          <t>Department of Management</t>
        </is>
      </c>
      <c r="L52" s="77" t="inlineStr">
        <is>
          <t>CEMS MIM students at LSE; 'MBA' students (programme not identified)</t>
        </is>
      </c>
      <c r="M52" s="77" t="inlineStr">
        <is>
          <t>Business/management</t>
        </is>
      </c>
      <c r="N52" s="77" t="inlineStr">
        <is>
          <t>Postgraduate taught</t>
        </is>
      </c>
      <c r="O52" s="77" t="inlineStr"/>
      <c r="P52" s="77" t="inlineStr"/>
      <c r="Q52" s="77" t="inlineStr">
        <is>
          <t>Unclear</t>
        </is>
      </c>
      <c r="R52" s="77" t="inlineStr">
        <is>
          <t>Unclear</t>
        </is>
      </c>
      <c r="S52" s="77" t="inlineStr"/>
      <c r="T52" s="77" t="inlineStr">
        <is>
          <t>February - May (Winter/Spring Term)</t>
        </is>
      </c>
      <c r="U52" s="77" t="inlineStr">
        <is>
          <t>Team consultancy project</t>
        </is>
      </c>
      <c r="V52" s="77" t="inlineStr">
        <is>
          <t>Yes</t>
        </is>
      </c>
      <c r="W52" s="77" t="inlineStr">
        <is>
          <t>Organisation-proposed business project culminating in final presentations [1].</t>
        </is>
      </c>
      <c r="X52" s="77" t="inlineStr">
        <is>
          <t>Yes</t>
        </is>
      </c>
      <c r="Y52" s="77" t="inlineStr">
        <is>
          <t>4-6 students are assigned to a project [1].</t>
        </is>
      </c>
      <c r="Z52" s="77" t="inlineStr">
        <is>
          <t>Yes</t>
        </is>
      </c>
      <c r="AA52" s="77" t="inlineStr">
        <is>
          <t>Sponsors submit proposals, meet students (typically fortnightly) and receive final presentations (4-18 May 2026) [1].</t>
        </is>
      </c>
      <c r="AB52" s="77" t="inlineStr">
        <is>
          <t>Mixed</t>
        </is>
      </c>
      <c r="AC52" s="77" t="inlineStr">
        <is>
          <t>Sponsor/client</t>
        </is>
      </c>
      <c r="AD52" s="77" t="inlineStr"/>
      <c r="AE52" s="77" t="inlineStr">
        <is>
          <t>Final presentation to sponsor</t>
        </is>
      </c>
      <c r="AF52" s="77">
        <f>IF(OR(V52="No",X52="No",Z52="No"),"Outside strict definition",IF(AND(V52="Yes",X52="Yes",Z52="Yes"),"Meets all three","Potentially relevant; evidence incomplete"))</f>
        <v/>
      </c>
      <c r="AG52" s="77" t="inlineStr">
        <is>
          <t>Current delivery confirmed</t>
        </is>
      </c>
      <c r="AH52" s="77" t="inlineStr">
        <is>
          <t>2025/26</t>
        </is>
      </c>
      <c r="AI52" s="77" t="inlineStr">
        <is>
          <t>Yes</t>
        </is>
      </c>
      <c r="AJ52" s="77">
        <f>IF(AND(AI52="Yes",AF52="Meets all three",AG52="Current delivery confirmed"),"Yes","No")</f>
        <v/>
      </c>
      <c r="AK52" s="77" t="inlineStr"/>
      <c r="AL52" s="77" t="inlineStr">
        <is>
          <t>RG13-S07-R1</t>
        </is>
      </c>
      <c r="AM52" s="77" t="inlineStr">
        <is>
          <t>Credit/assessment and course code; which 'MBA' students participate (LSE has no standalone MBA); whether compulsory for CEMS students.</t>
        </is>
      </c>
      <c r="AN52" s="77" t="inlineStr"/>
      <c r="AO52" s="77" t="inlineStr">
        <is>
          <t>UK</t>
        </is>
      </c>
      <c r="AP52" s="77" t="inlineStr">
        <is>
          <t>UK – Russell Group</t>
        </is>
      </c>
      <c r="AQ52" s="77" t="inlineStr">
        <is>
          <t>Unclear</t>
        </is>
      </c>
      <c r="AR52" s="77" t="inlineStr">
        <is>
          <t>Unclear</t>
        </is>
      </c>
      <c r="AS52" s="77" t="inlineStr"/>
    </row>
    <row r="53">
      <c r="A53" s="77" t="inlineStr">
        <is>
          <t>RG13</t>
        </is>
      </c>
      <c r="B53" s="77" t="inlineStr">
        <is>
          <t>London School of Economics</t>
        </is>
      </c>
      <c r="C53" s="77" t="inlineStr">
        <is>
          <t>Programme/course</t>
        </is>
      </c>
      <c r="D53" s="77" t="inlineStr">
        <is>
          <t>RG13-S08</t>
        </is>
      </c>
      <c r="E53" s="77" t="inlineStr">
        <is>
          <t>RG13-S05</t>
        </is>
      </c>
      <c r="F53" s="77" t="inlineStr">
        <is>
          <t>No</t>
        </is>
      </c>
      <c r="G53" s="79" t="inlineStr">
        <is>
          <t>HRO Links Scheme (Links Project)</t>
        </is>
      </c>
      <c r="H53" s="77" t="inlineStr">
        <is>
          <t>HRO Links Scheme (Links Project)</t>
        </is>
      </c>
      <c r="I53" s="77" t="inlineStr">
        <is>
          <t>MG493 (Dissertation, Links route)</t>
        </is>
      </c>
      <c r="J53" s="77" t="inlineStr">
        <is>
          <t>MSc Human Resources and Organisations option: 1-2 students conduct consultancy research on an HR question posed by an external sponsor, producing a business report for the organisation and a joint LSE dissertation.</t>
        </is>
      </c>
      <c r="K53" s="77" t="inlineStr">
        <is>
          <t>Department of Management</t>
        </is>
      </c>
      <c r="L53" s="77" t="inlineStr">
        <is>
          <t>MSc Human Resources and Organisations</t>
        </is>
      </c>
      <c r="M53" s="77" t="inlineStr">
        <is>
          <t>Business/management</t>
        </is>
      </c>
      <c r="N53" s="77" t="inlineStr">
        <is>
          <t>Postgraduate taught</t>
        </is>
      </c>
      <c r="O53" s="77" t="inlineStr"/>
      <c r="P53" s="77" t="inlineStr"/>
      <c r="Q53" s="77" t="inlineStr">
        <is>
          <t>Selective/competitive</t>
        </is>
      </c>
      <c r="R53" s="77" t="inlineStr">
        <is>
          <t>Curricular</t>
        </is>
      </c>
      <c r="S53" s="77" t="inlineStr">
        <is>
          <t>Within MG493 Dissertation (1 unit); Links students write a joint dissertation with their project partner.</t>
        </is>
      </c>
      <c r="T53" s="77" t="inlineStr">
        <is>
          <t>October - January (2026/27 stream)</t>
        </is>
      </c>
      <c r="U53" s="77" t="inlineStr">
        <is>
          <t>Pair consultancy project</t>
        </is>
      </c>
      <c r="V53" s="77" t="inlineStr">
        <is>
          <t>Yes</t>
        </is>
      </c>
      <c r="W53" s="77" t="inlineStr">
        <is>
          <t>Research on an HR question posed by the Links sponsor, business report to organisation [2][3].</t>
        </is>
      </c>
      <c r="X53" s="77" t="inlineStr">
        <is>
          <t>Unclear</t>
        </is>
      </c>
      <c r="Y53" s="77" t="inlineStr">
        <is>
          <t>Typically completed in pairs (programme page) but brochure says 1-2 students per project, so some routes may be individual; whether a pair counts as a 'team' needs a coordinator ruling [1][2].</t>
        </is>
      </c>
      <c r="Z53" s="77" t="inlineStr">
        <is>
          <t>Yes</t>
        </is>
      </c>
      <c r="AA53" s="77" t="inlineStr">
        <is>
          <t>Sponsors submit project proposals (deadline 7 Nov 2025), pose the HR question and receive a business report [2][3].</t>
        </is>
      </c>
      <c r="AB53" s="77" t="inlineStr">
        <is>
          <t>Business/commercial</t>
        </is>
      </c>
      <c r="AC53" s="77" t="inlineStr">
        <is>
          <t>Sponsor/client</t>
        </is>
      </c>
      <c r="AD53" s="77" t="inlineStr">
        <is>
          <t>ABB (Department of Management case page 'ABB: Transforming HR communications', undated)</t>
        </is>
      </c>
      <c r="AE53" s="77" t="inlineStr">
        <is>
          <t>Business report to sponsor + joint dissertation</t>
        </is>
      </c>
      <c r="AF53" s="77">
        <f>IF(OR(V53="No",X53="No",Z53="No"),"Outside strict definition",IF(AND(V53="Yes",X53="Yes",Z53="Yes"),"Meets all three","Potentially relevant; evidence incomplete"))</f>
        <v/>
      </c>
      <c r="AG53" s="77" t="inlineStr">
        <is>
          <t>Current delivery confirmed</t>
        </is>
      </c>
      <c r="AH53" s="77" t="inlineStr">
        <is>
          <t>2026/27 (proposal deadline 26 Aug 2026)</t>
        </is>
      </c>
      <c r="AI53" s="77" t="inlineStr">
        <is>
          <t>Yes</t>
        </is>
      </c>
      <c r="AJ53" s="77">
        <f>IF(AND(AI53="Yes",AF53="Meets all three",AG53="Current delivery confirmed"),"Yes","No")</f>
        <v/>
      </c>
      <c r="AK53" s="77" t="inlineStr"/>
      <c r="AL53" s="77" t="inlineStr">
        <is>
          <t>RG13-S08-R1; RG13-S08-R2; RG13-S08-R3</t>
        </is>
      </c>
      <c r="AM53" s="77" t="inlineStr"/>
      <c r="AN53" s="77" t="inlineStr"/>
      <c r="AO53" s="77" t="inlineStr">
        <is>
          <t>UK</t>
        </is>
      </c>
      <c r="AP53" s="77" t="inlineStr">
        <is>
          <t>UK – Russell Group</t>
        </is>
      </c>
      <c r="AQ53" s="77" t="inlineStr">
        <is>
          <t>Unclear</t>
        </is>
      </c>
      <c r="AR53" s="77" t="inlineStr">
        <is>
          <t>Unclear</t>
        </is>
      </c>
      <c r="AS53" s="77" t="inlineStr"/>
    </row>
    <row r="54">
      <c r="A54" s="77" t="inlineStr">
        <is>
          <t>RG13</t>
        </is>
      </c>
      <c r="B54" s="77" t="inlineStr">
        <is>
          <t>London School of Economics</t>
        </is>
      </c>
      <c r="C54" s="77" t="inlineStr">
        <is>
          <t>Programme/course</t>
        </is>
      </c>
      <c r="D54" s="77" t="inlineStr">
        <is>
          <t>RG13-S09</t>
        </is>
      </c>
      <c r="E54" s="77" t="inlineStr">
        <is>
          <t>RG13-S05</t>
        </is>
      </c>
      <c r="F54" s="77" t="inlineStr">
        <is>
          <t>No</t>
        </is>
      </c>
      <c r="G54" s="79" t="inlineStr">
        <is>
          <t>Marketing Action Learning Project (MALP)</t>
        </is>
      </c>
      <c r="H54" s="77" t="inlineStr">
        <is>
          <t>Marketing Action Learning Project (MALP)</t>
        </is>
      </c>
      <c r="I54" s="77" t="inlineStr">
        <is>
          <t>MG4F1</t>
        </is>
      </c>
      <c r="J54"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54" s="77" t="inlineStr">
        <is>
          <t>Department of Management</t>
        </is>
      </c>
      <c r="L54" s="77" t="inlineStr">
        <is>
          <t>MSc Marketing</t>
        </is>
      </c>
      <c r="M54" s="77" t="inlineStr">
        <is>
          <t>Business/management</t>
        </is>
      </c>
      <c r="N54" s="77" t="inlineStr">
        <is>
          <t>Postgraduate taught</t>
        </is>
      </c>
      <c r="O54" s="77" t="inlineStr"/>
      <c r="P54" s="77" t="inlineStr"/>
      <c r="Q54" s="77" t="inlineStr">
        <is>
          <t>Compulsory within specified programmes</t>
        </is>
      </c>
      <c r="R54" s="77" t="inlineStr">
        <is>
          <t>Curricular</t>
        </is>
      </c>
      <c r="S54" s="77" t="inlineStr">
        <is>
          <t>Half unit; oral examination 40% + project 60% (report August)</t>
        </is>
      </c>
      <c r="T54" s="77" t="inlineStr">
        <is>
          <t>Winter Term to August (presentations early July)</t>
        </is>
      </c>
      <c r="U54" s="77" t="inlineStr">
        <is>
          <t>Team client project</t>
        </is>
      </c>
      <c r="V54" s="77" t="inlineStr">
        <is>
          <t>Yes</t>
        </is>
      </c>
      <c r="W54" s="77" t="inlineStr">
        <is>
          <t>Real marketing challenge; research and marketing strategy report [1].</t>
        </is>
      </c>
      <c r="X54" s="77" t="inlineStr">
        <is>
          <t>Yes</t>
        </is>
      </c>
      <c r="Y54" s="77" t="inlineStr">
        <is>
          <t>'Teams of students work with vetted company sponsors' [1]; teams of six [3].</t>
        </is>
      </c>
      <c r="Z54" s="77" t="inlineStr">
        <is>
          <t>Yes</t>
        </is>
      </c>
      <c r="AA54" s="77" t="inlineStr">
        <is>
          <t>Company sponsors supply the marketing challenge; teams work with them [1][2].</t>
        </is>
      </c>
      <c r="AB54" s="77" t="inlineStr">
        <is>
          <t>Business/commercial</t>
        </is>
      </c>
      <c r="AC54" s="77" t="inlineStr">
        <is>
          <t>Sponsor/client</t>
        </is>
      </c>
      <c r="AD54" s="77" t="inlineStr">
        <is>
          <t>Colgate-Palmolive, Cartier, Tata Group, Unilever (programme page, undated, 'have worked with')</t>
        </is>
      </c>
      <c r="AE54" s="77" t="inlineStr">
        <is>
          <t>Marketing strategy report and presentation</t>
        </is>
      </c>
      <c r="AF54" s="77">
        <f>IF(OR(V54="No",X54="No",Z54="No"),"Outside strict definition",IF(AND(V54="Yes",X54="Yes",Z54="Yes"),"Meets all three","Potentially relevant; evidence incomplete"))</f>
        <v/>
      </c>
      <c r="AG54" s="77" t="inlineStr">
        <is>
          <t>Current delivery confirmed</t>
        </is>
      </c>
      <c r="AH54" s="77" t="inlineStr">
        <is>
          <t>2026/27</t>
        </is>
      </c>
      <c r="AI54" s="77" t="inlineStr">
        <is>
          <t>Yes</t>
        </is>
      </c>
      <c r="AJ54" s="77">
        <f>IF(AND(AI54="Yes",AF54="Meets all three",AG54="Current delivery confirmed"),"Yes","No")</f>
        <v/>
      </c>
      <c r="AK54" s="77" t="inlineStr">
        <is>
          <t>94 students (2025/26) per course guide</t>
        </is>
      </c>
      <c r="AL54" s="77" t="inlineStr">
        <is>
          <t>RG13-S09-R1; RG13-S09-R2; RG13-S09-R3</t>
        </is>
      </c>
      <c r="AM54" s="77" t="inlineStr"/>
      <c r="AN54" s="77" t="inlineStr"/>
      <c r="AO54" s="77" t="inlineStr">
        <is>
          <t>UK</t>
        </is>
      </c>
      <c r="AP54" s="77" t="inlineStr">
        <is>
          <t>UK – Russell Group</t>
        </is>
      </c>
      <c r="AQ54" s="77" t="inlineStr">
        <is>
          <t>Unclear</t>
        </is>
      </c>
      <c r="AR54" s="77" t="inlineStr">
        <is>
          <t>Unclear</t>
        </is>
      </c>
      <c r="AS54" s="77" t="inlineStr"/>
    </row>
    <row r="55">
      <c r="A55" s="77" t="inlineStr">
        <is>
          <t>RG13</t>
        </is>
      </c>
      <c r="B55" s="77" t="inlineStr">
        <is>
          <t>London School of Economics</t>
        </is>
      </c>
      <c r="C55" s="77" t="inlineStr">
        <is>
          <t>Programme/course</t>
        </is>
      </c>
      <c r="D55" s="77" t="inlineStr">
        <is>
          <t>RG13-S10</t>
        </is>
      </c>
      <c r="E55" s="77" t="inlineStr"/>
      <c r="F55" s="77" t="inlineStr">
        <is>
          <t>No</t>
        </is>
      </c>
      <c r="G55" s="79" t="inlineStr">
        <is>
          <t>MiM Capstone Course - International Management in Action (incl. London Consulting Project)</t>
        </is>
      </c>
      <c r="H55" s="77" t="inlineStr">
        <is>
          <t>MiM Capstone Course - International Management in Action (incl. London Consulting Project)</t>
        </is>
      </c>
      <c r="I55" s="77" t="inlineStr">
        <is>
          <t>MG4J4</t>
        </is>
      </c>
      <c r="J55"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55" s="77" t="inlineStr">
        <is>
          <t>Department of Management</t>
        </is>
      </c>
      <c r="L55" s="77" t="inlineStr">
        <is>
          <t>MSc in Management (1 Year Programme)</t>
        </is>
      </c>
      <c r="M55" s="77" t="inlineStr">
        <is>
          <t>Business/management</t>
        </is>
      </c>
      <c r="N55" s="77" t="inlineStr">
        <is>
          <t>Postgraduate taught</t>
        </is>
      </c>
      <c r="O55" s="77" t="inlineStr"/>
      <c r="P55" s="77" t="inlineStr"/>
      <c r="Q55" s="77" t="inlineStr">
        <is>
          <t>Compulsory within specified programmes</t>
        </is>
      </c>
      <c r="R55" s="77" t="inlineStr">
        <is>
          <t>Curricular</t>
        </is>
      </c>
      <c r="S55" s="77" t="inlineStr">
        <is>
          <t>Project 60% (2,000 words), individual essay 30%, reflective learning report 10%</t>
        </is>
      </c>
      <c r="T55" s="77" t="inlineStr">
        <is>
          <t>Winter Term (overseas visit then London Consulting Project)</t>
        </is>
      </c>
      <c r="U55" s="77" t="inlineStr">
        <is>
          <t>Team client projects incl. international trip</t>
        </is>
      </c>
      <c r="V55" s="77" t="inlineStr">
        <is>
          <t>Yes</t>
        </is>
      </c>
      <c r="W55" s="77" t="inlineStr">
        <is>
          <t>Groups work on a client company's business problem; project assessed at 60% [1]; teams analyse problem and make recommendations [3].</t>
        </is>
      </c>
      <c r="X55" s="77" t="inlineStr">
        <is>
          <t>Yes</t>
        </is>
      </c>
      <c r="Y55" s="77" t="inlineStr">
        <is>
          <t>'student groups work on a client company's business problem(s)' [1]; 'working in teams' [3].</t>
        </is>
      </c>
      <c r="Z55" s="77" t="inlineStr">
        <is>
          <t>Yes</t>
        </is>
      </c>
      <c r="AA55" s="77" t="inlineStr">
        <is>
          <t>Client company supplies business problem(s) [1]; company provides list of real business challenges and recommendations 'very likely be acted upon' [3]; external organisation presents challenge [2].</t>
        </is>
      </c>
      <c r="AB55" s="77" t="inlineStr">
        <is>
          <t>Business/commercial</t>
        </is>
      </c>
      <c r="AC55" s="77" t="inlineStr">
        <is>
          <t>Client: sets challenges, receives recommendations</t>
        </is>
      </c>
      <c r="AD55" s="77" t="inlineStr"/>
      <c r="AE55" s="77" t="inlineStr">
        <is>
          <t>Client recommendations / project report</t>
        </is>
      </c>
      <c r="AF55" s="77">
        <f>IF(OR(V55="No",X55="No",Z55="No"),"Outside strict definition",IF(AND(V55="Yes",X55="Yes",Z55="Yes"),"Meets all three","Potentially relevant; evidence incomplete"))</f>
        <v/>
      </c>
      <c r="AG55" s="77" t="inlineStr">
        <is>
          <t>Current delivery confirmed</t>
        </is>
      </c>
      <c r="AH55" s="77" t="inlineStr">
        <is>
          <t>2025/26</t>
        </is>
      </c>
      <c r="AI55" s="77" t="inlineStr">
        <is>
          <t>Yes</t>
        </is>
      </c>
      <c r="AJ55" s="77">
        <f>IF(AND(AI55="Yes",AF55="Meets all three",AG55="Current delivery confirmed"),"Yes","No")</f>
        <v/>
      </c>
      <c r="AK55" s="77" t="inlineStr">
        <is>
          <t>74 students (2024/25) per course guide</t>
        </is>
      </c>
      <c r="AL55" s="77" t="inlineStr">
        <is>
          <t>RG13-S10-R1; RG13-S10-R2; RG13-S10-R3</t>
        </is>
      </c>
      <c r="AM55" s="77" t="inlineStr">
        <is>
          <t>Whether the international-trip client project and the London Consulting Project are one assessed project or two; MG4J4 is not listed among the five Business Projects streams, so recorded separately.</t>
        </is>
      </c>
      <c r="AN55" s="77" t="inlineStr"/>
      <c r="AO55" s="77" t="inlineStr">
        <is>
          <t>UK</t>
        </is>
      </c>
      <c r="AP55" s="77" t="inlineStr">
        <is>
          <t>UK – Russell Group</t>
        </is>
      </c>
      <c r="AQ55" s="77" t="inlineStr">
        <is>
          <t>Unclear</t>
        </is>
      </c>
      <c r="AR55" s="77" t="inlineStr">
        <is>
          <t>Unclear</t>
        </is>
      </c>
      <c r="AS55" s="77" t="inlineStr"/>
    </row>
    <row r="56">
      <c r="A56" s="77" t="inlineStr">
        <is>
          <t>RG13</t>
        </is>
      </c>
      <c r="B56" s="77" t="inlineStr">
        <is>
          <t>London School of Economics</t>
        </is>
      </c>
      <c r="C56" s="77" t="inlineStr">
        <is>
          <t>Programme/course</t>
        </is>
      </c>
      <c r="D56" s="77" t="inlineStr">
        <is>
          <t>RG13-S11</t>
        </is>
      </c>
      <c r="E56" s="77" t="inlineStr"/>
      <c r="F56" s="77" t="inlineStr">
        <is>
          <t>No</t>
        </is>
      </c>
      <c r="G56" s="79" t="inlineStr">
        <is>
          <t>Social Innovation and Entrepreneurship Fundamentals (year-long partner group project)</t>
        </is>
      </c>
      <c r="H56" s="77" t="inlineStr">
        <is>
          <t>Social Innovation and Entrepreneurship Fundamentals (year-long partner group project)</t>
        </is>
      </c>
      <c r="I56" s="77" t="inlineStr">
        <is>
          <t>MG4G6</t>
        </is>
      </c>
      <c r="J56"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56" s="77" t="inlineStr">
        <is>
          <t>Department of Management</t>
        </is>
      </c>
      <c r="L56" s="77" t="inlineStr">
        <is>
          <t>MSc Social Innovation and Entrepreneurship</t>
        </is>
      </c>
      <c r="M56" s="77" t="inlineStr">
        <is>
          <t>Business/management</t>
        </is>
      </c>
      <c r="N56" s="77" t="inlineStr">
        <is>
          <t>Postgraduate taught</t>
        </is>
      </c>
      <c r="O56" s="77" t="inlineStr"/>
      <c r="P56" s="77" t="inlineStr"/>
      <c r="Q56" s="77" t="inlineStr">
        <is>
          <t>Compulsory within specified programmes</t>
        </is>
      </c>
      <c r="R56" s="77" t="inlineStr">
        <is>
          <t>Curricular</t>
        </is>
      </c>
      <c r="S56" s="77" t="inlineStr">
        <is>
          <t>Project component 45% of MG4G6 assessment, including an element of group work</t>
        </is>
      </c>
      <c r="T56" s="77" t="inlineStr">
        <is>
          <t>Autumn and Winter Terms</t>
        </is>
      </c>
      <c r="U56" s="77" t="inlineStr">
        <is>
          <t>Group project with virtual research week and international field trip</t>
        </is>
      </c>
      <c r="V56" s="77" t="inlineStr">
        <is>
          <t>Yes</t>
        </is>
      </c>
      <c r="W56" s="77" t="inlineStr">
        <is>
          <t>Year-long applied project on a social impact challenge; project worth 45% [1][2].</t>
        </is>
      </c>
      <c r="X56" s="77" t="inlineStr">
        <is>
          <t>Yes</t>
        </is>
      </c>
      <c r="Y56" s="77" t="inlineStr">
        <is>
          <t>'year-long applied group project' [2]; project component includes group work [1].</t>
        </is>
      </c>
      <c r="Z56" s="77" t="inlineStr">
        <is>
          <t>Yes</t>
        </is>
      </c>
      <c r="AA56" s="77" t="inlineStr">
        <is>
          <t>Students 'work with a real organisation on a social impact challenge' [2]; partner organisation in a developing-country setting with fieldwork [1][3].</t>
        </is>
      </c>
      <c r="AB56" s="77" t="inlineStr">
        <is>
          <t>Unclear</t>
        </is>
      </c>
      <c r="AC56" s="77" t="inlineStr">
        <is>
          <t>Partner organisation sets/hosts social impact challenge</t>
        </is>
      </c>
      <c r="AD56" s="77" t="inlineStr"/>
      <c r="AE56" s="77" t="inlineStr">
        <is>
          <t>Group project output (form not specified)</t>
        </is>
      </c>
      <c r="AF56" s="77">
        <f>IF(OR(V56="No",X56="No",Z56="No"),"Outside strict definition",IF(AND(V56="Yes",X56="Yes",Z56="Yes"),"Meets all three","Potentially relevant; evidence incomplete"))</f>
        <v/>
      </c>
      <c r="AG56" s="77" t="inlineStr">
        <is>
          <t>Current delivery confirmed</t>
        </is>
      </c>
      <c r="AH56" s="77" t="inlineStr">
        <is>
          <t>2026/27</t>
        </is>
      </c>
      <c r="AI56" s="77" t="inlineStr">
        <is>
          <t>Yes</t>
        </is>
      </c>
      <c r="AJ56" s="77">
        <f>IF(AND(AI56="Yes",AF56="Meets all three",AG56="Current delivery confirmed"),"Yes","No")</f>
        <v/>
      </c>
      <c r="AK56" s="77" t="inlineStr"/>
      <c r="AL56" s="77" t="inlineStr">
        <is>
          <t>RG13-S11-R1; RG13-S11-R2; RG13-S11-R3</t>
        </is>
      </c>
      <c r="AM56" s="77" t="inlineStr">
        <is>
          <t>Partner type (social enterprise, NGO or business) and what output the partner receives; separate 'consulting Capstone' option with a client organisation (course code not found; group basis unknown).</t>
        </is>
      </c>
      <c r="AN56" s="77" t="inlineStr"/>
      <c r="AO56" s="77" t="inlineStr">
        <is>
          <t>UK</t>
        </is>
      </c>
      <c r="AP56" s="77" t="inlineStr">
        <is>
          <t>UK – Russell Group</t>
        </is>
      </c>
      <c r="AQ56" s="77" t="inlineStr">
        <is>
          <t>Unclear</t>
        </is>
      </c>
      <c r="AR56" s="77" t="inlineStr">
        <is>
          <t>Unclear</t>
        </is>
      </c>
      <c r="AS56" s="77" t="inlineStr"/>
    </row>
    <row r="57">
      <c r="A57" s="77" t="inlineStr">
        <is>
          <t>RG13</t>
        </is>
      </c>
      <c r="B57" s="77" t="inlineStr">
        <is>
          <t>London School of Economics</t>
        </is>
      </c>
      <c r="C57" s="77" t="inlineStr">
        <is>
          <t>Programme/course</t>
        </is>
      </c>
      <c r="D57" s="77" t="inlineStr">
        <is>
          <t>RG13-S12</t>
        </is>
      </c>
      <c r="E57" s="77" t="inlineStr"/>
      <c r="F57" s="77" t="inlineStr">
        <is>
          <t>No</t>
        </is>
      </c>
      <c r="G57" s="79" t="inlineStr">
        <is>
          <t>Capstone Project (MSc Data Science)</t>
        </is>
      </c>
      <c r="H57" s="77" t="inlineStr">
        <is>
          <t>Capstone Project (MSc Data Science)</t>
        </is>
      </c>
      <c r="I57" s="77" t="inlineStr">
        <is>
          <t>ST498</t>
        </is>
      </c>
      <c r="J57"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57" s="77" t="inlineStr">
        <is>
          <t>Department of Statistics</t>
        </is>
      </c>
      <c r="L57" s="77" t="inlineStr">
        <is>
          <t>MSc Data Science</t>
        </is>
      </c>
      <c r="M57" s="77" t="inlineStr">
        <is>
          <t>Science</t>
        </is>
      </c>
      <c r="N57" s="77" t="inlineStr">
        <is>
          <t>Postgraduate taught</t>
        </is>
      </c>
      <c r="O57" s="77" t="inlineStr"/>
      <c r="P57" s="77" t="inlineStr"/>
      <c r="Q57" s="77" t="inlineStr">
        <is>
          <t>Compulsory within specified programmes</t>
        </is>
      </c>
      <c r="R57" s="77" t="inlineStr">
        <is>
          <t>Curricular</t>
        </is>
      </c>
      <c r="S57" s="77" t="inlineStr">
        <is>
          <t>1 unit; project 100% (group report, max 50 pages, August)</t>
        </is>
      </c>
      <c r="T57" s="77" t="inlineStr">
        <is>
          <t>c. November to August</t>
        </is>
      </c>
      <c r="U57" s="77" t="inlineStr">
        <is>
          <t>Group project with partner</t>
        </is>
      </c>
      <c r="V57" s="77" t="inlineStr">
        <is>
          <t>Yes</t>
        </is>
      </c>
      <c r="W57" s="77" t="inlineStr">
        <is>
          <t>Partner-suggested research project with data; draft (June) and final (August) group report [1].</t>
        </is>
      </c>
      <c r="X57" s="77" t="inlineStr">
        <is>
          <t>Yes</t>
        </is>
      </c>
      <c r="Y57" s="77" t="inlineStr">
        <is>
          <t>Assessed by a group report [1].</t>
        </is>
      </c>
      <c r="Z57" s="77" t="inlineStr">
        <is>
          <t>Yes</t>
        </is>
      </c>
      <c r="AA57" s="77" t="inlineStr">
        <is>
          <t>Industry partner suggests the project, may provide data and co-supervises with weekly/bi-weekly meetings [1]; 20+ partners listed [2]. Caveat: some partners are internal LSE academics/professional services [3], so C holds for most but not all teams.</t>
        </is>
      </c>
      <c r="AB57" s="77" t="inlineStr">
        <is>
          <t>Mixed</t>
        </is>
      </c>
      <c r="AC57" s="77" t="inlineStr">
        <is>
          <t>Proposes project, provides data, co-supervises</t>
        </is>
      </c>
      <c r="AD57" s="77" t="inlineStr">
        <is>
          <t>Deloitte, Mastercard, Meta, Microsoft, Moody's, Sky, Transport for London, Wise, World Trade Organization (partnerships page, undated)</t>
        </is>
      </c>
      <c r="AE57" s="77" t="inlineStr">
        <is>
          <t>Group report</t>
        </is>
      </c>
      <c r="AF57" s="77">
        <f>IF(OR(V57="No",X57="No",Z57="No"),"Outside strict definition",IF(AND(V57="Yes",X57="Yes",Z57="Yes"),"Meets all three","Potentially relevant; evidence incomplete"))</f>
        <v/>
      </c>
      <c r="AG57" s="77" t="inlineStr">
        <is>
          <t>Current delivery confirmed</t>
        </is>
      </c>
      <c r="AH57" s="77" t="inlineStr">
        <is>
          <t>2025/26</t>
        </is>
      </c>
      <c r="AI57" s="77" t="inlineStr">
        <is>
          <t>Yes</t>
        </is>
      </c>
      <c r="AJ57" s="77">
        <f>IF(AND(AI57="Yes",AF57="Meets all three",AG57="Current delivery confirmed"),"Yes","No")</f>
        <v/>
      </c>
      <c r="AK57" s="77" t="inlineStr">
        <is>
          <t>49 students (2024/25) per course guide</t>
        </is>
      </c>
      <c r="AL57" s="77" t="inlineStr">
        <is>
          <t>RG13-S12-R1; RG13-S12-R2; RG13-S12-R3; RG13-S12-R4</t>
        </is>
      </c>
      <c r="AM57" s="77" t="inlineStr"/>
      <c r="AN57" s="77" t="inlineStr"/>
      <c r="AO57" s="77" t="inlineStr">
        <is>
          <t>UK</t>
        </is>
      </c>
      <c r="AP57" s="77" t="inlineStr">
        <is>
          <t>UK – Russell Group</t>
        </is>
      </c>
      <c r="AQ57" s="77" t="inlineStr">
        <is>
          <t>Unclear</t>
        </is>
      </c>
      <c r="AR57" s="77" t="inlineStr">
        <is>
          <t>Unclear</t>
        </is>
      </c>
      <c r="AS57" s="77" t="inlineStr"/>
    </row>
    <row r="58">
      <c r="A58" s="77" t="inlineStr">
        <is>
          <t>RG13</t>
        </is>
      </c>
      <c r="B58" s="77" t="inlineStr">
        <is>
          <t>London School of Economics</t>
        </is>
      </c>
      <c r="C58" s="77" t="inlineStr">
        <is>
          <t>Programme/course</t>
        </is>
      </c>
      <c r="D58" s="77" t="inlineStr">
        <is>
          <t>RG13-S13</t>
        </is>
      </c>
      <c r="E58" s="77" t="inlineStr"/>
      <c r="F58" s="77" t="inlineStr">
        <is>
          <t>No</t>
        </is>
      </c>
      <c r="G58" s="79" t="inlineStr">
        <is>
          <t>Project in Operations Research &amp; Analytics</t>
        </is>
      </c>
      <c r="H58" s="77" t="inlineStr">
        <is>
          <t>Project in Operations Research &amp; Analytics</t>
        </is>
      </c>
      <c r="I58" s="77" t="inlineStr">
        <is>
          <t>MA425</t>
        </is>
      </c>
      <c r="J58" s="77" t="inlineStr">
        <is>
          <t>MSc Operations Research &amp; Analytics summer project, typically a consulting-like placement with an industry, government or non-profit partner, full-time June-August, possibly at the client site; alternative to MA426 dissertation.</t>
        </is>
      </c>
      <c r="K58" s="77" t="inlineStr">
        <is>
          <t>Department of Mathematics</t>
        </is>
      </c>
      <c r="L58" s="77" t="inlineStr">
        <is>
          <t>MSc Operations Research &amp; Analytics</t>
        </is>
      </c>
      <c r="M58" s="77" t="inlineStr">
        <is>
          <t>Science</t>
        </is>
      </c>
      <c r="N58" s="77" t="inlineStr">
        <is>
          <t>Postgraduate taught</t>
        </is>
      </c>
      <c r="O58" s="77" t="inlineStr"/>
      <c r="P58" s="77" t="inlineStr"/>
      <c r="Q58" s="77" t="inlineStr">
        <is>
          <t>Optional/elective</t>
        </is>
      </c>
      <c r="R58" s="77" t="inlineStr">
        <is>
          <t>Curricular</t>
        </is>
      </c>
      <c r="S58" s="77" t="inlineStr">
        <is>
          <t>1 unit; project 100%</t>
        </is>
      </c>
      <c r="T58" s="77" t="inlineStr">
        <is>
          <t>Early June - end of August</t>
        </is>
      </c>
      <c r="U58" s="77" t="inlineStr">
        <is>
          <t>Consulting-style placement project</t>
        </is>
      </c>
      <c r="V58" s="77" t="inlineStr">
        <is>
          <t>Yes</t>
        </is>
      </c>
      <c r="W58" s="77" t="inlineStr">
        <is>
          <t>Consulting-like project for a partner, assessed as project 100% [1].</t>
        </is>
      </c>
      <c r="X58" s="77" t="inlineStr">
        <is>
          <t>Unclear</t>
        </is>
      </c>
      <c r="Y58" s="77" t="inlineStr">
        <is>
          <t>No evidence whether projects are done individually or in teams; placement format suggests individual work.</t>
        </is>
      </c>
      <c r="Z58" s="77" t="inlineStr">
        <is>
          <t>Yes</t>
        </is>
      </c>
      <c r="AA58" s="77" t="inlineStr">
        <is>
          <t>Projects with industry, government or non-profit partners, possibly at client site [1][2].</t>
        </is>
      </c>
      <c r="AB58" s="77" t="inlineStr">
        <is>
          <t>Mixed</t>
        </is>
      </c>
      <c r="AC58" s="77" t="inlineStr">
        <is>
          <t>Client/host</t>
        </is>
      </c>
      <c r="AD58" s="77" t="inlineStr">
        <is>
          <t>Amazon, BT, British Airways, Emirates, FICO, Ford, Just Eat, Legal and General, National Audit Office, Transport for London ('past and present', undated)</t>
        </is>
      </c>
      <c r="AE58" s="77" t="inlineStr">
        <is>
          <t>Project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RG13-S13-R1; RG13-S13-R2</t>
        </is>
      </c>
      <c r="AM58" s="77" t="inlineStr"/>
      <c r="AN58" s="77" t="inlineStr"/>
      <c r="AO58" s="77" t="inlineStr">
        <is>
          <t>UK</t>
        </is>
      </c>
      <c r="AP58" s="77" t="inlineStr">
        <is>
          <t>UK – Russell Group</t>
        </is>
      </c>
      <c r="AQ58" s="77" t="inlineStr">
        <is>
          <t>Unclear</t>
        </is>
      </c>
      <c r="AR58" s="77" t="inlineStr">
        <is>
          <t>Unclear</t>
        </is>
      </c>
      <c r="AS58" s="77" t="inlineStr"/>
    </row>
    <row r="59">
      <c r="A59" s="77" t="inlineStr">
        <is>
          <t>RG13</t>
        </is>
      </c>
      <c r="B59" s="77" t="inlineStr">
        <is>
          <t>London School of Economics</t>
        </is>
      </c>
      <c r="C59" s="77" t="inlineStr">
        <is>
          <t>Programme/course</t>
        </is>
      </c>
      <c r="D59" s="77" t="inlineStr">
        <is>
          <t>RG13-S14</t>
        </is>
      </c>
      <c r="E59" s="77" t="inlineStr"/>
      <c r="F59" s="77" t="inlineStr">
        <is>
          <t>No</t>
        </is>
      </c>
      <c r="G59" s="79" t="inlineStr">
        <is>
          <t>MPA Capstone Project</t>
        </is>
      </c>
      <c r="H59" s="77" t="inlineStr">
        <is>
          <t>MPA Capstone Project</t>
        </is>
      </c>
      <c r="I59" s="77" t="inlineStr">
        <is>
          <t>PP4B3</t>
        </is>
      </c>
      <c r="J59"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59" s="77" t="inlineStr">
        <is>
          <t>School of Public Policy</t>
        </is>
      </c>
      <c r="L59" s="77" t="inlineStr">
        <is>
          <t>MPA; LSE-Sciences Po, Hertie, NUS and Tokyo dual MPAs</t>
        </is>
      </c>
      <c r="M59" s="77" t="inlineStr">
        <is>
          <t>Arts/humanities/social sciences</t>
        </is>
      </c>
      <c r="N59" s="77" t="inlineStr">
        <is>
          <t>Postgraduate taught</t>
        </is>
      </c>
      <c r="O59" s="77" t="inlineStr">
        <is>
          <t>Year 2 of MPA</t>
        </is>
      </c>
      <c r="P59" s="77" t="inlineStr"/>
      <c r="Q59" s="77" t="inlineStr">
        <is>
          <t>Compulsory within specified programmes</t>
        </is>
      </c>
      <c r="R59" s="77" t="inlineStr">
        <is>
          <t>Curricular</t>
        </is>
      </c>
      <c r="S59" s="77" t="inlineStr">
        <is>
          <t>1 unit; project 100% (15,000 words): client 20%, two academic readers 50%, supervisor 30%</t>
        </is>
      </c>
      <c r="T59" s="77" t="inlineStr">
        <is>
          <t>October - March</t>
        </is>
      </c>
      <c r="U59" s="77" t="inlineStr">
        <is>
          <t>Team client consultancy</t>
        </is>
      </c>
      <c r="V59" s="77" t="inlineStr">
        <is>
          <t>Yes</t>
        </is>
      </c>
      <c r="W59" s="77" t="inlineStr">
        <is>
          <t>Public policy problem defined by client; project report and presentation [1][2].</t>
        </is>
      </c>
      <c r="X59" s="77" t="inlineStr">
        <is>
          <t>Yes</t>
        </is>
      </c>
      <c r="Y59" s="77" t="inlineStr">
        <is>
          <t>Group project in teams usually of 3 to 6 [1][2].</t>
        </is>
      </c>
      <c r="Z59" s="77" t="inlineStr">
        <is>
          <t>Yes</t>
        </is>
      </c>
      <c r="AA59" s="77" t="inlineStr">
        <is>
          <t>Issue defined by the client organisation; client assesses 20% of mark based on presentation and report [1][2].</t>
        </is>
      </c>
      <c r="AB59" s="77" t="inlineStr">
        <is>
          <t>Mixed</t>
        </is>
      </c>
      <c r="AC59" s="77" t="inlineStr">
        <is>
          <t>Client: defines problem, receives report/presentation, marks 20%</t>
        </is>
      </c>
      <c r="AD59" s="77" t="inlineStr">
        <is>
          <t>Recent partners listed: Goldman Sachs, Unilever, UNDP, UNICEF, OECD, Migration Policy Institute, NHS England (capstone page, undated)</t>
        </is>
      </c>
      <c r="AE59" s="77" t="inlineStr">
        <is>
          <t>15,000-word report + group presentation to client</t>
        </is>
      </c>
      <c r="AF59" s="77">
        <f>IF(OR(V59="No",X59="No",Z59="No"),"Outside strict definition",IF(AND(V59="Yes",X59="Yes",Z59="Yes"),"Meets all three","Potentially relevant; evidence incomplete"))</f>
        <v/>
      </c>
      <c r="AG59" s="77" t="inlineStr">
        <is>
          <t>Current delivery confirmed</t>
        </is>
      </c>
      <c r="AH59" s="77" t="inlineStr">
        <is>
          <t>2025/26 (2026/27 guide published)</t>
        </is>
      </c>
      <c r="AI59" s="77" t="inlineStr">
        <is>
          <t>Yes</t>
        </is>
      </c>
      <c r="AJ59" s="77">
        <f>IF(AND(AI59="Yes",AF59="Meets all three",AG59="Current delivery confirmed"),"Yes","No")</f>
        <v/>
      </c>
      <c r="AK59" s="77" t="inlineStr"/>
      <c r="AL59" s="77" t="inlineStr">
        <is>
          <t>RG13-S14-R1; RG13-S14-R2</t>
        </is>
      </c>
      <c r="AM59" s="77" t="inlineStr"/>
      <c r="AN59" s="77" t="inlineStr"/>
      <c r="AO59" s="77" t="inlineStr">
        <is>
          <t>UK</t>
        </is>
      </c>
      <c r="AP59" s="77" t="inlineStr">
        <is>
          <t>UK – Russell Group</t>
        </is>
      </c>
      <c r="AQ59" s="77" t="inlineStr">
        <is>
          <t>Unclear</t>
        </is>
      </c>
      <c r="AR59" s="77" t="inlineStr">
        <is>
          <t>Unclear</t>
        </is>
      </c>
      <c r="AS59" s="77" t="inlineStr"/>
    </row>
    <row r="60">
      <c r="A60" s="77" t="inlineStr">
        <is>
          <t>RG13</t>
        </is>
      </c>
      <c r="B60" s="77" t="inlineStr">
        <is>
          <t>London School of Economics</t>
        </is>
      </c>
      <c r="C60" s="77" t="inlineStr">
        <is>
          <t>Programme/course</t>
        </is>
      </c>
      <c r="D60" s="77" t="inlineStr">
        <is>
          <t>RG13-S15</t>
        </is>
      </c>
      <c r="E60" s="77" t="inlineStr"/>
      <c r="F60" s="77" t="inlineStr">
        <is>
          <t>No</t>
        </is>
      </c>
      <c r="G60" s="79" t="inlineStr">
        <is>
          <t>Capstone Project: MPA - Data Science for Public Policy</t>
        </is>
      </c>
      <c r="H60" s="77" t="inlineStr">
        <is>
          <t>Capstone Project: MPA - Data Science for Public Policy</t>
        </is>
      </c>
      <c r="I60" s="77" t="inlineStr">
        <is>
          <t>PP4B5</t>
        </is>
      </c>
      <c r="J60" s="77" t="inlineStr">
        <is>
          <t>Capstone for the MPA in Data Science for Public Policy: groups of 3-6 undertake a project for an external client that can be tackled with quantitative/data-science tools.</t>
        </is>
      </c>
      <c r="K60" s="77" t="inlineStr">
        <is>
          <t>School of Public Policy</t>
        </is>
      </c>
      <c r="L60" s="77" t="inlineStr">
        <is>
          <t>MPA in Data Science for Public Policy</t>
        </is>
      </c>
      <c r="M60" s="77" t="inlineStr">
        <is>
          <t>Arts/humanities/social sciences</t>
        </is>
      </c>
      <c r="N60" s="77" t="inlineStr">
        <is>
          <t>Postgraduate taught</t>
        </is>
      </c>
      <c r="O60" s="77" t="inlineStr"/>
      <c r="P60" s="77" t="inlineStr"/>
      <c r="Q60" s="77" t="inlineStr">
        <is>
          <t>Unclear</t>
        </is>
      </c>
      <c r="R60" s="77" t="inlineStr">
        <is>
          <t>Curricular</t>
        </is>
      </c>
      <c r="S60" s="77" t="inlineStr"/>
      <c r="T60" s="77" t="inlineStr"/>
      <c r="U60" s="77" t="inlineStr"/>
      <c r="V60" s="77" t="inlineStr">
        <is>
          <t>Yes</t>
        </is>
      </c>
      <c r="W60" s="77" t="inlineStr">
        <is>
          <t>Client project tackled with data-science tools [1].</t>
        </is>
      </c>
      <c r="X60" s="77" t="inlineStr">
        <is>
          <t>Yes</t>
        </is>
      </c>
      <c r="Y60" s="77" t="inlineStr">
        <is>
          <t>Group project in teams usually of 3 to 6 [1].</t>
        </is>
      </c>
      <c r="Z60" s="77" t="inlineStr">
        <is>
          <t>Yes</t>
        </is>
      </c>
      <c r="AA60" s="77" t="inlineStr">
        <is>
          <t>Project for an external client; clients include public bodies, companies, international organisations, think tanks, NGOs [1].</t>
        </is>
      </c>
      <c r="AB60" s="77" t="inlineStr">
        <is>
          <t>Mixed</t>
        </is>
      </c>
      <c r="AC60" s="77" t="inlineStr">
        <is>
          <t>Client</t>
        </is>
      </c>
      <c r="AD60" s="77" t="inlineStr"/>
      <c r="AE60" s="77" t="inlineStr">
        <is>
          <t>Client report/presentation (details not retrieved)</t>
        </is>
      </c>
      <c r="AF60" s="77">
        <f>IF(OR(V60="No",X60="No",Z60="No"),"Outside strict definition",IF(AND(V60="Yes",X60="Yes",Z60="Yes"),"Meets all three","Potentially relevant; evidence incomplete"))</f>
        <v/>
      </c>
      <c r="AG60" s="77" t="inlineStr">
        <is>
          <t>Current delivery confirmed</t>
        </is>
      </c>
      <c r="AH60" s="77" t="inlineStr">
        <is>
          <t>2025/26</t>
        </is>
      </c>
      <c r="AI60" s="77" t="inlineStr">
        <is>
          <t>Yes</t>
        </is>
      </c>
      <c r="AJ60" s="77">
        <f>IF(AND(AI60="Yes",AF60="Meets all three",AG60="Current delivery confirmed"),"Yes","No")</f>
        <v/>
      </c>
      <c r="AK60" s="77" t="inlineStr"/>
      <c r="AL60" s="77" t="inlineStr">
        <is>
          <t>RG13-S15-R1</t>
        </is>
      </c>
      <c r="AM60" s="77" t="inlineStr">
        <is>
          <t>Assessment split and whether compulsory (likely, by analogy with PP4B3; not evidenced).</t>
        </is>
      </c>
      <c r="AN60" s="77" t="inlineStr"/>
      <c r="AO60" s="77" t="inlineStr">
        <is>
          <t>UK</t>
        </is>
      </c>
      <c r="AP60" s="77" t="inlineStr">
        <is>
          <t>UK – Russell Group</t>
        </is>
      </c>
      <c r="AQ60" s="77" t="inlineStr">
        <is>
          <t>Unclear</t>
        </is>
      </c>
      <c r="AR60" s="77" t="inlineStr">
        <is>
          <t>Unclear</t>
        </is>
      </c>
      <c r="AS60" s="77" t="inlineStr"/>
    </row>
    <row r="61">
      <c r="A61" s="77" t="inlineStr">
        <is>
          <t>RG13</t>
        </is>
      </c>
      <c r="B61" s="77" t="inlineStr">
        <is>
          <t>London School of Economics</t>
        </is>
      </c>
      <c r="C61" s="77" t="inlineStr">
        <is>
          <t>Programme/course</t>
        </is>
      </c>
      <c r="D61" s="77" t="inlineStr">
        <is>
          <t>RG13-S16</t>
        </is>
      </c>
      <c r="E61" s="77" t="inlineStr"/>
      <c r="F61" s="77" t="inlineStr">
        <is>
          <t>No</t>
        </is>
      </c>
      <c r="G61" s="79" t="inlineStr">
        <is>
          <t>Executive MPP Capstone Project</t>
        </is>
      </c>
      <c r="H61" s="77" t="inlineStr">
        <is>
          <t>Executive MPP Capstone Project</t>
        </is>
      </c>
      <c r="I61" s="77" t="inlineStr">
        <is>
          <t>PP4B3E</t>
        </is>
      </c>
      <c r="J61" s="77" t="inlineStr">
        <is>
          <t>Half-unit capstone for the Executive Master of Public Policy: teams of c.3-5 work intensively for one week on a public policy problem identified jointly by the Civil Service and LSE academics.</t>
        </is>
      </c>
      <c r="K61" s="77" t="inlineStr">
        <is>
          <t>School of Public Policy</t>
        </is>
      </c>
      <c r="L61" s="77" t="inlineStr">
        <is>
          <t>Executive Master of Public Policy</t>
        </is>
      </c>
      <c r="M61" s="77" t="inlineStr">
        <is>
          <t>Arts/humanities/social sciences</t>
        </is>
      </c>
      <c r="N61" s="77" t="inlineStr">
        <is>
          <t>Postgraduate taught</t>
        </is>
      </c>
      <c r="O61" s="77" t="inlineStr"/>
      <c r="P61" s="77" t="inlineStr"/>
      <c r="Q61" s="77" t="inlineStr">
        <is>
          <t>Unclear</t>
        </is>
      </c>
      <c r="R61" s="77" t="inlineStr">
        <is>
          <t>Curricular</t>
        </is>
      </c>
      <c r="S61" s="77" t="inlineStr">
        <is>
          <t>Half unit</t>
        </is>
      </c>
      <c r="T61" s="77" t="inlineStr">
        <is>
          <t>One week (intensive)</t>
        </is>
      </c>
      <c r="U61" s="77" t="inlineStr">
        <is>
          <t>Team policy project</t>
        </is>
      </c>
      <c r="V61" s="77" t="inlineStr">
        <is>
          <t>Yes</t>
        </is>
      </c>
      <c r="W61" s="77" t="inlineStr">
        <is>
          <t>Defined public policy problem worked on as a capstone project [1].</t>
        </is>
      </c>
      <c r="X61" s="77" t="inlineStr">
        <is>
          <t>Yes</t>
        </is>
      </c>
      <c r="Y61" s="77" t="inlineStr">
        <is>
          <t>Teams of roughly 3 to 5 [1].</t>
        </is>
      </c>
      <c r="Z61" s="77" t="inlineStr">
        <is>
          <t>Yes</t>
        </is>
      </c>
      <c r="AA61" s="77" t="inlineStr">
        <is>
          <t>The Civil Service is the client and jointly identifies the problem with LSE academics [1].</t>
        </is>
      </c>
      <c r="AB61" s="77" t="inlineStr">
        <is>
          <t>Public sector</t>
        </is>
      </c>
      <c r="AC61" s="77" t="inlineStr">
        <is>
          <t>Client; co-defines problem</t>
        </is>
      </c>
      <c r="AD61" s="77" t="inlineStr"/>
      <c r="AE61" s="77" t="inlineStr">
        <is>
          <t>Not specified in extract</t>
        </is>
      </c>
      <c r="AF61" s="77">
        <f>IF(OR(V61="No",X61="No",Z61="No"),"Outside strict definition",IF(AND(V61="Yes",X61="Yes",Z61="Yes"),"Meets all three","Potentially relevant; evidence incomplete"))</f>
        <v/>
      </c>
      <c r="AG61" s="77" t="inlineStr">
        <is>
          <t>Current delivery confirmed</t>
        </is>
      </c>
      <c r="AH61" s="77" t="inlineStr">
        <is>
          <t>2025/26</t>
        </is>
      </c>
      <c r="AI61" s="77" t="inlineStr">
        <is>
          <t>Yes</t>
        </is>
      </c>
      <c r="AJ61" s="77">
        <f>IF(AND(AI61="Yes",AF61="Meets all three",AG61="Current delivery confirmed"),"Yes","No")</f>
        <v/>
      </c>
      <c r="AK61" s="77" t="inlineStr"/>
      <c r="AL61" s="77" t="inlineStr">
        <is>
          <t>RG13-S16-R1</t>
        </is>
      </c>
      <c r="AM61" s="77" t="inlineStr">
        <is>
          <t>Short duration (one week) makes 'substantive' borderline; output and client role in assessment not retrieved.</t>
        </is>
      </c>
      <c r="AN61" s="77" t="inlineStr"/>
      <c r="AO61" s="77" t="inlineStr">
        <is>
          <t>UK</t>
        </is>
      </c>
      <c r="AP61" s="77" t="inlineStr">
        <is>
          <t>UK – Russell Group</t>
        </is>
      </c>
      <c r="AQ61" s="77" t="inlineStr">
        <is>
          <t>Unclear</t>
        </is>
      </c>
      <c r="AR61" s="77" t="inlineStr">
        <is>
          <t>Unclear</t>
        </is>
      </c>
      <c r="AS61" s="77" t="inlineStr"/>
    </row>
    <row r="62">
      <c r="A62" s="77" t="inlineStr">
        <is>
          <t>RG13</t>
        </is>
      </c>
      <c r="B62" s="77" t="inlineStr">
        <is>
          <t>London School of Economics</t>
        </is>
      </c>
      <c r="C62" s="77" t="inlineStr">
        <is>
          <t>Programme/course</t>
        </is>
      </c>
      <c r="D62" s="77" t="inlineStr">
        <is>
          <t>RG13-S17</t>
        </is>
      </c>
      <c r="E62" s="77" t="inlineStr"/>
      <c r="F62" s="77" t="inlineStr">
        <is>
          <t>No</t>
        </is>
      </c>
      <c r="G62" s="79" t="inlineStr">
        <is>
          <t>Philosophy, Politics and Economics: Capstone</t>
        </is>
      </c>
      <c r="H62" s="77" t="inlineStr">
        <is>
          <t>Philosophy, Politics and Economics: Capstone</t>
        </is>
      </c>
      <c r="I62" s="77" t="inlineStr">
        <is>
          <t>GV343</t>
        </is>
      </c>
      <c r="J62"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62" s="77" t="inlineStr">
        <is>
          <t>Department of Government / PPE</t>
        </is>
      </c>
      <c r="L62" s="77" t="inlineStr">
        <is>
          <t>BSc Philosophy, Politics and Economics (incl. with Year Abroad)</t>
        </is>
      </c>
      <c r="M62" s="77" t="inlineStr">
        <is>
          <t>Arts/humanities/social sciences</t>
        </is>
      </c>
      <c r="N62" s="77" t="inlineStr">
        <is>
          <t>Undergraduate</t>
        </is>
      </c>
      <c r="O62" s="77" t="inlineStr">
        <is>
          <t>Year 4</t>
        </is>
      </c>
      <c r="P62" s="77" t="inlineStr"/>
      <c r="Q62" s="77" t="inlineStr">
        <is>
          <t>Compulsory within specified programmes</t>
        </is>
      </c>
      <c r="R62" s="77" t="inlineStr">
        <is>
          <t>Curricular</t>
        </is>
      </c>
      <c r="S62" s="77" t="inlineStr">
        <is>
          <t>Half unit; presentation 20% (AT Week 11) + project 80% (8,000-word report)</t>
        </is>
      </c>
      <c r="T62" s="77" t="inlineStr">
        <is>
          <t>Autumn Term (11 weeks)</t>
        </is>
      </c>
      <c r="U62" s="77" t="inlineStr">
        <is>
          <t>Team client policy project</t>
        </is>
      </c>
      <c r="V62" s="77" t="inlineStr">
        <is>
          <t>Yes</t>
        </is>
      </c>
      <c r="W62" s="77" t="inlineStr">
        <is>
          <t>Research and analysis to address a practical policy issue for a client; 8,000-word report and presentation [1][2].</t>
        </is>
      </c>
      <c r="X62" s="77" t="inlineStr">
        <is>
          <t>Yes</t>
        </is>
      </c>
      <c r="Y62" s="77" t="inlineStr">
        <is>
          <t>Requires groups of students to carry out research; each team works under a faculty supervisor [1][2].</t>
        </is>
      </c>
      <c r="Z62" s="77" t="inlineStr">
        <is>
          <t>Yes</t>
        </is>
      </c>
      <c r="AA62" s="77" t="inlineStr">
        <is>
          <t>Practical policy problem set by an external client; written report submitted to the client [2]; past client projects e.g. Twaweza, Amazon Web Services (2023 showcase) [3].</t>
        </is>
      </c>
      <c r="AB62" s="77" t="inlineStr">
        <is>
          <t>Mixed</t>
        </is>
      </c>
      <c r="AC62" s="77" t="inlineStr">
        <is>
          <t>Client: sets problem, receives report</t>
        </is>
      </c>
      <c r="AD62" s="77" t="inlineStr">
        <is>
          <t>Twaweza; Amazon Web Services (2023 showcase)</t>
        </is>
      </c>
      <c r="AE62" s="77" t="inlineStr">
        <is>
          <t>8,000-word report and presentation to client</t>
        </is>
      </c>
      <c r="AF62" s="77">
        <f>IF(OR(V62="No",X62="No",Z62="No"),"Outside strict definition",IF(AND(V62="Yes",X62="Yes",Z62="Yes"),"Meets all three","Potentially relevant; evidence incomplete"))</f>
        <v/>
      </c>
      <c r="AG62" s="77" t="inlineStr">
        <is>
          <t>Current delivery confirmed</t>
        </is>
      </c>
      <c r="AH62" s="77" t="inlineStr">
        <is>
          <t>2025/26 (2026 showcase 8 May 2026)</t>
        </is>
      </c>
      <c r="AI62" s="77" t="inlineStr">
        <is>
          <t>Yes</t>
        </is>
      </c>
      <c r="AJ62" s="77">
        <f>IF(AND(AI62="Yes",AF62="Meets all three",AG62="Current delivery confirmed"),"Yes","No")</f>
        <v/>
      </c>
      <c r="AK62" s="77" t="inlineStr"/>
      <c r="AL62" s="77" t="inlineStr">
        <is>
          <t>RG13-S17-R1; RG13-S17-R2; RG13-S17-R3; RG13-S17-R4</t>
        </is>
      </c>
      <c r="AM62" s="77" t="inlineStr"/>
      <c r="AN62" s="77" t="inlineStr"/>
      <c r="AO62" s="77" t="inlineStr">
        <is>
          <t>UK</t>
        </is>
      </c>
      <c r="AP62" s="77" t="inlineStr">
        <is>
          <t>UK – Russell Group</t>
        </is>
      </c>
      <c r="AQ62" s="77" t="inlineStr">
        <is>
          <t>Unclear</t>
        </is>
      </c>
      <c r="AR62" s="77" t="inlineStr">
        <is>
          <t>Unclear</t>
        </is>
      </c>
      <c r="AS62" s="77" t="inlineStr"/>
    </row>
    <row r="63">
      <c r="A63" s="77" t="inlineStr">
        <is>
          <t>RG13</t>
        </is>
      </c>
      <c r="B63" s="77" t="inlineStr">
        <is>
          <t>London School of Economics</t>
        </is>
      </c>
      <c r="C63" s="77" t="inlineStr">
        <is>
          <t>Faculty/school</t>
        </is>
      </c>
      <c r="D63" s="77" t="inlineStr">
        <is>
          <t>RG13-S18</t>
        </is>
      </c>
      <c r="E63" s="77" t="inlineStr"/>
      <c r="F63" s="77" t="inlineStr">
        <is>
          <t>Yes</t>
        </is>
      </c>
      <c r="G63" s="79" t="inlineStr">
        <is>
          <t>International Development Consultancy Projects</t>
        </is>
      </c>
      <c r="H63" s="77" t="inlineStr">
        <is>
          <t>International Development Consultancy Projects</t>
        </is>
      </c>
      <c r="I63" s="77" t="inlineStr">
        <is>
          <t>DV443 / DV453 / DV466</t>
        </is>
      </c>
      <c r="J63"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63" s="77" t="inlineStr">
        <is>
          <t>Department of International Development</t>
        </is>
      </c>
      <c r="L63" s="77" t="inlineStr">
        <is>
          <t>Specified ID MSc programmes (see children)</t>
        </is>
      </c>
      <c r="M63" s="77" t="inlineStr">
        <is>
          <t>Arts/humanities/social sciences</t>
        </is>
      </c>
      <c r="N63" s="77" t="inlineStr">
        <is>
          <t>Postgraduate taught</t>
        </is>
      </c>
      <c r="O63" s="77" t="inlineStr"/>
      <c r="P63" s="77" t="inlineStr"/>
      <c r="Q63" s="77" t="inlineStr">
        <is>
          <t>Compulsory within specified programmes</t>
        </is>
      </c>
      <c r="R63" s="77" t="inlineStr">
        <is>
          <t>Curricular</t>
        </is>
      </c>
      <c r="S63" s="77" t="inlineStr">
        <is>
          <t>Department assessment page: group project and report 80%, reflective learning report 10%, group presentation 10%</t>
        </is>
      </c>
      <c r="T63" s="77" t="inlineStr"/>
      <c r="U63" s="77" t="inlineStr"/>
      <c r="V63" s="77" t="inlineStr">
        <is>
          <t>Yes</t>
        </is>
      </c>
      <c r="W63" s="77" t="inlineStr">
        <is>
          <t>Report for a client on a problem relevant to its activities [1].</t>
        </is>
      </c>
      <c r="X63" s="77" t="inlineStr">
        <is>
          <t>Yes</t>
        </is>
      </c>
      <c r="Y63" s="77" t="inlineStr">
        <is>
          <t>Teams of 3-5 [1].</t>
        </is>
      </c>
      <c r="Z63" s="77" t="inlineStr">
        <is>
          <t>Yes</t>
        </is>
      </c>
      <c r="AA63" s="77" t="inlineStr">
        <is>
          <t>Clients submit proposals/draft Terms of Reference and refine scope with the team; report and presentation to client [1].</t>
        </is>
      </c>
      <c r="AB63" s="77" t="inlineStr">
        <is>
          <t>Mixed</t>
        </is>
      </c>
      <c r="AC63" s="77" t="inlineStr">
        <is>
          <t>Client</t>
        </is>
      </c>
      <c r="AD63" s="77" t="inlineStr">
        <is>
          <t>Past clients (undated page): DfID, UNOCHA, World Bank, UNDP, UNICEF, UNHCR, NATO, UK Foreign Office, CARE, Oxfam, MSF, Fairtrade Foundation, Shell, Wedu</t>
        </is>
      </c>
      <c r="AE63" s="77" t="inlineStr"/>
      <c r="AF63" s="77">
        <f>IF(OR(V63="No",X63="No",Z63="No"),"Outside strict definition",IF(AND(V63="Yes",X63="Yes",Z63="Yes"),"Meets all three","Potentially relevant; evidence incomplete"))</f>
        <v/>
      </c>
      <c r="AG63" s="77" t="inlineStr">
        <is>
          <t>Current delivery confirmed</t>
        </is>
      </c>
      <c r="AH63" s="77" t="inlineStr">
        <is>
          <t>2025/26</t>
        </is>
      </c>
      <c r="AI63" s="77" t="inlineStr">
        <is>
          <t>No</t>
        </is>
      </c>
      <c r="AJ63" s="77">
        <f>IF(AND(AI63="Yes",AF63="Meets all three",AG63="Current delivery confirmed"),"Yes","No")</f>
        <v/>
      </c>
      <c r="AK63" s="77" t="inlineStr"/>
      <c r="AL63" s="77" t="inlineStr">
        <is>
          <t>RG13-S18-R1; RG13-S18-R2</t>
        </is>
      </c>
      <c r="AM63" s="77" t="inlineStr"/>
      <c r="AN63" s="77" t="inlineStr"/>
      <c r="AO63" s="77" t="inlineStr">
        <is>
          <t>UK</t>
        </is>
      </c>
      <c r="AP63" s="77" t="inlineStr">
        <is>
          <t>UK – Russell Group</t>
        </is>
      </c>
      <c r="AQ63" s="77" t="inlineStr">
        <is>
          <t>Unclear</t>
        </is>
      </c>
      <c r="AR63" s="77" t="inlineStr">
        <is>
          <t>Unclear</t>
        </is>
      </c>
      <c r="AS63" s="77" t="inlineStr">
        <is>
          <t>No (umbrella; children counted)</t>
        </is>
      </c>
    </row>
    <row r="64">
      <c r="A64" s="77" t="inlineStr">
        <is>
          <t>RG13</t>
        </is>
      </c>
      <c r="B64" s="77" t="inlineStr">
        <is>
          <t>London School of Economics</t>
        </is>
      </c>
      <c r="C64" s="77" t="inlineStr">
        <is>
          <t>Programme/course</t>
        </is>
      </c>
      <c r="D64" s="77" t="inlineStr">
        <is>
          <t>RG13-S19</t>
        </is>
      </c>
      <c r="E64" s="77" t="inlineStr">
        <is>
          <t>RG13-S18</t>
        </is>
      </c>
      <c r="F64" s="77" t="inlineStr">
        <is>
          <t>No</t>
        </is>
      </c>
      <c r="G64" s="79" t="inlineStr">
        <is>
          <t>Development Management Consultancy Project</t>
        </is>
      </c>
      <c r="H64" s="77" t="inlineStr">
        <is>
          <t>Development Management Consultancy Project</t>
        </is>
      </c>
      <c r="I64" s="77" t="inlineStr">
        <is>
          <t>DV443</t>
        </is>
      </c>
      <c r="J64" s="77" t="inlineStr">
        <is>
          <t>Half unit: teams of 3-6 undertake a live consultancy project for a real client under client-provided Terms of Reference, starting Autumn Term with client reports due in Winter Term and final client presentations.</t>
        </is>
      </c>
      <c r="K64" s="77" t="inlineStr">
        <is>
          <t>Department of International Development</t>
        </is>
      </c>
      <c r="L64" s="77" t="inlineStr">
        <is>
          <t>MSc Development Management (Applied Development Economics) and LSE-Sciences Po variants (compulsory); MSc Development Management (Political Economy) (available)</t>
        </is>
      </c>
      <c r="M64" s="77" t="inlineStr">
        <is>
          <t>Arts/humanities/social sciences</t>
        </is>
      </c>
      <c r="N64" s="77" t="inlineStr">
        <is>
          <t>Postgraduate taught</t>
        </is>
      </c>
      <c r="O64" s="77" t="inlineStr"/>
      <c r="P64" s="77" t="inlineStr"/>
      <c r="Q64" s="77" t="inlineStr">
        <is>
          <t>Compulsory within specified programmes</t>
        </is>
      </c>
      <c r="R64" s="77" t="inlineStr">
        <is>
          <t>Curricular</t>
        </is>
      </c>
      <c r="S64" s="77" t="inlineStr">
        <is>
          <t>Half unit; weightings inconsistent across sources (guide: project 70% 8,000 words, oral 20%, presentation 10%; dept page: 80/10/10)</t>
        </is>
      </c>
      <c r="T64" s="77" t="inlineStr">
        <is>
          <t>Autumn - Winter Term</t>
        </is>
      </c>
      <c r="U64" s="77" t="inlineStr">
        <is>
          <t>Team client consultancy</t>
        </is>
      </c>
      <c r="V64" s="77" t="inlineStr">
        <is>
          <t>Yes</t>
        </is>
      </c>
      <c r="W64" s="77" t="inlineStr">
        <is>
          <t>Live consultancy project with ToR; client report [1].</t>
        </is>
      </c>
      <c r="X64" s="77" t="inlineStr">
        <is>
          <t>Yes</t>
        </is>
      </c>
      <c r="Y64" s="77" t="inlineStr">
        <is>
          <t>Working as part of a team; teams usually 3-6 [1].</t>
        </is>
      </c>
      <c r="Z64" s="77" t="inlineStr">
        <is>
          <t>Yes</t>
        </is>
      </c>
      <c r="AA64" s="77" t="inlineStr">
        <is>
          <t>Real client provides Terms of Reference; client reports and presentations scheduled with client [1].</t>
        </is>
      </c>
      <c r="AB64" s="77" t="inlineStr">
        <is>
          <t>Mixed</t>
        </is>
      </c>
      <c r="AC64" s="77" t="inlineStr">
        <is>
          <t>Client</t>
        </is>
      </c>
      <c r="AD64" s="77" t="inlineStr"/>
      <c r="AE64" s="77" t="inlineStr">
        <is>
          <t>Client report (8,000 words) + presentation</t>
        </is>
      </c>
      <c r="AF64" s="77">
        <f>IF(OR(V64="No",X64="No",Z64="No"),"Outside strict definition",IF(AND(V64="Yes",X64="Yes",Z64="Yes"),"Meets all three","Potentially relevant; evidence incomplete"))</f>
        <v/>
      </c>
      <c r="AG64" s="77" t="inlineStr">
        <is>
          <t>Current delivery confirmed</t>
        </is>
      </c>
      <c r="AH64" s="77" t="inlineStr">
        <is>
          <t>2025/26</t>
        </is>
      </c>
      <c r="AI64" s="77" t="inlineStr">
        <is>
          <t>Yes</t>
        </is>
      </c>
      <c r="AJ64" s="77">
        <f>IF(AND(AI64="Yes",AF64="Meets all three",AG64="Current delivery confirmed"),"Yes","No")</f>
        <v/>
      </c>
      <c r="AK64" s="77" t="inlineStr">
        <is>
          <t>101 students (2024/25) per course guide</t>
        </is>
      </c>
      <c r="AL64" s="77" t="inlineStr">
        <is>
          <t>RG13-S19-R1</t>
        </is>
      </c>
      <c r="AM64" s="77" t="inlineStr"/>
      <c r="AN64" s="77" t="inlineStr"/>
      <c r="AO64" s="77" t="inlineStr">
        <is>
          <t>UK</t>
        </is>
      </c>
      <c r="AP64" s="77" t="inlineStr">
        <is>
          <t>UK – Russell Group</t>
        </is>
      </c>
      <c r="AQ64" s="77" t="inlineStr">
        <is>
          <t>Unclear</t>
        </is>
      </c>
      <c r="AR64" s="77" t="inlineStr">
        <is>
          <t>Unclear</t>
        </is>
      </c>
      <c r="AS64" s="77" t="inlineStr"/>
    </row>
    <row r="65">
      <c r="A65" s="77" t="inlineStr">
        <is>
          <t>RG13</t>
        </is>
      </c>
      <c r="B65" s="77" t="inlineStr">
        <is>
          <t>London School of Economics</t>
        </is>
      </c>
      <c r="C65" s="77" t="inlineStr">
        <is>
          <t>Programme/course</t>
        </is>
      </c>
      <c r="D65" s="77" t="inlineStr">
        <is>
          <t>RG13-S20</t>
        </is>
      </c>
      <c r="E65" s="77" t="inlineStr">
        <is>
          <t>RG13-S18</t>
        </is>
      </c>
      <c r="F65" s="77" t="inlineStr">
        <is>
          <t>No</t>
        </is>
      </c>
      <c r="G65" s="79" t="inlineStr">
        <is>
          <t>Health and International Development Consultancy Project</t>
        </is>
      </c>
      <c r="H65" s="77" t="inlineStr">
        <is>
          <t>Health and International Development Consultancy Project</t>
        </is>
      </c>
      <c r="I65" s="77" t="inlineStr">
        <is>
          <t>DV453</t>
        </is>
      </c>
      <c r="J65" s="77" t="inlineStr">
        <is>
          <t>Half-unit consultancy project in the same format (team report for an external client) for MSc Health and International Development (guaranteed place) and MSc Development Studies (optional, controlled access).</t>
        </is>
      </c>
      <c r="K65" s="77" t="inlineStr">
        <is>
          <t>Department of International Development</t>
        </is>
      </c>
      <c r="L65" s="77" t="inlineStr">
        <is>
          <t>MSc Health and International Development; MSc Development Studies</t>
        </is>
      </c>
      <c r="M65" s="77" t="inlineStr">
        <is>
          <t>Arts/humanities/social sciences</t>
        </is>
      </c>
      <c r="N65" s="77" t="inlineStr">
        <is>
          <t>Postgraduate taught</t>
        </is>
      </c>
      <c r="O65" s="77" t="inlineStr"/>
      <c r="P65" s="77" t="inlineStr"/>
      <c r="Q65" s="77" t="inlineStr">
        <is>
          <t>Optional/elective</t>
        </is>
      </c>
      <c r="R65" s="77" t="inlineStr">
        <is>
          <t>Curricular</t>
        </is>
      </c>
      <c r="S65" s="77" t="inlineStr">
        <is>
          <t>Half unit; report 80% (8,000 words), presentation 10%, learning log 10% (2026/27 guide)</t>
        </is>
      </c>
      <c r="T65" s="77" t="inlineStr"/>
      <c r="U65" s="77" t="inlineStr"/>
      <c r="V65" s="77" t="inlineStr">
        <is>
          <t>Yes</t>
        </is>
      </c>
      <c r="W65" s="77" t="inlineStr">
        <is>
          <t>Consultancy report and presentation [1][2].</t>
        </is>
      </c>
      <c r="X65" s="77" t="inlineStr">
        <is>
          <t>Yes</t>
        </is>
      </c>
      <c r="Y65" s="77" t="inlineStr">
        <is>
          <t>Department consultancy-project model: teams of 3-5 [3]; DV453-specific team wording not retrieved.</t>
        </is>
      </c>
      <c r="Z65" s="77" t="inlineStr">
        <is>
          <t>Yes</t>
        </is>
      </c>
      <c r="AA65" s="77" t="inlineStr">
        <is>
          <t>Department consultancy-project page: clients submit proposals/draft ToR and receive the report [3]; DV453 course-guide client wording not retrieved verbatim.</t>
        </is>
      </c>
      <c r="AB65" s="77" t="inlineStr">
        <is>
          <t>Mixed</t>
        </is>
      </c>
      <c r="AC65" s="77" t="inlineStr">
        <is>
          <t>Client</t>
        </is>
      </c>
      <c r="AD65" s="77" t="inlineStr"/>
      <c r="AE65" s="77" t="inlineStr"/>
      <c r="AF65" s="77">
        <f>IF(OR(V65="No",X65="No",Z65="No"),"Outside strict definition",IF(AND(V65="Yes",X65="Yes",Z65="Yes"),"Meets all three","Potentially relevant; evidence incomplete"))</f>
        <v/>
      </c>
      <c r="AG65" s="77" t="inlineStr">
        <is>
          <t>Current delivery confirmed</t>
        </is>
      </c>
      <c r="AH65" s="77" t="inlineStr">
        <is>
          <t>2026/27</t>
        </is>
      </c>
      <c r="AI65" s="77" t="inlineStr">
        <is>
          <t>Yes</t>
        </is>
      </c>
      <c r="AJ65" s="77">
        <f>IF(AND(AI65="Yes",AF65="Meets all three",AG65="Current delivery confirmed"),"Yes","No")</f>
        <v/>
      </c>
      <c r="AK65" s="77" t="inlineStr"/>
      <c r="AL65" s="77" t="inlineStr">
        <is>
          <t>RG13-S20-R1; RG13-S20-R2; RG13-S20-R3</t>
        </is>
      </c>
      <c r="AM65" s="77" t="inlineStr">
        <is>
          <t>Compulsory vs optional status conflicts across 2023 handbook/2024-25 info; course-guide extract does not itself quote client involvement.</t>
        </is>
      </c>
      <c r="AN65" s="77" t="inlineStr"/>
      <c r="AO65" s="77" t="inlineStr">
        <is>
          <t>UK</t>
        </is>
      </c>
      <c r="AP65" s="77" t="inlineStr">
        <is>
          <t>UK – Russell Group</t>
        </is>
      </c>
      <c r="AQ65" s="77" t="inlineStr">
        <is>
          <t>Unclear</t>
        </is>
      </c>
      <c r="AR65" s="77" t="inlineStr">
        <is>
          <t>Unclear</t>
        </is>
      </c>
      <c r="AS65" s="77" t="inlineStr"/>
    </row>
    <row r="66">
      <c r="A66" s="77" t="inlineStr">
        <is>
          <t>RG13</t>
        </is>
      </c>
      <c r="B66" s="77" t="inlineStr">
        <is>
          <t>London School of Economics</t>
        </is>
      </c>
      <c r="C66" s="77" t="inlineStr">
        <is>
          <t>Programme/course</t>
        </is>
      </c>
      <c r="D66" s="77" t="inlineStr">
        <is>
          <t>RG13-S21</t>
        </is>
      </c>
      <c r="E66" s="77" t="inlineStr">
        <is>
          <t>RG13-S18</t>
        </is>
      </c>
      <c r="F66" s="77" t="inlineStr">
        <is>
          <t>No</t>
        </is>
      </c>
      <c r="G66" s="79" t="inlineStr">
        <is>
          <t>Humanitarian Consultancy Project</t>
        </is>
      </c>
      <c r="H66" s="77" t="inlineStr">
        <is>
          <t>Humanitarian Consultancy Project</t>
        </is>
      </c>
      <c r="I66" s="77" t="inlineStr">
        <is>
          <t>DV466</t>
        </is>
      </c>
      <c r="J66" s="77" t="inlineStr">
        <is>
          <t>Compulsory half unit for MSc International Development and Humanitarian Emergencies: students work in a small team on a live consultancy project for a real humanitarian, development or emergency-based organisation.</t>
        </is>
      </c>
      <c r="K66" s="77" t="inlineStr">
        <is>
          <t>Department of International Development</t>
        </is>
      </c>
      <c r="L66" s="77" t="inlineStr">
        <is>
          <t>MSc International Development and Humanitarian Emergencies</t>
        </is>
      </c>
      <c r="M66" s="77" t="inlineStr">
        <is>
          <t>Arts/humanities/social sciences</t>
        </is>
      </c>
      <c r="N66" s="77" t="inlineStr">
        <is>
          <t>Postgraduate taught</t>
        </is>
      </c>
      <c r="O66" s="77" t="inlineStr"/>
      <c r="P66" s="77" t="inlineStr"/>
      <c r="Q66" s="77" t="inlineStr">
        <is>
          <t>Compulsory within specified programmes</t>
        </is>
      </c>
      <c r="R66" s="77" t="inlineStr">
        <is>
          <t>Curricular</t>
        </is>
      </c>
      <c r="S66" s="77" t="inlineStr">
        <is>
          <t>Half unit (Paper 2 of programme regulations)</t>
        </is>
      </c>
      <c r="T66" s="77" t="inlineStr"/>
      <c r="U66" s="77" t="inlineStr"/>
      <c r="V66" s="77" t="inlineStr">
        <is>
          <t>Yes</t>
        </is>
      </c>
      <c r="W66" s="77" t="inlineStr">
        <is>
          <t>Live consultancy project on a current policy issue [1][3].</t>
        </is>
      </c>
      <c r="X66" s="77" t="inlineStr">
        <is>
          <t>Yes</t>
        </is>
      </c>
      <c r="Y66" s="77" t="inlineStr">
        <is>
          <t>Work in a small team [3].</t>
        </is>
      </c>
      <c r="Z66" s="77" t="inlineStr">
        <is>
          <t>Yes</t>
        </is>
      </c>
      <c r="AA66" s="77" t="inlineStr">
        <is>
          <t>Live consultancy project for a real client (humanitarian/development/emergency organisation) [1][3].</t>
        </is>
      </c>
      <c r="AB66" s="77" t="inlineStr">
        <is>
          <t>Mixed</t>
        </is>
      </c>
      <c r="AC66" s="77" t="inlineStr">
        <is>
          <t>Client</t>
        </is>
      </c>
      <c r="AD66" s="77" t="inlineStr">
        <is>
          <t>Programme page lists e.g. UNICEF, UNHCR, ICRC, Save the Children (undated)</t>
        </is>
      </c>
      <c r="AE66" s="77" t="inlineStr"/>
      <c r="AF66" s="77">
        <f>IF(OR(V66="No",X66="No",Z66="No"),"Outside strict definition",IF(AND(V66="Yes",X66="Yes",Z66="Yes"),"Meets all three","Potentially relevant; evidence incomplete"))</f>
        <v/>
      </c>
      <c r="AG66" s="77" t="inlineStr">
        <is>
          <t>Current delivery confirmed</t>
        </is>
      </c>
      <c r="AH66" s="77" t="inlineStr">
        <is>
          <t>2025/26</t>
        </is>
      </c>
      <c r="AI66" s="77" t="inlineStr">
        <is>
          <t>Yes</t>
        </is>
      </c>
      <c r="AJ66" s="77">
        <f>IF(AND(AI66="Yes",AF66="Meets all three",AG66="Current delivery confirmed"),"Yes","No")</f>
        <v/>
      </c>
      <c r="AK66" s="77" t="inlineStr"/>
      <c r="AL66" s="77" t="inlineStr">
        <is>
          <t>RG13-S21-R1; RG13-S21-R2; RG13-S21-R3</t>
        </is>
      </c>
      <c r="AM66" s="77" t="inlineStr"/>
      <c r="AN66" s="77" t="inlineStr"/>
      <c r="AO66" s="77" t="inlineStr">
        <is>
          <t>UK</t>
        </is>
      </c>
      <c r="AP66" s="77" t="inlineStr">
        <is>
          <t>UK – Russell Group</t>
        </is>
      </c>
      <c r="AQ66" s="77" t="inlineStr">
        <is>
          <t>Unclear</t>
        </is>
      </c>
      <c r="AR66" s="77" t="inlineStr">
        <is>
          <t>Unclear</t>
        </is>
      </c>
      <c r="AS66" s="77" t="inlineStr"/>
    </row>
    <row r="67">
      <c r="A67" s="77" t="inlineStr">
        <is>
          <t>RG13</t>
        </is>
      </c>
      <c r="B67" s="77" t="inlineStr">
        <is>
          <t>London School of Economics</t>
        </is>
      </c>
      <c r="C67" s="77" t="inlineStr">
        <is>
          <t>Programme/course</t>
        </is>
      </c>
      <c r="D67" s="77" t="inlineStr">
        <is>
          <t>RG13-S22</t>
        </is>
      </c>
      <c r="E67" s="77" t="inlineStr"/>
      <c r="F67" s="77" t="inlineStr">
        <is>
          <t>No</t>
        </is>
      </c>
      <c r="G67" s="79" t="inlineStr">
        <is>
          <t>Urban Policy and Planning (applied consultancy project)</t>
        </is>
      </c>
      <c r="H67" s="77" t="inlineStr">
        <is>
          <t>Urban Policy and Planning (applied consultancy project)</t>
        </is>
      </c>
      <c r="I67" s="77" t="inlineStr">
        <is>
          <t>GY454</t>
        </is>
      </c>
      <c r="J67" s="77" t="inlineStr">
        <is>
          <t>Half-unit Winter Term course whose centrepiece assessment is a team consultancy exercise in which students act as planning consultants responding to a 'live or archival' planning brief set by a 'typical type of client'.</t>
        </is>
      </c>
      <c r="K67" s="77" t="inlineStr">
        <is>
          <t>Department of Geography and Environment</t>
        </is>
      </c>
      <c r="L67" s="77" t="inlineStr">
        <is>
          <t>Geography &amp; Environment MSc programmes (not confirmed)</t>
        </is>
      </c>
      <c r="M67" s="77" t="inlineStr">
        <is>
          <t>Arts/humanities/social sciences</t>
        </is>
      </c>
      <c r="N67" s="77" t="inlineStr">
        <is>
          <t>Postgraduate taught</t>
        </is>
      </c>
      <c r="O67" s="77" t="inlineStr"/>
      <c r="P67" s="77" t="inlineStr"/>
      <c r="Q67" s="77" t="inlineStr">
        <is>
          <t>Unclear</t>
        </is>
      </c>
      <c r="R67" s="77" t="inlineStr">
        <is>
          <t>Curricular</t>
        </is>
      </c>
      <c r="S67" s="77" t="inlineStr">
        <is>
          <t>Half unit; assessment includes an element of group work</t>
        </is>
      </c>
      <c r="T67" s="77" t="inlineStr">
        <is>
          <t>Winter Term</t>
        </is>
      </c>
      <c r="U67" s="77" t="inlineStr"/>
      <c r="V67" s="77" t="inlineStr">
        <is>
          <t>Yes</t>
        </is>
      </c>
      <c r="W67" s="77" t="inlineStr">
        <is>
          <t>Applied consultancy project responding to a planning brief [1].</t>
        </is>
      </c>
      <c r="X67" s="77" t="inlineStr">
        <is>
          <t>Yes</t>
        </is>
      </c>
      <c r="Y67" s="77" t="inlineStr">
        <is>
          <t>'Working in teams, students act as professional planning consultants' [1].</t>
        </is>
      </c>
      <c r="Z67" s="77" t="inlineStr">
        <is>
          <t>Unclear</t>
        </is>
      </c>
      <c r="AA67" s="77" t="inlineStr">
        <is>
          <t>Brief may be live or archival and is set by 'a typical type of client' - no evidence a real organisation supplies it or receives outputs [1].</t>
        </is>
      </c>
      <c r="AB67" s="77" t="inlineStr">
        <is>
          <t>Unclear</t>
        </is>
      </c>
      <c r="AC67" s="77" t="inlineStr">
        <is>
          <t>Not evidenced</t>
        </is>
      </c>
      <c r="AD67" s="77" t="inlineStr"/>
      <c r="AE67" s="77" t="inlineStr"/>
      <c r="AF67" s="77">
        <f>IF(OR(V67="No",X67="No",Z67="No"),"Outside strict definition",IF(AND(V67="Yes",X67="Yes",Z67="Yes"),"Meets all three","Potentially relevant; evidence incomplete"))</f>
        <v/>
      </c>
      <c r="AG67" s="77" t="inlineStr">
        <is>
          <t>Current delivery confirmed</t>
        </is>
      </c>
      <c r="AH67" s="77" t="inlineStr">
        <is>
          <t>2026/27</t>
        </is>
      </c>
      <c r="AI67" s="77" t="inlineStr">
        <is>
          <t>Yes</t>
        </is>
      </c>
      <c r="AJ67" s="77">
        <f>IF(AND(AI67="Yes",AF67="Meets all three",AG67="Current delivery confirmed"),"Yes","No")</f>
        <v/>
      </c>
      <c r="AK67" s="77" t="inlineStr"/>
      <c r="AL67" s="77" t="inlineStr">
        <is>
          <t>RG13-S22-R1</t>
        </is>
      </c>
      <c r="AM67" s="77" t="inlineStr">
        <is>
          <t>Whether live briefs come from real planning authorities/developers in any year.</t>
        </is>
      </c>
      <c r="AN67" s="77" t="inlineStr"/>
      <c r="AO67" s="77" t="inlineStr">
        <is>
          <t>UK</t>
        </is>
      </c>
      <c r="AP67" s="77" t="inlineStr">
        <is>
          <t>UK – Russell Group</t>
        </is>
      </c>
      <c r="AQ67" s="77" t="inlineStr">
        <is>
          <t>Unclear</t>
        </is>
      </c>
      <c r="AR67" s="77" t="inlineStr">
        <is>
          <t>Unclear</t>
        </is>
      </c>
      <c r="AS67" s="77" t="inlineStr"/>
    </row>
    <row r="68">
      <c r="A68" s="77" t="inlineStr">
        <is>
          <t>RG13</t>
        </is>
      </c>
      <c r="B68" s="77" t="inlineStr">
        <is>
          <t>London School of Economics</t>
        </is>
      </c>
      <c r="C68" s="77" t="inlineStr">
        <is>
          <t>Cross-faculty</t>
        </is>
      </c>
      <c r="D68" s="77" t="inlineStr">
        <is>
          <t>RG13-S23</t>
        </is>
      </c>
      <c r="E68" s="77" t="inlineStr"/>
      <c r="F68" s="77" t="inlineStr">
        <is>
          <t>No</t>
        </is>
      </c>
      <c r="G68" s="79" t="inlineStr">
        <is>
          <t>LSE Legal Advice Centre Sustainability Clinic</t>
        </is>
      </c>
      <c r="H68" s="77" t="inlineStr">
        <is>
          <t>LSE Legal Advice Centre Sustainability Clinic</t>
        </is>
      </c>
      <c r="I68" s="77" t="inlineStr"/>
      <c r="J68"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68" s="77" t="inlineStr">
        <is>
          <t>LSE Law School - Legal Advice Centre</t>
        </is>
      </c>
      <c r="L68" s="77" t="inlineStr">
        <is>
          <t>LLB, BA Anthropology and Law, LLM and various Master's programmes</t>
        </is>
      </c>
      <c r="M68" s="77" t="inlineStr">
        <is>
          <t>Other (law, health, design, architecture…)</t>
        </is>
      </c>
      <c r="N68" s="77" t="inlineStr">
        <is>
          <t>Mixed</t>
        </is>
      </c>
      <c r="O68" s="77" t="inlineStr"/>
      <c r="P68" s="77" t="inlineStr"/>
      <c r="Q68" s="77" t="inlineStr">
        <is>
          <t>Selective/competitive</t>
        </is>
      </c>
      <c r="R68" s="77" t="inlineStr">
        <is>
          <t>Unclear</t>
        </is>
      </c>
      <c r="S68" s="77" t="inlineStr"/>
      <c r="T68" s="77" t="inlineStr"/>
      <c r="U68" s="77" t="inlineStr"/>
      <c r="V68" s="77" t="inlineStr">
        <is>
          <t>Yes</t>
        </is>
      </c>
      <c r="W68" s="77" t="inlineStr">
        <is>
          <t>Policy reports, memos and amicus briefs on defined issues; ClientEarth report [1][2].</t>
        </is>
      </c>
      <c r="X68" s="77" t="inlineStr">
        <is>
          <t>Yes</t>
        </is>
      </c>
      <c r="Y68" s="77" t="inlineStr">
        <is>
          <t>Students work in collaborative teams [1].</t>
        </is>
      </c>
      <c r="Z68" s="77" t="inlineStr">
        <is>
          <t>Yes</t>
        </is>
      </c>
      <c r="AA68" s="77" t="inlineStr">
        <is>
          <t>Reports drafted for environmental NGOs and charities [1]; ClientEarth collaboration with ClientEarth specialists training students [2].</t>
        </is>
      </c>
      <c r="AB68" s="77" t="inlineStr">
        <is>
          <t>Charity/community</t>
        </is>
      </c>
      <c r="AC68" s="77" t="inlineStr">
        <is>
          <t>NGO partner sets issue, trains/advises, receives report</t>
        </is>
      </c>
      <c r="AD68" s="77" t="inlineStr">
        <is>
          <t>ClientEarth (year not shown)</t>
        </is>
      </c>
      <c r="AE68" s="77" t="inlineStr">
        <is>
          <t>Policy reports, memos, amicus briefs</t>
        </is>
      </c>
      <c r="AF68" s="77">
        <f>IF(OR(V68="No",X68="No",Z68="No"),"Outside strict definition",IF(AND(V68="Yes",X68="Yes",Z68="Yes"),"Meets all three","Potentially relevant; evidence incomplete"))</f>
        <v/>
      </c>
      <c r="AG68" s="77" t="inlineStr">
        <is>
          <t>Current status unclear</t>
        </is>
      </c>
      <c r="AH68" s="77" t="inlineStr"/>
      <c r="AI68" s="77" t="inlineStr">
        <is>
          <t>Yes</t>
        </is>
      </c>
      <c r="AJ68" s="77">
        <f>IF(AND(AI68="Yes",AF68="Meets all three",AG68="Current delivery confirmed"),"Yes","No")</f>
        <v/>
      </c>
      <c r="AK68" s="77" t="inlineStr">
        <is>
          <t>Approx. 20 students (clinic page, undated); a LAC diary entry gives twelve</t>
        </is>
      </c>
      <c r="AL68" s="77" t="inlineStr">
        <is>
          <t>RG13-S23-R1; RG13-S23-R2</t>
        </is>
      </c>
      <c r="AM68" s="77" t="inlineStr">
        <is>
          <t>Dates of ClientEarth project and current cohort; credit status; course-level eligibility rules.</t>
        </is>
      </c>
      <c r="AN68" s="77" t="inlineStr"/>
      <c r="AO68" s="77" t="inlineStr">
        <is>
          <t>UK</t>
        </is>
      </c>
      <c r="AP68" s="77" t="inlineStr">
        <is>
          <t>UK – Russell Group</t>
        </is>
      </c>
      <c r="AQ68" s="77" t="inlineStr">
        <is>
          <t>Unclear</t>
        </is>
      </c>
      <c r="AR68" s="77" t="inlineStr">
        <is>
          <t>Unclear</t>
        </is>
      </c>
      <c r="AS68" s="77" t="inlineStr"/>
    </row>
    <row r="69">
      <c r="A69" s="77" t="inlineStr">
        <is>
          <t>RG13</t>
        </is>
      </c>
      <c r="B69" s="77" t="inlineStr">
        <is>
          <t>London School of Economics</t>
        </is>
      </c>
      <c r="C69" s="77" t="inlineStr">
        <is>
          <t>Programme/course</t>
        </is>
      </c>
      <c r="D69" s="77" t="inlineStr">
        <is>
          <t>RG13-S24</t>
        </is>
      </c>
      <c r="E69" s="77" t="inlineStr"/>
      <c r="F69" s="77" t="inlineStr">
        <is>
          <t>No</t>
        </is>
      </c>
      <c r="G69" s="79" t="inlineStr">
        <is>
          <t>ECtHR Intervention Clinic</t>
        </is>
      </c>
      <c r="H69" s="77" t="inlineStr">
        <is>
          <t>ECtHR Intervention Clinic</t>
        </is>
      </c>
      <c r="I69" s="77" t="inlineStr"/>
      <c r="J69"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69" s="77" t="inlineStr">
        <is>
          <t>LSE Law School</t>
        </is>
      </c>
      <c r="L69" s="77" t="inlineStr">
        <is>
          <t>LLM</t>
        </is>
      </c>
      <c r="M69" s="77" t="inlineStr">
        <is>
          <t>Other (law, health, design, architecture…)</t>
        </is>
      </c>
      <c r="N69" s="77" t="inlineStr">
        <is>
          <t>Postgraduate taught</t>
        </is>
      </c>
      <c r="O69" s="77" t="inlineStr"/>
      <c r="P69" s="77" t="inlineStr"/>
      <c r="Q69" s="77" t="inlineStr">
        <is>
          <t>Selective/competitive</t>
        </is>
      </c>
      <c r="R69" s="77" t="inlineStr">
        <is>
          <t>Extracurricular</t>
        </is>
      </c>
      <c r="S69" s="77" t="inlineStr"/>
      <c r="T69" s="77" t="inlineStr"/>
      <c r="U69" s="77" t="inlineStr"/>
      <c r="V69" s="77" t="inlineStr">
        <is>
          <t>Yes</t>
        </is>
      </c>
      <c r="W69" s="77" t="inlineStr">
        <is>
          <t>Third-party intervention briefs filed in specific ECtHR cases [1][2].</t>
        </is>
      </c>
      <c r="X69" s="77" t="inlineStr">
        <is>
          <t>Yes</t>
        </is>
      </c>
      <c r="Y69" s="77" t="inlineStr">
        <is>
          <t>Brief prepared by five LLM students for Podchasov v Russia (2021) [2].</t>
        </is>
      </c>
      <c r="Z69" s="77" t="inlineStr">
        <is>
          <t>Unclear</t>
        </is>
      </c>
      <c r="AA69" s="77" t="inlineStr">
        <is>
          <t>Clinic run with EISi (NGO); not clear whether EISi acts as client/filing party or co-convenor [1].</t>
        </is>
      </c>
      <c r="AB69" s="77" t="inlineStr">
        <is>
          <t>Charity/community</t>
        </is>
      </c>
      <c r="AC69" s="77" t="inlineStr">
        <is>
          <t>NGO co-runs clinic (role unclear)</t>
        </is>
      </c>
      <c r="AD69" s="77" t="inlineStr">
        <is>
          <t>European Information Society Institute (EISi)</t>
        </is>
      </c>
      <c r="AE69" s="77" t="inlineStr">
        <is>
          <t>Third-party intervention submissions to ECtHR</t>
        </is>
      </c>
      <c r="AF69" s="77">
        <f>IF(OR(V69="No",X69="No",Z69="No"),"Outside strict definition",IF(AND(V69="Yes",X69="Yes",Z69="Yes"),"Meets all three","Potentially relevant; evidence incomplete"))</f>
        <v/>
      </c>
      <c r="AG69" s="77" t="inlineStr">
        <is>
          <t>Current status unclear</t>
        </is>
      </c>
      <c r="AH69" s="77" t="inlineStr">
        <is>
          <t>2021 (dated); later Sanchez v France undated</t>
        </is>
      </c>
      <c r="AI69" s="77" t="inlineStr">
        <is>
          <t>Yes</t>
        </is>
      </c>
      <c r="AJ69" s="77">
        <f>IF(AND(AI69="Yes",AF69="Meets all three",AG69="Current delivery confirmed"),"Yes","No")</f>
        <v/>
      </c>
      <c r="AK69" s="77" t="inlineStr"/>
      <c r="AL69" s="77" t="inlineStr">
        <is>
          <t>RG13-S24-R1; RG13-S24-R2</t>
        </is>
      </c>
      <c r="AM69" s="77" t="inlineStr"/>
      <c r="AN69" s="77" t="inlineStr"/>
      <c r="AO69" s="77" t="inlineStr">
        <is>
          <t>UK</t>
        </is>
      </c>
      <c r="AP69" s="77" t="inlineStr">
        <is>
          <t>UK – Russell Group</t>
        </is>
      </c>
      <c r="AQ69" s="77" t="inlineStr">
        <is>
          <t>Unclear</t>
        </is>
      </c>
      <c r="AR69" s="77" t="inlineStr">
        <is>
          <t>Unclear</t>
        </is>
      </c>
      <c r="AS69" s="77" t="inlineStr"/>
    </row>
    <row r="70">
      <c r="A70" s="77" t="inlineStr">
        <is>
          <t>RG17</t>
        </is>
      </c>
      <c r="B70" s="77" t="inlineStr">
        <is>
          <t>Oxford</t>
        </is>
      </c>
      <c r="C70" s="77" t="inlineStr">
        <is>
          <t>University-wide</t>
        </is>
      </c>
      <c r="D70" s="77" t="inlineStr">
        <is>
          <t>RG17-S01</t>
        </is>
      </c>
      <c r="E70" s="77" t="inlineStr"/>
      <c r="F70" s="77" t="inlineStr">
        <is>
          <t>No</t>
        </is>
      </c>
      <c r="G70" s="79" t="inlineStr">
        <is>
          <t>The Oxford Strategy Challenge (TOSCA)</t>
        </is>
      </c>
      <c r="H70" s="77" t="inlineStr">
        <is>
          <t>The Oxford Strategy Challenge</t>
        </is>
      </c>
      <c r="I70" s="77" t="inlineStr"/>
      <c r="J70"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70" s="77" t="inlineStr">
        <is>
          <t>Careers Service</t>
        </is>
      </c>
      <c r="L70" s="77" t="inlineStr">
        <is>
          <t>All subjects; current students from 1st-year undergraduates to DPhils</t>
        </is>
      </c>
      <c r="M70" s="77" t="inlineStr">
        <is>
          <t>Central provision</t>
        </is>
      </c>
      <c r="N70" s="77" t="inlineStr">
        <is>
          <t>Mixed</t>
        </is>
      </c>
      <c r="O70" s="77" t="inlineStr">
        <is>
          <t>Any</t>
        </is>
      </c>
      <c r="P70" s="77" t="inlineStr">
        <is>
          <t>Saïd Business School students, visiting students, research staff, alumni and previous participants excluded; application with assessment task (selection).</t>
        </is>
      </c>
      <c r="Q70" s="77" t="inlineStr">
        <is>
          <t>Selective/competitive</t>
        </is>
      </c>
      <c r="R70" s="77" t="inlineStr">
        <is>
          <t>Extracurricular</t>
        </is>
      </c>
      <c r="S70" s="77" t="inlineStr">
        <is>
          <t>Non-credit</t>
        </is>
      </c>
      <c r="T70" s="77" t="inlineStr">
        <is>
          <t>About 5 days (one week) after training</t>
        </is>
      </c>
      <c r="U70" s="77" t="inlineStr">
        <is>
          <t>Remote/online team work with online client presentation</t>
        </is>
      </c>
      <c r="V70" s="77" t="inlineStr">
        <is>
          <t>Yes</t>
        </is>
      </c>
      <c r="W70" s="77" t="inlineStr">
        <is>
          <t>Defined strategic challenge outlined with the client; output is a presentation of research and recommendations [1][2][3].</t>
        </is>
      </c>
      <c r="X70" s="77" t="inlineStr">
        <is>
          <t>Yes</t>
        </is>
      </c>
      <c r="Y70" s="77" t="inlineStr">
        <is>
          <t>Careers mixes applicants into teams of four to six, often mixing undergraduates and postgraduates [1][2].</t>
        </is>
      </c>
      <c r="Z70" s="77" t="inlineStr">
        <is>
          <t>Yes</t>
        </is>
      </c>
      <c r="AA70" s="77" t="inlineStr">
        <is>
          <t>Client organisations work with Careers to define the challenge, teams liaise directly with them, and clients receive the final presentation of recommendations; clients get a licence to use the report [1][2][3].</t>
        </is>
      </c>
      <c r="AB70" s="77" t="inlineStr">
        <is>
          <t>Mixed</t>
        </is>
      </c>
      <c r="AC70" s="77" t="inlineStr">
        <is>
          <t>Sets challenge with Careers Service; briefing call, check-in, receives final presentation/report</t>
        </is>
      </c>
      <c r="AD70" s="77" t="inlineStr">
        <is>
          <t>Olga's Fine Foods (Australian food manufacturer; ESG roadmap project, undated article); past clients described as a faith-based charity, a fundraising charity and an overseas business</t>
        </is>
      </c>
      <c r="AE70" s="77" t="inlineStr">
        <is>
          <t>Client presentation of research and recommendations (PowerPoint)</t>
        </is>
      </c>
      <c r="AF70" s="77">
        <f>IF(OR(V70="No",X70="No",Z70="No"),"Outside strict definition",IF(AND(V70="Yes",X70="Yes",Z70="Yes"),"Meets all three","Potentially relevant; evidence incomplete"))</f>
        <v/>
      </c>
      <c r="AG70" s="77" t="inlineStr">
        <is>
          <t>Current status unclear</t>
        </is>
      </c>
      <c r="AH70" s="77" t="inlineStr">
        <is>
          <t>2025/26 (testimonials referencing Michaelmas 2025 cohort)</t>
        </is>
      </c>
      <c r="AI70" s="77" t="inlineStr">
        <is>
          <t>Yes</t>
        </is>
      </c>
      <c r="AJ70" s="77">
        <f>IF(AND(AI70="Yes",AF70="Meets all three",AG70="Current delivery confirmed"),"Yes","No")</f>
        <v/>
      </c>
      <c r="AK70" s="77" t="inlineStr"/>
      <c r="AL70" s="77" t="inlineStr">
        <is>
          <t>RG17-S01-R1; RG17-S01-R2; RG17-S01-R3</t>
        </is>
      </c>
      <c r="AM70"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t>
        </is>
      </c>
      <c r="AN70" s="77" t="inlineStr"/>
      <c r="AO70" s="77" t="inlineStr">
        <is>
          <t>UK</t>
        </is>
      </c>
      <c r="AP70" s="77" t="inlineStr">
        <is>
          <t>UK – Russell Group</t>
        </is>
      </c>
      <c r="AQ70" s="77" t="inlineStr">
        <is>
          <t>&lt;1 week</t>
        </is>
      </c>
      <c r="AR70" s="77" t="inlineStr">
        <is>
          <t>All/standard</t>
        </is>
      </c>
      <c r="AS70" s="77" t="inlineStr"/>
    </row>
    <row r="71">
      <c r="A71" s="77" t="inlineStr">
        <is>
          <t>RG17</t>
        </is>
      </c>
      <c r="B71" s="77" t="inlineStr">
        <is>
          <t>Oxford</t>
        </is>
      </c>
      <c r="C71" s="77" t="inlineStr">
        <is>
          <t>Unclear</t>
        </is>
      </c>
      <c r="D71" s="77" t="inlineStr">
        <is>
          <t>RG17-S02</t>
        </is>
      </c>
      <c r="E71" s="77" t="inlineStr"/>
      <c r="F71" s="77" t="inlineStr">
        <is>
          <t>No</t>
        </is>
      </c>
      <c r="G71" s="79" t="inlineStr">
        <is>
          <t>Making a Difference Programme (MaDe)</t>
        </is>
      </c>
      <c r="H71" s="77" t="inlineStr">
        <is>
          <t>Making a Difference Programme</t>
        </is>
      </c>
      <c r="I71" s="77" t="inlineStr"/>
      <c r="J71"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71" s="77" t="inlineStr">
        <is>
          <t>Careers Service</t>
        </is>
      </c>
      <c r="L71" s="77" t="inlineStr">
        <is>
          <t>University of Oxford students (detailed eligibility not obtained)</t>
        </is>
      </c>
      <c r="M71" s="77" t="inlineStr">
        <is>
          <t>Central provision</t>
        </is>
      </c>
      <c r="N71" s="77" t="inlineStr">
        <is>
          <t>Unclear</t>
        </is>
      </c>
      <c r="O71" s="77" t="inlineStr"/>
      <c r="P71" s="77" t="inlineStr">
        <is>
          <t>Application-based; 50 places per term</t>
        </is>
      </c>
      <c r="Q71" s="77" t="inlineStr">
        <is>
          <t>Selective/competitive</t>
        </is>
      </c>
      <c r="R71" s="77" t="inlineStr">
        <is>
          <t>Extracurricular</t>
        </is>
      </c>
      <c r="S71" s="77" t="inlineStr">
        <is>
          <t>Non-credit</t>
        </is>
      </c>
      <c r="T71" s="77" t="inlineStr">
        <is>
          <t>Described as a three-week client project within a term-long programme (sources differ)</t>
        </is>
      </c>
      <c r="U71" s="77" t="inlineStr">
        <is>
          <t>Unclear</t>
        </is>
      </c>
      <c r="V71" s="77" t="inlineStr">
        <is>
          <t>Yes</t>
        </is>
      </c>
      <c r="W71" s="77" t="inlineStr">
        <is>
          <t>Programme page describes a client project for a charity/social enterprise [1][2].</t>
        </is>
      </c>
      <c r="X71" s="77" t="inlineStr">
        <is>
          <t>Unclear</t>
        </is>
      </c>
      <c r="Y71" s="77" t="inlineStr">
        <is>
          <t>Extracts obtained do not state whether MaDe client projects are done in teams (team sizes of 4-6 are stated for TOSCA/TSC, not MaDe).</t>
        </is>
      </c>
      <c r="Z71" s="77" t="inlineStr">
        <is>
          <t>Yes</t>
        </is>
      </c>
      <c r="AA71" s="77" t="inlineStr">
        <is>
          <t>Programme aimed at charities and social enterprises that supply client projects via the Careers Service Collaborative Projects route [2].</t>
        </is>
      </c>
      <c r="AB71" s="77" t="inlineStr">
        <is>
          <t>Charity/community</t>
        </is>
      </c>
      <c r="AC71" s="77" t="inlineStr">
        <is>
          <t>Client organisation proposing project</t>
        </is>
      </c>
      <c r="AD71" s="77" t="inlineStr"/>
      <c r="AE71" s="77" t="inlineStr">
        <is>
          <t>Client project output (form not confirmed)</t>
        </is>
      </c>
      <c r="AF71" s="77">
        <f>IF(OR(V71="No",X71="No",Z71="No"),"Outside strict definition",IF(AND(V71="Yes",X71="Yes",Z71="Yes"),"Meets all three","Potentially relevant; evidence incomplete"))</f>
        <v/>
      </c>
      <c r="AG71" s="77" t="inlineStr">
        <is>
          <t>Current status unclear</t>
        </is>
      </c>
      <c r="AH71" s="77" t="inlineStr">
        <is>
          <t>2025/26 (Hilary 2026 participant; January 2026 workshop dates)</t>
        </is>
      </c>
      <c r="AI71" s="77" t="inlineStr">
        <is>
          <t>Yes</t>
        </is>
      </c>
      <c r="AJ71" s="77">
        <f>IF(AND(AI71="Yes",AF71="Meets all three",AG71="Current delivery confirmed"),"Yes","No")</f>
        <v/>
      </c>
      <c r="AK71" s="77" t="inlineStr">
        <is>
          <t>50 places per term (stated capacity, undated page)</t>
        </is>
      </c>
      <c r="AL71" s="77" t="inlineStr">
        <is>
          <t>RG17-S02-R1; RG17-S02-R2</t>
        </is>
      </c>
      <c r="AM71" s="77" t="inlineStr">
        <is>
          <t>Page titled 'Programme Paused' yet lists Hilary 2026 participant and January 2026 workshop dates; Collaborative Projects page describes it as running twice a year. Group working not evidenced.</t>
        </is>
      </c>
      <c r="AN71" s="77" t="inlineStr"/>
      <c r="AO71" s="77" t="inlineStr">
        <is>
          <t>UK</t>
        </is>
      </c>
      <c r="AP71" s="77" t="inlineStr">
        <is>
          <t>UK – Russell Group</t>
        </is>
      </c>
      <c r="AQ71" s="77" t="inlineStr">
        <is>
          <t>1–4 weeks</t>
        </is>
      </c>
      <c r="AR71" s="77" t="inlineStr">
        <is>
          <t>All/standard</t>
        </is>
      </c>
      <c r="AS71" s="77" t="inlineStr"/>
    </row>
    <row r="72">
      <c r="A72" s="77" t="inlineStr">
        <is>
          <t>RG17</t>
        </is>
      </c>
      <c r="B72" s="77" t="inlineStr">
        <is>
          <t>Oxford</t>
        </is>
      </c>
      <c r="C72" s="77" t="inlineStr">
        <is>
          <t>Unclear</t>
        </is>
      </c>
      <c r="D72" s="77" t="inlineStr">
        <is>
          <t>RG17-S03</t>
        </is>
      </c>
      <c r="E72" s="77" t="inlineStr"/>
      <c r="F72" s="77" t="inlineStr">
        <is>
          <t>No</t>
        </is>
      </c>
      <c r="G72" s="79" t="inlineStr">
        <is>
          <t>The Student Consultancy (TSC)</t>
        </is>
      </c>
      <c r="H72" s="77" t="inlineStr">
        <is>
          <t>The Student Consultancy</t>
        </is>
      </c>
      <c r="I72" s="77" t="inlineStr"/>
      <c r="J72" s="77" t="inlineStr">
        <is>
          <t>Careers Service experiential learning programme in which teams of students spend 4-6 weeks addressing a strategic issue or business challenge for a client organisation, liaising directly with the client with mentoring support.</t>
        </is>
      </c>
      <c r="K72" s="77" t="inlineStr">
        <is>
          <t>Careers Service</t>
        </is>
      </c>
      <c r="L72" s="77" t="inlineStr">
        <is>
          <t>Oxford students (detailed eligibility not obtained)</t>
        </is>
      </c>
      <c r="M72" s="77" t="inlineStr">
        <is>
          <t>Central provision</t>
        </is>
      </c>
      <c r="N72" s="77" t="inlineStr">
        <is>
          <t>Mixed</t>
        </is>
      </c>
      <c r="O72" s="77" t="inlineStr"/>
      <c r="P72" s="77" t="inlineStr"/>
      <c r="Q72" s="77" t="inlineStr">
        <is>
          <t>Selective/competitive</t>
        </is>
      </c>
      <c r="R72" s="77" t="inlineStr">
        <is>
          <t>Extracurricular</t>
        </is>
      </c>
      <c r="S72" s="77" t="inlineStr">
        <is>
          <t>Non-credit</t>
        </is>
      </c>
      <c r="T72" s="77" t="inlineStr">
        <is>
          <t>4-6 weeks</t>
        </is>
      </c>
      <c r="U72" s="77" t="inlineStr">
        <is>
          <t>Unclear</t>
        </is>
      </c>
      <c r="V72" s="77" t="inlineStr">
        <is>
          <t>Yes</t>
        </is>
      </c>
      <c r="W72" s="77" t="inlineStr">
        <is>
          <t>Strategic issue/business challenge for a client organisation [1].</t>
        </is>
      </c>
      <c r="X72" s="77" t="inlineStr">
        <is>
          <t>Yes</t>
        </is>
      </c>
      <c r="Y72" s="77" t="inlineStr">
        <is>
          <t>Students participate in teams; Careers employer page gives team size of four to six [1][2].</t>
        </is>
      </c>
      <c r="Z72" s="77" t="inlineStr">
        <is>
          <t>Yes</t>
        </is>
      </c>
      <c r="AA72" s="77" t="inlineStr">
        <is>
          <t>Client organisations set the strategic issue; teams liaise directly with clients and present recommendations [1][2].</t>
        </is>
      </c>
      <c r="AB72" s="77" t="inlineStr">
        <is>
          <t>Unclear</t>
        </is>
      </c>
      <c r="AC72" s="77" t="inlineStr">
        <is>
          <t>Client organisation</t>
        </is>
      </c>
      <c r="AD72" s="77" t="inlineStr"/>
      <c r="AE72" s="77" t="inlineStr">
        <is>
          <t>Recommendations to client</t>
        </is>
      </c>
      <c r="AF72" s="77">
        <f>IF(OR(V72="No",X72="No",Z72="No"),"Outside strict definition",IF(AND(V72="Yes",X72="Yes",Z72="Yes"),"Meets all three","Potentially relevant; evidence incomplete"))</f>
        <v/>
      </c>
      <c r="AG72" s="77" t="inlineStr">
        <is>
          <t>Paused/discontinued</t>
        </is>
      </c>
      <c r="AH72" s="77" t="inlineStr">
        <is>
          <t>undated</t>
        </is>
      </c>
      <c r="AI72" s="77" t="inlineStr">
        <is>
          <t>Yes</t>
        </is>
      </c>
      <c r="AJ72" s="77">
        <f>IF(AND(AI72="Yes",AF72="Meets all three",AG72="Current delivery confirmed"),"Yes","No")</f>
        <v/>
      </c>
      <c r="AK72" s="77" t="inlineStr"/>
      <c r="AL72" s="77" t="inlineStr">
        <is>
          <t>RG17-S03-R1; RG17-S03-R2</t>
        </is>
      </c>
      <c r="AM72" s="77" t="inlineStr">
        <is>
          <t>Programme page labelled paused; no dated cohort found; a 'Student Consultancy for schools' page also exists (not examined).</t>
        </is>
      </c>
      <c r="AN72" s="77" t="inlineStr"/>
      <c r="AO72" s="77" t="inlineStr">
        <is>
          <t>UK</t>
        </is>
      </c>
      <c r="AP72" s="77" t="inlineStr">
        <is>
          <t>UK – Russell Group</t>
        </is>
      </c>
      <c r="AQ72" s="77" t="inlineStr">
        <is>
          <t>1–4 weeks</t>
        </is>
      </c>
      <c r="AR72" s="77" t="inlineStr">
        <is>
          <t>All/standard</t>
        </is>
      </c>
      <c r="AS72" s="77" t="inlineStr"/>
    </row>
    <row r="73">
      <c r="A73" s="77" t="inlineStr">
        <is>
          <t>RG17</t>
        </is>
      </c>
      <c r="B73" s="77" t="inlineStr">
        <is>
          <t>Oxford</t>
        </is>
      </c>
      <c r="C73" s="77" t="inlineStr">
        <is>
          <t>Unclear</t>
        </is>
      </c>
      <c r="D73" s="77" t="inlineStr">
        <is>
          <t>RG17-S04</t>
        </is>
      </c>
      <c r="E73" s="77" t="inlineStr"/>
      <c r="F73" s="77" t="inlineStr">
        <is>
          <t>No</t>
        </is>
      </c>
      <c r="G73" s="79" t="inlineStr">
        <is>
          <t>The Agency</t>
        </is>
      </c>
      <c r="H73" s="77" t="inlineStr">
        <is>
          <t>The Agency</t>
        </is>
      </c>
      <c r="I73" s="77" t="inlineStr"/>
      <c r="J73"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73" s="77" t="inlineStr">
        <is>
          <t>Careers Service with Oxford Advertising and Marketing Society</t>
        </is>
      </c>
      <c r="L73" s="77" t="inlineStr"/>
      <c r="M73" s="77" t="inlineStr">
        <is>
          <t>Central provision</t>
        </is>
      </c>
      <c r="N73" s="77" t="inlineStr">
        <is>
          <t>Unclear</t>
        </is>
      </c>
      <c r="O73" s="77" t="inlineStr"/>
      <c r="P73" s="77" t="inlineStr">
        <is>
          <t>Assessment centre selection</t>
        </is>
      </c>
      <c r="Q73" s="77" t="inlineStr">
        <is>
          <t>Selective/competitive</t>
        </is>
      </c>
      <c r="R73" s="77" t="inlineStr">
        <is>
          <t>Extracurricular</t>
        </is>
      </c>
      <c r="S73" s="77" t="inlineStr">
        <is>
          <t>Non-credit</t>
        </is>
      </c>
      <c r="T73" s="77" t="inlineStr">
        <is>
          <t>One academic term</t>
        </is>
      </c>
      <c r="U73" s="77" t="inlineStr">
        <is>
          <t>Independent team work with mentorship</t>
        </is>
      </c>
      <c r="V73" s="77" t="inlineStr">
        <is>
          <t>Yes</t>
        </is>
      </c>
      <c r="W73" s="77" t="inlineStr">
        <is>
          <t>Creative problem brief; output is a report or advertising/marketing campaign [1].</t>
        </is>
      </c>
      <c r="X73" s="77" t="inlineStr">
        <is>
          <t>Yes</t>
        </is>
      </c>
      <c r="Y73" s="77" t="inlineStr">
        <is>
          <t>Teams of six [1].</t>
        </is>
      </c>
      <c r="Z73" s="77" t="inlineStr">
        <is>
          <t>Yes</t>
        </is>
      </c>
      <c r="AA73" s="77" t="inlineStr">
        <is>
          <t>Organisations provide the project brief (no charge) and teams liaise directly with their clients [1].</t>
        </is>
      </c>
      <c r="AB73" s="77" t="inlineStr">
        <is>
          <t>Unclear</t>
        </is>
      </c>
      <c r="AC73" s="77" t="inlineStr">
        <is>
          <t>Provides brief; receives report/campaign</t>
        </is>
      </c>
      <c r="AD73" s="77" t="inlineStr"/>
      <c r="AE73" s="77" t="inlineStr">
        <is>
          <t>Report or advertising/marketing campaign</t>
        </is>
      </c>
      <c r="AF73" s="77">
        <f>IF(OR(V73="No",X73="No",Z73="No"),"Outside strict definition",IF(AND(V73="Yes",X73="Yes",Z73="Yes"),"Meets all three","Potentially relevant; evidence incomplete"))</f>
        <v/>
      </c>
      <c r="AG73" s="77" t="inlineStr">
        <is>
          <t>Current status unclear</t>
        </is>
      </c>
      <c r="AH73" s="77" t="inlineStr">
        <is>
          <t>undated (search index metadata indicates page c. 6.5 years old)</t>
        </is>
      </c>
      <c r="AI73" s="77" t="inlineStr">
        <is>
          <t>Yes</t>
        </is>
      </c>
      <c r="AJ73" s="77">
        <f>IF(AND(AI73="Yes",AF73="Meets all three",AG73="Current delivery confirmed"),"Yes","No")</f>
        <v/>
      </c>
      <c r="AK73" s="77" t="inlineStr"/>
      <c r="AL73" s="77" t="inlineStr">
        <is>
          <t>RG17-S04-R1</t>
        </is>
      </c>
      <c r="AM73" s="77" t="inlineStr">
        <is>
          <t>Page appears old; not listed among current programmes in the extracts; likely historical. Eligibility not obtained.</t>
        </is>
      </c>
      <c r="AN73" s="77" t="inlineStr"/>
      <c r="AO73" s="77" t="inlineStr">
        <is>
          <t>UK</t>
        </is>
      </c>
      <c r="AP73" s="77" t="inlineStr">
        <is>
          <t>UK – Russell Group</t>
        </is>
      </c>
      <c r="AQ73" s="77" t="inlineStr">
        <is>
          <t>~1 term/semester</t>
        </is>
      </c>
      <c r="AR73" s="77" t="inlineStr">
        <is>
          <t>All/standard</t>
        </is>
      </c>
      <c r="AS73" s="77" t="inlineStr"/>
    </row>
    <row r="74">
      <c r="A74" s="77" t="inlineStr">
        <is>
          <t>RG17</t>
        </is>
      </c>
      <c r="B74" s="77" t="inlineStr">
        <is>
          <t>Oxford</t>
        </is>
      </c>
      <c r="C74" s="77" t="inlineStr">
        <is>
          <t>Programme/course</t>
        </is>
      </c>
      <c r="D74" s="77" t="inlineStr">
        <is>
          <t>RG17-S05</t>
        </is>
      </c>
      <c r="E74" s="77" t="inlineStr"/>
      <c r="F74" s="77" t="inlineStr">
        <is>
          <t>No</t>
        </is>
      </c>
      <c r="G74" s="79" t="inlineStr">
        <is>
          <t>Strategic Consulting Project (Oxford MBA)</t>
        </is>
      </c>
      <c r="H74" s="77" t="inlineStr">
        <is>
          <t>Strategic Consulting Project</t>
        </is>
      </c>
      <c r="I74" s="77" t="inlineStr"/>
      <c r="J74"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74" s="77" t="inlineStr">
        <is>
          <t>Saïd Business School</t>
        </is>
      </c>
      <c r="L74" s="77" t="inlineStr">
        <is>
          <t>Full-time Oxford MBA</t>
        </is>
      </c>
      <c r="M74" s="77" t="inlineStr">
        <is>
          <t>Business/management</t>
        </is>
      </c>
      <c r="N74" s="77" t="inlineStr">
        <is>
          <t>Postgraduate taught</t>
        </is>
      </c>
      <c r="O74" s="77" t="inlineStr">
        <is>
          <t>Summer term of one-year MBA</t>
        </is>
      </c>
      <c r="P74" s="77" t="inlineStr">
        <is>
          <t>MBA students; alternative to summer electives or internship for credit</t>
        </is>
      </c>
      <c r="Q74" s="77" t="inlineStr">
        <is>
          <t>Optional/elective</t>
        </is>
      </c>
      <c r="R74" s="77" t="inlineStr">
        <is>
          <t>Curricular</t>
        </is>
      </c>
      <c r="S74" s="77" t="inlineStr">
        <is>
          <t>Counts for final two elective credits; presentation to supervisor/faculty/client panel</t>
        </is>
      </c>
      <c r="T74" s="77" t="inlineStr">
        <is>
          <t>6-7 weeks (sources differ)</t>
        </is>
      </c>
      <c r="U74" s="77" t="inlineStr">
        <is>
          <t>On client site/worldwide; client bears travel costs</t>
        </is>
      </c>
      <c r="V74" s="77" t="inlineStr">
        <is>
          <t>Yes</t>
        </is>
      </c>
      <c r="W74" s="77" t="inlineStr">
        <is>
          <t>Consulting project for a corporate sponsor with final presentation [1][2][3].</t>
        </is>
      </c>
      <c r="X74" s="77" t="inlineStr">
        <is>
          <t>Yes</t>
        </is>
      </c>
      <c r="Y74" s="77" t="inlineStr">
        <is>
          <t>Teams of two to five (2025-26 entry spec) / two to four (curriculum page) / minimum four, max six (SCP FAQ) [1][2][3].</t>
        </is>
      </c>
      <c r="Z74" s="77" t="inlineStr">
        <is>
          <t>Yes</t>
        </is>
      </c>
      <c r="AA74" s="77" t="inlineStr">
        <is>
          <t>Client organisation sponsors the project, provides Executive Sponsor and Project Leader, bears direct costs, and sits on the final presentation panel [2][3].</t>
        </is>
      </c>
      <c r="AB74" s="77" t="inlineStr">
        <is>
          <t>Mixed</t>
        </is>
      </c>
      <c r="AC74" s="77" t="inlineStr">
        <is>
          <t>Commissioning client; supervision contacts; on assessment/presentation panel</t>
        </is>
      </c>
      <c r="AD74" s="77" t="inlineStr"/>
      <c r="AE74" s="77" t="inlineStr">
        <is>
          <t>Consulting project work presented to faculty/client panel</t>
        </is>
      </c>
      <c r="AF74" s="77">
        <f>IF(OR(V74="No",X74="No",Z74="No"),"Outside strict definition",IF(AND(V74="Yes",X74="Yes",Z74="Yes"),"Meets all three","Potentially relevant; evidence incomplete"))</f>
        <v/>
      </c>
      <c r="AG74" s="77" t="inlineStr">
        <is>
          <t>Current delivery confirmed</t>
        </is>
      </c>
      <c r="AH74" s="77" t="inlineStr">
        <is>
          <t>2025/26 (programme specification for 2025-26 entry)</t>
        </is>
      </c>
      <c r="AI74" s="77" t="inlineStr">
        <is>
          <t>Yes</t>
        </is>
      </c>
      <c r="AJ74" s="77">
        <f>IF(AND(AI74="Yes",AF74="Meets all three",AG74="Current delivery confirmed"),"Yes","No")</f>
        <v/>
      </c>
      <c r="AK74" s="77" t="inlineStr"/>
      <c r="AL74" s="77" t="inlineStr">
        <is>
          <t>RG17-S05-R1; RG17-S05-R2; RG17-S05-R3</t>
        </is>
      </c>
      <c r="AM74" s="77" t="inlineStr">
        <is>
          <t>Team size and duration inconsistent across pages; number of teams not published; 6-7 weeks banded as ~1 term (Oxford terms are 8 weeks).</t>
        </is>
      </c>
      <c r="AN74" s="77" t="inlineStr"/>
      <c r="AO74" s="77" t="inlineStr">
        <is>
          <t>UK</t>
        </is>
      </c>
      <c r="AP74" s="77" t="inlineStr">
        <is>
          <t>UK – Russell Group</t>
        </is>
      </c>
      <c r="AQ74" s="77" t="inlineStr">
        <is>
          <t>~1 term/semester</t>
        </is>
      </c>
      <c r="AR74" s="77" t="inlineStr">
        <is>
          <t>All/standard</t>
        </is>
      </c>
      <c r="AS74" s="77" t="inlineStr"/>
    </row>
    <row r="75">
      <c r="A75" s="77" t="inlineStr">
        <is>
          <t>RG17</t>
        </is>
      </c>
      <c r="B75" s="77" t="inlineStr">
        <is>
          <t>Oxford</t>
        </is>
      </c>
      <c r="C75" s="77" t="inlineStr">
        <is>
          <t>Programme/course</t>
        </is>
      </c>
      <c r="D75" s="77" t="inlineStr">
        <is>
          <t>RG17-S06</t>
        </is>
      </c>
      <c r="E75" s="77" t="inlineStr"/>
      <c r="F75" s="77" t="inlineStr">
        <is>
          <t>No</t>
        </is>
      </c>
      <c r="G75" s="79" t="inlineStr">
        <is>
          <t>Group Design Practical (Second Year Group Design Practicals)</t>
        </is>
      </c>
      <c r="H75" s="77" t="inlineStr">
        <is>
          <t>Group Design Practical</t>
        </is>
      </c>
      <c r="I75" s="77" t="inlineStr">
        <is>
          <t>GDP (Part A practical)</t>
        </is>
      </c>
      <c r="J75"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75" s="77" t="inlineStr">
        <is>
          <t>Department of Computer Science</t>
        </is>
      </c>
      <c r="L75" s="77" t="inlineStr">
        <is>
          <t>BA/MCompSci Computer Science; Computer Science and Philosophy; Mathematics and Computer Science (Part A)</t>
        </is>
      </c>
      <c r="M75" s="77" t="inlineStr">
        <is>
          <t>Engineering/computing</t>
        </is>
      </c>
      <c r="N75" s="77" t="inlineStr">
        <is>
          <t>Undergraduate</t>
        </is>
      </c>
      <c r="O75" s="77" t="inlineStr">
        <is>
          <t>Year 2 (Part A)</t>
        </is>
      </c>
      <c r="P75" s="77" t="inlineStr">
        <is>
          <t>All Part A students in the listed degrees</t>
        </is>
      </c>
      <c r="Q75" s="77" t="inlineStr">
        <is>
          <t>Compulsory within specified programmes</t>
        </is>
      </c>
      <c r="R75" s="77" t="inlineStr">
        <is>
          <t>Curricular</t>
        </is>
      </c>
      <c r="S75" s="77" t="inlineStr">
        <is>
          <t>Part A practical requirement (students need 40%+ overall in practicals); precise weighting not obtained</t>
        </is>
      </c>
      <c r="T75" s="77" t="inlineStr">
        <is>
          <t>Hilary Term (proposals Nov-Dec, allocation Feb, presentations May)</t>
        </is>
      </c>
      <c r="U75" s="77" t="inlineStr">
        <is>
          <t>In person; three mandatory sponsor meetings</t>
        </is>
      </c>
      <c r="V75" s="77" t="inlineStr">
        <is>
          <t>Yes</t>
        </is>
      </c>
      <c r="W75" s="77" t="inlineStr">
        <is>
          <t>Teams design and deliver a real-world software solution to a sponsor brief [1][2].</t>
        </is>
      </c>
      <c r="X75" s="77" t="inlineStr">
        <is>
          <t>Yes</t>
        </is>
      </c>
      <c r="Y75" s="77" t="inlineStr">
        <is>
          <t>Small groups of 4-6 (department page) / teams of 5 or 6 (sponsor guidance) [1][2].</t>
        </is>
      </c>
      <c r="Z75" s="77" t="inlineStr">
        <is>
          <t>Yes</t>
        </is>
      </c>
      <c r="AA75" s="77" t="inlineStr">
        <is>
          <t>Industrial sponsors propose projects, meet students to discuss the brief, act as co-supervisor (scoping, progress and delivery meetings) and provide data/resources; NDAs signed by the University [1][2].</t>
        </is>
      </c>
      <c r="AB75" s="77" t="inlineStr">
        <is>
          <t>Business/commercial</t>
        </is>
      </c>
      <c r="AC75" s="77" t="inlineStr">
        <is>
          <t>Proposes brief, co-supervises, receives delivered solution</t>
        </is>
      </c>
      <c r="AD75" s="77" t="inlineStr">
        <is>
          <t>G-Research, Winton Capital, Palantir, Metaswitch (described as recent sponsors, undated page); Oxford Asset Management, Bloomberg (2016 page)</t>
        </is>
      </c>
      <c r="AE75" s="77" t="inlineStr">
        <is>
          <t>Software solution/prototype and presentation</t>
        </is>
      </c>
      <c r="AF75" s="77">
        <f>IF(OR(V75="No",X75="No",Z75="No"),"Outside strict definition",IF(AND(V75="Yes",X75="Yes",Z75="Yes"),"Meets all three","Potentially relevant; evidence incomplete"))</f>
        <v/>
      </c>
      <c r="AG75" s="77" t="inlineStr">
        <is>
          <t>Current delivery confirmed</t>
        </is>
      </c>
      <c r="AH75" s="77" t="inlineStr">
        <is>
          <t>2025/26 (GDP listed in Hilary Term 2026; Hilary 2027 also listed)</t>
        </is>
      </c>
      <c r="AI75" s="77" t="inlineStr">
        <is>
          <t>Yes</t>
        </is>
      </c>
      <c r="AJ75" s="77">
        <f>IF(AND(AI75="Yes",AF75="Meets all three",AG75="Current delivery confirmed"),"Yes","No")</f>
        <v/>
      </c>
      <c r="AK75" s="77" t="inlineStr"/>
      <c r="AL75" s="77" t="inlineStr">
        <is>
          <t>RG17-S06-R1; RG17-S06-R2; RG17-S06-R3; RG17-S06-R4</t>
        </is>
      </c>
      <c r="AM75" s="77" t="inlineStr">
        <is>
          <t>2025/26 sponsor list not obtained; whether any GDP projects are academically proposed without an industry sponsor not confirmed (guidance describes projects with both external and internal supervisors).</t>
        </is>
      </c>
      <c r="AN75" s="77" t="inlineStr"/>
      <c r="AO75" s="77" t="inlineStr">
        <is>
          <t>UK</t>
        </is>
      </c>
      <c r="AP75" s="77" t="inlineStr">
        <is>
          <t>UK – Russell Group</t>
        </is>
      </c>
      <c r="AQ75" s="77" t="inlineStr">
        <is>
          <t>~1 term/semester</t>
        </is>
      </c>
      <c r="AR75" s="77" t="inlineStr">
        <is>
          <t>All/standard</t>
        </is>
      </c>
      <c r="AS75" s="77" t="inlineStr"/>
    </row>
    <row r="76">
      <c r="A76" s="77" t="inlineStr">
        <is>
          <t>RG17</t>
        </is>
      </c>
      <c r="B76" s="77" t="inlineStr">
        <is>
          <t>Oxford</t>
        </is>
      </c>
      <c r="C76" s="77" t="inlineStr">
        <is>
          <t>Programme/course</t>
        </is>
      </c>
      <c r="D76" s="77" t="inlineStr">
        <is>
          <t>RG17-S07</t>
        </is>
      </c>
      <c r="E76" s="77" t="inlineStr"/>
      <c r="F76" s="77" t="inlineStr">
        <is>
          <t>No</t>
        </is>
      </c>
      <c r="G76" s="79" t="inlineStr">
        <is>
          <t>Third Year Group Design Project (3YP), Engineering Science</t>
        </is>
      </c>
      <c r="H76" s="77" t="inlineStr">
        <is>
          <t>Third Year Group Design Project</t>
        </is>
      </c>
      <c r="I76" s="77" t="inlineStr">
        <is>
          <t>3YP</t>
        </is>
      </c>
      <c r="J76"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76" s="77" t="inlineStr">
        <is>
          <t>Department of Engineering Science</t>
        </is>
      </c>
      <c r="L76" s="77" t="inlineStr">
        <is>
          <t>MEng Engineering Science</t>
        </is>
      </c>
      <c r="M76" s="77" t="inlineStr">
        <is>
          <t>Engineering/computing</t>
        </is>
      </c>
      <c r="N76" s="77" t="inlineStr">
        <is>
          <t>Undergraduate</t>
        </is>
      </c>
      <c r="O76" s="77" t="inlineStr">
        <is>
          <t>Year 3</t>
        </is>
      </c>
      <c r="P76" s="77" t="inlineStr"/>
      <c r="Q76" s="77" t="inlineStr">
        <is>
          <t>Compulsory within specified programmes</t>
        </is>
      </c>
      <c r="R76" s="77" t="inlineStr">
        <is>
          <t>Curricular</t>
        </is>
      </c>
      <c r="S76" s="77" t="inlineStr">
        <is>
          <t>Assessed by individual report on personal contribution to group design project</t>
        </is>
      </c>
      <c r="T76" s="77" t="inlineStr">
        <is>
          <t>About one day per week (term-length)</t>
        </is>
      </c>
      <c r="U76" s="77" t="inlineStr">
        <is>
          <t>In person</t>
        </is>
      </c>
      <c r="V76" s="77" t="inlineStr">
        <is>
          <t>Yes</t>
        </is>
      </c>
      <c r="W76" s="77" t="inlineStr">
        <is>
          <t>Detailed design proposal for a new product/engineering project [1][2].</t>
        </is>
      </c>
      <c r="X76" s="77" t="inlineStr">
        <is>
          <t>Yes</t>
        </is>
      </c>
      <c r="Y76" s="77" t="inlineStr">
        <is>
          <t>Teams of 4-5 students [1][2].</t>
        </is>
      </c>
      <c r="Z76" s="77" t="inlineStr">
        <is>
          <t>Unclear</t>
        </is>
      </c>
      <c r="AA76" s="77" t="inlineStr">
        <is>
          <t>Only one example of company sponsorship found (unnamed Scottish company, college page); no evidence that external organisations are a standard source of 3YP briefs [3].</t>
        </is>
      </c>
      <c r="AB76" s="77" t="inlineStr">
        <is>
          <t>Unclear</t>
        </is>
      </c>
      <c r="AC76" s="77" t="inlineStr">
        <is>
          <t>Occasional sponsor</t>
        </is>
      </c>
      <c r="AD76" s="77" t="inlineStr"/>
      <c r="AE76" s="77" t="inlineStr">
        <is>
          <t>Group design proposal; individual reports</t>
        </is>
      </c>
      <c r="AF76" s="77">
        <f>IF(OR(V76="No",X76="No",Z76="No"),"Outside strict definition",IF(AND(V76="Yes",X76="Yes",Z76="Yes"),"Meets all three","Potentially relevant; evidence incomplete"))</f>
        <v/>
      </c>
      <c r="AG76" s="77" t="inlineStr">
        <is>
          <t>Current status unclear</t>
        </is>
      </c>
      <c r="AH76" s="77" t="inlineStr">
        <is>
          <t>2024/25 (FHS handbook)</t>
        </is>
      </c>
      <c r="AI76" s="77" t="inlineStr">
        <is>
          <t>Yes</t>
        </is>
      </c>
      <c r="AJ76" s="77">
        <f>IF(AND(AI76="Yes",AF76="Meets all three",AG76="Current delivery confirmed"),"Yes","No")</f>
        <v/>
      </c>
      <c r="AK76" s="77" t="inlineStr"/>
      <c r="AL76" s="77" t="inlineStr">
        <is>
          <t>RG17-S07-R1; RG17-S07-R2; RG17-S07-R3</t>
        </is>
      </c>
      <c r="AM76" s="77" t="inlineStr">
        <is>
          <t>Share of industry-sponsored 3YPs and current-year (2025/26) handbook not obtained.</t>
        </is>
      </c>
      <c r="AN76" s="77" t="inlineStr"/>
      <c r="AO76" s="77" t="inlineStr">
        <is>
          <t>UK</t>
        </is>
      </c>
      <c r="AP76" s="77" t="inlineStr">
        <is>
          <t>UK – Russell Group</t>
        </is>
      </c>
      <c r="AQ76" s="77" t="inlineStr">
        <is>
          <t>~1 term/semester</t>
        </is>
      </c>
      <c r="AR76" s="77" t="inlineStr">
        <is>
          <t>Some projects</t>
        </is>
      </c>
      <c r="AS76" s="77" t="inlineStr"/>
    </row>
    <row r="77">
      <c r="A77" s="77" t="inlineStr">
        <is>
          <t>RG17</t>
        </is>
      </c>
      <c r="B77" s="77" t="inlineStr">
        <is>
          <t>Oxford</t>
        </is>
      </c>
      <c r="C77" s="77" t="inlineStr">
        <is>
          <t>Programme/course</t>
        </is>
      </c>
      <c r="D77" s="77" t="inlineStr">
        <is>
          <t>RG17-S08</t>
        </is>
      </c>
      <c r="E77" s="77" t="inlineStr"/>
      <c r="F77" s="77" t="inlineStr">
        <is>
          <t>No</t>
        </is>
      </c>
      <c r="G77" s="79" t="inlineStr">
        <is>
          <t>MSc in Energy Systems whole-cohort consultancy exercise</t>
        </is>
      </c>
      <c r="H77" s="77" t="inlineStr">
        <is>
          <t>MSc Energy Systems whole-cohort consultancy exercise</t>
        </is>
      </c>
      <c r="I77" s="77" t="inlineStr"/>
      <c r="J77"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77" s="77" t="inlineStr">
        <is>
          <t>Department of Engineering Science (MSc Energy Systems, interdepartmental)</t>
        </is>
      </c>
      <c r="L77" s="77" t="inlineStr">
        <is>
          <t>MSc Energy Systems</t>
        </is>
      </c>
      <c r="M77" s="77" t="inlineStr">
        <is>
          <t>Engineering/computing; Science</t>
        </is>
      </c>
      <c r="N77" s="77" t="inlineStr">
        <is>
          <t>Postgraduate taught</t>
        </is>
      </c>
      <c r="O77" s="77" t="inlineStr">
        <is>
          <t>MSc (Hilary-Trinity)</t>
        </is>
      </c>
      <c r="P77" s="77" t="inlineStr"/>
      <c r="Q77" s="77" t="inlineStr">
        <is>
          <t>Compulsory within specified programmes</t>
        </is>
      </c>
      <c r="R77" s="77" t="inlineStr">
        <is>
          <t>Curricular</t>
        </is>
      </c>
      <c r="S77" s="77" t="inlineStr">
        <is>
          <t>Course element (assessment weighting not obtained)</t>
        </is>
      </c>
      <c r="T77" s="77" t="inlineStr">
        <is>
          <t>Planning from Hilary Term; intensive exercise at end of taught course</t>
        </is>
      </c>
      <c r="U77" s="77" t="inlineStr">
        <is>
          <t>In person, whole cohort</t>
        </is>
      </c>
      <c r="V77" s="77" t="inlineStr">
        <is>
          <t>Yes</t>
        </is>
      </c>
      <c r="W77" s="77" t="inlineStr">
        <is>
          <t>Agreed energy-related problem with a defined target and final presentation [1][2].</t>
        </is>
      </c>
      <c r="X77" s="77" t="inlineStr">
        <is>
          <t>Yes</t>
        </is>
      </c>
      <c r="Y77" s="77" t="inlineStr">
        <is>
          <t>'All thirty students work together as if they are a large consultancy' [2].</t>
        </is>
      </c>
      <c r="Z77" s="77" t="inlineStr">
        <is>
          <t>Yes</t>
        </is>
      </c>
      <c r="AA77" s="77" t="inlineStr">
        <is>
          <t>2025/26 handbook: cohort partners with an external stakeholder to plan the agreed problem; stakeholders help set the problem and attend the final presentation [1][2].</t>
        </is>
      </c>
      <c r="AB77" s="77" t="inlineStr">
        <is>
          <t>Unclear</t>
        </is>
      </c>
      <c r="AC77" s="77" t="inlineStr">
        <is>
          <t>Sets/agrees problem; receives presentation. Some past 'stakeholders' were internal (university colleges; University sustainability strategy in Covid year).</t>
        </is>
      </c>
      <c r="AD77" s="77" t="inlineStr">
        <is>
          <t>Begbroke Innovation District masterplan review with an (unnamed) international consultancy (c. 2021 interview)</t>
        </is>
      </c>
      <c r="AE77" s="77" t="inlineStr">
        <is>
          <t>Consultancy output and presentation to stakeholder</t>
        </is>
      </c>
      <c r="AF77" s="77">
        <f>IF(OR(V77="No",X77="No",Z77="No"),"Outside strict definition",IF(AND(V77="Yes",X77="Yes",Z77="Yes"),"Meets all three","Potentially relevant; evidence incomplete"))</f>
        <v/>
      </c>
      <c r="AG77" s="77" t="inlineStr">
        <is>
          <t>Current delivery confirmed</t>
        </is>
      </c>
      <c r="AH77" s="77" t="inlineStr">
        <is>
          <t>2025/26 (course handbook)</t>
        </is>
      </c>
      <c r="AI77" s="77" t="inlineStr">
        <is>
          <t>Yes</t>
        </is>
      </c>
      <c r="AJ77" s="77">
        <f>IF(AND(AI77="Yes",AF77="Meets all three",AG77="Current delivery confirmed"),"Yes","No")</f>
        <v/>
      </c>
      <c r="AK77" s="77" t="inlineStr"/>
      <c r="AL77" s="77" t="inlineStr">
        <is>
          <t>RG17-S08-R1; RG17-S08-R2</t>
        </is>
      </c>
      <c r="AM77" s="77" t="inlineStr">
        <is>
          <t>Some historic stakeholders were University bodies (internal); 2025/26 stakeholder not named; duration of the exercise not stated.</t>
        </is>
      </c>
      <c r="AN77" s="77" t="inlineStr"/>
      <c r="AO77" s="77" t="inlineStr">
        <is>
          <t>UK</t>
        </is>
      </c>
      <c r="AP77" s="77" t="inlineStr">
        <is>
          <t>UK – Russell Group</t>
        </is>
      </c>
      <c r="AQ77" s="77" t="inlineStr">
        <is>
          <t>Unclear</t>
        </is>
      </c>
      <c r="AR77" s="77" t="inlineStr">
        <is>
          <t>All/standard</t>
        </is>
      </c>
      <c r="AS77" s="77" t="inlineStr"/>
    </row>
    <row r="78">
      <c r="A78" s="77" t="inlineStr">
        <is>
          <t>UK02</t>
        </is>
      </c>
      <c r="B78" s="77" t="inlineStr">
        <is>
          <t>St Andrews</t>
        </is>
      </c>
      <c r="C78" s="77" t="inlineStr">
        <is>
          <t>Unclear</t>
        </is>
      </c>
      <c r="D78" s="77" t="inlineStr">
        <is>
          <t>UK02-S01</t>
        </is>
      </c>
      <c r="E78" s="77" t="inlineStr"/>
      <c r="F78" s="77" t="inlineStr">
        <is>
          <t>No</t>
        </is>
      </c>
      <c r="G78" s="79" t="inlineStr">
        <is>
          <t>Vertically Integrated Projects (VIP)</t>
        </is>
      </c>
      <c r="H78" s="77" t="inlineStr">
        <is>
          <t>Vertically Integrated Projects (VIP)</t>
        </is>
      </c>
      <c r="I78" s="77" t="inlineStr">
        <is>
          <t>VP-prefixed modules (e.g. VP2026)</t>
        </is>
      </c>
      <c r="J78"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78" s="77" t="inlineStr">
        <is>
          <t>Central Education (VIP team, viprojects@st-andrews.ac.uk)</t>
        </is>
      </c>
      <c r="L78" s="77" t="inlineStr">
        <is>
          <t>Not re-verified in this review (legacy row states Arts and Science students at different study levels)</t>
        </is>
      </c>
      <c r="M78" s="77" t="inlineStr">
        <is>
          <t>Central provision</t>
        </is>
      </c>
      <c r="N78" s="77" t="inlineStr">
        <is>
          <t>Undergraduate</t>
        </is>
      </c>
      <c r="O78" s="77" t="inlineStr">
        <is>
          <t>Different levels of study combined</t>
        </is>
      </c>
      <c r="P78" s="77" t="inlineStr">
        <is>
          <t>One VIP per semester; must be taken for credit; application required (rolling, projects may close when full). Faculty-level eligibility not re-verified.</t>
        </is>
      </c>
      <c r="Q78" s="77" t="inlineStr">
        <is>
          <t>Optional/elective</t>
        </is>
      </c>
      <c r="R78" s="77" t="inlineStr">
        <is>
          <t>Curricular</t>
        </is>
      </c>
      <c r="S78" s="77" t="inlineStr">
        <is>
          <t>10, 15, 20 or 30 SCOTCAT credits per semester; 5 credits for returning students; appears on transcript</t>
        </is>
      </c>
      <c r="T78" s="77" t="inlineStr">
        <is>
          <t>Per semester; multi-semester participation encouraged</t>
        </is>
      </c>
      <c r="U78" s="77" t="inlineStr">
        <is>
          <t>In person research team</t>
        </is>
      </c>
      <c r="V78" s="77" t="inlineStr">
        <is>
          <t>Yes</t>
        </is>
      </c>
      <c r="W78" s="77" t="inlineStr">
        <is>
          <t>Team contributes to an ongoing research project addressing 'genuine research questions' [2][3]; St Andrews Forest example produces a commissioned report and group presentation [4].</t>
        </is>
      </c>
      <c r="X78" s="77" t="inlineStr">
        <is>
          <t>Yes</t>
        </is>
      </c>
      <c r="Y78" s="77" t="inlineStr">
        <is>
          <t>'A VIP brings together a student team formed from different disciplines and levels of study' [3]; the team addresses research questions jointly [2].</t>
        </is>
      </c>
      <c r="Z78" s="77" t="inlineStr">
        <is>
          <t>Unclear</t>
        </is>
      </c>
      <c r="AA78"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t>
        </is>
      </c>
      <c r="AB78" s="77" t="inlineStr">
        <is>
          <t>Unclear</t>
        </is>
      </c>
      <c r="AC78" s="77" t="inlineStr">
        <is>
          <t>Mostly internal academic research; occasional external practitioners/community participants in individual projects</t>
        </is>
      </c>
      <c r="AD78" s="77" t="inlineStr"/>
      <c r="AE78" s="77" t="inlineStr">
        <is>
          <t>Research contributions; project-specific outputs (e.g. report and group presentation in St Andrews Forest VIP)</t>
        </is>
      </c>
      <c r="AF78" s="77">
        <f>IF(OR(V78="No",X78="No",Z78="No"),"Outside strict definition",IF(AND(V78="Yes",X78="Yes",Z78="Yes"),"Meets all three","Potentially relevant; evidence incomplete"))</f>
        <v/>
      </c>
      <c r="AG78" s="77" t="inlineStr">
        <is>
          <t>Current delivery confirmed</t>
        </is>
      </c>
      <c r="AH78" s="77" t="inlineStr">
        <is>
          <t>2026/27</t>
        </is>
      </c>
      <c r="AI78" s="77" t="inlineStr">
        <is>
          <t>Yes</t>
        </is>
      </c>
      <c r="AJ78" s="77">
        <f>IF(AND(AI78="Yes",AF78="Meets all three",AG78="Current delivery confirmed"),"Yes","No")</f>
        <v/>
      </c>
      <c r="AK78" s="77" t="inlineStr"/>
      <c r="AL78" s="77" t="inlineStr">
        <is>
          <t>UK02-S01-R1; UK02-S01-R2; UK02-S01-R3; UK02-S01-R4; UK02-S01-R5</t>
        </is>
      </c>
      <c r="AM78" s="77" t="inlineStr">
        <is>
          <t>Which of the current VIP projects (projects page) involve external organisations as brief-setters or recipients; faculty eligibility (legacy: Arts and Science) not re-verified because the search budget was exhausted.</t>
        </is>
      </c>
      <c r="AN78" s="77" t="inlineStr">
        <is>
          <t>Vertically Integrated Projects (VIP)</t>
        </is>
      </c>
      <c r="AO78" s="77" t="inlineStr">
        <is>
          <t>UK</t>
        </is>
      </c>
      <c r="AP78" s="77" t="inlineStr">
        <is>
          <t>UK – additional</t>
        </is>
      </c>
      <c r="AQ78" s="77" t="inlineStr">
        <is>
          <t>~1 term/semester</t>
        </is>
      </c>
      <c r="AR78" s="77" t="inlineStr">
        <is>
          <t>Some projects</t>
        </is>
      </c>
      <c r="AS78" s="77" t="inlineStr"/>
    </row>
    <row r="79">
      <c r="A79" s="77" t="inlineStr">
        <is>
          <t>UK02</t>
        </is>
      </c>
      <c r="B79" s="77" t="inlineStr">
        <is>
          <t>St Andrews</t>
        </is>
      </c>
      <c r="C79" s="77" t="inlineStr">
        <is>
          <t>University-wide</t>
        </is>
      </c>
      <c r="D79" s="77" t="inlineStr">
        <is>
          <t>UK02-S02</t>
        </is>
      </c>
      <c r="E79" s="77" t="inlineStr"/>
      <c r="F79" s="77" t="inlineStr">
        <is>
          <t>No</t>
        </is>
      </c>
      <c r="G79" s="79" t="inlineStr">
        <is>
          <t>Summer Team Enterprise Programme (STEP)</t>
        </is>
      </c>
      <c r="H79" s="77" t="inlineStr">
        <is>
          <t>Summer Team Enterprise Programme (STEP)</t>
        </is>
      </c>
      <c r="I79" s="77" t="inlineStr"/>
      <c r="J79"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79" s="77" t="inlineStr">
        <is>
          <t>International Education and Lifelong Learning Institute (IELLI) / Education</t>
        </is>
      </c>
      <c r="L79" s="77" t="inlineStr">
        <is>
          <t>St Andrews undergraduates (no faculty restriction stated)</t>
        </is>
      </c>
      <c r="M79" s="77" t="inlineStr">
        <is>
          <t>Central provision</t>
        </is>
      </c>
      <c r="N79" s="77" t="inlineStr">
        <is>
          <t>Undergraduate</t>
        </is>
      </c>
      <c r="O79" s="77" t="inlineStr">
        <is>
          <t>Not stated</t>
        </is>
      </c>
      <c r="P79" s="77" t="inlineStr">
        <is>
          <t>Application required (2026 deadline 4 May)</t>
        </is>
      </c>
      <c r="Q79" s="77" t="inlineStr">
        <is>
          <t>Selective/competitive</t>
        </is>
      </c>
      <c r="R79" s="77" t="inlineStr">
        <is>
          <t>Extracurricular</t>
        </is>
      </c>
      <c r="S79" s="77" t="inlineStr">
        <is>
          <t>No credit; recorded on HEAR transcript; LinkedIn badge on completion</t>
        </is>
      </c>
      <c r="T79" s="77" t="inlineStr">
        <is>
          <t>About 7 weeks (2026: core project work 25 May-13 July; closing ceremony 3 August), 4-6 hours/week</t>
        </is>
      </c>
      <c r="U79" s="77" t="inlineStr">
        <is>
          <t>Online, remote teams</t>
        </is>
      </c>
      <c r="V79" s="77" t="inlineStr">
        <is>
          <t>Yes</t>
        </is>
      </c>
      <c r="W79" s="77" t="inlineStr">
        <is>
          <t>'Real-life project' with outputs such as research report, video, educational resource, creative work or website [1]; 'real consulting project' [2].</t>
        </is>
      </c>
      <c r="X79" s="77" t="inlineStr">
        <is>
          <t>Yes</t>
        </is>
      </c>
      <c r="Y79" s="77" t="inlineStr">
        <is>
          <t>Students placed in a remote project team of six or seven undergraduates [1].</t>
        </is>
      </c>
      <c r="Z79" s="77" t="inlineStr">
        <is>
          <t>No</t>
        </is>
      </c>
      <c r="AA79" s="77" t="inlineStr">
        <is>
          <t>Clients are internal: projects are 'designed and supported by University staff' [1] for 'various University academic Schools and professional service units' [2]. No external organisation evidenced.</t>
        </is>
      </c>
      <c r="AB79" s="77" t="inlineStr">
        <is>
          <t>Other</t>
        </is>
      </c>
      <c r="AC79" s="77" t="inlineStr">
        <is>
          <t>Internal University Schools and professional service units act as project sponsors (internal clients - does not satisfy C)</t>
        </is>
      </c>
      <c r="AD79" s="77" t="inlineStr"/>
      <c r="AE79" s="77" t="inlineStr">
        <is>
          <t>Research report, video, educational resource, creative work or website</t>
        </is>
      </c>
      <c r="AF79" s="77">
        <f>IF(OR(V79="No",X79="No",Z79="No"),"Outside strict definition",IF(AND(V79="Yes",X79="Yes",Z79="Yes"),"Meets all three","Potentially relevant; evidence incomplete"))</f>
        <v/>
      </c>
      <c r="AG79" s="77" t="inlineStr">
        <is>
          <t>Current delivery confirmed</t>
        </is>
      </c>
      <c r="AH79" s="77" t="inlineStr">
        <is>
          <t>2026</t>
        </is>
      </c>
      <c r="AI79" s="77" t="inlineStr">
        <is>
          <t>Yes</t>
        </is>
      </c>
      <c r="AJ79" s="77">
        <f>IF(AND(AI79="Yes",AF79="Meets all three",AG79="Current delivery confirmed"),"Yes","No")</f>
        <v/>
      </c>
      <c r="AK79" s="77" t="inlineStr"/>
      <c r="AL79" s="77" t="inlineStr">
        <is>
          <t>UK02-S02-R1; UK02-S02-R2</t>
        </is>
      </c>
      <c r="AM79" s="77" t="inlineStr">
        <is>
          <t>Duration band left Unclear: about 7 weeks part-time (4-6 h/week), which falls between the '1-4 weeks' and '~1 term' bands. The 2026 project list was not retrieved, so some projects may have external sponsors.</t>
        </is>
      </c>
      <c r="AN79" s="77" t="inlineStr"/>
      <c r="AO79" s="77" t="inlineStr">
        <is>
          <t>UK</t>
        </is>
      </c>
      <c r="AP79" s="77" t="inlineStr">
        <is>
          <t>UK – additional</t>
        </is>
      </c>
      <c r="AQ79" s="77" t="inlineStr">
        <is>
          <t>Unclear</t>
        </is>
      </c>
      <c r="AR79" s="77" t="inlineStr">
        <is>
          <t>Unclear</t>
        </is>
      </c>
      <c r="AS79" s="77" t="inlineStr"/>
    </row>
    <row r="80">
      <c r="A80" s="77" t="inlineStr">
        <is>
          <t>UK02</t>
        </is>
      </c>
      <c r="B80" s="77" t="inlineStr">
        <is>
          <t>St Andrews</t>
        </is>
      </c>
      <c r="C80" s="77" t="inlineStr">
        <is>
          <t>Programme/course</t>
        </is>
      </c>
      <c r="D80" s="77" t="inlineStr">
        <is>
          <t>UK02-S03</t>
        </is>
      </c>
      <c r="E80" s="77" t="inlineStr"/>
      <c r="F80" s="77" t="inlineStr">
        <is>
          <t>No</t>
        </is>
      </c>
      <c r="G80" s="79" t="inlineStr">
        <is>
          <t>CS3099 Software Engineering Team Project</t>
        </is>
      </c>
      <c r="H80" s="77" t="inlineStr">
        <is>
          <t>CS3099 Software Engineering Team Project</t>
        </is>
      </c>
      <c r="I80" s="77" t="inlineStr">
        <is>
          <t>CS3099</t>
        </is>
      </c>
      <c r="J80"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80" s="77" t="inlineStr">
        <is>
          <t>School of Computer Science</t>
        </is>
      </c>
      <c r="L80" s="77" t="inlineStr">
        <is>
          <t>Computer Science honours (prerequisites CS2002 and CS2101 or CS2001)</t>
        </is>
      </c>
      <c r="M80" s="77" t="inlineStr">
        <is>
          <t>Engineering/computing</t>
        </is>
      </c>
      <c r="N80" s="77" t="inlineStr">
        <is>
          <t>Undergraduate</t>
        </is>
      </c>
      <c r="O80" s="77" t="inlineStr">
        <is>
          <t>Year 3</t>
        </is>
      </c>
      <c r="P80" s="77" t="inlineStr">
        <is>
          <t>Prerequisites CS2002 and (CS2101 or CS2001)</t>
        </is>
      </c>
      <c r="Q80" s="77" t="inlineStr">
        <is>
          <t>Unclear</t>
        </is>
      </c>
      <c r="R80" s="77" t="inlineStr">
        <is>
          <t>Curricular</t>
        </is>
      </c>
      <c r="S80" s="77" t="inlineStr">
        <is>
          <t>30 SCOTCAT (15 ECTS); 100% coursework, no reassessment</t>
        </is>
      </c>
      <c r="T80" s="77" t="inlineStr">
        <is>
          <t>Full year</t>
        </is>
      </c>
      <c r="U80" s="77" t="inlineStr">
        <is>
          <t>In person team project</t>
        </is>
      </c>
      <c r="V80" s="77" t="inlineStr">
        <is>
          <t>Yes</t>
        </is>
      </c>
      <c r="W80" s="77" t="inlineStr">
        <is>
          <t>Teams build a medium-sized software system from specification to documentation [1].</t>
        </is>
      </c>
      <c r="X80" s="77" t="inlineStr">
        <is>
          <t>Yes</t>
        </is>
      </c>
      <c r="Y80" s="77" t="inlineStr">
        <is>
          <t>Team project; third-year undergraduates 'work in groups to create a software product' [1][2].</t>
        </is>
      </c>
      <c r="Z80" s="77" t="inlineStr">
        <is>
          <t>Unclear</t>
        </is>
      </c>
      <c r="AA80"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80" s="77" t="inlineStr">
        <is>
          <t>Business/commercial</t>
        </is>
      </c>
      <c r="AC80" s="77" t="inlineStr">
        <is>
          <t>Involvement of Experian and Skyscanner (role unspecified); Skyscanner collaborated on accessibility theme</t>
        </is>
      </c>
      <c r="AD80" s="77" t="inlineStr">
        <is>
          <t>Experian, Skyscanner (blog, April 2025)</t>
        </is>
      </c>
      <c r="AE80" s="77" t="inlineStr">
        <is>
          <t>Software product with documentation</t>
        </is>
      </c>
      <c r="AF80" s="77">
        <f>IF(OR(V80="No",X80="No",Z80="No"),"Outside strict definition",IF(AND(V80="Yes",X80="Yes",Z80="Yes"),"Meets all three","Potentially relevant; evidence incomplete"))</f>
        <v/>
      </c>
      <c r="AG80" s="77" t="inlineStr">
        <is>
          <t>Current delivery confirmed</t>
        </is>
      </c>
      <c r="AH80" s="77" t="inlineStr">
        <is>
          <t>2026/27</t>
        </is>
      </c>
      <c r="AI80" s="77" t="inlineStr">
        <is>
          <t>Yes</t>
        </is>
      </c>
      <c r="AJ80" s="77">
        <f>IF(AND(AI80="Yes",AF80="Meets all three",AG80="Current delivery confirmed"),"Yes","No")</f>
        <v/>
      </c>
      <c r="AK80" s="77" t="inlineStr"/>
      <c r="AL80" s="77" t="inlineStr">
        <is>
          <t>UK02-S03-R1; UK02-S03-R2; UK02-S03-R3</t>
        </is>
      </c>
      <c r="AM80" s="77" t="inlineStr">
        <is>
          <t>Whether industry partners set project briefs for all/some teams and whether this continued after 2025; whether CS3099 is compulsory for CS single honours.</t>
        </is>
      </c>
      <c r="AN80" s="77" t="inlineStr"/>
      <c r="AO80" s="77" t="inlineStr">
        <is>
          <t>UK</t>
        </is>
      </c>
      <c r="AP80" s="77" t="inlineStr">
        <is>
          <t>UK – additional</t>
        </is>
      </c>
      <c r="AQ80" s="77" t="inlineStr">
        <is>
          <t>&gt;1 term</t>
        </is>
      </c>
      <c r="AR80" s="77" t="inlineStr">
        <is>
          <t>Unclear</t>
        </is>
      </c>
      <c r="AS80" s="77" t="inlineStr"/>
    </row>
    <row r="81">
      <c r="A81" s="77" t="inlineStr">
        <is>
          <t>UK02</t>
        </is>
      </c>
      <c r="B81" s="77" t="inlineStr">
        <is>
          <t>St Andrews</t>
        </is>
      </c>
      <c r="C81" s="77" t="inlineStr">
        <is>
          <t>Programme/course</t>
        </is>
      </c>
      <c r="D81" s="77" t="inlineStr">
        <is>
          <t>UK02-S04</t>
        </is>
      </c>
      <c r="E81" s="77" t="inlineStr"/>
      <c r="F81" s="77" t="inlineStr">
        <is>
          <t>No</t>
        </is>
      </c>
      <c r="G81" s="79" t="inlineStr">
        <is>
          <t>Management MSc - consultancy projects with local organisations</t>
        </is>
      </c>
      <c r="H81" s="77" t="inlineStr">
        <is>
          <t>Management MSc - consultancy projects with local organisations</t>
        </is>
      </c>
      <c r="I81" s="77" t="inlineStr"/>
      <c r="J81"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81" s="77" t="inlineStr">
        <is>
          <t>Business School (formerly School of Management)</t>
        </is>
      </c>
      <c r="L81" s="77" t="inlineStr">
        <is>
          <t>Management MSc</t>
        </is>
      </c>
      <c r="M81" s="77" t="inlineStr">
        <is>
          <t>Business/management</t>
        </is>
      </c>
      <c r="N81" s="77" t="inlineStr">
        <is>
          <t>Postgraduate taught</t>
        </is>
      </c>
      <c r="O81" s="77" t="inlineStr">
        <is>
          <t>One-year MSc</t>
        </is>
      </c>
      <c r="P81" s="77" t="inlineStr">
        <is>
          <t>Management MSc students</t>
        </is>
      </c>
      <c r="Q81" s="77" t="inlineStr">
        <is>
          <t>Unclear</t>
        </is>
      </c>
      <c r="R81" s="77" t="inlineStr">
        <is>
          <t>Unclear</t>
        </is>
      </c>
      <c r="S81" s="77" t="inlineStr">
        <is>
          <t>Not identified</t>
        </is>
      </c>
      <c r="T81" s="77" t="inlineStr">
        <is>
          <t>Not identified</t>
        </is>
      </c>
      <c r="U81" s="77" t="inlineStr">
        <is>
          <t>Not identified</t>
        </is>
      </c>
      <c r="V81" s="77" t="inlineStr">
        <is>
          <t>Unclear</t>
        </is>
      </c>
      <c r="W81" s="77" t="inlineStr">
        <is>
          <t>'Consultancy projects' named [1], but no brief, output or module description found.</t>
        </is>
      </c>
      <c r="X81" s="77" t="inlineStr">
        <is>
          <t>Unclear</t>
        </is>
      </c>
      <c r="Y81" s="77" t="inlineStr">
        <is>
          <t>No team evidence for the consultancy projects; MLitt archive page mentions 'consultancy projects, and team activities' separately [2].</t>
        </is>
      </c>
      <c r="Z81" s="77" t="inlineStr">
        <is>
          <t>Unclear</t>
        </is>
      </c>
      <c r="AA81" s="77" t="inlineStr">
        <is>
          <t>Projects are 'with local organisations' [1]; worded as an 'opportunity', role of organisations not described.</t>
        </is>
      </c>
      <c r="AB81" s="77" t="inlineStr">
        <is>
          <t>Unclear</t>
        </is>
      </c>
      <c r="AC81" s="77" t="inlineStr">
        <is>
          <t>Local organisations (role not described)</t>
        </is>
      </c>
      <c r="AD81" s="77" t="inlineStr"/>
      <c r="AE81" s="77" t="inlineStr">
        <is>
          <t>Not identified</t>
        </is>
      </c>
      <c r="AF81" s="77">
        <f>IF(OR(V81="No",X81="No",Z81="No"),"Outside strict definition",IF(AND(V81="Yes",X81="Yes",Z81="Yes"),"Meets all three","Potentially relevant; evidence incomplete"))</f>
        <v/>
      </c>
      <c r="AG81" s="77" t="inlineStr">
        <is>
          <t>Current status unclear</t>
        </is>
      </c>
      <c r="AH81" s="77" t="inlineStr">
        <is>
          <t>2027 entry (prospectus)</t>
        </is>
      </c>
      <c r="AI81" s="77" t="inlineStr">
        <is>
          <t>Yes</t>
        </is>
      </c>
      <c r="AJ81" s="77">
        <f>IF(AND(AI81="Yes",AF81="Meets all three",AG81="Current delivery confirmed"),"Yes","No")</f>
        <v/>
      </c>
      <c r="AK81" s="77" t="inlineStr"/>
      <c r="AL81" s="77" t="inlineStr">
        <is>
          <t>UK02-S04-R1; UK02-S04-R2</t>
        </is>
      </c>
      <c r="AM81"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81" s="77" t="inlineStr"/>
      <c r="AO81" s="77" t="inlineStr">
        <is>
          <t>UK</t>
        </is>
      </c>
      <c r="AP81" s="77" t="inlineStr">
        <is>
          <t>UK – additional</t>
        </is>
      </c>
      <c r="AQ81" s="77" t="inlineStr">
        <is>
          <t>Unclear</t>
        </is>
      </c>
      <c r="AR81" s="77" t="inlineStr">
        <is>
          <t>Unclear</t>
        </is>
      </c>
      <c r="AS81" s="77" t="inlineStr"/>
    </row>
    <row r="82">
      <c r="A82" s="77" t="inlineStr">
        <is>
          <t>UK05</t>
        </is>
      </c>
      <c r="B82" s="77" t="inlineStr">
        <is>
          <t>Aberdeen</t>
        </is>
      </c>
      <c r="C82" s="77" t="inlineStr">
        <is>
          <t>University-wide</t>
        </is>
      </c>
      <c r="D82" s="77" t="inlineStr">
        <is>
          <t>UK05-S01</t>
        </is>
      </c>
      <c r="E82" s="77" t="inlineStr"/>
      <c r="F82" s="77" t="inlineStr">
        <is>
          <t>No</t>
        </is>
      </c>
      <c r="G82" s="79" t="inlineStr">
        <is>
          <t>Work-Based Learning: Team Projects with Employer Partners</t>
        </is>
      </c>
      <c r="H82" s="77" t="inlineStr">
        <is>
          <t>Work-Based Learning: Team Projects with Employer Partners</t>
        </is>
      </c>
      <c r="I82" s="77" t="inlineStr">
        <is>
          <t>PD2503</t>
        </is>
      </c>
      <c r="J82"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82" s="77" t="inlineStr">
        <is>
          <t>Professional Development (catalogue subject); Careers and Employability lists it among curricular work-experience courses</t>
        </is>
      </c>
      <c r="L82" s="77" t="inlineStr">
        <is>
          <t>Any undergraduate programme (Level 2)</t>
        </is>
      </c>
      <c r="M82" s="77" t="inlineStr">
        <is>
          <t>Central provision</t>
        </is>
      </c>
      <c r="N82" s="77" t="inlineStr">
        <is>
          <t>Undergraduate</t>
        </is>
      </c>
      <c r="O82" s="77" t="inlineStr">
        <is>
          <t>Level 2 (second-year)</t>
        </is>
      </c>
      <c r="P82" s="77" t="inlineStr">
        <is>
          <t>Prerequisites listed as Programme Level 2 and Any Undergraduate Programme; entry via project application and interview</t>
        </is>
      </c>
      <c r="Q82" s="77" t="inlineStr">
        <is>
          <t>Selective/competitive</t>
        </is>
      </c>
      <c r="R82" s="77" t="inlineStr">
        <is>
          <t>Curricular</t>
        </is>
      </c>
      <c r="S82" s="77" t="inlineStr">
        <is>
          <t>15 SCQF credits (7.5 ECTS); Achieved/Not Achieved. Components: project application, interview, project plan, reflective reports, group report (largest weight, reported as 40%), pitch/presentation (reported as 15%). Search summary noted the catalogue weightings appear to sum to more than 100%.</t>
        </is>
      </c>
      <c r="T82" s="77" t="inlineStr">
        <is>
          <t>One term (second term)</t>
        </is>
      </c>
      <c r="U82" s="77" t="inlineStr">
        <is>
          <t>Aberdeen campus; team project with sponsor contact</t>
        </is>
      </c>
      <c r="V82" s="77" t="inlineStr">
        <is>
          <t>Yes</t>
        </is>
      </c>
      <c r="W82" s="77" t="inlineStr">
        <is>
          <t>A defined sponsored project run from application through project plan and milestones to a group report and pitch [1][2].</t>
        </is>
      </c>
      <c r="X82" s="77" t="inlineStr">
        <is>
          <t>Yes</t>
        </is>
      </c>
      <c r="Y82" s="77" t="inlineStr">
        <is>
          <t>Course title and catalogue describe working in a team on a real project, with a team project plan and final team submission/group report [1][2].</t>
        </is>
      </c>
      <c r="Z82" s="77" t="inlineStr">
        <is>
          <t>Yes</t>
        </is>
      </c>
      <c r="AA82" s="77" t="inlineStr">
        <is>
          <t>Each project has a sponsoring organisation: students work directly with the project sponsor and get feedback; the draft plan goes to the sponsor for sign-off; the final pitch is shown to the project sponsors; projects must add value for the sponsor [1][2].</t>
        </is>
      </c>
      <c r="AB82" s="77" t="inlineStr">
        <is>
          <t>Unclear</t>
        </is>
      </c>
      <c r="AC82" s="77" t="inlineStr">
        <is>
          <t>Project sponsor: sets the project, signs off the plan, gives feedback, receives the pitch</t>
        </is>
      </c>
      <c r="AD82" s="77" t="inlineStr"/>
      <c r="AE82" s="77" t="inlineStr">
        <is>
          <t>Team project plan, group report, pre-recorded pitch to sponsors</t>
        </is>
      </c>
      <c r="AF82" s="77">
        <f>IF(OR(V82="No",X82="No",Z82="No"),"Outside strict definition",IF(AND(V82="Yes",X82="Yes",Z82="Yes"),"Meets all three","Potentially relevant; evidence incomplete"))</f>
        <v/>
      </c>
      <c r="AG82" s="77" t="inlineStr">
        <is>
          <t>Current status unclear</t>
        </is>
      </c>
      <c r="AH82" s="77" t="inlineStr">
        <is>
          <t>2024/25</t>
        </is>
      </c>
      <c r="AI82" s="77" t="inlineStr">
        <is>
          <t>Yes</t>
        </is>
      </c>
      <c r="AJ82" s="77">
        <f>IF(AND(AI82="Yes",AF82="Meets all three",AG82="Current delivery confirmed"),"Yes","No")</f>
        <v/>
      </c>
      <c r="AK82" s="77" t="inlineStr">
        <is>
          <t>23 undergraduates from a range of disciplines enrolled when the course launched in January 2025 (staff blog) [3]</t>
        </is>
      </c>
      <c r="AL82" s="77" t="inlineStr">
        <is>
          <t>UK05-S01-R1; UK05-S01-R2; UK05-S01-R3</t>
        </is>
      </c>
      <c r="AM82" s="77" t="inlineStr">
        <is>
          <t>The catalogue URL path is /2025/, but the search summary described the entry as titled 2024-2025. No 2025/26 or 2026/27 delivery was confirmed. Partner sectors and named sponsors were not retrieved. Search budget ran out before verification.</t>
        </is>
      </c>
      <c r="AN82" s="77" t="inlineStr"/>
      <c r="AO82" s="77" t="inlineStr">
        <is>
          <t>UK</t>
        </is>
      </c>
      <c r="AP82" s="77" t="inlineStr">
        <is>
          <t>UK – additional</t>
        </is>
      </c>
      <c r="AQ82" s="77" t="inlineStr">
        <is>
          <t>~1 term/semester</t>
        </is>
      </c>
      <c r="AR82" s="77" t="inlineStr">
        <is>
          <t>All/standard</t>
        </is>
      </c>
      <c r="AS82" s="77" t="inlineStr"/>
    </row>
    <row r="83">
      <c r="A83" s="77" t="inlineStr">
        <is>
          <t>UK05</t>
        </is>
      </c>
      <c r="B83" s="77" t="inlineStr">
        <is>
          <t>Aberdeen</t>
        </is>
      </c>
      <c r="C83" s="77" t="inlineStr">
        <is>
          <t>Unclear</t>
        </is>
      </c>
      <c r="D83" s="77" t="inlineStr">
        <is>
          <t>UK05-S02</t>
        </is>
      </c>
      <c r="E83" s="77" t="inlineStr"/>
      <c r="F83" s="77" t="inlineStr">
        <is>
          <t>No</t>
        </is>
      </c>
      <c r="G83" s="79" t="inlineStr">
        <is>
          <t>Employer-led Interdisciplinary Project</t>
        </is>
      </c>
      <c r="H83" s="77" t="inlineStr">
        <is>
          <t>Employer-led Interdisciplinary Project</t>
        </is>
      </c>
      <c r="I83" s="77" t="inlineStr">
        <is>
          <t>ED3537</t>
        </is>
      </c>
      <c r="J83" s="77" t="inlineStr">
        <is>
          <t>Level 3 course in which students work together in a small group on a consultancy-style project hosted by a micro-business, organisation or charity.</t>
        </is>
      </c>
      <c r="K83" s="77" t="inlineStr">
        <is>
          <t>Catalogue subject: Education</t>
        </is>
      </c>
      <c r="L83" s="77" t="inlineStr">
        <is>
          <t>Not retrieved (interdisciplinary title suggests open across subjects, unverified)</t>
        </is>
      </c>
      <c r="M83" s="77" t="inlineStr">
        <is>
          <t>Central provision</t>
        </is>
      </c>
      <c r="N83" s="77" t="inlineStr">
        <is>
          <t>Undergraduate</t>
        </is>
      </c>
      <c r="O83" s="77" t="inlineStr">
        <is>
          <t>Level 3</t>
        </is>
      </c>
      <c r="P83" s="77" t="inlineStr">
        <is>
          <t>Not retrieved</t>
        </is>
      </c>
      <c r="Q83" s="77" t="inlineStr">
        <is>
          <t>Optional/elective</t>
        </is>
      </c>
      <c r="R83" s="77" t="inlineStr">
        <is>
          <t>Curricular</t>
        </is>
      </c>
      <c r="S83" s="77" t="inlineStr">
        <is>
          <t>Not retrieved</t>
        </is>
      </c>
      <c r="T83" s="77" t="inlineStr">
        <is>
          <t>Not retrieved</t>
        </is>
      </c>
      <c r="U83" s="77" t="inlineStr">
        <is>
          <t>Not retrieved</t>
        </is>
      </c>
      <c r="V83" s="77" t="inlineStr">
        <is>
          <t>Yes</t>
        </is>
      </c>
      <c r="W83" s="77" t="inlineStr">
        <is>
          <t>Consultancy-style project [1].</t>
        </is>
      </c>
      <c r="X83" s="77" t="inlineStr">
        <is>
          <t>Yes</t>
        </is>
      </c>
      <c r="Y83" s="77" t="inlineStr">
        <is>
          <t>Students work together in a small group [1].</t>
        </is>
      </c>
      <c r="Z83" s="77" t="inlineStr">
        <is>
          <t>Yes</t>
        </is>
      </c>
      <c r="AA83" s="77" t="inlineStr">
        <is>
          <t>Each project is hosted by a micro-business, organisation or charity [1]. The exact role of the host (brief, feedback, assessment) was not retrieved.</t>
        </is>
      </c>
      <c r="AB83" s="77" t="inlineStr">
        <is>
          <t>Mixed</t>
        </is>
      </c>
      <c r="AC83" s="77" t="inlineStr">
        <is>
          <t>Host organisation for the consultancy project (micro-businesses, other organisations, charities)</t>
        </is>
      </c>
      <c r="AD83" s="77" t="inlineStr"/>
      <c r="AE83" s="77" t="inlineStr">
        <is>
          <t>Consultancy-style project output (form not retrieved)</t>
        </is>
      </c>
      <c r="AF83" s="77">
        <f>IF(OR(V83="No",X83="No",Z83="No"),"Outside strict definition",IF(AND(V83="Yes",X83="Yes",Z83="Yes"),"Meets all three","Potentially relevant; evidence incomplete"))</f>
        <v/>
      </c>
      <c r="AG83" s="77" t="inlineStr">
        <is>
          <t>Current status unclear</t>
        </is>
      </c>
      <c r="AH83" s="77" t="inlineStr">
        <is>
          <t>2023/24 or 2024/25 (catalogue URL /2024/; summary said 2023-2024)</t>
        </is>
      </c>
      <c r="AI83" s="77" t="inlineStr">
        <is>
          <t>Yes</t>
        </is>
      </c>
      <c r="AJ83" s="77">
        <f>IF(AND(AI83="Yes",AF83="Meets all three",AG83="Current delivery confirmed"),"Yes","No")</f>
        <v/>
      </c>
      <c r="AK83" s="77" t="inlineStr"/>
      <c r="AL83" s="77" t="inlineStr">
        <is>
          <t>UK05-S02-R1</t>
        </is>
      </c>
      <c r="AM83" s="77" t="inlineStr">
        <is>
          <t>Eligibility, credits, assessment and current delivery were not retrieved (search budget ran out). The course may have been replaced by or merged with PD2503; unverified.</t>
        </is>
      </c>
      <c r="AN83" s="77" t="inlineStr"/>
      <c r="AO83" s="77" t="inlineStr">
        <is>
          <t>UK</t>
        </is>
      </c>
      <c r="AP83" s="77" t="inlineStr">
        <is>
          <t>UK – additional</t>
        </is>
      </c>
      <c r="AQ83" s="77" t="inlineStr">
        <is>
          <t>Unclear</t>
        </is>
      </c>
      <c r="AR83" s="77" t="inlineStr">
        <is>
          <t>All/standard</t>
        </is>
      </c>
      <c r="AS83" s="77" t="inlineStr"/>
    </row>
    <row r="84">
      <c r="A84" s="77" t="inlineStr">
        <is>
          <t>UK05</t>
        </is>
      </c>
      <c r="B84" s="77" t="inlineStr">
        <is>
          <t>Aberdeen</t>
        </is>
      </c>
      <c r="C84" s="77" t="inlineStr">
        <is>
          <t>Faculty/school</t>
        </is>
      </c>
      <c r="D84" s="77" t="inlineStr">
        <is>
          <t>UK05-S03</t>
        </is>
      </c>
      <c r="E84" s="77" t="inlineStr"/>
      <c r="F84" s="77" t="inlineStr">
        <is>
          <t>No</t>
        </is>
      </c>
      <c r="G84" s="79" t="inlineStr">
        <is>
          <t>Engineering Work Experience</t>
        </is>
      </c>
      <c r="H84" s="77" t="inlineStr">
        <is>
          <t>Engineering Work Experience</t>
        </is>
      </c>
      <c r="I84" s="77" t="inlineStr">
        <is>
          <t>ED251A</t>
        </is>
      </c>
      <c r="J84" s="77" t="inlineStr">
        <is>
          <t>Second-year engineering course in which students do a group consultancy project for a local engineering organisation, working on a real-life project brief. Projects run January to March, about 10 weeks.</t>
        </is>
      </c>
      <c r="K84" s="77" t="inlineStr">
        <is>
          <t>School of Engineering (catalogue subject code ED)</t>
        </is>
      </c>
      <c r="L84" s="77" t="inlineStr">
        <is>
          <t>Engineering (EG) students</t>
        </is>
      </c>
      <c r="M84" s="77" t="inlineStr">
        <is>
          <t>Engineering/computing</t>
        </is>
      </c>
      <c r="N84" s="77" t="inlineStr">
        <is>
          <t>Undergraduate</t>
        </is>
      </c>
      <c r="O84" s="77" t="inlineStr">
        <is>
          <t>Year 2 (per case study)</t>
        </is>
      </c>
      <c r="P84" s="77" t="inlineStr">
        <is>
          <t>Entry requirement: Engineering (EG) studied</t>
        </is>
      </c>
      <c r="Q84" s="77" t="inlineStr">
        <is>
          <t>Unclear</t>
        </is>
      </c>
      <c r="R84" s="77" t="inlineStr">
        <is>
          <t>Curricular</t>
        </is>
      </c>
      <c r="S84" s="77" t="inlineStr">
        <is>
          <t>15 credits; assessment detail not retrieved</t>
        </is>
      </c>
      <c r="T84" s="77" t="inlineStr">
        <is>
          <t>About 10 weeks, January to March (2018 case study)</t>
        </is>
      </c>
      <c r="U84" s="77" t="inlineStr">
        <is>
          <t>Group consultancy project with a local organisation</t>
        </is>
      </c>
      <c r="V84" s="77" t="inlineStr">
        <is>
          <t>Yes</t>
        </is>
      </c>
      <c r="W84" s="77" t="inlineStr">
        <is>
          <t>Group consultancy project on a real-life project brief [1][2].</t>
        </is>
      </c>
      <c r="X84" s="77" t="inlineStr">
        <is>
          <t>Yes</t>
        </is>
      </c>
      <c r="Y84" s="77" t="inlineStr">
        <is>
          <t>Group consultancy project [1]; consultancy-style group projects [2].</t>
        </is>
      </c>
      <c r="Z84" s="77" t="inlineStr">
        <is>
          <t>Yes</t>
        </is>
      </c>
      <c r="AA84" s="77" t="inlineStr">
        <is>
          <t>The project is for a local engineering organisation, which supplies the real-life project brief [1][2].</t>
        </is>
      </c>
      <c r="AB84" s="77" t="inlineStr">
        <is>
          <t>Unclear</t>
        </is>
      </c>
      <c r="AC84" s="77" t="inlineStr">
        <is>
          <t>Local engineering organisation supplies the brief and acts as consultancy client</t>
        </is>
      </c>
      <c r="AD84" s="77" t="inlineStr"/>
      <c r="AE84" s="77" t="inlineStr">
        <is>
          <t>Consultancy project output for the organisation (form not retrieved)</t>
        </is>
      </c>
      <c r="AF84" s="77">
        <f>IF(OR(V84="No",X84="No",Z84="No"),"Outside strict definition",IF(AND(V84="Yes",X84="Yes",Z84="Yes"),"Meets all three","Potentially relevant; evidence incomplete"))</f>
        <v/>
      </c>
      <c r="AG84" s="77" t="inlineStr">
        <is>
          <t>Current delivery confirmed</t>
        </is>
      </c>
      <c r="AH84" s="77" t="inlineStr">
        <is>
          <t>2025/26</t>
        </is>
      </c>
      <c r="AI84" s="77" t="inlineStr">
        <is>
          <t>Yes</t>
        </is>
      </c>
      <c r="AJ84" s="77">
        <f>IF(AND(AI84="Yes",AF84="Meets all three",AG84="Current delivery confirmed"),"Yes","No")</f>
        <v/>
      </c>
      <c r="AK84" s="77" t="inlineStr"/>
      <c r="AL84" s="77" t="inlineStr">
        <is>
          <t>UK05-S03-R1; UK05-S03-R2</t>
        </is>
      </c>
      <c r="AM84" s="77" t="inlineStr">
        <is>
          <t>Still open: whether the course is compulsory in Year 2, its assessment, partner sectors and 2026/27 delivery. The duration (about 10 weeks, January to March) comes from a 2018 case study and was not reconfirmed for 2025/26.</t>
        </is>
      </c>
      <c r="AN84" s="77" t="inlineStr"/>
      <c r="AO84" s="77" t="inlineStr">
        <is>
          <t>UK</t>
        </is>
      </c>
      <c r="AP84" s="77" t="inlineStr">
        <is>
          <t>UK – additional</t>
        </is>
      </c>
      <c r="AQ84" s="77" t="inlineStr">
        <is>
          <t>~1 term/semester</t>
        </is>
      </c>
      <c r="AR84" s="77" t="inlineStr">
        <is>
          <t>All/standard</t>
        </is>
      </c>
      <c r="AS84" s="77" t="inlineStr"/>
    </row>
    <row r="85">
      <c r="A85" s="77" t="inlineStr">
        <is>
          <t>UK05</t>
        </is>
      </c>
      <c r="B85" s="77" t="inlineStr">
        <is>
          <t>Aberdeen</t>
        </is>
      </c>
      <c r="C85" s="77" t="inlineStr">
        <is>
          <t>Programme/course</t>
        </is>
      </c>
      <c r="D85" s="77" t="inlineStr">
        <is>
          <t>UK05-S04</t>
        </is>
      </c>
      <c r="E85" s="77" t="inlineStr"/>
      <c r="F85" s="77" t="inlineStr">
        <is>
          <t>No</t>
        </is>
      </c>
      <c r="G85" s="79" t="inlineStr">
        <is>
          <t>Computing Science work-based learning course (Collaborate with Future Talent)</t>
        </is>
      </c>
      <c r="H85" s="77" t="inlineStr">
        <is>
          <t>Computing Science work-based learning course</t>
        </is>
      </c>
      <c r="I85" s="77" t="inlineStr"/>
      <c r="J85"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85" s="77" t="inlineStr">
        <is>
          <t>Department of Computing Science (School of Natural and Computing Sciences)</t>
        </is>
      </c>
      <c r="L85" s="77" t="inlineStr">
        <is>
          <t>Computing Science, Year 4</t>
        </is>
      </c>
      <c r="M85" s="77" t="inlineStr">
        <is>
          <t>Engineering/computing</t>
        </is>
      </c>
      <c r="N85" s="77" t="inlineStr">
        <is>
          <t>Undergraduate</t>
        </is>
      </c>
      <c r="O85" s="77" t="inlineStr">
        <is>
          <t>Year 4</t>
        </is>
      </c>
      <c r="P85" s="77" t="inlineStr">
        <is>
          <t>Restricted to students whose prior academic performance shows the required competence</t>
        </is>
      </c>
      <c r="Q85" s="77" t="inlineStr">
        <is>
          <t>Selective/competitive</t>
        </is>
      </c>
      <c r="R85" s="77" t="inlineStr">
        <is>
          <t>Curricular</t>
        </is>
      </c>
      <c r="S85" s="77" t="inlineStr">
        <is>
          <t>Not retrieved</t>
        </is>
      </c>
      <c r="T85" s="77" t="inlineStr">
        <is>
          <t>10 weeks, September to December, about 10 hours/week</t>
        </is>
      </c>
      <c r="U85" s="77" t="inlineStr">
        <is>
          <t>Employer-hosted project with weekly employer meetings</t>
        </is>
      </c>
      <c r="V85" s="77" t="inlineStr">
        <is>
          <t>Yes</t>
        </is>
      </c>
      <c r="W85" s="77" t="inlineStr">
        <is>
          <t>Employer-proposed project completed over 10 weeks with an end-of-project appraisal [1].</t>
        </is>
      </c>
      <c r="X85" s="77" t="inlineStr">
        <is>
          <t>Unclear</t>
        </is>
      </c>
      <c r="Y85" s="77" t="inlineStr">
        <is>
          <t>The employer-facing page describes matching employers with students; team or individual working was not established [1].</t>
        </is>
      </c>
      <c r="Z85" s="77" t="inlineStr">
        <is>
          <t>Yes</t>
        </is>
      </c>
      <c r="AA85" s="77" t="inlineStr">
        <is>
          <t>Employers propose the project, meet students weekly for guidance and complete an end-of-project appraisal [1].</t>
        </is>
      </c>
      <c r="AB85" s="77" t="inlineStr">
        <is>
          <t>Unclear</t>
        </is>
      </c>
      <c r="AC85" s="77" t="inlineStr">
        <is>
          <t>Proposes the project, gives weekly guidance, appraises at the end</t>
        </is>
      </c>
      <c r="AD85" s="77" t="inlineStr"/>
      <c r="AE85" s="77" t="inlineStr">
        <is>
          <t>Not retrieved</t>
        </is>
      </c>
      <c r="AF85" s="77">
        <f>IF(OR(V85="No",X85="No",Z85="No"),"Outside strict definition",IF(AND(V85="Yes",X85="Yes",Z85="Yes"),"Meets all three","Potentially relevant; evidence incomplete"))</f>
        <v/>
      </c>
      <c r="AG85" s="77" t="inlineStr">
        <is>
          <t>Current status unclear</t>
        </is>
      </c>
      <c r="AH85" s="77" t="inlineStr"/>
      <c r="AI85" s="77" t="inlineStr">
        <is>
          <t>Yes</t>
        </is>
      </c>
      <c r="AJ85" s="77">
        <f>IF(AND(AI85="Yes",AF85="Meets all three",AG85="Current delivery confirmed"),"Yes","No")</f>
        <v/>
      </c>
      <c r="AK85" s="77" t="inlineStr"/>
      <c r="AL85" s="77" t="inlineStr">
        <is>
          <t>UK05-S04-R1</t>
        </is>
      </c>
      <c r="AM85" s="77" t="inlineStr">
        <is>
          <t>Course code, credits, team vs individual working, and dated delivery evidence were not retrieved (search budget ran out). Note: the search summary's wording on who proposes the project was ambiguous.</t>
        </is>
      </c>
      <c r="AN85" s="77" t="inlineStr"/>
      <c r="AO85" s="77" t="inlineStr">
        <is>
          <t>UK</t>
        </is>
      </c>
      <c r="AP85" s="77" t="inlineStr">
        <is>
          <t>UK – additional</t>
        </is>
      </c>
      <c r="AQ85" s="77" t="inlineStr">
        <is>
          <t>~1 term/semester</t>
        </is>
      </c>
      <c r="AR85" s="77" t="inlineStr">
        <is>
          <t>All/standard</t>
        </is>
      </c>
      <c r="AS85" s="77" t="inlineStr"/>
    </row>
    <row r="86">
      <c r="A86" s="77" t="inlineStr">
        <is>
          <t>UK05</t>
        </is>
      </c>
      <c r="B86" s="77" t="inlineStr">
        <is>
          <t>Aberdeen</t>
        </is>
      </c>
      <c r="C86" s="77" t="inlineStr">
        <is>
          <t>Unclear</t>
        </is>
      </c>
      <c r="D86" s="77" t="inlineStr">
        <is>
          <t>UK05-S05</t>
        </is>
      </c>
      <c r="E86" s="77" t="inlineStr"/>
      <c r="F86" s="77" t="inlineStr">
        <is>
          <t>No</t>
        </is>
      </c>
      <c r="G86" s="79" t="inlineStr">
        <is>
          <t>ABDN Grad Challenge</t>
        </is>
      </c>
      <c r="H86" s="77" t="inlineStr">
        <is>
          <t>ABDN Grad Challenge</t>
        </is>
      </c>
      <c r="I86" s="77" t="inlineStr"/>
      <c r="J86" s="77" t="inlineStr">
        <is>
          <t>Careers-run programme in which graduating students take part in project-based virtual work experience in cross-discipline teams, tackling real-life challenges set by employer partners.</t>
        </is>
      </c>
      <c r="K86" s="77" t="inlineStr">
        <is>
          <t>Careers and Employability Service</t>
        </is>
      </c>
      <c r="L86" s="77" t="inlineStr">
        <is>
          <t>Graduating students (cross-discipline)</t>
        </is>
      </c>
      <c r="M86" s="77" t="inlineStr">
        <is>
          <t>Central provision</t>
        </is>
      </c>
      <c r="N86" s="77" t="inlineStr">
        <is>
          <t>Unclear</t>
        </is>
      </c>
      <c r="O86" s="77" t="inlineStr">
        <is>
          <t>Final year / graduating</t>
        </is>
      </c>
      <c r="P86" s="77" t="inlineStr">
        <is>
          <t>Graduating students; detailed eligibility not retrieved</t>
        </is>
      </c>
      <c r="Q86" s="77" t="inlineStr">
        <is>
          <t>Optional/elective</t>
        </is>
      </c>
      <c r="R86" s="77" t="inlineStr">
        <is>
          <t>Extracurricular</t>
        </is>
      </c>
      <c r="S86" s="77" t="inlineStr">
        <is>
          <t>Not retrieved</t>
        </is>
      </c>
      <c r="T86" s="77" t="inlineStr">
        <is>
          <t>Not retrieved</t>
        </is>
      </c>
      <c r="U86" s="77" t="inlineStr">
        <is>
          <t>Virtual</t>
        </is>
      </c>
      <c r="V86" s="77" t="inlineStr">
        <is>
          <t>Unclear</t>
        </is>
      </c>
      <c r="W86" s="77" t="inlineStr">
        <is>
          <t>Described as project-based, but the defined output was not retrieved [1].</t>
        </is>
      </c>
      <c r="X86" s="77" t="inlineStr">
        <is>
          <t>Yes</t>
        </is>
      </c>
      <c r="Y86" s="77" t="inlineStr">
        <is>
          <t>Students work as part of a cross-discipline team [1].</t>
        </is>
      </c>
      <c r="Z86" s="77" t="inlineStr">
        <is>
          <t>Unclear</t>
        </is>
      </c>
      <c r="AA86" s="77" t="inlineStr">
        <is>
          <t>Challenges are 'set by our employer partners' [1]. Because the programme is framed as virtual work experience and there is no evidence that employers engage with students or receive outputs, C is held as Unclear under the simulation ruling.</t>
        </is>
      </c>
      <c r="AB86" s="77" t="inlineStr">
        <is>
          <t>Unclear</t>
        </is>
      </c>
      <c r="AC86" s="77" t="inlineStr">
        <is>
          <t>Sets challenges</t>
        </is>
      </c>
      <c r="AD86" s="77" t="inlineStr"/>
      <c r="AE86" s="77" t="inlineStr">
        <is>
          <t>Not retrieved</t>
        </is>
      </c>
      <c r="AF86" s="77">
        <f>IF(OR(V86="No",X86="No",Z86="No"),"Outside strict definition",IF(AND(V86="Yes",X86="Yes",Z86="Yes"),"Meets all three","Potentially relevant; evidence incomplete"))</f>
        <v/>
      </c>
      <c r="AG86" s="77" t="inlineStr">
        <is>
          <t>Current status unclear</t>
        </is>
      </c>
      <c r="AH86" s="77" t="inlineStr"/>
      <c r="AI86" s="77" t="inlineStr">
        <is>
          <t>Yes</t>
        </is>
      </c>
      <c r="AJ86" s="77">
        <f>IF(AND(AI86="Yes",AF86="Meets all three",AG86="Current delivery confirmed"),"Yes","No")</f>
        <v/>
      </c>
      <c r="AK86" s="77" t="inlineStr"/>
      <c r="AL86" s="77" t="inlineStr">
        <is>
          <t>UK05-S05-R1</t>
        </is>
      </c>
      <c r="AM86" s="77" t="inlineStr">
        <is>
          <t>Format, duration, outputs, employer engagement and dated delivery were not retrieved (search budget ran out).</t>
        </is>
      </c>
      <c r="AN86" s="77" t="inlineStr"/>
      <c r="AO86" s="77" t="inlineStr">
        <is>
          <t>UK</t>
        </is>
      </c>
      <c r="AP86" s="77" t="inlineStr">
        <is>
          <t>UK – additional</t>
        </is>
      </c>
      <c r="AQ86" s="77" t="inlineStr">
        <is>
          <t>Unclear</t>
        </is>
      </c>
      <c r="AR86" s="77" t="inlineStr">
        <is>
          <t>Unclear</t>
        </is>
      </c>
      <c r="AS86" s="77" t="inlineStr"/>
    </row>
    <row r="87">
      <c r="A87" s="77" t="inlineStr">
        <is>
          <t>UK08</t>
        </is>
      </c>
      <c r="B87" s="77" t="inlineStr">
        <is>
          <t>Sussex</t>
        </is>
      </c>
      <c r="C87" s="77" t="inlineStr">
        <is>
          <t>University-wide</t>
        </is>
      </c>
      <c r="D87" s="77" t="inlineStr">
        <is>
          <t>UK08-S01</t>
        </is>
      </c>
      <c r="E87" s="77" t="inlineStr"/>
      <c r="F87" s="77" t="inlineStr">
        <is>
          <t>No</t>
        </is>
      </c>
      <c r="G87" s="79" t="inlineStr">
        <is>
          <t>Career Lab Student Consultancy Programme</t>
        </is>
      </c>
      <c r="H87" s="77" t="inlineStr">
        <is>
          <t>Career Lab Student Consultancy Programme</t>
        </is>
      </c>
      <c r="I87" s="77" t="inlineStr"/>
      <c r="J87"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87" s="77" t="inlineStr">
        <is>
          <t>Careers and Employability Centre - Career Lab</t>
        </is>
      </c>
      <c r="L87" s="77" t="inlineStr">
        <is>
          <t>Final-year undergraduates and taught postgraduates (no school restriction stated)</t>
        </is>
      </c>
      <c r="M87" s="77" t="inlineStr">
        <is>
          <t>Central provision</t>
        </is>
      </c>
      <c r="N87" s="77" t="inlineStr">
        <is>
          <t>Mixed</t>
        </is>
      </c>
      <c r="O87" s="77" t="inlineStr">
        <is>
          <t>Final-year UG; PGT</t>
        </is>
      </c>
      <c r="P87" s="77" t="inlineStr">
        <is>
          <t>Final-year UG and taught PG only; one participation per academic year; application required. PGT on courses with a guaranteed work project receive separate communication.</t>
        </is>
      </c>
      <c r="Q87" s="77" t="inlineStr">
        <is>
          <t>Selective/competitive</t>
        </is>
      </c>
      <c r="R87" s="77" t="inlineStr">
        <is>
          <t>Extracurricular</t>
        </is>
      </c>
      <c r="S87" s="77" t="inlineStr">
        <is>
          <t>Non-credit; paid bursary (GBP 269 for Winter 2025 / Spring 2026 runs)</t>
        </is>
      </c>
      <c r="T87" s="77" t="inlineStr">
        <is>
          <t>3-4 weeks (c.20 hours) after training; three runs a year (winter, spring, summer)</t>
        </is>
      </c>
      <c r="U87" s="77" t="inlineStr">
        <is>
          <t>Mostly remote research; team presentation to client</t>
        </is>
      </c>
      <c r="V87" s="77" t="inlineStr">
        <is>
          <t>Yes</t>
        </is>
      </c>
      <c r="W87" s="77" t="inlineStr">
        <is>
          <t>Teams address a real organisational challenge/brief and present recommendations to the client [1][2][3].</t>
        </is>
      </c>
      <c r="X87" s="77" t="inlineStr">
        <is>
          <t>Yes</t>
        </is>
      </c>
      <c r="Y87" s="77" t="inlineStr">
        <is>
          <t>Students placed in small multidisciplinary teams; a five-student team worked on the Hastings Direct brief [1][3].</t>
        </is>
      </c>
      <c r="Z87" s="77" t="inlineStr">
        <is>
          <t>Yes</t>
        </is>
      </c>
      <c r="AA87" s="77" t="inlineStr">
        <is>
          <t>External organisations set the project briefs and receive the team's presentation; e.g. Hastings Direct set a brief on its SDG contributions and later made changes partly aligned to the recommendations [1][3][4].</t>
        </is>
      </c>
      <c r="AB87" s="77" t="inlineStr">
        <is>
          <t>Mixed</t>
        </is>
      </c>
      <c r="AC87" s="77" t="inlineStr">
        <is>
          <t>Sets brief (client) and receives final presentation; organisations pay nothing (university funds student bursary).</t>
        </is>
      </c>
      <c r="AD87" s="77" t="inlineStr">
        <is>
          <t>Hastings Direct (2024 case study); AECOM, Komedia, Mindlab (past clients, undated page)</t>
        </is>
      </c>
      <c r="AE87" s="77" t="inlineStr">
        <is>
          <t>Team presentation of recommendations to client</t>
        </is>
      </c>
      <c r="AF87" s="77">
        <f>IF(OR(V87="No",X87="No",Z87="No"),"Outside strict definition",IF(AND(V87="Yes",X87="Yes",Z87="Yes"),"Meets all three","Potentially relevant; evidence incomplete"))</f>
        <v/>
      </c>
      <c r="AG87" s="77" t="inlineStr">
        <is>
          <t>Current delivery confirmed</t>
        </is>
      </c>
      <c r="AH87" s="77" t="inlineStr">
        <is>
          <t>2026/27</t>
        </is>
      </c>
      <c r="AI87" s="77" t="inlineStr">
        <is>
          <t>Yes</t>
        </is>
      </c>
      <c r="AJ87" s="77">
        <f>IF(AND(AI87="Yes",AF87="Meets all three",AG87="Current delivery confirmed"),"Yes","No")</f>
        <v/>
      </c>
      <c r="AK87" s="77" t="inlineStr"/>
      <c r="AL87" s="77" t="inlineStr">
        <is>
          <t>UK08-S01-R1; UK08-S01-R2; UK08-S01-R3; UK08-S01-R4</t>
        </is>
      </c>
      <c r="AM87" s="77" t="inlineStr">
        <is>
          <t>Exact eligibility wording (whether all schools/IDS/BSMS included) not quoted; 2023 organisations guide describes an older 100-hour Riipen-based format. Relationship to the 'Changing the Face of Consultancy' variant (broadcast 66181) not tested.</t>
        </is>
      </c>
      <c r="AN87" s="77" t="inlineStr"/>
      <c r="AO87" s="77" t="inlineStr">
        <is>
          <t>UK</t>
        </is>
      </c>
      <c r="AP87" s="77" t="inlineStr">
        <is>
          <t>UK – additional</t>
        </is>
      </c>
      <c r="AQ87" s="77" t="inlineStr">
        <is>
          <t>1–4 weeks</t>
        </is>
      </c>
      <c r="AR87" s="77" t="inlineStr">
        <is>
          <t>All/standard</t>
        </is>
      </c>
      <c r="AS87" s="77" t="inlineStr"/>
    </row>
    <row r="88">
      <c r="A88" s="77" t="inlineStr">
        <is>
          <t>UK08</t>
        </is>
      </c>
      <c r="B88" s="77" t="inlineStr">
        <is>
          <t>Sussex</t>
        </is>
      </c>
      <c r="C88" s="77" t="inlineStr">
        <is>
          <t>Programme/course</t>
        </is>
      </c>
      <c r="D88" s="77" t="inlineStr">
        <is>
          <t>UK08-S02</t>
        </is>
      </c>
      <c r="E88" s="77" t="inlineStr"/>
      <c r="F88" s="77" t="inlineStr">
        <is>
          <t>No</t>
        </is>
      </c>
      <c r="G88" s="79" t="inlineStr">
        <is>
          <t>Marketing Consultancy Project (Capstone)</t>
        </is>
      </c>
      <c r="H88" s="77" t="inlineStr">
        <is>
          <t>Marketing Consultancy Project (Capstone)</t>
        </is>
      </c>
      <c r="I88" s="77" t="inlineStr">
        <is>
          <t>105316 (module page ID)</t>
        </is>
      </c>
      <c r="J88"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88" s="77" t="inlineStr">
        <is>
          <t>University of Sussex Business School</t>
        </is>
      </c>
      <c r="L88" s="77" t="inlineStr">
        <is>
          <t>Marketing and Management BSc and related marketing degrees (exact list not verified)</t>
        </is>
      </c>
      <c r="M88" s="77" t="inlineStr">
        <is>
          <t>Business/management</t>
        </is>
      </c>
      <c r="N88" s="77" t="inlineStr">
        <is>
          <t>Undergraduate</t>
        </is>
      </c>
      <c r="O88" s="77" t="inlineStr">
        <is>
          <t>Final year (Level 6)</t>
        </is>
      </c>
      <c r="P88" s="77" t="inlineStr">
        <is>
          <t>Students on programmes offering the module</t>
        </is>
      </c>
      <c r="Q88" s="77" t="inlineStr">
        <is>
          <t>Unclear</t>
        </is>
      </c>
      <c r="R88" s="77" t="inlineStr">
        <is>
          <t>Curricular</t>
        </is>
      </c>
      <c r="S88" s="77" t="inlineStr">
        <is>
          <t>15 credits; 60% group presentation, 40% written report</t>
        </is>
      </c>
      <c r="T88" s="77" t="inlineStr">
        <is>
          <t>Spring teaching period</t>
        </is>
      </c>
      <c r="U88" s="77" t="inlineStr">
        <is>
          <t>In person (assumed; not verified)</t>
        </is>
      </c>
      <c r="V88" s="77" t="inlineStr">
        <is>
          <t>Yes</t>
        </is>
      </c>
      <c r="W88" s="77" t="inlineStr">
        <is>
          <t>Brief to produce a recommendation on a strategic marketing problem; outputs presentation and report [1].</t>
        </is>
      </c>
      <c r="X88" s="77" t="inlineStr">
        <is>
          <t>Yes</t>
        </is>
      </c>
      <c r="Y88" s="77" t="inlineStr">
        <is>
          <t>Teams prepare and present together; 60% group presentation [1].</t>
        </is>
      </c>
      <c r="Z88" s="77" t="inlineStr">
        <is>
          <t>Unclear</t>
        </is>
      </c>
      <c r="AA88" s="77" t="inlineStr">
        <is>
          <t>Only 'inspiration and tips provided from a top consulting firm' [1]; no evidence an external client supplies the brief, receives or assesses outputs.</t>
        </is>
      </c>
      <c r="AB88" s="77" t="inlineStr">
        <is>
          <t>Unclear</t>
        </is>
      </c>
      <c r="AC88" s="77" t="inlineStr">
        <is>
          <t>Consulting firm provides tips/inspiration (not shown as client)</t>
        </is>
      </c>
      <c r="AD88" s="77" t="inlineStr"/>
      <c r="AE88" s="77" t="inlineStr">
        <is>
          <t>Group presentation and written report</t>
        </is>
      </c>
      <c r="AF88" s="77">
        <f>IF(OR(V88="No",X88="No",Z88="No"),"Outside strict definition",IF(AND(V88="Yes",X88="Yes",Z88="Yes"),"Meets all three","Potentially relevant; evidence incomplete"))</f>
        <v/>
      </c>
      <c r="AG88" s="77" t="inlineStr">
        <is>
          <t>Current delivery confirmed</t>
        </is>
      </c>
      <c r="AH88" s="77" t="inlineStr">
        <is>
          <t>2026/27</t>
        </is>
      </c>
      <c r="AI88" s="77" t="inlineStr">
        <is>
          <t>Yes</t>
        </is>
      </c>
      <c r="AJ88" s="77">
        <f>IF(AND(AI88="Yes",AF88="Meets all three",AG88="Current delivery confirmed"),"Yes","No")</f>
        <v/>
      </c>
      <c r="AK88" s="77" t="inlineStr"/>
      <c r="AL88" s="77" t="inlineStr">
        <is>
          <t>UK08-S02-R1; UK08-S02-R2</t>
        </is>
      </c>
      <c r="AM88" s="77" t="inlineStr">
        <is>
          <t>Whether briefs come from real client organisations; whether core in any programme. Status based on module catalogue pages for 2025 and 2026 entry.</t>
        </is>
      </c>
      <c r="AN88" s="77" t="inlineStr"/>
      <c r="AO88" s="77" t="inlineStr">
        <is>
          <t>UK</t>
        </is>
      </c>
      <c r="AP88" s="77" t="inlineStr">
        <is>
          <t>UK – additional</t>
        </is>
      </c>
      <c r="AQ88" s="77" t="inlineStr">
        <is>
          <t>~1 term/semester</t>
        </is>
      </c>
      <c r="AR88" s="77" t="inlineStr">
        <is>
          <t>Unclear</t>
        </is>
      </c>
      <c r="AS88" s="77" t="inlineStr"/>
    </row>
    <row r="89">
      <c r="A89" s="77" t="inlineStr">
        <is>
          <t>UK08</t>
        </is>
      </c>
      <c r="B89" s="77" t="inlineStr">
        <is>
          <t>Sussex</t>
        </is>
      </c>
      <c r="C89" s="77" t="inlineStr">
        <is>
          <t>Programme/course</t>
        </is>
      </c>
      <c r="D89" s="77" t="inlineStr">
        <is>
          <t>UK08-S03</t>
        </is>
      </c>
      <c r="E89" s="77" t="inlineStr"/>
      <c r="F89" s="77" t="inlineStr">
        <is>
          <t>No</t>
        </is>
      </c>
      <c r="G89" s="79" t="inlineStr">
        <is>
          <t>Consultancy Project</t>
        </is>
      </c>
      <c r="H89" s="77" t="inlineStr">
        <is>
          <t>Consultancy Project</t>
        </is>
      </c>
      <c r="I89" s="77" t="inlineStr">
        <is>
          <t>111N1</t>
        </is>
      </c>
      <c r="J89"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89" s="77" t="inlineStr">
        <is>
          <t>University of Sussex Business School</t>
        </is>
      </c>
      <c r="L89" s="77" t="inlineStr">
        <is>
          <t>Management MSc (dissertation option); possibly other Business School MSc programmes</t>
        </is>
      </c>
      <c r="M89" s="77" t="inlineStr">
        <is>
          <t>Business/management</t>
        </is>
      </c>
      <c r="N89" s="77" t="inlineStr">
        <is>
          <t>Postgraduate taught</t>
        </is>
      </c>
      <c r="O89" s="77" t="inlineStr">
        <is>
          <t>MSc summer period</t>
        </is>
      </c>
      <c r="P89" s="77" t="inlineStr">
        <is>
          <t>Business School MSc students choosing the consultancy option</t>
        </is>
      </c>
      <c r="Q89" s="77" t="inlineStr">
        <is>
          <t>Optional/elective</t>
        </is>
      </c>
      <c r="R89" s="77" t="inlineStr">
        <is>
          <t>Curricular</t>
        </is>
      </c>
      <c r="S89" s="77" t="inlineStr">
        <is>
          <t>30 credits Level 7; 100% coursework (group presentation, group written submission, project)</t>
        </is>
      </c>
      <c r="T89" s="77" t="inlineStr">
        <is>
          <t>Summer period, c.300 study hours</t>
        </is>
      </c>
      <c r="U89" s="77" t="inlineStr">
        <is>
          <t>Group consultancy with academic supervisor</t>
        </is>
      </c>
      <c r="V89" s="77" t="inlineStr">
        <is>
          <t>Yes</t>
        </is>
      </c>
      <c r="W89" s="77" t="inlineStr">
        <is>
          <t>Live consultancy project with group written submission and presentation [1].</t>
        </is>
      </c>
      <c r="X89" s="77" t="inlineStr">
        <is>
          <t>Yes</t>
        </is>
      </c>
      <c r="Y89" s="77" t="inlineStr">
        <is>
          <t>Students work in a group; consultancy teams supervised by an academic; group presentation and group written submission [1][2].</t>
        </is>
      </c>
      <c r="Z89" s="77" t="inlineStr">
        <is>
          <t>Yes</t>
        </is>
      </c>
      <c r="AA89" s="77" t="inlineStr">
        <is>
          <t>Described as a 'live consultancy project' and as solving real challenges with local organisations / preparing a consultancy project for a business [1][2].</t>
        </is>
      </c>
      <c r="AB89" s="77" t="inlineStr">
        <is>
          <t>Unclear</t>
        </is>
      </c>
      <c r="AC89" s="77" t="inlineStr">
        <is>
          <t>Organisation acts as consultancy client (exact role in assessment not stated)</t>
        </is>
      </c>
      <c r="AD89" s="77" t="inlineStr"/>
      <c r="AE89" s="77" t="inlineStr">
        <is>
          <t>Group consultancy report and presentation</t>
        </is>
      </c>
      <c r="AF89" s="77">
        <f>IF(OR(V89="No",X89="No",Z89="No"),"Outside strict definition",IF(AND(V89="Yes",X89="Yes",Z89="Yes"),"Meets all three","Potentially relevant; evidence incomplete"))</f>
        <v/>
      </c>
      <c r="AG89" s="77" t="inlineStr">
        <is>
          <t>Current status unclear</t>
        </is>
      </c>
      <c r="AH89" s="77" t="inlineStr">
        <is>
          <t>2024/25</t>
        </is>
      </c>
      <c r="AI89" s="77" t="inlineStr">
        <is>
          <t>Yes</t>
        </is>
      </c>
      <c r="AJ89" s="77">
        <f>IF(AND(AI89="Yes",AF89="Meets all three",AG89="Current delivery confirmed"),"Yes","No")</f>
        <v/>
      </c>
      <c r="AK89" s="77" t="inlineStr"/>
      <c r="AL89" s="77" t="inlineStr">
        <is>
          <t>UK08-S03-R1; UK08-S03-R2</t>
        </is>
      </c>
      <c r="AM89"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89" s="77" t="inlineStr"/>
      <c r="AO89" s="77" t="inlineStr">
        <is>
          <t>UK</t>
        </is>
      </c>
      <c r="AP89" s="77" t="inlineStr">
        <is>
          <t>UK – additional</t>
        </is>
      </c>
      <c r="AQ89" s="77" t="inlineStr">
        <is>
          <t>~1 term/semester</t>
        </is>
      </c>
      <c r="AR89" s="77" t="inlineStr">
        <is>
          <t>All/standard</t>
        </is>
      </c>
      <c r="AS89" s="77" t="inlineStr"/>
    </row>
    <row r="90">
      <c r="A90" s="77" t="inlineStr">
        <is>
          <t>UK11</t>
        </is>
      </c>
      <c r="B90" s="77" t="inlineStr">
        <is>
          <t>Heriot-Watt</t>
        </is>
      </c>
      <c r="C90" s="77" t="inlineStr">
        <is>
          <t>Programme/course</t>
        </is>
      </c>
      <c r="D90" s="77" t="inlineStr">
        <is>
          <t>UK11-S01</t>
        </is>
      </c>
      <c r="E90" s="77" t="inlineStr"/>
      <c r="F90" s="77" t="inlineStr">
        <is>
          <t>No</t>
        </is>
      </c>
      <c r="G90" s="79" t="inlineStr">
        <is>
          <t>Multidisciplinary Engineering Final Year Project (industrial-client design project)</t>
        </is>
      </c>
      <c r="H90" s="77" t="inlineStr">
        <is>
          <t>Multidisciplinary Engineering Final Year Project</t>
        </is>
      </c>
      <c r="I90" s="77" t="inlineStr"/>
      <c r="J90"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90" s="77" t="inlineStr">
        <is>
          <t>School of Engineering and Physical Sciences (inferred from disciplines; not confirmed)</t>
        </is>
      </c>
      <c r="L90" s="77" t="inlineStr">
        <is>
          <t>Mechanical, Electrical and Electronics, and Robotics engineering, 4th year</t>
        </is>
      </c>
      <c r="M90" s="77" t="inlineStr">
        <is>
          <t>Engineering/computing</t>
        </is>
      </c>
      <c r="N90" s="77" t="inlineStr">
        <is>
          <t>Undergraduate</t>
        </is>
      </c>
      <c r="O90" s="77" t="inlineStr">
        <is>
          <t>Year 4</t>
        </is>
      </c>
      <c r="P90" s="77" t="inlineStr">
        <is>
          <t>Final-year students in the named engineering disciplines</t>
        </is>
      </c>
      <c r="Q90" s="77" t="inlineStr">
        <is>
          <t>Unclear</t>
        </is>
      </c>
      <c r="R90" s="77" t="inlineStr">
        <is>
          <t>Curricular</t>
        </is>
      </c>
      <c r="S90" s="77" t="inlineStr">
        <is>
          <t>Final year project; credit not established</t>
        </is>
      </c>
      <c r="T90" s="77" t="inlineStr">
        <is>
          <t>Final year project (length not established)</t>
        </is>
      </c>
      <c r="U90" s="77" t="inlineStr">
        <is>
          <t>Unclear</t>
        </is>
      </c>
      <c r="V90" s="77" t="inlineStr">
        <is>
          <t>Yes</t>
        </is>
      </c>
      <c r="W90" s="77" t="inlineStr">
        <is>
          <t>Defined multidisciplinary design project to fulfil requirements specified by an industrial client [1].</t>
        </is>
      </c>
      <c r="X90" s="77" t="inlineStr">
        <is>
          <t>Unclear</t>
        </is>
      </c>
      <c r="Y90" s="77" t="inlineStr">
        <is>
          <t>Search summary describes 'teams' building to the client's specifications and the project is multidisciplinary across disciplines, but no verbatim extract confirms a joint team output [1].</t>
        </is>
      </c>
      <c r="Z90" s="77" t="inlineStr">
        <is>
          <t>Unclear</t>
        </is>
      </c>
      <c r="AA90"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90" s="77" t="inlineStr">
        <is>
          <t>Business/commercial</t>
        </is>
      </c>
      <c r="AC90" s="77" t="inlineStr">
        <is>
          <t>Industrial client sets requirements/specification (per publication)</t>
        </is>
      </c>
      <c r="AD90" s="77" t="inlineStr"/>
      <c r="AE90" s="77" t="inlineStr">
        <is>
          <t>Engineering design/prototype (e.g. autonomous robot, drone)</t>
        </is>
      </c>
      <c r="AF90" s="77">
        <f>IF(OR(V90="No",X90="No",Z90="No"),"Outside strict definition",IF(AND(V90="Yes",X90="Yes",Z90="Yes"),"Meets all three","Potentially relevant; evidence incomplete"))</f>
        <v/>
      </c>
      <c r="AG90" s="77" t="inlineStr">
        <is>
          <t>Current status unclear</t>
        </is>
      </c>
      <c r="AH90" s="77" t="inlineStr">
        <is>
          <t>Undated (research publication)</t>
        </is>
      </c>
      <c r="AI90" s="77" t="inlineStr">
        <is>
          <t>Yes</t>
        </is>
      </c>
      <c r="AJ90" s="77">
        <f>IF(AND(AI90="Yes",AF90="Meets all three",AG90="Current delivery confirmed"),"Yes","No")</f>
        <v/>
      </c>
      <c r="AK90" s="77" t="inlineStr"/>
      <c r="AL90" s="77" t="inlineStr">
        <is>
          <t>UK11-S01-R1</t>
        </is>
      </c>
      <c r="AM90" s="77" t="inlineStr">
        <is>
          <t>Publication year, whether team-based (verbatim), whether still delivered, whether all such FYPs have industrial clients, course code and credit. Not verified on Curriculum Explorer.</t>
        </is>
      </c>
      <c r="AN90" s="77" t="inlineStr"/>
      <c r="AO90" s="77" t="inlineStr">
        <is>
          <t>UK</t>
        </is>
      </c>
      <c r="AP90" s="77" t="inlineStr">
        <is>
          <t>UK – additional</t>
        </is>
      </c>
      <c r="AQ90" s="77" t="inlineStr">
        <is>
          <t>Unclear</t>
        </is>
      </c>
      <c r="AR90" s="77" t="inlineStr">
        <is>
          <t>Unclear</t>
        </is>
      </c>
      <c r="AS90" s="77" t="inlineStr"/>
    </row>
    <row r="91">
      <c r="A91" s="77" t="inlineStr">
        <is>
          <t>UK11</t>
        </is>
      </c>
      <c r="B91" s="77" t="inlineStr">
        <is>
          <t>Heriot-Watt</t>
        </is>
      </c>
      <c r="C91" s="77" t="inlineStr">
        <is>
          <t>Programme/course</t>
        </is>
      </c>
      <c r="D91" s="77" t="inlineStr">
        <is>
          <t>UK11-S02</t>
        </is>
      </c>
      <c r="E91" s="77" t="inlineStr"/>
      <c r="F91" s="77" t="inlineStr">
        <is>
          <t>No</t>
        </is>
      </c>
      <c r="G91" s="79" t="inlineStr">
        <is>
          <t>System Project</t>
        </is>
      </c>
      <c r="H91" s="77" t="inlineStr">
        <is>
          <t>System Project</t>
        </is>
      </c>
      <c r="I91" s="77" t="inlineStr">
        <is>
          <t>B39VS</t>
        </is>
      </c>
      <c r="J91" s="77" t="inlineStr">
        <is>
          <t>Electronic and Computer Engineering taught course built around a team project; learning outcomes include team documentation (meeting minutes, final report) and a project demonstration to academic staff and staff from industry.</t>
        </is>
      </c>
      <c r="K91" s="77" t="inlineStr">
        <is>
          <t>School of Engineering and Physical Sciences (Electrical, Electronic and Computer Engineering)</t>
        </is>
      </c>
      <c r="L91" s="77" t="inlineStr">
        <is>
          <t>Electronic and Computer Engineering programmes</t>
        </is>
      </c>
      <c r="M91" s="77" t="inlineStr">
        <is>
          <t>Engineering/computing</t>
        </is>
      </c>
      <c r="N91" s="77" t="inlineStr">
        <is>
          <t>Undergraduate</t>
        </is>
      </c>
      <c r="O91" s="77" t="inlineStr">
        <is>
          <t>Unclear</t>
        </is>
      </c>
      <c r="P91" s="77" t="inlineStr">
        <is>
          <t>Students on programmes including B39VS</t>
        </is>
      </c>
      <c r="Q91" s="77" t="inlineStr">
        <is>
          <t>Unclear</t>
        </is>
      </c>
      <c r="R91" s="77" t="inlineStr">
        <is>
          <t>Curricular</t>
        </is>
      </c>
      <c r="S91" s="77" t="inlineStr">
        <is>
          <t>Not established</t>
        </is>
      </c>
      <c r="T91" s="77" t="inlineStr">
        <is>
          <t>Not established</t>
        </is>
      </c>
      <c r="U91" s="77" t="inlineStr">
        <is>
          <t>Unclear</t>
        </is>
      </c>
      <c r="V91" s="77" t="inlineStr">
        <is>
          <t>Yes</t>
        </is>
      </c>
      <c r="W91" s="77" t="inlineStr">
        <is>
          <t>Team system project with a project demonstration and final report [1].</t>
        </is>
      </c>
      <c r="X91" s="77" t="inlineStr">
        <is>
          <t>Yes</t>
        </is>
      </c>
      <c r="Y91" s="77" t="inlineStr">
        <is>
          <t>Course develops teamwork; team documents including meeting minutes and final report [1] (search-summary paraphrase).</t>
        </is>
      </c>
      <c r="Z91" s="77" t="inlineStr">
        <is>
          <t>Unclear</t>
        </is>
      </c>
      <c r="AA91" s="77" t="inlineStr">
        <is>
          <t>Staff from industry attend the project demonstration [1]; no evidence that an external organisation sets the brief or assesses, and 'staff from industry' are not tied to a client organisation.</t>
        </is>
      </c>
      <c r="AB91" s="77" t="inlineStr">
        <is>
          <t>Unclear</t>
        </is>
      </c>
      <c r="AC91" s="77" t="inlineStr">
        <is>
          <t>Industry staff attend final demonstration</t>
        </is>
      </c>
      <c r="AD91" s="77" t="inlineStr"/>
      <c r="AE91" s="77" t="inlineStr">
        <is>
          <t>System demonstration, final report, team documents</t>
        </is>
      </c>
      <c r="AF91" s="77">
        <f>IF(OR(V91="No",X91="No",Z91="No"),"Outside strict definition",IF(AND(V91="Yes",X91="Yes",Z91="Yes"),"Meets all three","Potentially relevant; evidence incomplete"))</f>
        <v/>
      </c>
      <c r="AG91" s="77" t="inlineStr">
        <is>
          <t>Current status unclear</t>
        </is>
      </c>
      <c r="AH91" s="77" t="inlineStr">
        <is>
          <t>2022/23</t>
        </is>
      </c>
      <c r="AI91" s="77" t="inlineStr">
        <is>
          <t>Yes</t>
        </is>
      </c>
      <c r="AJ91" s="77">
        <f>IF(AND(AI91="Yes",AF91="Meets all three",AG91="Current delivery confirmed"),"Yes","No")</f>
        <v/>
      </c>
      <c r="AK91" s="77" t="inlineStr"/>
      <c r="AL91" s="77" t="inlineStr">
        <is>
          <t>UK11-S02-R1</t>
        </is>
      </c>
      <c r="AM91" s="77" t="inlineStr">
        <is>
          <t>Only a 2022/23 Curriculum Explorer entry was surfaced; current delivery, credits, year of study and whether projects come from external briefs not verified.</t>
        </is>
      </c>
      <c r="AN91" s="77" t="inlineStr"/>
      <c r="AO91" s="77" t="inlineStr">
        <is>
          <t>UK</t>
        </is>
      </c>
      <c r="AP91" s="77" t="inlineStr">
        <is>
          <t>UK – additional</t>
        </is>
      </c>
      <c r="AQ91" s="77" t="inlineStr">
        <is>
          <t>Unclear</t>
        </is>
      </c>
      <c r="AR91" s="77" t="inlineStr">
        <is>
          <t>Unclear</t>
        </is>
      </c>
      <c r="AS91" s="77" t="inlineStr"/>
    </row>
    <row r="92">
      <c r="A92" s="77" t="inlineStr">
        <is>
          <t>UK11</t>
        </is>
      </c>
      <c r="B92" s="77" t="inlineStr">
        <is>
          <t>Heriot-Watt</t>
        </is>
      </c>
      <c r="C92" s="77" t="inlineStr">
        <is>
          <t>Programme/course</t>
        </is>
      </c>
      <c r="D92" s="77" t="inlineStr">
        <is>
          <t>UK11-S03</t>
        </is>
      </c>
      <c r="E92" s="77" t="inlineStr"/>
      <c r="F92" s="77" t="inlineStr">
        <is>
          <t>No</t>
        </is>
      </c>
      <c r="G92" s="79" t="inlineStr">
        <is>
          <t>MSc International Business Management - company consultancy project</t>
        </is>
      </c>
      <c r="H92" s="77" t="inlineStr">
        <is>
          <t>MSc International Business Management company consultancy project</t>
        </is>
      </c>
      <c r="I92" s="77" t="inlineStr"/>
      <c r="J92" s="77" t="inlineStr">
        <is>
          <t>Final stage of the MSc International Business Management in which students work on a company consultancy project to understand business issues and apply programme concepts. Group format and external client status not established.</t>
        </is>
      </c>
      <c r="K92" s="77" t="inlineStr">
        <is>
          <t>Edinburgh Business School</t>
        </is>
      </c>
      <c r="L92" s="77" t="inlineStr">
        <is>
          <t>MSc International Business Management</t>
        </is>
      </c>
      <c r="M92" s="77" t="inlineStr">
        <is>
          <t>Business/management</t>
        </is>
      </c>
      <c r="N92" s="77" t="inlineStr">
        <is>
          <t>Postgraduate taught</t>
        </is>
      </c>
      <c r="O92" s="77" t="inlineStr">
        <is>
          <t>Final stage</t>
        </is>
      </c>
      <c r="P92" s="77" t="inlineStr">
        <is>
          <t>MSc International Business Management students</t>
        </is>
      </c>
      <c r="Q92" s="77" t="inlineStr">
        <is>
          <t>Unclear</t>
        </is>
      </c>
      <c r="R92" s="77" t="inlineStr">
        <is>
          <t>Curricular</t>
        </is>
      </c>
      <c r="S92" s="77" t="inlineStr">
        <is>
          <t>Not established</t>
        </is>
      </c>
      <c r="T92" s="77" t="inlineStr">
        <is>
          <t>Not established</t>
        </is>
      </c>
      <c r="U92" s="77" t="inlineStr">
        <is>
          <t>Unclear</t>
        </is>
      </c>
      <c r="V92" s="77" t="inlineStr">
        <is>
          <t>Yes</t>
        </is>
      </c>
      <c r="W92" s="77" t="inlineStr">
        <is>
          <t>'Company consultancy project' applying programme concepts to business issues [1].</t>
        </is>
      </c>
      <c r="X92" s="77" t="inlineStr">
        <is>
          <t>Unclear</t>
        </is>
      </c>
      <c r="Y92" s="77" t="inlineStr">
        <is>
          <t>No evidence on whether the project is individual or team-based [1].</t>
        </is>
      </c>
      <c r="Z92" s="77" t="inlineStr">
        <is>
          <t>Unclear</t>
        </is>
      </c>
      <c r="AA92" s="77" t="inlineStr">
        <is>
          <t>Described as a 'company consultancy project' but the page does not say a real external company sets the brief or receives the output [1].</t>
        </is>
      </c>
      <c r="AB92" s="77" t="inlineStr">
        <is>
          <t>Unclear</t>
        </is>
      </c>
      <c r="AC92" s="77" t="inlineStr">
        <is>
          <t>Not established</t>
        </is>
      </c>
      <c r="AD92" s="77" t="inlineStr"/>
      <c r="AE92" s="77" t="inlineStr">
        <is>
          <t>Consultancy project (format not established)</t>
        </is>
      </c>
      <c r="AF92" s="77">
        <f>IF(OR(V92="No",X92="No",Z92="No"),"Outside strict definition",IF(AND(V92="Yes",X92="Yes",Z92="Yes"),"Meets all three","Potentially relevant; evidence incomplete"))</f>
        <v/>
      </c>
      <c r="AG92" s="77" t="inlineStr">
        <is>
          <t>Current status unclear</t>
        </is>
      </c>
      <c r="AH92" s="77" t="inlineStr">
        <is>
          <t>Undated programme page</t>
        </is>
      </c>
      <c r="AI92" s="77" t="inlineStr">
        <is>
          <t>Yes</t>
        </is>
      </c>
      <c r="AJ92" s="77">
        <f>IF(AND(AI92="Yes",AF92="Meets all three",AG92="Current delivery confirmed"),"Yes","No")</f>
        <v/>
      </c>
      <c r="AK92" s="77" t="inlineStr"/>
      <c r="AL92" s="77" t="inlineStr">
        <is>
          <t>UK11-S03-R1</t>
        </is>
      </c>
      <c r="AM92" s="77" t="inlineStr">
        <is>
          <t>Course code, group vs individual, real external client, credit and current-year delivery.</t>
        </is>
      </c>
      <c r="AN92" s="77" t="inlineStr"/>
      <c r="AO92" s="77" t="inlineStr">
        <is>
          <t>UK</t>
        </is>
      </c>
      <c r="AP92" s="77" t="inlineStr">
        <is>
          <t>UK – additional</t>
        </is>
      </c>
      <c r="AQ92" s="77" t="inlineStr">
        <is>
          <t>Unclear</t>
        </is>
      </c>
      <c r="AR92" s="77" t="inlineStr">
        <is>
          <t>Unclear</t>
        </is>
      </c>
      <c r="AS92" s="77" t="inlineStr"/>
    </row>
    <row r="93">
      <c r="A93" s="77" t="inlineStr">
        <is>
          <t>UK14</t>
        </is>
      </c>
      <c r="B93" s="77" t="inlineStr">
        <is>
          <t>Swansea</t>
        </is>
      </c>
      <c r="C93" s="77" t="inlineStr">
        <is>
          <t>Programme/course</t>
        </is>
      </c>
      <c r="D93" s="77" t="inlineStr">
        <is>
          <t>UK14-S01</t>
        </is>
      </c>
      <c r="E93" s="77" t="inlineStr"/>
      <c r="F93" s="77" t="inlineStr">
        <is>
          <t>No</t>
        </is>
      </c>
      <c r="G93" s="79" t="inlineStr">
        <is>
          <t>Civil Engineering MEng Level 7 group design exercise</t>
        </is>
      </c>
      <c r="H93" s="77" t="inlineStr">
        <is>
          <t>Civil Engineering MEng Level 7 group design exercise</t>
        </is>
      </c>
      <c r="I93" s="77" t="inlineStr"/>
      <c r="J93"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93" s="77" t="inlineStr">
        <is>
          <t>Faculty of Science and Engineering (Civil Engineering)</t>
        </is>
      </c>
      <c r="L93" s="77" t="inlineStr">
        <is>
          <t>MEng Civil Engineering</t>
        </is>
      </c>
      <c r="M93" s="77" t="inlineStr">
        <is>
          <t>Engineering/computing</t>
        </is>
      </c>
      <c r="N93" s="77" t="inlineStr">
        <is>
          <t>Undergraduate</t>
        </is>
      </c>
      <c r="O93" s="77" t="inlineStr">
        <is>
          <t>Level 7 (MEng final year)</t>
        </is>
      </c>
      <c r="P93" s="77" t="inlineStr">
        <is>
          <t>MEng Civil Engineering students</t>
        </is>
      </c>
      <c r="Q93" s="77" t="inlineStr">
        <is>
          <t>Unclear</t>
        </is>
      </c>
      <c r="R93" s="77" t="inlineStr">
        <is>
          <t>Curricular</t>
        </is>
      </c>
      <c r="S93" s="77" t="inlineStr">
        <is>
          <t>Not found (module code and credits not retrieved)</t>
        </is>
      </c>
      <c r="T93" s="77" t="inlineStr">
        <is>
          <t>Year-long</t>
        </is>
      </c>
      <c r="U93" s="77" t="inlineStr">
        <is>
          <t>In person (assumed; not evidenced)</t>
        </is>
      </c>
      <c r="V93" s="77" t="inlineStr">
        <is>
          <t>Yes</t>
        </is>
      </c>
      <c r="W93" s="77" t="inlineStr">
        <is>
          <t>Full design projects with a year-long group design exercise [1].</t>
        </is>
      </c>
      <c r="X93" s="77" t="inlineStr">
        <is>
          <t>Yes</t>
        </is>
      </c>
      <c r="Y93" s="77" t="inlineStr">
        <is>
          <t>Described as a 'year-long group design exercise' and, by an alumnus, as 'the group project during my MEng year' [1].</t>
        </is>
      </c>
      <c r="Z93" s="77" t="inlineStr">
        <is>
          <t>Yes</t>
        </is>
      </c>
      <c r="AA93"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93" s="77" t="inlineStr">
        <is>
          <t>Business/commercial</t>
        </is>
      </c>
      <c r="AC93" s="77" t="inlineStr">
        <is>
          <t>Industry supplies live design projects; industry professionals engage with student groups (exact role not specified)</t>
        </is>
      </c>
      <c r="AD93" s="77" t="inlineStr"/>
      <c r="AE93" s="77" t="inlineStr">
        <is>
          <t>Group engineering design (exact outputs not stated)</t>
        </is>
      </c>
      <c r="AF93" s="77">
        <f>IF(OR(V93="No",X93="No",Z93="No"),"Outside strict definition",IF(AND(V93="Yes",X93="Yes",Z93="Yes"),"Meets all three","Potentially relevant; evidence incomplete"))</f>
        <v/>
      </c>
      <c r="AG93" s="77" t="inlineStr">
        <is>
          <t>Current status unclear</t>
        </is>
      </c>
      <c r="AH93" s="77" t="inlineStr"/>
      <c r="AI93" s="77" t="inlineStr">
        <is>
          <t>Yes</t>
        </is>
      </c>
      <c r="AJ93" s="77">
        <f>IF(AND(AI93="Yes",AF93="Meets all three",AG93="Current delivery confirmed"),"Yes","No")</f>
        <v/>
      </c>
      <c r="AK93" s="77" t="inlineStr"/>
      <c r="AL93" s="77" t="inlineStr">
        <is>
          <t>UK14-S01-R1; UK14-S01-R2</t>
        </is>
      </c>
      <c r="AM93"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93" s="77" t="inlineStr"/>
      <c r="AO93" s="77" t="inlineStr">
        <is>
          <t>UK</t>
        </is>
      </c>
      <c r="AP93" s="77" t="inlineStr">
        <is>
          <t>UK – additional</t>
        </is>
      </c>
      <c r="AQ93" s="77" t="inlineStr">
        <is>
          <t>&gt;1 term</t>
        </is>
      </c>
      <c r="AR93" s="77" t="inlineStr">
        <is>
          <t>All/standard</t>
        </is>
      </c>
      <c r="AS93" s="77" t="inlineStr"/>
    </row>
    <row r="94">
      <c r="A94" s="77" t="inlineStr">
        <is>
          <t>UK14</t>
        </is>
      </c>
      <c r="B94" s="77" t="inlineStr">
        <is>
          <t>Swansea</t>
        </is>
      </c>
      <c r="C94" s="77" t="inlineStr">
        <is>
          <t>Programme/course</t>
        </is>
      </c>
      <c r="D94" s="77" t="inlineStr">
        <is>
          <t>UK14-S02</t>
        </is>
      </c>
      <c r="E94" s="77" t="inlineStr"/>
      <c r="F94" s="77" t="inlineStr">
        <is>
          <t>No</t>
        </is>
      </c>
      <c r="G94" s="79" t="inlineStr">
        <is>
          <t>Civil Engineering BEng Level 6 design project</t>
        </is>
      </c>
      <c r="H94" s="77" t="inlineStr">
        <is>
          <t>Civil Engineering BEng Level 6 design project</t>
        </is>
      </c>
      <c r="I94" s="77" t="inlineStr"/>
      <c r="J94"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94" s="77" t="inlineStr">
        <is>
          <t>Faculty of Science and Engineering (Civil Engineering)</t>
        </is>
      </c>
      <c r="L94" s="77" t="inlineStr">
        <is>
          <t>BEng Civil Engineering</t>
        </is>
      </c>
      <c r="M94" s="77" t="inlineStr">
        <is>
          <t>Engineering/computing</t>
        </is>
      </c>
      <c r="N94" s="77" t="inlineStr">
        <is>
          <t>Undergraduate</t>
        </is>
      </c>
      <c r="O94" s="77" t="inlineStr">
        <is>
          <t>Level 6</t>
        </is>
      </c>
      <c r="P94" s="77" t="inlineStr">
        <is>
          <t>Civil Engineering BEng students</t>
        </is>
      </c>
      <c r="Q94" s="77" t="inlineStr">
        <is>
          <t>Unclear</t>
        </is>
      </c>
      <c r="R94" s="77" t="inlineStr">
        <is>
          <t>Curricular</t>
        </is>
      </c>
      <c r="S94" s="77" t="inlineStr">
        <is>
          <t>Not found</t>
        </is>
      </c>
      <c r="T94" s="77" t="inlineStr">
        <is>
          <t>Not stated</t>
        </is>
      </c>
      <c r="U94" s="77" t="inlineStr"/>
      <c r="V94" s="77" t="inlineStr">
        <is>
          <t>Yes</t>
        </is>
      </c>
      <c r="W94" s="77" t="inlineStr">
        <is>
          <t>A design project with a task set by industry engineers [1].</t>
        </is>
      </c>
      <c r="X94" s="77" t="inlineStr">
        <is>
          <t>Unclear</t>
        </is>
      </c>
      <c r="Y94" s="77" t="inlineStr">
        <is>
          <t>The extract does not say whether the design project is a group project. It is contrasted with 'an individual project', which suggests but does not establish group work [1].</t>
        </is>
      </c>
      <c r="Z94" s="77" t="inlineStr">
        <is>
          <t>Yes</t>
        </is>
      </c>
      <c r="AA94" s="77" t="inlineStr">
        <is>
          <t>The project brief is 'a task set by engineers currently working in industry' [1].</t>
        </is>
      </c>
      <c r="AB94" s="77" t="inlineStr">
        <is>
          <t>Business/commercial</t>
        </is>
      </c>
      <c r="AC94" s="77" t="inlineStr">
        <is>
          <t>Industry engineers set the design task</t>
        </is>
      </c>
      <c r="AD94" s="77" t="inlineStr"/>
      <c r="AE94" s="77" t="inlineStr">
        <is>
          <t>Engineering design (not specified)</t>
        </is>
      </c>
      <c r="AF94" s="77">
        <f>IF(OR(V94="No",X94="No",Z94="No"),"Outside strict definition",IF(AND(V94="Yes",X94="Yes",Z94="Yes"),"Meets all three","Potentially relevant; evidence incomplete"))</f>
        <v/>
      </c>
      <c r="AG94" s="77" t="inlineStr">
        <is>
          <t>Current status unclear</t>
        </is>
      </c>
      <c r="AH94" s="77" t="inlineStr"/>
      <c r="AI94" s="77" t="inlineStr">
        <is>
          <t>Yes</t>
        </is>
      </c>
      <c r="AJ94" s="77">
        <f>IF(AND(AI94="Yes",AF94="Meets all three",AG94="Current delivery confirmed"),"Yes","No")</f>
        <v/>
      </c>
      <c r="AK94" s="77" t="inlineStr"/>
      <c r="AL94" s="77" t="inlineStr">
        <is>
          <t>UK14-S02-R1</t>
        </is>
      </c>
      <c r="AM94" s="77" t="inlineStr">
        <is>
          <t>Group working is not established. The page is undated, so current delivery is unclear. The extract may come from either Civil Engineering course URL.</t>
        </is>
      </c>
      <c r="AN94" s="77" t="inlineStr"/>
      <c r="AO94" s="77" t="inlineStr">
        <is>
          <t>UK</t>
        </is>
      </c>
      <c r="AP94" s="77" t="inlineStr">
        <is>
          <t>UK – additional</t>
        </is>
      </c>
      <c r="AQ94" s="77" t="inlineStr">
        <is>
          <t>Unclear</t>
        </is>
      </c>
      <c r="AR94" s="77" t="inlineStr">
        <is>
          <t>All/standard</t>
        </is>
      </c>
      <c r="AS94" s="77" t="inlineStr"/>
    </row>
    <row r="95">
      <c r="A95" s="77" t="inlineStr">
        <is>
          <t>UK14</t>
        </is>
      </c>
      <c r="B95" s="77" t="inlineStr">
        <is>
          <t>Swansea</t>
        </is>
      </c>
      <c r="C95" s="77" t="inlineStr">
        <is>
          <t>Programme/course</t>
        </is>
      </c>
      <c r="D95" s="77" t="inlineStr">
        <is>
          <t>UK14-S03</t>
        </is>
      </c>
      <c r="E95" s="77" t="inlineStr"/>
      <c r="F95" s="77" t="inlineStr">
        <is>
          <t>No</t>
        </is>
      </c>
      <c r="G95" s="79" t="inlineStr">
        <is>
          <t>Business Consultancy Project (BSc Economics and Business)</t>
        </is>
      </c>
      <c r="H95" s="77" t="inlineStr">
        <is>
          <t>Business Consultancy Project</t>
        </is>
      </c>
      <c r="I95" s="77" t="inlineStr"/>
      <c r="J95" s="77" t="inlineStr">
        <is>
          <t>A final-year Business Consultancy Project on the BSc Economics and Business, in which students 'apply [their] skills to a live client real-world challenge'. Group structure, credits and module code were not retrieved.</t>
        </is>
      </c>
      <c r="K95" s="77" t="inlineStr">
        <is>
          <t>Swansea University (Economics / School of Management; host not confirmed)</t>
        </is>
      </c>
      <c r="L95" s="77" t="inlineStr">
        <is>
          <t>BSc Economics and Business</t>
        </is>
      </c>
      <c r="M95" s="77" t="inlineStr">
        <is>
          <t>Business/management; Arts/humanities/social sciences</t>
        </is>
      </c>
      <c r="N95" s="77" t="inlineStr">
        <is>
          <t>Undergraduate</t>
        </is>
      </c>
      <c r="O95" s="77" t="inlineStr">
        <is>
          <t>Final year</t>
        </is>
      </c>
      <c r="P95" s="77" t="inlineStr"/>
      <c r="Q95" s="77" t="inlineStr">
        <is>
          <t>Unclear</t>
        </is>
      </c>
      <c r="R95" s="77" t="inlineStr">
        <is>
          <t>Curricular</t>
        </is>
      </c>
      <c r="S95" s="77" t="inlineStr"/>
      <c r="T95" s="77" t="inlineStr"/>
      <c r="U95" s="77" t="inlineStr"/>
      <c r="V95" s="77" t="inlineStr">
        <is>
          <t>Yes</t>
        </is>
      </c>
      <c r="W95" s="77" t="inlineStr">
        <is>
          <t>A consultancy project on a live client's real-world challenge [1].</t>
        </is>
      </c>
      <c r="X95" s="77" t="inlineStr">
        <is>
          <t>Unclear</t>
        </is>
      </c>
      <c r="Y95" s="77" t="inlineStr">
        <is>
          <t>No evidence on group or individual format [1].</t>
        </is>
      </c>
      <c r="Z95" s="77" t="inlineStr">
        <is>
          <t>Yes</t>
        </is>
      </c>
      <c r="AA95" s="77" t="inlineStr">
        <is>
          <t>Described as working on 'a live client real-world challenge' (the client supplies the problem) [1].</t>
        </is>
      </c>
      <c r="AB95" s="77" t="inlineStr">
        <is>
          <t>Unclear</t>
        </is>
      </c>
      <c r="AC95" s="77" t="inlineStr">
        <is>
          <t>Live client supplies a real-world challenge</t>
        </is>
      </c>
      <c r="AD95" s="77" t="inlineStr"/>
      <c r="AE95" s="77" t="inlineStr">
        <is>
          <t>Consultancy output (not specified)</t>
        </is>
      </c>
      <c r="AF95" s="77">
        <f>IF(OR(V95="No",X95="No",Z95="No"),"Outside strict definition",IF(AND(V95="Yes",X95="Yes",Z95="Yes"),"Meets all three","Potentially relevant; evidence incomplete"))</f>
        <v/>
      </c>
      <c r="AG95" s="77" t="inlineStr">
        <is>
          <t>Current status unclear</t>
        </is>
      </c>
      <c r="AH95" s="77" t="inlineStr"/>
      <c r="AI95" s="77" t="inlineStr">
        <is>
          <t>Yes</t>
        </is>
      </c>
      <c r="AJ95" s="77">
        <f>IF(AND(AI95="Yes",AF95="Meets all three",AG95="Current delivery confirmed"),"Yes","No")</f>
        <v/>
      </c>
      <c r="AK95" s="77" t="inlineStr"/>
      <c r="AL95" s="77" t="inlineStr">
        <is>
          <t>UK14-S03-R1</t>
        </is>
      </c>
      <c r="AM95" s="77" t="inlineStr">
        <is>
          <t>Group working, module code, credits and current delivery are unknown. The module table on the page did not list the module, so it may be optional. It may be shared with the School of Management's consultancy modules (see S4).</t>
        </is>
      </c>
      <c r="AN95" s="77" t="inlineStr"/>
      <c r="AO95" s="77" t="inlineStr">
        <is>
          <t>UK</t>
        </is>
      </c>
      <c r="AP95" s="77" t="inlineStr">
        <is>
          <t>UK – additional</t>
        </is>
      </c>
      <c r="AQ95" s="77" t="inlineStr">
        <is>
          <t>Unclear</t>
        </is>
      </c>
      <c r="AR95" s="77" t="inlineStr">
        <is>
          <t>All/standard</t>
        </is>
      </c>
      <c r="AS95" s="77" t="inlineStr"/>
    </row>
    <row r="96">
      <c r="A96" s="77" t="inlineStr">
        <is>
          <t>UK14</t>
        </is>
      </c>
      <c r="B96" s="77" t="inlineStr">
        <is>
          <t>Swansea</t>
        </is>
      </c>
      <c r="C96" s="77" t="inlineStr">
        <is>
          <t>Programme/course</t>
        </is>
      </c>
      <c r="D96" s="77" t="inlineStr">
        <is>
          <t>UK14-S04</t>
        </is>
      </c>
      <c r="E96" s="77" t="inlineStr"/>
      <c r="F96" s="77" t="inlineStr">
        <is>
          <t>No</t>
        </is>
      </c>
      <c r="G96" s="79" t="inlineStr">
        <is>
          <t>Marketing consultancy project (BSc Marketing final-year pathway)</t>
        </is>
      </c>
      <c r="H96" s="77" t="inlineStr">
        <is>
          <t>Marketing consultancy project</t>
        </is>
      </c>
      <c r="I96" s="77" t="inlineStr"/>
      <c r="J96" s="77" t="inlineStr">
        <is>
          <t>Final-year BSc Marketing students can choose a marketing consultancy project instead of a traditional dissertation or a Welsh-medium dissertation. A Level 5 Management Consulting module (15 credits) is also listed as optional.</t>
        </is>
      </c>
      <c r="K96" s="77" t="inlineStr">
        <is>
          <t>School of Management</t>
        </is>
      </c>
      <c r="L96" s="77" t="inlineStr">
        <is>
          <t>BSc Marketing</t>
        </is>
      </c>
      <c r="M96" s="77" t="inlineStr">
        <is>
          <t>Business/management</t>
        </is>
      </c>
      <c r="N96" s="77" t="inlineStr">
        <is>
          <t>Undergraduate</t>
        </is>
      </c>
      <c r="O96" s="77" t="inlineStr">
        <is>
          <t>Final year</t>
        </is>
      </c>
      <c r="P96" s="77" t="inlineStr"/>
      <c r="Q96" s="77" t="inlineStr">
        <is>
          <t>Optional/elective</t>
        </is>
      </c>
      <c r="R96" s="77" t="inlineStr">
        <is>
          <t>Curricular</t>
        </is>
      </c>
      <c r="S96" s="77" t="inlineStr"/>
      <c r="T96" s="77" t="inlineStr"/>
      <c r="U96" s="77" t="inlineStr"/>
      <c r="V96" s="77" t="inlineStr">
        <is>
          <t>Yes</t>
        </is>
      </c>
      <c r="W96" s="77" t="inlineStr">
        <is>
          <t>Consultancy project offered as an alternative to the dissertation [1].</t>
        </is>
      </c>
      <c r="X96" s="77" t="inlineStr">
        <is>
          <t>Unclear</t>
        </is>
      </c>
      <c r="Y96" s="77" t="inlineStr">
        <is>
          <t>Not stated.</t>
        </is>
      </c>
      <c r="Z96" s="77" t="inlineStr">
        <is>
          <t>Unclear</t>
        </is>
      </c>
      <c r="AA96" s="77" t="inlineStr">
        <is>
          <t>The extract does not mention a client organisation [1].</t>
        </is>
      </c>
      <c r="AB96" s="77" t="inlineStr">
        <is>
          <t>Unclear</t>
        </is>
      </c>
      <c r="AC96" s="77" t="inlineStr"/>
      <c r="AD96" s="77" t="inlineStr"/>
      <c r="AE96" s="77" t="inlineStr"/>
      <c r="AF96" s="77">
        <f>IF(OR(V96="No",X96="No",Z96="No"),"Outside strict definition",IF(AND(V96="Yes",X96="Yes",Z96="Yes"),"Meets all three","Potentially relevant; evidence incomplete"))</f>
        <v/>
      </c>
      <c r="AG96" s="77" t="inlineStr">
        <is>
          <t>Current status unclear</t>
        </is>
      </c>
      <c r="AH96" s="77" t="inlineStr"/>
      <c r="AI96" s="77" t="inlineStr">
        <is>
          <t>Yes</t>
        </is>
      </c>
      <c r="AJ96" s="77">
        <f>IF(AND(AI96="Yes",AF96="Meets all three",AG96="Current delivery confirmed"),"Yes","No")</f>
        <v/>
      </c>
      <c r="AK96" s="77" t="inlineStr"/>
      <c r="AL96" s="77" t="inlineStr">
        <is>
          <t>UK14-S04-R1</t>
        </is>
      </c>
      <c r="AM96" s="77" t="inlineStr">
        <is>
          <t>Client involvement, group format and current status are not evidenced. This may be the same consultancy module as S3.</t>
        </is>
      </c>
      <c r="AN96" s="77" t="inlineStr"/>
      <c r="AO96" s="77" t="inlineStr">
        <is>
          <t>UK</t>
        </is>
      </c>
      <c r="AP96" s="77" t="inlineStr">
        <is>
          <t>UK – additional</t>
        </is>
      </c>
      <c r="AQ96" s="77" t="inlineStr">
        <is>
          <t>Unclear</t>
        </is>
      </c>
      <c r="AR96" s="77" t="inlineStr">
        <is>
          <t>Unclear</t>
        </is>
      </c>
      <c r="AS96" s="77" t="inlineStr"/>
    </row>
    <row r="97">
      <c r="A97" s="77" t="inlineStr">
        <is>
          <t>UK14</t>
        </is>
      </c>
      <c r="B97" s="77" t="inlineStr">
        <is>
          <t>Swansea</t>
        </is>
      </c>
      <c r="C97" s="77" t="inlineStr">
        <is>
          <t>Programme/course</t>
        </is>
      </c>
      <c r="D97" s="77" t="inlineStr">
        <is>
          <t>UK14-S05</t>
        </is>
      </c>
      <c r="E97" s="77" t="inlineStr"/>
      <c r="F97" s="77" t="inlineStr">
        <is>
          <t>No</t>
        </is>
      </c>
      <c r="G97" s="79" t="inlineStr">
        <is>
          <t>MSc Project Management live project collaborations</t>
        </is>
      </c>
      <c r="H97" s="77" t="inlineStr">
        <is>
          <t>MSc Project Management live project collaborations</t>
        </is>
      </c>
      <c r="I97" s="77" t="inlineStr"/>
      <c r="J97"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97" s="77" t="inlineStr">
        <is>
          <t>School of Management</t>
        </is>
      </c>
      <c r="L97" s="77" t="inlineStr">
        <is>
          <t>MSc Project Management</t>
        </is>
      </c>
      <c r="M97" s="77" t="inlineStr">
        <is>
          <t>Business/management</t>
        </is>
      </c>
      <c r="N97" s="77" t="inlineStr">
        <is>
          <t>Postgraduate taught</t>
        </is>
      </c>
      <c r="O97" s="77" t="inlineStr"/>
      <c r="P97" s="77" t="inlineStr"/>
      <c r="Q97" s="77" t="inlineStr">
        <is>
          <t>Unclear</t>
        </is>
      </c>
      <c r="R97" s="77" t="inlineStr">
        <is>
          <t>Unclear</t>
        </is>
      </c>
      <c r="S97" s="77" t="inlineStr"/>
      <c r="T97" s="77" t="inlineStr"/>
      <c r="U97" s="77" t="inlineStr"/>
      <c r="V97" s="77" t="inlineStr">
        <is>
          <t>Unclear</t>
        </is>
      </c>
      <c r="W97" s="77" t="inlineStr">
        <is>
          <t>'Live project challenges' are mentioned but no defined project module is identified [1].</t>
        </is>
      </c>
      <c r="X97" s="77" t="inlineStr">
        <is>
          <t>Unclear</t>
        </is>
      </c>
      <c r="Y97" s="77" t="inlineStr">
        <is>
          <t>'Working as part of a project team', but it is not clear this team is the live-project route [1].</t>
        </is>
      </c>
      <c r="Z97" s="77" t="inlineStr">
        <is>
          <t>Unclear</t>
        </is>
      </c>
      <c r="AA97" s="77" t="inlineStr">
        <is>
          <t>Named organisations are linked to 'live project collaborations, and dissertation partnerships' without separating the two routes [1].</t>
        </is>
      </c>
      <c r="AB97" s="77" t="inlineStr">
        <is>
          <t>Mixed</t>
        </is>
      </c>
      <c r="AC97" s="77" t="inlineStr">
        <is>
          <t>Collaboration or dissertation partner (routes not separated)</t>
        </is>
      </c>
      <c r="AD97" s="77" t="inlineStr">
        <is>
          <t>Tata Steel, Siemens, NHS (undated course page)</t>
        </is>
      </c>
      <c r="AE97" s="77" t="inlineStr"/>
      <c r="AF97" s="77">
        <f>IF(OR(V97="No",X97="No",Z97="No"),"Outside strict definition",IF(AND(V97="Yes",X97="Yes",Z97="Yes"),"Meets all three","Potentially relevant; evidence incomplete"))</f>
        <v/>
      </c>
      <c r="AG97" s="77" t="inlineStr">
        <is>
          <t>Current status unclear</t>
        </is>
      </c>
      <c r="AH97" s="77" t="inlineStr"/>
      <c r="AI97" s="77" t="inlineStr">
        <is>
          <t>Yes</t>
        </is>
      </c>
      <c r="AJ97" s="77">
        <f>IF(AND(AI97="Yes",AF97="Meets all three",AG97="Current delivery confirmed"),"Yes","No")</f>
        <v/>
      </c>
      <c r="AK97" s="77" t="inlineStr"/>
      <c r="AL97" s="77" t="inlineStr">
        <is>
          <t>UK14-S05-R1</t>
        </is>
      </c>
      <c r="AM97" s="77" t="inlineStr">
        <is>
          <t>The live project route is not separated from individual dissertation partnerships, and no module is identified.</t>
        </is>
      </c>
      <c r="AN97" s="77" t="inlineStr"/>
      <c r="AO97" s="77" t="inlineStr">
        <is>
          <t>UK</t>
        </is>
      </c>
      <c r="AP97" s="77" t="inlineStr">
        <is>
          <t>UK – additional</t>
        </is>
      </c>
      <c r="AQ97" s="77" t="inlineStr">
        <is>
          <t>Unclear</t>
        </is>
      </c>
      <c r="AR97" s="77" t="inlineStr">
        <is>
          <t>Unclear</t>
        </is>
      </c>
      <c r="AS97" s="77" t="inlineStr"/>
    </row>
    <row r="98">
      <c r="A98" s="77" t="inlineStr">
        <is>
          <t>UK14</t>
        </is>
      </c>
      <c r="B98" s="77" t="inlineStr">
        <is>
          <t>Swansea</t>
        </is>
      </c>
      <c r="C98" s="77" t="inlineStr">
        <is>
          <t>University-wide</t>
        </is>
      </c>
      <c r="D98" s="77" t="inlineStr">
        <is>
          <t>UK14-S06</t>
        </is>
      </c>
      <c r="E98" s="77" t="inlineStr"/>
      <c r="F98" s="77" t="inlineStr">
        <is>
          <t>No</t>
        </is>
      </c>
      <c r="G98" s="79" t="inlineStr">
        <is>
          <t>Student Enterprise hackathon (Swansea City Football Club challenge)</t>
        </is>
      </c>
      <c r="H98" s="77" t="inlineStr">
        <is>
          <t>Student Enterprise hackathon</t>
        </is>
      </c>
      <c r="I98" s="77" t="inlineStr"/>
      <c r="J98" s="77" t="inlineStr">
        <is>
          <t>Swansea Student Enterprise ran a hackathon that set students from all faculties a real-life commercial challenge for Swansea City Football Club, producing more than 12 commercial ideas for the club.</t>
        </is>
      </c>
      <c r="K98" s="77" t="inlineStr">
        <is>
          <t>Student Enterprise (Swansea Employability Academy / Hwb)</t>
        </is>
      </c>
      <c r="L98" s="77" t="inlineStr">
        <is>
          <t>Students from across all faculties</t>
        </is>
      </c>
      <c r="M98" s="77" t="inlineStr">
        <is>
          <t>Central provision</t>
        </is>
      </c>
      <c r="N98" s="77" t="inlineStr">
        <is>
          <t>Unclear</t>
        </is>
      </c>
      <c r="O98" s="77" t="inlineStr"/>
      <c r="P98" s="77" t="inlineStr"/>
      <c r="Q98" s="77" t="inlineStr">
        <is>
          <t>Optional/elective</t>
        </is>
      </c>
      <c r="R98" s="77" t="inlineStr">
        <is>
          <t>Extracurricular</t>
        </is>
      </c>
      <c r="S98" s="77" t="inlineStr"/>
      <c r="T98" s="77" t="inlineStr">
        <is>
          <t>Not stated (hackathon format)</t>
        </is>
      </c>
      <c r="U98" s="77" t="inlineStr"/>
      <c r="V98" s="77" t="inlineStr">
        <is>
          <t>Unclear</t>
        </is>
      </c>
      <c r="W98" s="77" t="inlineStr">
        <is>
          <t>The output is 'commercial ideas' for the club. The hackathon's length and how substantial the output was are not stated [1].</t>
        </is>
      </c>
      <c r="X98" s="77" t="inlineStr">
        <is>
          <t>Unclear</t>
        </is>
      </c>
      <c r="Y98" s="77" t="inlineStr">
        <is>
          <t>Team format not stated in the extract [1].</t>
        </is>
      </c>
      <c r="Z98" s="77" t="inlineStr">
        <is>
          <t>Yes</t>
        </is>
      </c>
      <c r="AA98" s="77" t="inlineStr">
        <is>
          <t>Students worked on 'a real-life commercial challenge' and developed ideas 'to support Swansea City Football club' (the club is the source of the challenge and receives the ideas) [1].</t>
        </is>
      </c>
      <c r="AB98" s="77" t="inlineStr">
        <is>
          <t>Business/commercial</t>
        </is>
      </c>
      <c r="AC98" s="77" t="inlineStr">
        <is>
          <t>Sets the commercial challenge and receives the ideas</t>
        </is>
      </c>
      <c r="AD98" s="77" t="inlineStr">
        <is>
          <t>Swansea City Football Club (year not shown)</t>
        </is>
      </c>
      <c r="AE98" s="77" t="inlineStr">
        <is>
          <t>Commercial ideas</t>
        </is>
      </c>
      <c r="AF98" s="77">
        <f>IF(OR(V98="No",X98="No",Z98="No"),"Outside strict definition",IF(AND(V98="Yes",X98="Yes",Z98="Yes"),"Meets all three","Potentially relevant; evidence incomplete"))</f>
        <v/>
      </c>
      <c r="AG98" s="77" t="inlineStr">
        <is>
          <t>Current status unclear</t>
        </is>
      </c>
      <c r="AH98" s="77" t="inlineStr"/>
      <c r="AI98" s="77" t="inlineStr">
        <is>
          <t>Yes</t>
        </is>
      </c>
      <c r="AJ98" s="77">
        <f>IF(AND(AI98="Yes",AF98="Meets all three",AG98="Current delivery confirmed"),"Yes","No")</f>
        <v/>
      </c>
      <c r="AK98" s="77" t="inlineStr"/>
      <c r="AL98" s="77" t="inlineStr">
        <is>
          <t>UK14-S06-R1</t>
        </is>
      </c>
      <c r="AM98" s="77" t="inlineStr">
        <is>
          <t>Date, recurrence, team format and length are unknown. This looks like a one-off event.</t>
        </is>
      </c>
      <c r="AN98" s="77" t="inlineStr"/>
      <c r="AO98" s="77" t="inlineStr">
        <is>
          <t>UK</t>
        </is>
      </c>
      <c r="AP98" s="77" t="inlineStr">
        <is>
          <t>UK – additional</t>
        </is>
      </c>
      <c r="AQ98" s="77" t="inlineStr">
        <is>
          <t>Unclear</t>
        </is>
      </c>
      <c r="AR98" s="77" t="inlineStr">
        <is>
          <t>Unclear</t>
        </is>
      </c>
      <c r="AS98" s="77" t="inlineStr"/>
    </row>
  </sheetData>
  <conditionalFormatting sqref="V7:V98">
    <cfRule type="expression" priority="1" dxfId="4">
      <formula>V7="Yes"</formula>
    </cfRule>
    <cfRule type="expression" priority="2" dxfId="6">
      <formula>V7="No"</formula>
    </cfRule>
    <cfRule type="expression" priority="3" dxfId="5">
      <formula>V7="Unclear"</formula>
    </cfRule>
  </conditionalFormatting>
  <conditionalFormatting sqref="X7:X98">
    <cfRule type="expression" priority="4" dxfId="4">
      <formula>X7="Yes"</formula>
    </cfRule>
    <cfRule type="expression" priority="5" dxfId="6">
      <formula>X7="No"</formula>
    </cfRule>
    <cfRule type="expression" priority="6" dxfId="5">
      <formula>X7="Unclear"</formula>
    </cfRule>
  </conditionalFormatting>
  <conditionalFormatting sqref="Z7:Z98">
    <cfRule type="expression" priority="7" dxfId="4">
      <formula>Z7="Yes"</formula>
    </cfRule>
    <cfRule type="expression" priority="8" dxfId="6">
      <formula>Z7="No"</formula>
    </cfRule>
    <cfRule type="expression" priority="9" dxfId="5">
      <formula>Z7="Unclear"</formula>
    </cfRule>
  </conditionalFormatting>
  <conditionalFormatting sqref="AF7:AF98">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98">
    <cfRule type="expression" priority="13" dxfId="4">
      <formula>AJ7="Yes"</formula>
    </cfRule>
  </conditionalFormatting>
  <dataValidations count="7">
    <dataValidation sqref="V7:V98" showDropDown="0" showInputMessage="0" showErrorMessage="0" allowBlank="1" type="list">
      <formula1>"Yes,No,Unclear"</formula1>
    </dataValidation>
    <dataValidation sqref="X7:X98" showDropDown="0" showInputMessage="0" showErrorMessage="0" allowBlank="1" type="list">
      <formula1>"Yes,No,Unclear"</formula1>
    </dataValidation>
    <dataValidation sqref="Z7:Z98" showDropDown="0" showInputMessage="0" showErrorMessage="0" allowBlank="1" type="list">
      <formula1>"Yes,No,Unclear"</formula1>
    </dataValidation>
    <dataValidation sqref="C7:C98" showDropDown="0" showInputMessage="0" showErrorMessage="0" allowBlank="1" type="list">
      <formula1>"University-wide,Cross-faculty,Faculty/school,Programme/course,Unclear"</formula1>
    </dataValidation>
    <dataValidation sqref="AG7:AG98" showDropDown="0" showInputMessage="0" showErrorMessage="0" allowBlank="1" type="list">
      <formula1>"Current delivery confirmed,Announced/forthcoming,Historical delivery only,Paused/discontinued,Current status unclear"</formula1>
    </dataValidation>
    <dataValidation sqref="Q7:Q98" showDropDown="0" showInputMessage="0" showErrorMessage="0" allowBlank="1" type="list">
      <formula1>"Compulsory for all students (at stated level),Compulsory within specified programmes,Optional/elective,Selective/competitive,Unclear"</formula1>
    </dataValidation>
    <dataValidation sqref="AB7:AB98"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69"/>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Computer Science team projects / MSc Computer Science projects</t>
        </is>
      </c>
      <c r="F12" s="77" t="inlineStr">
        <is>
          <t>No</t>
        </is>
      </c>
      <c r="G12" s="77" t="inlineStr"/>
      <c r="H12" s="77" t="inlineStr">
        <is>
          <t>Evidence gap</t>
        </is>
      </c>
      <c r="I12" s="77" t="inlineStr">
        <is>
          <t>Software Engineering for Global Challenges (Y2, 20 credits) is a team project on a 'real-life problem' (Dubai page) with no external client evidenced; MSc projects 'proposed by academic staff or industrial collaborators' are individual.</t>
        </is>
      </c>
      <c r="J12" s="77" t="inlineStr">
        <is>
          <t>https://www.birmingham.ac.uk/study/postgraduate/subjects/computer-science-and-data-science-courses/computer-science-msc</t>
        </is>
      </c>
      <c r="K12" s="77" t="inlineStr"/>
    </row>
    <row r="13">
      <c r="A13" s="77" t="inlineStr">
        <is>
          <t>RG01-X07</t>
        </is>
      </c>
      <c r="B13" s="77" t="inlineStr">
        <is>
          <t>RG01</t>
        </is>
      </c>
      <c r="C13" s="77" t="inlineStr">
        <is>
          <t>Birmingham</t>
        </is>
      </c>
      <c r="D13" s="77" t="inlineStr">
        <is>
          <t>UK – Russell Group</t>
        </is>
      </c>
      <c r="E13" s="77" t="inlineStr">
        <is>
          <t>College of Arts and Law Professional Skills Module</t>
        </is>
      </c>
      <c r="F13" s="77" t="inlineStr">
        <is>
          <t>No</t>
        </is>
      </c>
      <c r="G13" s="77" t="inlineStr"/>
      <c r="H13" s="77" t="inlineStr">
        <is>
          <t>Placement/internship</t>
        </is>
      </c>
      <c r="I13"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3" s="77" t="inlineStr">
        <is>
          <t>https://www.birmingham.ac.uk/documents/college-artslaw/studentexperience/2022-psm-example-projects-web-version.pdf</t>
        </is>
      </c>
      <c r="K13" s="77" t="inlineStr">
        <is>
          <t>2022 examples</t>
        </is>
      </c>
    </row>
    <row r="14">
      <c r="A14" s="77" t="inlineStr">
        <is>
          <t>RG01-X08</t>
        </is>
      </c>
      <c r="B14" s="77" t="inlineStr">
        <is>
          <t>RG01</t>
        </is>
      </c>
      <c r="C14" s="77" t="inlineStr">
        <is>
          <t>Birmingham</t>
        </is>
      </c>
      <c r="D14" s="77" t="inlineStr">
        <is>
          <t>UK – Russell Group</t>
        </is>
      </c>
      <c r="E14" s="77" t="inlineStr">
        <is>
          <t>Social Sciences BASc final-year project</t>
        </is>
      </c>
      <c r="F14" s="77" t="inlineStr">
        <is>
          <t>No</t>
        </is>
      </c>
      <c r="G14" s="77" t="inlineStr"/>
      <c r="H14" s="77" t="inlineStr">
        <is>
          <t>Dissertation/research</t>
        </is>
      </c>
      <c r="I14" s="77" t="inlineStr">
        <is>
          <t>Individual research project supervised one-to-one.</t>
        </is>
      </c>
      <c r="J14" s="77" t="inlineStr">
        <is>
          <t>https://www.birmingham.ac.uk/study/undergraduate/subjects/social-policy-sociology-and-criminology-courses/ba-social-sciences</t>
        </is>
      </c>
      <c r="K14" s="77" t="inlineStr"/>
    </row>
    <row r="15">
      <c r="A15" s="77" t="inlineStr">
        <is>
          <t>RG13-X01</t>
        </is>
      </c>
      <c r="B15" s="77" t="inlineStr">
        <is>
          <t>RG13</t>
        </is>
      </c>
      <c r="C15" s="77" t="inlineStr">
        <is>
          <t>London School of Economics</t>
        </is>
      </c>
      <c r="D15" s="77" t="inlineStr">
        <is>
          <t>UK – Russell Group</t>
        </is>
      </c>
      <c r="E15" s="77" t="inlineStr">
        <is>
          <t>LSE GROUPS (undergraduate group research projects)</t>
        </is>
      </c>
      <c r="F15" s="77" t="inlineStr">
        <is>
          <t>No</t>
        </is>
      </c>
      <c r="G15" s="77" t="inlineStr"/>
      <c r="H15" s="77" t="inlineStr">
        <is>
          <t>Near-miss: no external org</t>
        </is>
      </c>
      <c r="I15" s="77" t="inlineStr">
        <is>
          <t>Eden Centre-run undergraduate group research projects; guide describes building an undergraduate research project with no evidence of external organisation briefs/clients (internal academic research).</t>
        </is>
      </c>
      <c r="J15" s="77" t="inlineStr">
        <is>
          <t>https://info.lse.ac.uk/staff/divisions/Eden-Centre/Assets-EC/Documents/LSE-GROUPS-guide-2025.pdf</t>
        </is>
      </c>
      <c r="K15" s="77" t="inlineStr">
        <is>
          <t>2025 guide</t>
        </is>
      </c>
    </row>
    <row r="16">
      <c r="A16" s="77" t="inlineStr">
        <is>
          <t>RG13-X02</t>
        </is>
      </c>
      <c r="B16" s="77" t="inlineStr">
        <is>
          <t>RG13</t>
        </is>
      </c>
      <c r="C16" s="77" t="inlineStr">
        <is>
          <t>London School of Economics</t>
        </is>
      </c>
      <c r="D16" s="77" t="inlineStr">
        <is>
          <t>UK – Russell Group</t>
        </is>
      </c>
      <c r="E16" s="77" t="inlineStr">
        <is>
          <t>LSE Generate (entrepreneurship hub, Accelerator Programme)</t>
        </is>
      </c>
      <c r="F16" s="77" t="inlineStr">
        <is>
          <t>No</t>
        </is>
      </c>
      <c r="G16" s="77" t="inlineStr"/>
      <c r="H16" s="77" t="inlineStr">
        <is>
          <t>Entrepreneurship/incubator</t>
        </is>
      </c>
      <c r="I16" s="77" t="inlineStr">
        <is>
          <t>Supports students/alumni building their own ventures; no external client brief.</t>
        </is>
      </c>
      <c r="J16" s="77" t="inlineStr">
        <is>
          <t>https://info.lse.ac.uk/staff/divisions/research-and-innovation/generate</t>
        </is>
      </c>
      <c r="K16" s="77" t="inlineStr"/>
    </row>
    <row r="17">
      <c r="A17" s="77" t="inlineStr">
        <is>
          <t>RG13-X03</t>
        </is>
      </c>
      <c r="B17" s="77" t="inlineStr">
        <is>
          <t>RG13</t>
        </is>
      </c>
      <c r="C17" s="77" t="inlineStr">
        <is>
          <t>London School of Economics</t>
        </is>
      </c>
      <c r="D17" s="77" t="inlineStr">
        <is>
          <t>UK – Russell Group</t>
        </is>
      </c>
      <c r="E17" s="77" t="inlineStr">
        <is>
          <t>LSE Careers Discover | Consultancy</t>
        </is>
      </c>
      <c r="F17" s="77" t="inlineStr">
        <is>
          <t>No</t>
        </is>
      </c>
      <c r="G17" s="77" t="inlineStr"/>
      <c r="H17" s="77" t="inlineStr">
        <is>
          <t>Careers service</t>
        </is>
      </c>
      <c r="I17" s="77" t="inlineStr">
        <is>
          <t>Careers events (fairs, alumni panels, skills seminars) about consulting careers; no project.</t>
        </is>
      </c>
      <c r="J17" s="77" t="inlineStr">
        <is>
          <t>https://info.lse.ac.uk/current-students/careers/events/discover-consultancy</t>
        </is>
      </c>
      <c r="K17" s="77" t="inlineStr"/>
    </row>
    <row r="18">
      <c r="A18" s="77" t="inlineStr">
        <is>
          <t>RG13-X04</t>
        </is>
      </c>
      <c r="B18" s="77" t="inlineStr">
        <is>
          <t>RG13</t>
        </is>
      </c>
      <c r="C18" s="77" t="inlineStr">
        <is>
          <t>London School of Economics</t>
        </is>
      </c>
      <c r="D18" s="77" t="inlineStr">
        <is>
          <t>UK – Russell Group</t>
        </is>
      </c>
      <c r="E18" s="77" t="inlineStr">
        <is>
          <t>MY498 Capstone Project (MSc Applied Social Data Science)</t>
        </is>
      </c>
      <c r="F18" s="77" t="inlineStr">
        <is>
          <t>No</t>
        </is>
      </c>
      <c r="G18" s="77" t="inlineStr"/>
      <c r="H18" s="77" t="inlineStr">
        <is>
          <t>Dissertation/research</t>
        </is>
      </c>
      <c r="I18" s="77" t="inlineStr">
        <is>
          <t>Individual 10,000-word data-science thesis supervised in Department of Methodology; no external partner or group evidence.</t>
        </is>
      </c>
      <c r="J18" s="77" t="inlineStr">
        <is>
          <t>https://www.lse.ac.uk/resources/calendar/courseGuides/MY/2026_MY498.htm</t>
        </is>
      </c>
      <c r="K18" s="77" t="inlineStr">
        <is>
          <t>2026/27 guide</t>
        </is>
      </c>
    </row>
    <row r="19">
      <c r="A19" s="77" t="inlineStr">
        <is>
          <t>RG13-X05</t>
        </is>
      </c>
      <c r="B19" s="77" t="inlineStr">
        <is>
          <t>RG13</t>
        </is>
      </c>
      <c r="C19" s="77" t="inlineStr">
        <is>
          <t>London School of Economics</t>
        </is>
      </c>
      <c r="D19" s="77" t="inlineStr">
        <is>
          <t>UK – Russell Group</t>
        </is>
      </c>
      <c r="E19" s="77" t="inlineStr">
        <is>
          <t>GV331 Capstone Data Science &amp; Civic Engagement (BSc Politics and Data Science)</t>
        </is>
      </c>
      <c r="F19" s="77" t="inlineStr">
        <is>
          <t>No</t>
        </is>
      </c>
      <c r="G19" s="77" t="inlineStr"/>
      <c r="H19" s="77" t="inlineStr">
        <is>
          <t>Other</t>
        </is>
      </c>
      <c r="I19" s="77" t="inlineStr">
        <is>
          <t>Design met A/B/C (groups doing applied projects for civic partner organisations) but course marked not available 2021/22 and 2022/23; no later guide found.</t>
        </is>
      </c>
      <c r="J19" s="77" t="inlineStr">
        <is>
          <t>https://www.lse.ac.uk/resources/calendar2021-2022/courseGuides/GV/2021_GV331.htm</t>
        </is>
      </c>
      <c r="K19" s="77" t="inlineStr">
        <is>
          <t>Paused/discontinued (not available 2021/22, 2022/23)</t>
        </is>
      </c>
    </row>
    <row r="20">
      <c r="A20" s="77" t="inlineStr">
        <is>
          <t>RG13-X06</t>
        </is>
      </c>
      <c r="B20" s="77" t="inlineStr">
        <is>
          <t>RG13</t>
        </is>
      </c>
      <c r="C20" s="77" t="inlineStr">
        <is>
          <t>London School of Economics</t>
        </is>
      </c>
      <c r="D20" s="77" t="inlineStr">
        <is>
          <t>UK – Russell Group</t>
        </is>
      </c>
      <c r="E20" s="77" t="inlineStr">
        <is>
          <t>MG315 Marketing Action Learning Project (undergraduate)</t>
        </is>
      </c>
      <c r="F20" s="77" t="inlineStr">
        <is>
          <t>No</t>
        </is>
      </c>
      <c r="G20" s="77" t="inlineStr"/>
      <c r="H20" s="77" t="inlineStr">
        <is>
          <t>Other</t>
        </is>
      </c>
      <c r="I20" s="77" t="inlineStr">
        <is>
          <t>Team marketing plan project; 2022/23 guide shows 'Not available'; no 2025/26 guide; client involvement not evidenced in extract. Superseded at PG level by MG4F1.</t>
        </is>
      </c>
      <c r="J20" s="77" t="inlineStr">
        <is>
          <t>https://www.lse.ac.uk/resources/calendar2022-2023/courseGuides/MG/2022_MG315.htm</t>
        </is>
      </c>
      <c r="K20" s="77" t="inlineStr">
        <is>
          <t>Not available 2022/23; no current guide</t>
        </is>
      </c>
    </row>
    <row r="21">
      <c r="A21" s="77" t="inlineStr">
        <is>
          <t>RG13-X07</t>
        </is>
      </c>
      <c r="B21" s="77" t="inlineStr">
        <is>
          <t>RG13</t>
        </is>
      </c>
      <c r="C21" s="77" t="inlineStr">
        <is>
          <t>London School of Economics</t>
        </is>
      </c>
      <c r="D21" s="77" t="inlineStr">
        <is>
          <t>UK – Russell Group</t>
        </is>
      </c>
      <c r="E21" s="77" t="inlineStr">
        <is>
          <t>MG311 Behavioural Science and Group Processes</t>
        </is>
      </c>
      <c r="F21" s="77" t="inlineStr">
        <is>
          <t>No</t>
        </is>
      </c>
      <c r="G21" s="77" t="inlineStr"/>
      <c r="H21" s="77" t="inlineStr">
        <is>
          <t>Near-miss: no external org</t>
        </is>
      </c>
      <c r="I21" s="77" t="inlineStr">
        <is>
          <t>Group project analyses a real decision selected by students, not a client brief.</t>
        </is>
      </c>
      <c r="J21" s="77" t="inlineStr">
        <is>
          <t>https://www.lse.ac.uk/resources/calendar/courseGuides/MG/2026_MG311.htm</t>
        </is>
      </c>
      <c r="K21" s="77" t="inlineStr">
        <is>
          <t>2026/27</t>
        </is>
      </c>
    </row>
    <row r="22">
      <c r="A22" s="77" t="inlineStr">
        <is>
          <t>RG13-X08</t>
        </is>
      </c>
      <c r="B22" s="77" t="inlineStr">
        <is>
          <t>RG13</t>
        </is>
      </c>
      <c r="C22" s="77" t="inlineStr">
        <is>
          <t>London School of Economics</t>
        </is>
      </c>
      <c r="D22" s="77" t="inlineStr">
        <is>
          <t>UK – Russell Group</t>
        </is>
      </c>
      <c r="E22" s="77" t="inlineStr">
        <is>
          <t>LSE Legal Advice Centre / Homelessness Legal Clinic (with Centrepoint and Shelter)</t>
        </is>
      </c>
      <c r="F22" s="77" t="inlineStr">
        <is>
          <t>No</t>
        </is>
      </c>
      <c r="G22" s="77" t="inlineStr"/>
      <c r="H22" s="77" t="inlineStr">
        <is>
          <t>Volunteering/service-learning</t>
        </is>
      </c>
      <c r="I22" s="77" t="inlineStr">
        <is>
          <t>Pro bono casework in pairs under Shelter lawyers; individual-client legal casework rather than a bounded project with defined output to an organisation; volunteer roles for 2nd/3rd year LLB, BA Law and Anthropology and LLM (~5 hrs/week).</t>
        </is>
      </c>
      <c r="J22" s="77" t="inlineStr">
        <is>
          <t>https://www.lse.ac.uk/law/legal-advice-centre/access-to-justice</t>
        </is>
      </c>
      <c r="K22" s="77" t="inlineStr">
        <is>
          <t>2025/26 volunteer call on https://www.lse.ac.uk/law/legal-advice/lse-law-students</t>
        </is>
      </c>
    </row>
    <row r="23">
      <c r="A23" s="77" t="inlineStr">
        <is>
          <t>RG13-X09</t>
        </is>
      </c>
      <c r="B23" s="77" t="inlineStr">
        <is>
          <t>RG13</t>
        </is>
      </c>
      <c r="C23" s="77" t="inlineStr">
        <is>
          <t>London School of Economics</t>
        </is>
      </c>
      <c r="D23" s="77" t="inlineStr">
        <is>
          <t>UK – Russell Group</t>
        </is>
      </c>
      <c r="E23" s="77" t="inlineStr">
        <is>
          <t>LSE Consulting</t>
        </is>
      </c>
      <c r="F23" s="77" t="inlineStr">
        <is>
          <t>No</t>
        </is>
      </c>
      <c r="G23" s="77" t="inlineStr"/>
      <c r="H23" s="77" t="inlineStr">
        <is>
          <t>Other</t>
        </is>
      </c>
      <c r="I23" s="77" t="inlineStr">
        <is>
          <t>LSE's academic consultancy arm (staff consulting for clients), not a student scheme.</t>
        </is>
      </c>
      <c r="J23" s="77" t="inlineStr">
        <is>
          <t>https://www.lse.ac.uk/business/consulting</t>
        </is>
      </c>
      <c r="K23" s="77" t="inlineStr"/>
    </row>
    <row r="24">
      <c r="A24" s="77" t="inlineStr">
        <is>
          <t>RG17-X01</t>
        </is>
      </c>
      <c r="B24" s="77" t="inlineStr">
        <is>
          <t>RG17</t>
        </is>
      </c>
      <c r="C24" s="77" t="inlineStr">
        <is>
          <t>Oxford</t>
        </is>
      </c>
      <c r="D24" s="77" t="inlineStr">
        <is>
          <t>UK – Russell Group</t>
        </is>
      </c>
      <c r="E24" s="77" t="inlineStr">
        <is>
          <t>Micro-Internship Programme</t>
        </is>
      </c>
      <c r="F24" s="77" t="inlineStr">
        <is>
          <t>Yes</t>
        </is>
      </c>
      <c r="G24" s="77" t="n">
        <v>23</v>
      </c>
      <c r="H24" s="77" t="inlineStr">
        <is>
          <t>Placement/internship</t>
        </is>
      </c>
      <c r="I24" s="77" t="inlineStr">
        <is>
          <t>Individual 2-5 day voluntary placements with an employer: the intern assists with and observes a small project and/or work shadowing. A project component exists but is undertaken by an individual intern with host staff (B = No); not a team project.</t>
        </is>
      </c>
      <c r="J24" s="77" t="inlineStr">
        <is>
          <t>https://www.careers.ox.ac.uk/micros</t>
        </is>
      </c>
      <c r="K24" s="77" t="inlineStr">
        <is>
          <t>Current: 2026-27 cycles published (winter 7-11 or 14-18 Dec 2026; spring Mar 2027; summer Jun/Jul 2027) per https://www.careers.ox.ac.uk/the-micro-internship-programme-employer-information</t>
        </is>
      </c>
    </row>
    <row r="25">
      <c r="A25" s="77" t="inlineStr">
        <is>
          <t>RG17-X02</t>
        </is>
      </c>
      <c r="B25" s="77" t="inlineStr">
        <is>
          <t>RG17</t>
        </is>
      </c>
      <c r="C25" s="77" t="inlineStr">
        <is>
          <t>Oxford</t>
        </is>
      </c>
      <c r="D25" s="77" t="inlineStr">
        <is>
          <t>UK – Russell Group</t>
        </is>
      </c>
      <c r="E25" s="77" t="inlineStr">
        <is>
          <t>The Researcher Strategy Consultancy (TRSC; incl. health and life sciences variant)</t>
        </is>
      </c>
      <c r="F25" s="77" t="inlineStr">
        <is>
          <t>No</t>
        </is>
      </c>
      <c r="G25" s="77" t="inlineStr"/>
      <c r="H25" s="77" t="inlineStr">
        <is>
          <t>Evidence gap</t>
        </is>
      </c>
      <c r="I25" s="77" t="inlineStr">
        <is>
          <t>Careers Service consultancy programme for researchers; page labelled 'Programme Paused' and no extract on team structure/clients obtained before search budget ran out.</t>
        </is>
      </c>
      <c r="J25" s="77" t="inlineStr">
        <is>
          <t>https://www.careers.ox.ac.uk/trsc</t>
        </is>
      </c>
      <c r="K25" s="77" t="inlineStr">
        <is>
          <t>Paused (programme page)</t>
        </is>
      </c>
    </row>
    <row r="26">
      <c r="A26" s="77" t="inlineStr">
        <is>
          <t>RG17-X03</t>
        </is>
      </c>
      <c r="B26" s="77" t="inlineStr">
        <is>
          <t>RG17</t>
        </is>
      </c>
      <c r="C26" s="77" t="inlineStr">
        <is>
          <t>Oxford</t>
        </is>
      </c>
      <c r="D26" s="77" t="inlineStr">
        <is>
          <t>UK – Russell Group</t>
        </is>
      </c>
      <c r="E26" s="77" t="inlineStr">
        <is>
          <t>Insight into Strategy and Management / Insight into Consulting and Strategy</t>
        </is>
      </c>
      <c r="F26" s="77" t="inlineStr">
        <is>
          <t>No</t>
        </is>
      </c>
      <c r="G26" s="77" t="inlineStr"/>
      <c r="H26" s="77" t="inlineStr">
        <is>
          <t>Careers service</t>
        </is>
      </c>
      <c r="I26" s="77" t="inlineStr">
        <is>
          <t>Insight/skills programmes; no evidence obtained of a team client project; one variant labelled paused.</t>
        </is>
      </c>
      <c r="J26" s="77" t="inlineStr">
        <is>
          <t>https://www.careers.ox.ac.uk/insight-into-business/</t>
        </is>
      </c>
      <c r="K26" s="77" t="inlineStr">
        <is>
          <t>Paused label</t>
        </is>
      </c>
    </row>
    <row r="27">
      <c r="A27" s="77" t="inlineStr">
        <is>
          <t>RG17-X04</t>
        </is>
      </c>
      <c r="B27" s="77" t="inlineStr">
        <is>
          <t>RG17</t>
        </is>
      </c>
      <c r="C27" s="77" t="inlineStr">
        <is>
          <t>Oxford</t>
        </is>
      </c>
      <c r="D27" s="77" t="inlineStr">
        <is>
          <t>UK – Russell Group</t>
        </is>
      </c>
      <c r="E27" s="77" t="inlineStr">
        <is>
          <t>MSc MMSC Case Studies in Mathematical Modelling / Scientific Computing</t>
        </is>
      </c>
      <c r="F27" s="77" t="inlineStr">
        <is>
          <t>No</t>
        </is>
      </c>
      <c r="G27" s="77" t="inlineStr"/>
      <c r="H27" s="77" t="inlineStr">
        <is>
          <t>Near-miss: no external org</t>
        </is>
      </c>
      <c r="I27" s="77" t="inlineStr">
        <is>
          <t>Group case studies (groups of 4-5; group presentation 20% + individual report) on 'problems of practical interest'; no evidence an external organisation sets or receives them. Industry co-supervision applies only to the individual dissertation ('may be').</t>
        </is>
      </c>
      <c r="J27" s="77" t="inlineStr">
        <is>
          <t>https://courses.maths.ox.ac.uk/mod/book/view.php?id=65607&amp;chapterid=802</t>
        </is>
      </c>
      <c r="K27" s="77" t="inlineStr">
        <is>
          <t>2025-26 handbook</t>
        </is>
      </c>
    </row>
    <row r="28">
      <c r="A28" s="77" t="inlineStr">
        <is>
          <t>RG17-X05</t>
        </is>
      </c>
      <c r="B28" s="77" t="inlineStr">
        <is>
          <t>RG17</t>
        </is>
      </c>
      <c r="C28" s="77" t="inlineStr">
        <is>
          <t>Oxford</t>
        </is>
      </c>
      <c r="D28" s="77" t="inlineStr">
        <is>
          <t>UK – Russell Group</t>
        </is>
      </c>
      <c r="E28" s="77" t="inlineStr">
        <is>
          <t>Oxford Statistical Consultancy</t>
        </is>
      </c>
      <c r="F28" s="77" t="inlineStr">
        <is>
          <t>No</t>
        </is>
      </c>
      <c r="G28" s="77" t="inlineStr"/>
      <c r="H28" s="77" t="inlineStr">
        <is>
          <t>Other</t>
        </is>
      </c>
      <c r="I28" s="77" t="inlineStr">
        <is>
          <t>Staff consultancy service; states it generally does not have capacity to support MSc students; not a student project route.</t>
        </is>
      </c>
      <c r="J28" s="77" t="inlineStr">
        <is>
          <t>https://www.stats.ox.ac.uk/internal-clients</t>
        </is>
      </c>
      <c r="K28" s="77" t="inlineStr"/>
    </row>
    <row r="29">
      <c r="A29" s="77" t="inlineStr">
        <is>
          <t>RG17-X06</t>
        </is>
      </c>
      <c r="B29" s="77" t="inlineStr">
        <is>
          <t>RG17</t>
        </is>
      </c>
      <c r="C29" s="77" t="inlineStr">
        <is>
          <t>Oxford</t>
        </is>
      </c>
      <c r="D29" s="77" t="inlineStr">
        <is>
          <t>UK – Russell Group</t>
        </is>
      </c>
      <c r="E29" s="77" t="inlineStr">
        <is>
          <t>Oxford Global Private Equity Challenge</t>
        </is>
      </c>
      <c r="F29" s="77" t="inlineStr">
        <is>
          <t>No</t>
        </is>
      </c>
      <c r="G29" s="77" t="inlineStr"/>
      <c r="H29" s="77" t="inlineStr">
        <is>
          <t>Event/competition without live client</t>
        </is>
      </c>
      <c r="I29" s="77" t="inlineStr">
        <is>
          <t>Competition hosted by Saïd for full-time business-school postgraduates (teams of 3-4); no evidence of a live client setting its own problem; open to external business schools.</t>
        </is>
      </c>
      <c r="J29" s="77" t="inlineStr">
        <is>
          <t>https://www.sbs.ox.ac.uk/events/oxford-global-private-equity-challenge-2026</t>
        </is>
      </c>
      <c r="K29" s="77" t="inlineStr">
        <is>
          <t>2026 edition</t>
        </is>
      </c>
    </row>
    <row r="30">
      <c r="A30" s="77" t="inlineStr">
        <is>
          <t>RG17-X07</t>
        </is>
      </c>
      <c r="B30" s="77" t="inlineStr">
        <is>
          <t>RG17</t>
        </is>
      </c>
      <c r="C30" s="77" t="inlineStr">
        <is>
          <t>Oxford</t>
        </is>
      </c>
      <c r="D30" s="77" t="inlineStr">
        <is>
          <t>UK – Russell Group</t>
        </is>
      </c>
      <c r="E30" s="77" t="inlineStr">
        <is>
          <t>Oxford Scenarios Programme (executive education)</t>
        </is>
      </c>
      <c r="F30" s="77" t="inlineStr">
        <is>
          <t>No</t>
        </is>
      </c>
      <c r="G30" s="77" t="inlineStr"/>
      <c r="H30" s="77" t="inlineStr">
        <is>
          <t>Other</t>
        </is>
      </c>
      <c r="I30" s="77" t="inlineStr">
        <is>
          <t>Non-degree executive education (group work on a strategic issue for a real-world client); out of scope for student provision.</t>
        </is>
      </c>
      <c r="J30" s="77" t="inlineStr">
        <is>
          <t>https://www.sbs.ox.ac.uk/programmes/executive-education/person-programmes/oxford-scenarios-programme</t>
        </is>
      </c>
      <c r="K30" s="77" t="inlineStr"/>
    </row>
    <row r="31">
      <c r="A31" s="77" t="inlineStr">
        <is>
          <t>AU02-X01</t>
        </is>
      </c>
      <c r="B31" s="77" t="inlineStr">
        <is>
          <t>AU02</t>
        </is>
      </c>
      <c r="C31" s="77" t="inlineStr">
        <is>
          <t>Melbourne</t>
        </is>
      </c>
      <c r="D31" s="77" t="inlineStr">
        <is>
          <t>Australia</t>
        </is>
      </c>
      <c r="E31" s="77" t="inlineStr">
        <is>
          <t>Breadth subjects / Melbourne curriculum</t>
        </is>
      </c>
      <c r="F31" s="77" t="inlineStr">
        <is>
          <t>Yes</t>
        </is>
      </c>
      <c r="G31" s="77" t="n">
        <v>32</v>
      </c>
      <c r="H31" s="77" t="inlineStr">
        <is>
          <t>Breadth/interdisciplinary curriculum</t>
        </is>
      </c>
      <c r="I31" s="77" t="inlineStr">
        <is>
          <t>Curriculum framework requiring study outside the main discipline; not itself a project. Underlying routes tested separately: ARTS30001 Industry Project is a breadth-eligible subject and is recorded as S1. The framework fails A/B/C as a scheme.</t>
        </is>
      </c>
      <c r="J31" s="77" t="inlineStr">
        <is>
          <t>https://students.unimelb.edu.au/course-admin/planning-your-course-and-subjects/breadth-subjects</t>
        </is>
      </c>
      <c r="K31" s="77" t="inlineStr">
        <is>
          <t>Framework current; not counted.</t>
        </is>
      </c>
    </row>
    <row r="32">
      <c r="A32" s="77" t="inlineStr">
        <is>
          <t>AU02-X02</t>
        </is>
      </c>
      <c r="B32" s="77" t="inlineStr">
        <is>
          <t>AU02</t>
        </is>
      </c>
      <c r="C32" s="77" t="inlineStr">
        <is>
          <t>Melbourne</t>
        </is>
      </c>
      <c r="D32" s="77" t="inlineStr">
        <is>
          <t>Australia</t>
        </is>
      </c>
      <c r="E32" s="77" t="inlineStr">
        <is>
          <t>Arts Work Integrated Learning and Industry Partnerships (partner umbrella page)</t>
        </is>
      </c>
      <c r="F32" s="77" t="inlineStr">
        <is>
          <t>No</t>
        </is>
      </c>
      <c r="G32" s="77" t="inlineStr"/>
      <c r="H32" s="77" t="inlineStr">
        <is>
          <t>WIL framework</t>
        </is>
      </c>
      <c r="I32" s="77" t="inlineStr">
        <is>
          <t>Umbrella describing internships and industry projects; the qualifying project route is ARTS30001 (S1); internships (incl. NGV placements, Melbourne Writers Festival research projects) are individual placements.</t>
        </is>
      </c>
      <c r="J32" s="77" t="inlineStr">
        <is>
          <t>https://arts.unimelb.edu.au/engage/partner-with-us/work-with-our-students/experiential-learning</t>
        </is>
      </c>
      <c r="K32" s="77" t="inlineStr">
        <is>
          <t>Undated</t>
        </is>
      </c>
    </row>
    <row r="33">
      <c r="A33" s="77" t="inlineStr">
        <is>
          <t>AU02-X03</t>
        </is>
      </c>
      <c r="B33" s="77" t="inlineStr">
        <is>
          <t>AU02</t>
        </is>
      </c>
      <c r="C33" s="77" t="inlineStr">
        <is>
          <t>Melbourne</t>
        </is>
      </c>
      <c r="D33" s="77" t="inlineStr">
        <is>
          <t>Australia</t>
        </is>
      </c>
      <c r="E33" s="77" t="inlineStr">
        <is>
          <t>Business Innovation Lab (FBE newsroom)</t>
        </is>
      </c>
      <c r="F33" s="77" t="inlineStr">
        <is>
          <t>No</t>
        </is>
      </c>
      <c r="G33" s="77" t="inlineStr"/>
      <c r="H33" s="77" t="inlineStr">
        <is>
          <t>Evidence gap</t>
        </is>
      </c>
      <c r="I33"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3" s="77" t="inlineStr">
        <is>
          <t>https://fbe.unimelb.edu.au/newsroom/experiencing-the-business-innovation-lab</t>
        </is>
      </c>
      <c r="K33" s="77" t="inlineStr">
        <is>
          <t>Undated; relationship to S8 unconfirmed</t>
        </is>
      </c>
    </row>
    <row r="34">
      <c r="A34" s="77" t="inlineStr">
        <is>
          <t>AU02-X04</t>
        </is>
      </c>
      <c r="B34" s="77" t="inlineStr">
        <is>
          <t>AU02</t>
        </is>
      </c>
      <c r="C34" s="77" t="inlineStr">
        <is>
          <t>Melbourne</t>
        </is>
      </c>
      <c r="D34" s="77" t="inlineStr">
        <is>
          <t>Australia</t>
        </is>
      </c>
      <c r="E34" s="77" t="inlineStr">
        <is>
          <t>Consulting Project (MGMT90147)</t>
        </is>
      </c>
      <c r="F34" s="77" t="inlineStr">
        <is>
          <t>No</t>
        </is>
      </c>
      <c r="G34" s="77" t="inlineStr"/>
      <c r="H34" s="77" t="inlineStr">
        <is>
          <t>Other</t>
        </is>
      </c>
      <c r="I34" s="77" t="inlineStr">
        <is>
          <t>Graduate team consulting with a practicum organisation (statement of work) - would meet A/B/C, but handbook marks it 'Not available in 2024'; no later offering found.</t>
        </is>
      </c>
      <c r="J34" s="77" t="inlineStr">
        <is>
          <t>https://handbook.unimelb.edu.au/view/current/MGMT90147</t>
        </is>
      </c>
      <c r="K34" s="77" t="inlineStr">
        <is>
          <t>Paused/discontinued (not available 2024)</t>
        </is>
      </c>
    </row>
    <row r="35">
      <c r="A35" s="77" t="inlineStr">
        <is>
          <t>AU02-X05</t>
        </is>
      </c>
      <c r="B35" s="77" t="inlineStr">
        <is>
          <t>AU02</t>
        </is>
      </c>
      <c r="C35" s="77" t="inlineStr">
        <is>
          <t>Melbourne</t>
        </is>
      </c>
      <c r="D35" s="77" t="inlineStr">
        <is>
          <t>Australia</t>
        </is>
      </c>
      <c r="E35" s="77" t="inlineStr">
        <is>
          <t>FBE Grand Challenges</t>
        </is>
      </c>
      <c r="F35" s="77" t="inlineStr">
        <is>
          <t>No</t>
        </is>
      </c>
      <c r="G35" s="77" t="inlineStr"/>
      <c r="H35" s="77" t="inlineStr">
        <is>
          <t>Evidence gap</t>
        </is>
      </c>
      <c r="I35" s="77" t="inlineStr">
        <is>
          <t>Three-week (50 hours) online program in cross-disciplinary remote teams on client themes with industry mentors; page appears ~3 years old and no current delivery found; client role not clear enough to distinguish from a Practera-type programme.</t>
        </is>
      </c>
      <c r="J35" s="77" t="inlineStr">
        <is>
          <t>https://fbe.unimelb.edu.au/bcom/career/expertise/fbe-grand-challenges</t>
        </is>
      </c>
      <c r="K35" s="77" t="inlineStr">
        <is>
          <t>Historical/undated</t>
        </is>
      </c>
    </row>
    <row r="36">
      <c r="A36" s="77" t="inlineStr">
        <is>
          <t>AU02-X06</t>
        </is>
      </c>
      <c r="B36" s="77" t="inlineStr">
        <is>
          <t>AU02</t>
        </is>
      </c>
      <c r="C36" s="77" t="inlineStr">
        <is>
          <t>Melbourne</t>
        </is>
      </c>
      <c r="D36" s="77" t="inlineStr">
        <is>
          <t>Australia</t>
        </is>
      </c>
      <c r="E36" s="77" t="inlineStr">
        <is>
          <t>BCom Case Competition / MBS Case Competition / FBE international case competitions</t>
        </is>
      </c>
      <c r="F36" s="77" t="inlineStr">
        <is>
          <t>No</t>
        </is>
      </c>
      <c r="G36" s="77" t="inlineStr"/>
      <c r="H36" s="77" t="inlineStr">
        <is>
          <t>Event/competition without live client</t>
        </is>
      </c>
      <c r="I36" s="77" t="inlineStr">
        <is>
          <t>Case competitions with a case partner (BCom: Who Gives A Crap, current year) and prize pool; no evidence the partner sets a live problem or engages with teams beyond the case - C not established.</t>
        </is>
      </c>
      <c r="J36" s="77" t="inlineStr">
        <is>
          <t>https://fbe.unimelb.edu.au/bcom/career/expertise/case-competition</t>
        </is>
      </c>
      <c r="K36" s="77" t="inlineStr">
        <is>
          <t>Current</t>
        </is>
      </c>
    </row>
    <row r="37">
      <c r="A37" s="77" t="inlineStr">
        <is>
          <t>AU02-X07</t>
        </is>
      </c>
      <c r="B37" s="77" t="inlineStr">
        <is>
          <t>AU02</t>
        </is>
      </c>
      <c r="C37" s="77" t="inlineStr">
        <is>
          <t>Melbourne</t>
        </is>
      </c>
      <c r="D37" s="77" t="inlineStr">
        <is>
          <t>Australia</t>
        </is>
      </c>
      <c r="E37" s="77" t="inlineStr">
        <is>
          <t>Innovation and Enterprise Internship (BUSA90518)</t>
        </is>
      </c>
      <c r="F37" s="77" t="inlineStr">
        <is>
          <t>No</t>
        </is>
      </c>
      <c r="G37" s="77" t="inlineStr"/>
      <c r="H37" s="77" t="inlineStr">
        <is>
          <t>Placement/internship</t>
        </is>
      </c>
      <c r="I37" s="77" t="inlineStr">
        <is>
          <t>Individual client-based internship; no team route.</t>
        </is>
      </c>
      <c r="J37" s="77" t="inlineStr">
        <is>
          <t>https://handbook.unimelb.edu.au/2021/subjects/busa90518</t>
        </is>
      </c>
      <c r="K37" s="77" t="inlineStr">
        <is>
          <t>2021 handbook</t>
        </is>
      </c>
    </row>
    <row r="38">
      <c r="A38" s="77" t="inlineStr">
        <is>
          <t>AU02-X08</t>
        </is>
      </c>
      <c r="B38" s="77" t="inlineStr">
        <is>
          <t>AU02</t>
        </is>
      </c>
      <c r="C38" s="77" t="inlineStr">
        <is>
          <t>Melbourne</t>
        </is>
      </c>
      <c r="D38" s="77" t="inlineStr">
        <is>
          <t>Australia</t>
        </is>
      </c>
      <c r="E38" s="77" t="inlineStr">
        <is>
          <t>Industry Project (AGRI30006, Dookie)</t>
        </is>
      </c>
      <c r="F38" s="77" t="inlineStr">
        <is>
          <t>No</t>
        </is>
      </c>
      <c r="G38" s="77" t="inlineStr"/>
      <c r="H38" s="77" t="inlineStr">
        <is>
          <t>Near-miss: not group</t>
        </is>
      </c>
      <c r="I38" s="77" t="inlineStr">
        <is>
          <t>Industry-linked project with industry advisors and presentation to an audience including industry members, but students define their own individual projects with a supervisor and submit individual reports. AGRI30005 not available in 2026.</t>
        </is>
      </c>
      <c r="J38" s="77" t="inlineStr">
        <is>
          <t>https://handbook.unimelb.edu.au/subjects/agri30006</t>
        </is>
      </c>
      <c r="K38" s="77" t="inlineStr">
        <is>
          <t>Current 2026 (Semester 2, Dookie)</t>
        </is>
      </c>
    </row>
    <row r="39">
      <c r="A39" s="77" t="inlineStr">
        <is>
          <t>AU02-X09</t>
        </is>
      </c>
      <c r="B39" s="77" t="inlineStr">
        <is>
          <t>AU02</t>
        </is>
      </c>
      <c r="C39" s="77" t="inlineStr">
        <is>
          <t>Melbourne</t>
        </is>
      </c>
      <c r="D39" s="77" t="inlineStr">
        <is>
          <t>Australia</t>
        </is>
      </c>
      <c r="E39" s="77" t="inlineStr">
        <is>
          <t>Environmental Industry Research (ENST90025 / ENST90020)</t>
        </is>
      </c>
      <c r="F39" s="77" t="inlineStr">
        <is>
          <t>No</t>
        </is>
      </c>
      <c r="G39" s="77" t="inlineStr"/>
      <c r="H39" s="77" t="inlineStr">
        <is>
          <t>Evidence gap</t>
        </is>
      </c>
      <c r="I39" s="77" t="inlineStr">
        <is>
          <t>Research with an industry partner on a real-world problem; team format not evidenced (likely individual research).</t>
        </is>
      </c>
      <c r="J39" s="77" t="inlineStr">
        <is>
          <t>https://environment.unimelb.edu.au/current-students/subject-options/research-and-industry-projects</t>
        </is>
      </c>
      <c r="K39" s="77" t="inlineStr">
        <is>
          <t>Undated</t>
        </is>
      </c>
    </row>
    <row r="40">
      <c r="A40" s="77" t="inlineStr">
        <is>
          <t>AU02-X10</t>
        </is>
      </c>
      <c r="B40" s="77" t="inlineStr">
        <is>
          <t>AU02</t>
        </is>
      </c>
      <c r="C40" s="77" t="inlineStr">
        <is>
          <t>Melbourne</t>
        </is>
      </c>
      <c r="D40" s="77" t="inlineStr">
        <is>
          <t>Australia</t>
        </is>
      </c>
      <c r="E40" s="77" t="inlineStr">
        <is>
          <t>Public Interest Law Clinic</t>
        </is>
      </c>
      <c r="F40" s="77" t="inlineStr">
        <is>
          <t>No</t>
        </is>
      </c>
      <c r="G40" s="77" t="inlineStr"/>
      <c r="H40" s="77" t="inlineStr">
        <is>
          <t>Placement/internship</t>
        </is>
      </c>
      <c r="I40" s="77" t="inlineStr">
        <is>
          <t>Students placed at VALS doing intake/casework with possible policy work - individual clinical placement, no team project.</t>
        </is>
      </c>
      <c r="J40" s="77" t="inlineStr">
        <is>
          <t>https://law.unimelb.edu.au/students/jd/enrichment/mls-clinics/subjects/public-interest-law-clinic</t>
        </is>
      </c>
      <c r="K40" s="77" t="inlineStr">
        <is>
          <t>Undated</t>
        </is>
      </c>
    </row>
    <row r="41">
      <c r="A41" s="77" t="inlineStr">
        <is>
          <t>AU02-X11</t>
        </is>
      </c>
      <c r="B41" s="77" t="inlineStr">
        <is>
          <t>AU02</t>
        </is>
      </c>
      <c r="C41" s="77" t="inlineStr">
        <is>
          <t>Melbourne</t>
        </is>
      </c>
      <c r="D41" s="77" t="inlineStr">
        <is>
          <t>Australia</t>
        </is>
      </c>
      <c r="E41" s="77" t="inlineStr">
        <is>
          <t>Melbourne School of Design studios with external partners (e.g. Studio 5/02, 2024 Merri-Bek Council / Wurundjeri)</t>
        </is>
      </c>
      <c r="F41" s="77" t="inlineStr">
        <is>
          <t>No</t>
        </is>
      </c>
      <c r="G41" s="77" t="inlineStr"/>
      <c r="H41" s="77" t="inlineStr">
        <is>
          <t>Evidence gap</t>
        </is>
      </c>
      <c r="I41" s="77" t="inlineStr">
        <is>
          <t>Individual studios sometimes have named external clients, but team format and partner role per studio not evidenced; studios vary each semester. Travelling studios partner with universities/government departments (role unclear).</t>
        </is>
      </c>
      <c r="J41" s="77" t="inlineStr">
        <is>
          <t>https://msd.unimelb.edu.au/current-students/subject-information/msd-studios/msd-studio-archive/2024/semester-1/studio-502</t>
        </is>
      </c>
      <c r="K41" s="77" t="inlineStr">
        <is>
          <t>2024 archive</t>
        </is>
      </c>
    </row>
    <row r="42">
      <c r="A42" s="77" t="inlineStr">
        <is>
          <t>AU02-X12</t>
        </is>
      </c>
      <c r="B42" s="77" t="inlineStr">
        <is>
          <t>AU02</t>
        </is>
      </c>
      <c r="C42" s="77" t="inlineStr">
        <is>
          <t>Melbourne</t>
        </is>
      </c>
      <c r="D42" s="77" t="inlineStr">
        <is>
          <t>Australia</t>
        </is>
      </c>
      <c r="E42" s="77" t="inlineStr">
        <is>
          <t>Melbourne Plus (co-curricular credential)</t>
        </is>
      </c>
      <c r="F42" s="77" t="inlineStr">
        <is>
          <t>No</t>
        </is>
      </c>
      <c r="G42" s="77" t="inlineStr"/>
      <c r="H42" s="77" t="inlineStr">
        <is>
          <t>Employability award</t>
        </is>
      </c>
      <c r="I42" s="77" t="inlineStr">
        <is>
          <t>Credential recognising activities such as BIC and VIP; not itself a project.</t>
        </is>
      </c>
      <c r="J42" s="77" t="inlineStr">
        <is>
          <t>https://mbs.unimelb.edu.au/career/expertise/business-innovation-challenge</t>
        </is>
      </c>
      <c r="K42" s="77" t="inlineStr"/>
    </row>
    <row r="43">
      <c r="A43" s="77" t="inlineStr">
        <is>
          <t>AU02-X13</t>
        </is>
      </c>
      <c r="B43" s="77" t="inlineStr">
        <is>
          <t>AU02</t>
        </is>
      </c>
      <c r="C43" s="77" t="inlineStr">
        <is>
          <t>Melbourne</t>
        </is>
      </c>
      <c r="D43" s="77" t="inlineStr">
        <is>
          <t>Australia</t>
        </is>
      </c>
      <c r="E43" s="77" t="inlineStr">
        <is>
          <t>Students@Work</t>
        </is>
      </c>
      <c r="F43" s="77" t="inlineStr">
        <is>
          <t>No</t>
        </is>
      </c>
      <c r="G43" s="77" t="inlineStr"/>
      <c r="H43" s="77" t="inlineStr">
        <is>
          <t>Placement/internship</t>
        </is>
      </c>
      <c r="I43" s="77" t="inlineStr">
        <is>
          <t>Paid on-campus work/internships for students; not an external team project.</t>
        </is>
      </c>
      <c r="J43" s="77" t="inlineStr">
        <is>
          <t>https://about.unimelb.edu.au/news-resources/awards-and-achievements/awards-and-prizes/university-of-melbournes-students@work-program-ranked-sixth-nationally</t>
        </is>
      </c>
      <c r="K43" s="77" t="inlineStr"/>
    </row>
    <row r="44">
      <c r="A44" s="77" t="inlineStr">
        <is>
          <t>AU06-X01</t>
        </is>
      </c>
      <c r="B44" s="77" t="inlineStr">
        <is>
          <t>AU06</t>
        </is>
      </c>
      <c r="C44" s="77" t="inlineStr">
        <is>
          <t>Queensland</t>
        </is>
      </c>
      <c r="D44" s="77" t="inlineStr">
        <is>
          <t>Australia</t>
        </is>
      </c>
      <c r="E44" s="77" t="inlineStr">
        <is>
          <t>DECO3800/DECO3801 Design Computing Studio 3 (IT/software capstone)</t>
        </is>
      </c>
      <c r="F44" s="77" t="inlineStr">
        <is>
          <t>No</t>
        </is>
      </c>
      <c r="G44" s="77" t="inlineStr"/>
      <c r="H44" s="77" t="inlineStr">
        <is>
          <t>Near-miss: no external org</t>
        </is>
      </c>
      <c r="I44"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44" s="77" t="inlineStr">
        <is>
          <t>https://programs-courses.uq.edu.au/course.html?course_code=DECO3801</t>
        </is>
      </c>
      <c r="K44" s="77" t="inlineStr">
        <is>
          <t>Semester 1 2026 offering</t>
        </is>
      </c>
    </row>
    <row r="45">
      <c r="A45" s="77" t="inlineStr">
        <is>
          <t>AU06-X02</t>
        </is>
      </c>
      <c r="B45" s="77" t="inlineStr">
        <is>
          <t>AU06</t>
        </is>
      </c>
      <c r="C45" s="77" t="inlineStr">
        <is>
          <t>Queensland</t>
        </is>
      </c>
      <c r="D45" s="77" t="inlineStr">
        <is>
          <t>Australia</t>
        </is>
      </c>
      <c r="E45" s="77" t="inlineStr">
        <is>
          <t>ENGG1100 Professional Engineering / ENGG4901 Professional Practice and the Business Environment A</t>
        </is>
      </c>
      <c r="F45" s="77" t="inlineStr">
        <is>
          <t>No</t>
        </is>
      </c>
      <c r="G45" s="77" t="inlineStr"/>
      <c r="H45" s="77" t="inlineStr">
        <is>
          <t>Near-miss: no external org</t>
        </is>
      </c>
      <c r="I45" s="77" t="inlineStr">
        <is>
          <t>Team design project/report (ENGG1100) and team project reported to a 'project manager' (ENGG4901) in 2026 profiles; no external organisation evidenced as client.</t>
        </is>
      </c>
      <c r="J45" s="77" t="inlineStr">
        <is>
          <t>https://course-profiles.uq.edu.au/course-profiles/ENGG1100-20455-7620</t>
        </is>
      </c>
      <c r="K45" s="77" t="inlineStr">
        <is>
          <t>2026 profiles</t>
        </is>
      </c>
    </row>
    <row r="46">
      <c r="A46" s="77" t="inlineStr">
        <is>
          <t>AU06-X03</t>
        </is>
      </c>
      <c r="B46" s="77" t="inlineStr">
        <is>
          <t>AU06</t>
        </is>
      </c>
      <c r="C46" s="77" t="inlineStr">
        <is>
          <t>Queensland</t>
        </is>
      </c>
      <c r="D46" s="77" t="inlineStr">
        <is>
          <t>Australia</t>
        </is>
      </c>
      <c r="E46" s="77" t="inlineStr">
        <is>
          <t>Master of Data Science Capstone Project (industry-partner projects)</t>
        </is>
      </c>
      <c r="F46" s="77" t="inlineStr">
        <is>
          <t>No</t>
        </is>
      </c>
      <c r="G46" s="77" t="inlineStr"/>
      <c r="H46" s="77" t="inlineStr">
        <is>
          <t>Near-miss: not group</t>
        </is>
      </c>
      <c r="I46" s="77" t="inlineStr">
        <is>
          <t>Industry partners post projects which students apply for individually (shortlisting/interview; application signed by industry supervisor); no evidence of team working.</t>
        </is>
      </c>
      <c r="J46" s="77" t="inlineStr">
        <is>
          <t>https://www.eait.uq.edu.au/employability/industry-partnerships/data-science-and-cyber-security/master-of-data-science-capstone-project</t>
        </is>
      </c>
      <c r="K46" s="77" t="inlineStr">
        <is>
          <t>undated</t>
        </is>
      </c>
    </row>
    <row r="47">
      <c r="A47" s="77" t="inlineStr">
        <is>
          <t>AU06-X04</t>
        </is>
      </c>
      <c r="B47" s="77" t="inlineStr">
        <is>
          <t>AU06</t>
        </is>
      </c>
      <c r="C47" s="77" t="inlineStr">
        <is>
          <t>Queensland</t>
        </is>
      </c>
      <c r="D47" s="77" t="inlineStr">
        <is>
          <t>Australia</t>
        </is>
      </c>
      <c r="E47" s="77" t="inlineStr">
        <is>
          <t>BE (Hons)/ME 24-week industry placement</t>
        </is>
      </c>
      <c r="F47" s="77" t="inlineStr">
        <is>
          <t>No</t>
        </is>
      </c>
      <c r="G47" s="77" t="inlineStr"/>
      <c r="H47" s="77" t="inlineStr">
        <is>
          <t>Placement/internship</t>
        </is>
      </c>
      <c r="I47" s="77" t="inlineStr">
        <is>
          <t>Industry-proposed investigation/design task undertaken on an individual placement; not group.</t>
        </is>
      </c>
      <c r="J47" s="77" t="inlineStr">
        <is>
          <t>https://www.eait.uq.edu.au/employability/industry-partnerships/engineering-students/beme-industry-placement</t>
        </is>
      </c>
      <c r="K47" s="77" t="inlineStr">
        <is>
          <t>undated</t>
        </is>
      </c>
    </row>
    <row r="48">
      <c r="A48" s="77" t="inlineStr">
        <is>
          <t>AU06-X05</t>
        </is>
      </c>
      <c r="B48" s="77" t="inlineStr">
        <is>
          <t>AU06</t>
        </is>
      </c>
      <c r="C48" s="77" t="inlineStr">
        <is>
          <t>Queensland</t>
        </is>
      </c>
      <c r="D48" s="77" t="inlineStr">
        <is>
          <t>Australia</t>
        </is>
      </c>
      <c r="E48" s="77" t="inlineStr">
        <is>
          <t>RBUS7999 Business Industry Placement</t>
        </is>
      </c>
      <c r="F48" s="77" t="inlineStr">
        <is>
          <t>No</t>
        </is>
      </c>
      <c r="G48" s="77" t="inlineStr"/>
      <c r="H48" s="77" t="inlineStr">
        <is>
          <t>Placement/internship</t>
        </is>
      </c>
      <c r="I48" s="77" t="inlineStr">
        <is>
          <t>Professional placement or industry consultancy project (group project) option; consultancy route appears to be the same BEL Industry Consulting Project framework (S3); 2023 course page only.</t>
        </is>
      </c>
      <c r="J48" s="77" t="inlineStr">
        <is>
          <t>https://my.uq.edu.au/programs-courses/course.html?course_code=RBUS7999&amp;year=2023</t>
        </is>
      </c>
      <c r="K48" s="77" t="inlineStr">
        <is>
          <t>2023</t>
        </is>
      </c>
    </row>
    <row r="49">
      <c r="A49" s="77" t="inlineStr">
        <is>
          <t>AU06-X06</t>
        </is>
      </c>
      <c r="B49" s="77" t="inlineStr">
        <is>
          <t>AU06</t>
        </is>
      </c>
      <c r="C49" s="77" t="inlineStr">
        <is>
          <t>Queensland</t>
        </is>
      </c>
      <c r="D49" s="77" t="inlineStr">
        <is>
          <t>Australia</t>
        </is>
      </c>
      <c r="E49" s="77" t="inlineStr">
        <is>
          <t>PSYC7405 Business Skills for Consultants</t>
        </is>
      </c>
      <c r="F49" s="77" t="inlineStr">
        <is>
          <t>No</t>
        </is>
      </c>
      <c r="G49" s="77" t="inlineStr"/>
      <c r="H49" s="77" t="inlineStr">
        <is>
          <t>Near-miss: no external org</t>
        </is>
      </c>
      <c r="I49" s="77" t="inlineStr">
        <is>
          <t>Teams work through case studies with an experienced consultant; no live client.</t>
        </is>
      </c>
      <c r="J49" s="77" t="inlineStr">
        <is>
          <t>https://programs-courses.uq.edu.au/course.html?course_code=PSYC7405</t>
        </is>
      </c>
      <c r="K49" s="77" t="inlineStr">
        <is>
          <t>undated</t>
        </is>
      </c>
    </row>
    <row r="50">
      <c r="A50" s="77" t="inlineStr">
        <is>
          <t>AU06-X07</t>
        </is>
      </c>
      <c r="B50" s="77" t="inlineStr">
        <is>
          <t>AU06</t>
        </is>
      </c>
      <c r="C50" s="77" t="inlineStr">
        <is>
          <t>Queensland</t>
        </is>
      </c>
      <c r="D50" s="77" t="inlineStr">
        <is>
          <t>Australia</t>
        </is>
      </c>
      <c r="E50" s="77" t="inlineStr">
        <is>
          <t>UQ Ventures other challenges (Global Business Challenge, Food Innovation Challenge, Quantum Hackathon) and ilab Accelerator</t>
        </is>
      </c>
      <c r="F50" s="77" t="inlineStr">
        <is>
          <t>No</t>
        </is>
      </c>
      <c r="G50" s="77" t="inlineStr"/>
      <c r="H50" s="77" t="inlineStr">
        <is>
          <t>Evidence gap</t>
        </is>
      </c>
      <c r="I50" s="77" t="inlineStr">
        <is>
          <t>Surfaced in search results but not researched within budget; ilab Accelerator supports students' own ventures (entrepreneurship).</t>
        </is>
      </c>
      <c r="J50" s="77" t="inlineStr">
        <is>
          <t>https://ventures.uq.edu.au/programs</t>
        </is>
      </c>
      <c r="K50" s="77" t="inlineStr"/>
    </row>
    <row r="51">
      <c r="A51" s="77" t="inlineStr">
        <is>
          <t>UK02-X01</t>
        </is>
      </c>
      <c r="B51" s="77" t="inlineStr">
        <is>
          <t>UK02</t>
        </is>
      </c>
      <c r="C51" s="77" t="inlineStr">
        <is>
          <t>St Andrews</t>
        </is>
      </c>
      <c r="D51" s="77" t="inlineStr">
        <is>
          <t>UK – additional</t>
        </is>
      </c>
      <c r="E51" s="77" t="inlineStr">
        <is>
          <t>Playfair (student-led pro bono consultancy)</t>
        </is>
      </c>
      <c r="F51" s="77" t="inlineStr">
        <is>
          <t>No</t>
        </is>
      </c>
      <c r="G51" s="77" t="inlineStr"/>
      <c r="H51" s="77" t="inlineStr">
        <is>
          <t>Evidence gap</t>
        </is>
      </c>
      <c r="I51" s="77" t="inlineStr">
        <is>
          <t>Mentioned on Careers page as a student-led pro bono consultancy firm; student-run rather than University-run and no evidence on client briefs, teams or current activity was retrieved (search budget exhausted).</t>
        </is>
      </c>
      <c r="J51" s="77" t="inlineStr">
        <is>
          <t>https://www.st-andrews.ac.uk/careers/career-options/sectors/business/</t>
        </is>
      </c>
      <c r="K51" s="77" t="inlineStr">
        <is>
          <t>Undated careers page</t>
        </is>
      </c>
    </row>
    <row r="52">
      <c r="A52" s="77" t="inlineStr">
        <is>
          <t>UK02-X02</t>
        </is>
      </c>
      <c r="B52" s="77" t="inlineStr">
        <is>
          <t>UK02</t>
        </is>
      </c>
      <c r="C52" s="77" t="inlineStr">
        <is>
          <t>St Andrews</t>
        </is>
      </c>
      <c r="D52" s="77" t="inlineStr">
        <is>
          <t>UK – additional</t>
        </is>
      </c>
      <c r="E52" s="77" t="inlineStr">
        <is>
          <t>St Andrews Innovation consultancy services</t>
        </is>
      </c>
      <c r="F52" s="77" t="inlineStr">
        <is>
          <t>No</t>
        </is>
      </c>
      <c r="G52" s="77" t="inlineStr"/>
      <c r="H52" s="77" t="inlineStr">
        <is>
          <t>Other</t>
        </is>
      </c>
      <c r="I52" s="77" t="inlineStr">
        <is>
          <t>Staff-led consultancy for external clients handled by the University's innovation office; not a student project route.</t>
        </is>
      </c>
      <c r="J52" s="77" t="inlineStr">
        <is>
          <t>https://innovation.st-andrews.ac.uk/industry-services/consultancy/</t>
        </is>
      </c>
      <c r="K52" s="77" t="inlineStr"/>
    </row>
    <row r="53">
      <c r="A53" s="77" t="inlineStr">
        <is>
          <t>UK02-X03</t>
        </is>
      </c>
      <c r="B53" s="77" t="inlineStr">
        <is>
          <t>UK02</t>
        </is>
      </c>
      <c r="C53" s="77" t="inlineStr">
        <is>
          <t>St Andrews</t>
        </is>
      </c>
      <c r="D53" s="77" t="inlineStr">
        <is>
          <t>UK – additional</t>
        </is>
      </c>
      <c r="E53" s="77" t="inlineStr">
        <is>
          <t>Entrepreneurship MSc entrepreneurship project</t>
        </is>
      </c>
      <c r="F53" s="77" t="inlineStr">
        <is>
          <t>No</t>
        </is>
      </c>
      <c r="G53" s="77" t="inlineStr"/>
      <c r="H53" s="77" t="inlineStr">
        <is>
          <t>Entrepreneurship/incubator</t>
        </is>
      </c>
      <c r="I53" s="77" t="inlineStr">
        <is>
          <t>Replaces the dissertation with taking 'a real business idea from concept to action plan'; no external client brief evidenced.</t>
        </is>
      </c>
      <c r="J53" s="77" t="inlineStr">
        <is>
          <t>https://www.st-andrews.ac.uk/subjects/management/entrepreneurship-msc/</t>
        </is>
      </c>
      <c r="K53" s="77" t="inlineStr">
        <is>
          <t>Current course page</t>
        </is>
      </c>
    </row>
    <row r="54">
      <c r="A54" s="77" t="inlineStr">
        <is>
          <t>UK05-X01</t>
        </is>
      </c>
      <c r="B54" s="77" t="inlineStr">
        <is>
          <t>UK05</t>
        </is>
      </c>
      <c r="C54" s="77" t="inlineStr">
        <is>
          <t>Aberdeen</t>
        </is>
      </c>
      <c r="D54" s="77" t="inlineStr">
        <is>
          <t>UK – additional</t>
        </is>
      </c>
      <c r="E54" s="77" t="inlineStr">
        <is>
          <t>ABDN Internships</t>
        </is>
      </c>
      <c r="F54" s="77" t="inlineStr">
        <is>
          <t>Yes</t>
        </is>
      </c>
      <c r="G54" s="77" t="n">
        <v>57</v>
      </c>
      <c r="H54" s="77" t="inlineStr">
        <is>
          <t>Placement/internship</t>
        </is>
      </c>
      <c r="I54"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54" s="77" t="inlineStr">
        <is>
          <t>https://www.abdn.ac.uk/careers/experience/abdn-internships/</t>
        </is>
      </c>
      <c r="K54" s="77" t="inlineStr">
        <is>
          <t>2026/27 confirmed: Term 1 applications closed 7 October 2026 (search summary).</t>
        </is>
      </c>
    </row>
    <row r="55">
      <c r="A55" s="77" t="inlineStr">
        <is>
          <t>UK08-X01</t>
        </is>
      </c>
      <c r="B55" s="77" t="inlineStr">
        <is>
          <t>UK08</t>
        </is>
      </c>
      <c r="C55" s="77" t="inlineStr">
        <is>
          <t>Sussex</t>
        </is>
      </c>
      <c r="D55" s="77" t="inlineStr">
        <is>
          <t>UK – additional</t>
        </is>
      </c>
      <c r="E55" s="77" t="inlineStr">
        <is>
          <t>Connector Programme</t>
        </is>
      </c>
      <c r="F55" s="77" t="inlineStr">
        <is>
          <t>Yes</t>
        </is>
      </c>
      <c r="G55" s="77" t="n">
        <v>60</v>
      </c>
      <c r="H55" s="77" t="inlineStr">
        <is>
          <t>Near-miss: no external org</t>
        </is>
      </c>
      <c r="I55" s="77" t="inlineStr">
        <is>
          <t>Paid student-staff partnership projects improving university provision (modules, technology, student support); the university itself is the client, so C is not met (internal). Assessed from the legacy row; not re-searched this round (budget exhausted).</t>
        </is>
      </c>
      <c r="J55" s="77" t="inlineStr">
        <is>
          <t>https://staff.sussex.ac.uk/guides/join-the-connector-programme</t>
        </is>
      </c>
      <c r="K55" s="77" t="inlineStr">
        <is>
          <t>Legacy: 2025 welcome evidence</t>
        </is>
      </c>
    </row>
    <row r="56">
      <c r="A56" s="77" t="inlineStr">
        <is>
          <t>UK08-X02</t>
        </is>
      </c>
      <c r="B56" s="77" t="inlineStr">
        <is>
          <t>UK08</t>
        </is>
      </c>
      <c r="C56" s="77" t="inlineStr">
        <is>
          <t>Sussex</t>
        </is>
      </c>
      <c r="D56" s="77" t="inlineStr">
        <is>
          <t>UK – additional</t>
        </is>
      </c>
      <c r="E56" s="77" t="inlineStr">
        <is>
          <t>Teaching management consulting in partnership with the university's commercial services (Learning Matters blog)</t>
        </is>
      </c>
      <c r="F56" s="77" t="inlineStr">
        <is>
          <t>No</t>
        </is>
      </c>
      <c r="G56" s="77" t="inlineStr"/>
      <c r="H56" s="77" t="inlineStr">
        <is>
          <t>Near-miss: no external org</t>
        </is>
      </c>
      <c r="I56" s="77" t="inlineStr">
        <is>
          <t>Blog title indicates an authentic assessment in which the client is the university's own commercial services (internal client); not tested further.</t>
        </is>
      </c>
      <c r="J56" s="77" t="inlineStr">
        <is>
          <t>https://blogs.sussex.ac.uk/learning-matters/2024/08/27/authentic-assessment-through-collaboration-teaching-management-consulting-in-partnership-with-our-universitys-commercial-services/</t>
        </is>
      </c>
      <c r="K56" s="77" t="inlineStr">
        <is>
          <t>2024 blog</t>
        </is>
      </c>
    </row>
    <row r="57">
      <c r="A57" s="77" t="inlineStr">
        <is>
          <t>UK08-X03</t>
        </is>
      </c>
      <c r="B57" s="77" t="inlineStr">
        <is>
          <t>UK08</t>
        </is>
      </c>
      <c r="C57" s="77" t="inlineStr">
        <is>
          <t>Sussex</t>
        </is>
      </c>
      <c r="D57" s="77" t="inlineStr">
        <is>
          <t>UK – additional</t>
        </is>
      </c>
      <c r="E57" s="77" t="inlineStr">
        <is>
          <t>Business Analysis and Consulting (974N1)</t>
        </is>
      </c>
      <c r="F57" s="77" t="inlineStr">
        <is>
          <t>No</t>
        </is>
      </c>
      <c r="G57" s="77" t="inlineStr"/>
      <c r="H57" s="77" t="inlineStr">
        <is>
          <t>Evidence gap</t>
        </is>
      </c>
      <c r="I57" s="77" t="inlineStr">
        <is>
          <t>Level 7 module with group written submission (2020/21) following a generalist consulting approach; no evidence of an external client.</t>
        </is>
      </c>
      <c r="J57" s="77" t="inlineStr">
        <is>
          <t>https://www.sussex.ac.uk/business-school/internal/departments/strategy-marketing/pgcourses/2020/N1508T/88475</t>
        </is>
      </c>
      <c r="K57" s="77" t="inlineStr">
        <is>
          <t>2020/21 and 2024 pages</t>
        </is>
      </c>
    </row>
    <row r="58">
      <c r="A58" s="77" t="inlineStr">
        <is>
          <t>UK08-X04</t>
        </is>
      </c>
      <c r="B58" s="77" t="inlineStr">
        <is>
          <t>UK08</t>
        </is>
      </c>
      <c r="C58" s="77" t="inlineStr">
        <is>
          <t>Sussex</t>
        </is>
      </c>
      <c r="D58" s="77" t="inlineStr">
        <is>
          <t>UK – additional</t>
        </is>
      </c>
      <c r="E58" s="77" t="inlineStr">
        <is>
          <t>Dissertation / Consultancy Project (International Business and Development in Practice)</t>
        </is>
      </c>
      <c r="F58" s="77" t="inlineStr">
        <is>
          <t>No</t>
        </is>
      </c>
      <c r="G58" s="77" t="inlineStr"/>
      <c r="H58" s="77" t="inlineStr">
        <is>
          <t>Evidence gap</t>
        </is>
      </c>
      <c r="I58" s="77" t="inlineStr">
        <is>
          <t>Stream in which students choose a specific company and identify a research question; group working not evidenced (appears individual).</t>
        </is>
      </c>
      <c r="J58" s="77" t="inlineStr">
        <is>
          <t>https://www.sussex.ac.uk/study/modules/postgraduate/2024/95257-dissertation-consultancy-project-international-business-and-development-in-practice</t>
        </is>
      </c>
      <c r="K58" s="77" t="inlineStr">
        <is>
          <t>2024/25 page</t>
        </is>
      </c>
    </row>
    <row r="59">
      <c r="A59" s="77" t="inlineStr">
        <is>
          <t>UK11-X01</t>
        </is>
      </c>
      <c r="B59" s="77" t="inlineStr">
        <is>
          <t>UK11</t>
        </is>
      </c>
      <c r="C59" s="77" t="inlineStr">
        <is>
          <t>Heriot-Watt</t>
        </is>
      </c>
      <c r="D59" s="77" t="inlineStr">
        <is>
          <t>UK – additional</t>
        </is>
      </c>
      <c r="E59" s="77" t="inlineStr">
        <is>
          <t>Global Innovation Challenge</t>
        </is>
      </c>
      <c r="F59" s="77" t="inlineStr">
        <is>
          <t>Yes</t>
        </is>
      </c>
      <c r="G59" s="77" t="n">
        <v>64</v>
      </c>
      <c r="H59" s="77" t="inlineStr">
        <is>
          <t>Entrepreneurship/incubator</t>
        </is>
      </c>
      <c r="I59" s="77" t="inlineStr">
        <is>
          <t>Nine-week workshop and competition developing participants' own business ideas (student/alumni-led ventures, prize fund). Founder-led; no external organisation sets a brief or acts as client (fails C; not a client project).</t>
        </is>
      </c>
      <c r="J59" s="77" t="inlineStr">
        <is>
          <t>https://www.hw.ac.uk/news/2025/global-innovation-challenge-2025-celebrates-heriot-watts-next-generation-of-founders</t>
        </is>
      </c>
      <c r="K59" s="77" t="inlineStr">
        <is>
          <t>2025 edition reported (GIC 2025 awarded £30,000 to student and alumni-led ventures); legacy notes 2026 challenge.</t>
        </is>
      </c>
    </row>
    <row r="60">
      <c r="A60" s="77" t="inlineStr">
        <is>
          <t>UK11-X02</t>
        </is>
      </c>
      <c r="B60" s="77" t="inlineStr">
        <is>
          <t>UK11</t>
        </is>
      </c>
      <c r="C60" s="77" t="inlineStr">
        <is>
          <t>Heriot-Watt</t>
        </is>
      </c>
      <c r="D60" s="77" t="inlineStr">
        <is>
          <t>UK – additional</t>
        </is>
      </c>
      <c r="E60" s="77" t="inlineStr">
        <is>
          <t>Careers and Graduate Futures Micro-Placements</t>
        </is>
      </c>
      <c r="F60" s="77" t="inlineStr">
        <is>
          <t>No</t>
        </is>
      </c>
      <c r="G60" s="77" t="inlineStr"/>
      <c r="H60" s="77" t="inlineStr">
        <is>
          <t>Placement/internship</t>
        </is>
      </c>
      <c r="I60" s="77" t="inlineStr">
        <is>
          <t>Two-week extracurricular unpaid placements giving insight into an industry; no evidence of a team project output.</t>
        </is>
      </c>
      <c r="J60" s="77" t="inlineStr">
        <is>
          <t>https://www.hw.ac.uk/document-library/recruitment-pack.pdf</t>
        </is>
      </c>
      <c r="K60" s="77" t="inlineStr">
        <is>
          <t>undated</t>
        </is>
      </c>
    </row>
    <row r="61">
      <c r="A61" s="77" t="inlineStr">
        <is>
          <t>UK11-X03</t>
        </is>
      </c>
      <c r="B61" s="77" t="inlineStr">
        <is>
          <t>UK11</t>
        </is>
      </c>
      <c r="C61" s="77" t="inlineStr">
        <is>
          <t>Heriot-Watt</t>
        </is>
      </c>
      <c r="D61" s="77" t="inlineStr">
        <is>
          <t>UK – additional</t>
        </is>
      </c>
      <c r="E61" s="77" t="inlineStr">
        <is>
          <t>MACS Project System (School of Mathematical and Computer Sciences project proposals)</t>
        </is>
      </c>
      <c r="F61" s="77" t="inlineStr">
        <is>
          <t>No</t>
        </is>
      </c>
      <c r="G61" s="77" t="inlineStr"/>
      <c r="H61" s="77" t="inlineStr">
        <is>
          <t>Dissertation/research</t>
        </is>
      </c>
      <c r="I61" s="77" t="inlineStr">
        <is>
          <t>Proposal database for (mainly individual) degree projects; some proposals state students work independently, others mention pairs/teams; external-client share not established. Evidence gap rather than verified scheme.</t>
        </is>
      </c>
      <c r="J61" s="77" t="inlineStr">
        <is>
          <t>https://projects.hw.ac.uk/Proposals/Index</t>
        </is>
      </c>
      <c r="K61" s="77" t="inlineStr">
        <is>
          <t>undated</t>
        </is>
      </c>
    </row>
    <row r="62">
      <c r="A62" s="77" t="inlineStr">
        <is>
          <t>UK11-X04</t>
        </is>
      </c>
      <c r="B62" s="77" t="inlineStr">
        <is>
          <t>UK11</t>
        </is>
      </c>
      <c r="C62" s="77" t="inlineStr">
        <is>
          <t>Heriot-Watt</t>
        </is>
      </c>
      <c r="D62" s="77" t="inlineStr">
        <is>
          <t>UK – additional</t>
        </is>
      </c>
      <c r="E62" s="77" t="inlineStr">
        <is>
          <t>Heriot-Watt / Falkirk FC Memorandum of Understanding</t>
        </is>
      </c>
      <c r="F62" s="77" t="inlineStr">
        <is>
          <t>No</t>
        </is>
      </c>
      <c r="G62" s="77" t="inlineStr"/>
      <c r="H62" s="77" t="inlineStr">
        <is>
          <t>Evidence gap</t>
        </is>
      </c>
      <c r="I62" s="77" t="inlineStr">
        <is>
          <t>2026 news says students apply learning to practical problems (player conditioning, match analysis) in a professional football environment; no evidence of a defined group project with output for the club.</t>
        </is>
      </c>
      <c r="J62" s="77" t="inlineStr">
        <is>
          <t>https://www.hw.ac.uk/news/2026/academic-expertise-aims-to-bolster-scottish-premiership-clubs-growth</t>
        </is>
      </c>
      <c r="K62" s="77" t="inlineStr">
        <is>
          <t>2026</t>
        </is>
      </c>
    </row>
    <row r="63">
      <c r="A63" s="77" t="inlineStr">
        <is>
          <t>UK14-X01</t>
        </is>
      </c>
      <c r="B63" s="77" t="inlineStr">
        <is>
          <t>UK14</t>
        </is>
      </c>
      <c r="C63" s="77" t="inlineStr">
        <is>
          <t>Swansea</t>
        </is>
      </c>
      <c r="D63" s="77" t="inlineStr">
        <is>
          <t>UK – additional</t>
        </is>
      </c>
      <c r="E63" s="77" t="inlineStr">
        <is>
          <t>Employability Awards (Swansea Employability Academy)</t>
        </is>
      </c>
      <c r="F63" s="77" t="inlineStr">
        <is>
          <t>Yes</t>
        </is>
      </c>
      <c r="G63" s="77" t="n">
        <v>67</v>
      </c>
      <c r="H63" s="77" t="inlineStr">
        <is>
          <t>Employability award</t>
        </is>
      </c>
      <c r="I63"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63" s="77" t="inlineStr">
        <is>
          <t>https://hwb.swansea.ac.uk/employability-enterprise/employability-awards/</t>
        </is>
      </c>
      <c r="K63" s="77" t="inlineStr">
        <is>
          <t>Undated page</t>
        </is>
      </c>
    </row>
    <row r="64">
      <c r="A64" s="77" t="inlineStr">
        <is>
          <t>UK14-X02</t>
        </is>
      </c>
      <c r="B64" s="77" t="inlineStr">
        <is>
          <t>UK14</t>
        </is>
      </c>
      <c r="C64" s="77" t="inlineStr">
        <is>
          <t>Swansea</t>
        </is>
      </c>
      <c r="D64" s="77" t="inlineStr">
        <is>
          <t>UK – additional</t>
        </is>
      </c>
      <c r="E64" s="77" t="inlineStr">
        <is>
          <t>Discovery (student volunteering charity) award pathways</t>
        </is>
      </c>
      <c r="F64" s="77" t="inlineStr">
        <is>
          <t>No</t>
        </is>
      </c>
      <c r="G64" s="77" t="inlineStr"/>
      <c r="H64" s="77" t="inlineStr">
        <is>
          <t>Volunteering/service-learning</t>
        </is>
      </c>
      <c r="I64" s="77" t="inlineStr">
        <is>
          <t>Student-run volunteering projects with Volunteer, Project Coordinator and Trustee awards. No external organisation sets a brief or acts as client.</t>
        </is>
      </c>
      <c r="J64" s="77" t="inlineStr">
        <is>
          <t>https://hwb.swansea.ac.uk/employability-enterprise/employability-awards/</t>
        </is>
      </c>
      <c r="K64" s="77" t="inlineStr">
        <is>
          <t>Undated</t>
        </is>
      </c>
    </row>
    <row r="65">
      <c r="A65" s="77" t="inlineStr">
        <is>
          <t>UK14-X03</t>
        </is>
      </c>
      <c r="B65" s="77" t="inlineStr">
        <is>
          <t>UK14</t>
        </is>
      </c>
      <c r="C65" s="77" t="inlineStr">
        <is>
          <t>Swansea</t>
        </is>
      </c>
      <c r="D65" s="77" t="inlineStr">
        <is>
          <t>UK – additional</t>
        </is>
      </c>
      <c r="E65" s="77" t="inlineStr">
        <is>
          <t>GO Wales (SEA)</t>
        </is>
      </c>
      <c r="F65" s="77" t="inlineStr">
        <is>
          <t>No</t>
        </is>
      </c>
      <c r="G65" s="77" t="inlineStr"/>
      <c r="H65" s="77" t="inlineStr">
        <is>
          <t>Placement/internship</t>
        </is>
      </c>
      <c r="I65" s="77" t="inlineStr">
        <is>
          <t>Individual unpaid work experience (up to 70 hours) or subsidised internships. No group project evidenced.</t>
        </is>
      </c>
      <c r="J65" s="77" t="inlineStr">
        <is>
          <t>https://www.swansea.ac.uk/business-and-industry/recruit-our-talent/go-wales/</t>
        </is>
      </c>
      <c r="K65" s="77" t="inlineStr"/>
    </row>
    <row r="66">
      <c r="A66" s="77" t="inlineStr">
        <is>
          <t>UK14-X04</t>
        </is>
      </c>
      <c r="B66" s="77" t="inlineStr">
        <is>
          <t>UK14</t>
        </is>
      </c>
      <c r="C66" s="77" t="inlineStr">
        <is>
          <t>Swansea</t>
        </is>
      </c>
      <c r="D66" s="77" t="inlineStr">
        <is>
          <t>UK – additional</t>
        </is>
      </c>
      <c r="E66" s="77" t="inlineStr">
        <is>
          <t>Computer Science third-year project / Project Fair</t>
        </is>
      </c>
      <c r="F66" s="77" t="inlineStr">
        <is>
          <t>No</t>
        </is>
      </c>
      <c r="G66" s="77" t="inlineStr"/>
      <c r="H66" s="77" t="inlineStr">
        <is>
          <t>Near-miss: no external org</t>
        </is>
      </c>
      <c r="I66"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66" s="77" t="inlineStr">
        <is>
          <t>https://www.swansea.ac.uk/undergraduate/courses/maths-comp-sci/computer-science/bsc-computer-science/</t>
        </is>
      </c>
      <c r="K66" s="77" t="inlineStr">
        <is>
          <t>Undated</t>
        </is>
      </c>
    </row>
    <row r="67">
      <c r="A67" s="77" t="inlineStr">
        <is>
          <t>UK14-X05</t>
        </is>
      </c>
      <c r="B67" s="77" t="inlineStr">
        <is>
          <t>UK14</t>
        </is>
      </c>
      <c r="C67" s="77" t="inlineStr">
        <is>
          <t>Swansea</t>
        </is>
      </c>
      <c r="D67" s="77" t="inlineStr">
        <is>
          <t>UK – additional</t>
        </is>
      </c>
      <c r="E67" s="77" t="inlineStr">
        <is>
          <t>Engineering Doctorate (EngD)</t>
        </is>
      </c>
      <c r="F67" s="77" t="inlineStr">
        <is>
          <t>No</t>
        </is>
      </c>
      <c r="G67" s="77" t="inlineStr"/>
      <c r="H67" s="77" t="inlineStr">
        <is>
          <t>Dissertation/research</t>
        </is>
      </c>
      <c r="I67" s="77" t="inlineStr">
        <is>
          <t>An individual four-year research project defined by an industrial partner. Not group.</t>
        </is>
      </c>
      <c r="J67" s="77" t="inlineStr">
        <is>
          <t>https://www.swansea.ac.uk/science-and-engineering/courses/engineering/engd/</t>
        </is>
      </c>
      <c r="K67" s="77" t="inlineStr">
        <is>
          <t>Postgraduate research</t>
        </is>
      </c>
    </row>
    <row r="68">
      <c r="A68" s="77" t="inlineStr">
        <is>
          <t>UK14-X06</t>
        </is>
      </c>
      <c r="B68" s="77" t="inlineStr">
        <is>
          <t>UK14</t>
        </is>
      </c>
      <c r="C68" s="77" t="inlineStr">
        <is>
          <t>Swansea</t>
        </is>
      </c>
      <c r="D68" s="77" t="inlineStr">
        <is>
          <t>UK – additional</t>
        </is>
      </c>
      <c r="E68" s="77" t="inlineStr">
        <is>
          <t>MBA consultancy-based project (Research in Action Part 2)</t>
        </is>
      </c>
      <c r="F68" s="77" t="inlineStr">
        <is>
          <t>No</t>
        </is>
      </c>
      <c r="G68" s="77" t="inlineStr"/>
      <c r="H68" s="77" t="inlineStr">
        <is>
          <t>Evidence gap</t>
        </is>
      </c>
      <c r="I68" s="77" t="inlineStr">
        <is>
          <t>A search summary said the MBA 'culminates in a consultancy-based project ... through working with a client organisation', but did not tie this to a specific URL, so it cannot be cited. Group format is unknown.</t>
        </is>
      </c>
      <c r="J68" s="77" t="inlineStr"/>
      <c r="K68" s="77" t="inlineStr">
        <is>
          <t>Needs re-search</t>
        </is>
      </c>
    </row>
    <row r="69">
      <c r="A69" s="77" t="inlineStr">
        <is>
          <t>UK14-X07</t>
        </is>
      </c>
      <c r="B69" s="77" t="inlineStr">
        <is>
          <t>UK14</t>
        </is>
      </c>
      <c r="C69" s="77" t="inlineStr">
        <is>
          <t>Swansea</t>
        </is>
      </c>
      <c r="D69" s="77" t="inlineStr">
        <is>
          <t>UK – additional</t>
        </is>
      </c>
      <c r="E69" s="77" t="inlineStr">
        <is>
          <t>MSc Accounting and Finance consultancy-style projects</t>
        </is>
      </c>
      <c r="F69" s="77" t="inlineStr">
        <is>
          <t>No</t>
        </is>
      </c>
      <c r="G69" s="77" t="inlineStr"/>
      <c r="H69" s="77" t="inlineStr">
        <is>
          <t>Evidence gap</t>
        </is>
      </c>
      <c r="I69" s="77" t="inlineStr">
        <is>
          <t>The course page mentions 'industry partners, simulations and consultancy-style projects' without separating live-client work from simulation. Group format is unknown.</t>
        </is>
      </c>
      <c r="J69" s="77" t="inlineStr">
        <is>
          <t>https://www.swansea.ac.uk/postgraduate/taught/som/accounting-finance/msc-accounting-finance/</t>
        </is>
      </c>
      <c r="K69" s="77" t="inlineStr">
        <is>
          <t>Undated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2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RG13-S01-R1</t>
        </is>
      </c>
      <c r="B25" s="77" t="inlineStr">
        <is>
          <t>RG13</t>
        </is>
      </c>
      <c r="C25" s="77" t="inlineStr">
        <is>
          <t>RG13-S01</t>
        </is>
      </c>
      <c r="D25" s="77" t="inlineStr">
        <is>
          <t>LSE100: The LSE Course</t>
        </is>
      </c>
      <c r="E25" s="77" t="inlineStr">
        <is>
          <t>project; group; employer</t>
        </is>
      </c>
      <c r="F25" s="77" t="inlineStr">
        <is>
          <t>https://info.lse.ac.uk/current-students/lse100/about-lse-100/lse100-assessment</t>
        </is>
      </c>
      <c r="G25" s="77" t="inlineStr">
        <is>
          <t>LSE100 Assessment</t>
        </is>
      </c>
      <c r="H25" s="77" t="inlineStr">
        <is>
          <t>Group project</t>
        </is>
      </c>
      <c r="I25" s="77" t="inlineStr">
        <is>
          <t>undated</t>
        </is>
      </c>
      <c r="J25" s="77" t="inlineStr">
        <is>
          <t>2026-10-12</t>
        </is>
      </c>
      <c r="K25" s="77" t="inlineStr">
        <is>
          <t>search-index extract</t>
        </is>
      </c>
      <c r="L25"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26">
      <c r="A26" s="77" t="inlineStr">
        <is>
          <t>RG13-S01-R2</t>
        </is>
      </c>
      <c r="B26" s="77" t="inlineStr">
        <is>
          <t>RG13</t>
        </is>
      </c>
      <c r="C26" s="77" t="inlineStr">
        <is>
          <t>RG13-S01</t>
        </is>
      </c>
      <c r="D26" s="77" t="inlineStr">
        <is>
          <t>LSE100: The LSE Course</t>
        </is>
      </c>
      <c r="E26" s="77" t="inlineStr">
        <is>
          <t>group; credit</t>
        </is>
      </c>
      <c r="F26" s="77" t="inlineStr">
        <is>
          <t>https://info.lse.ac.uk/staff/divisions/Eden-Centre/Assets-EC/Documents/Assessment-Toolkit/GroupProject-Attendance-Participation-Policy-2024.pdf</t>
        </is>
      </c>
      <c r="G26" s="77" t="inlineStr">
        <is>
          <t>Group Project Code of Conduct and Participation Policy (LSE100, 2024)</t>
        </is>
      </c>
      <c r="H26" s="77" t="inlineStr">
        <is>
          <t>Policy</t>
        </is>
      </c>
      <c r="I26" s="77" t="inlineStr">
        <is>
          <t>2024</t>
        </is>
      </c>
      <c r="J26" s="77" t="inlineStr">
        <is>
          <t>2026-10-12</t>
        </is>
      </c>
      <c r="K26" s="77" t="inlineStr">
        <is>
          <t>search-index extract</t>
        </is>
      </c>
      <c r="L26" s="77" t="inlineStr">
        <is>
          <t>Groups allocated by the seminar teacher in late Autumn Term based on topic preference and disciplinary diversity; mark split presentation (25%) and digital report (75%); each group receives a single group mark.</t>
        </is>
      </c>
    </row>
    <row r="27">
      <c r="A27" s="77" t="inlineStr">
        <is>
          <t>RG13-S01-R3</t>
        </is>
      </c>
      <c r="B27" s="77" t="inlineStr">
        <is>
          <t>RG13</t>
        </is>
      </c>
      <c r="C27" s="77" t="inlineStr">
        <is>
          <t>RG13-S01</t>
        </is>
      </c>
      <c r="D27" s="77" t="inlineStr">
        <is>
          <t>LSE100: The LSE Course</t>
        </is>
      </c>
      <c r="E27" s="77" t="inlineStr">
        <is>
          <t>project; credit; status</t>
        </is>
      </c>
      <c r="F27" s="77" t="inlineStr">
        <is>
          <t>https://www.lse.ac.uk/resources/calendar2025-2026/courseGuides/LS/2025_LSE100A.htm</t>
        </is>
      </c>
      <c r="G27" s="77" t="inlineStr">
        <is>
          <t>LSE100A The LSE Course: How can we transform our climate futures?</t>
        </is>
      </c>
      <c r="H27" s="77" t="inlineStr">
        <is>
          <t>Assessment</t>
        </is>
      </c>
      <c r="I27" s="77" t="inlineStr">
        <is>
          <t>2025/26</t>
        </is>
      </c>
      <c r="J27" s="77" t="inlineStr">
        <is>
          <t>2026-10-12</t>
        </is>
      </c>
      <c r="K27" s="77" t="inlineStr">
        <is>
          <t>search-index extract</t>
        </is>
      </c>
      <c r="L27" s="77" t="inlineStr">
        <is>
          <t>Critical evaluation (50%, 1000 words). Project (50%, 3000 words).</t>
        </is>
      </c>
    </row>
    <row r="28">
      <c r="A28" s="77" t="inlineStr">
        <is>
          <t>RG13-S01-R4</t>
        </is>
      </c>
      <c r="B28" s="77" t="inlineStr">
        <is>
          <t>RG13</t>
        </is>
      </c>
      <c r="C28" s="77" t="inlineStr">
        <is>
          <t>RG13-S01</t>
        </is>
      </c>
      <c r="D28" s="77" t="inlineStr">
        <is>
          <t>LSE100: The LSE Course</t>
        </is>
      </c>
      <c r="E28" s="77" t="inlineStr">
        <is>
          <t>reach; eligibility; participation; credit</t>
        </is>
      </c>
      <c r="F28" s="77" t="inlineStr">
        <is>
          <t>https://info.lse.ac.uk/current-students/lse100/about-lse-100/Frequently-Asked-Questions</t>
        </is>
      </c>
      <c r="G28" s="77" t="inlineStr">
        <is>
          <t>LSE100 Frequently Asked Questions</t>
        </is>
      </c>
      <c r="H28" s="77" t="inlineStr">
        <is>
          <t>FAQ</t>
        </is>
      </c>
      <c r="I28" s="77" t="inlineStr">
        <is>
          <t>undated</t>
        </is>
      </c>
      <c r="J28" s="77" t="inlineStr">
        <is>
          <t>2026-10-12</t>
        </is>
      </c>
      <c r="K28" s="77" t="inlineStr">
        <is>
          <t>search-index extract</t>
        </is>
      </c>
      <c r="L28" s="77" t="inlineStr">
        <is>
          <t>LSE100 is LSE's flagship interdisciplinary course taken by all LSE undergraduates in the first year of their degree programme; counts as one of nine first-year marks, equivalent to a half-unit course; does not count towards classification for LLB.</t>
        </is>
      </c>
    </row>
    <row r="29">
      <c r="A29" s="77" t="inlineStr">
        <is>
          <t>RG13-S02-R1</t>
        </is>
      </c>
      <c r="B29" s="77" t="inlineStr">
        <is>
          <t>RG13</t>
        </is>
      </c>
      <c r="C29" s="77" t="inlineStr">
        <is>
          <t>RG13-S02</t>
        </is>
      </c>
      <c r="D29" s="77" t="inlineStr">
        <is>
          <t>Future17</t>
        </is>
      </c>
      <c r="E29" s="77" t="inlineStr">
        <is>
          <t>project; group; employer; reach; eligibility; participation; status</t>
        </is>
      </c>
      <c r="F29" s="77" t="inlineStr">
        <is>
          <t>https://info.lse.ac.uk/current-students/lse100/Future17-Join-a-global-team-solving-real-sustainability-challenges</t>
        </is>
      </c>
      <c r="G29" s="77" t="inlineStr">
        <is>
          <t>Future17: Join a global team solving real sustainability challenges</t>
        </is>
      </c>
      <c r="H29" s="77" t="inlineStr">
        <is>
          <t>Programme page</t>
        </is>
      </c>
      <c r="I29" s="77" t="inlineStr">
        <is>
          <t>2026 (application deadline 7 September 2026)</t>
        </is>
      </c>
      <c r="J29" s="77" t="inlineStr">
        <is>
          <t>2026-10-12</t>
        </is>
      </c>
      <c r="K29" s="77" t="inlineStr">
        <is>
          <t>search-index extract</t>
        </is>
      </c>
      <c r="L29"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0">
      <c r="A30" s="77" t="inlineStr">
        <is>
          <t>RG13-S03-R1</t>
        </is>
      </c>
      <c r="B30" s="77" t="inlineStr">
        <is>
          <t>RG13</t>
        </is>
      </c>
      <c r="C30" s="77" t="inlineStr">
        <is>
          <t>RG13-S03</t>
        </is>
      </c>
      <c r="D30" s="77" t="inlineStr">
        <is>
          <t>LSE Community Engagement Programme (CEP)</t>
        </is>
      </c>
      <c r="E30" s="77" t="inlineStr">
        <is>
          <t>project; group; employer; reach; eligibility</t>
        </is>
      </c>
      <c r="F30" s="77" t="inlineStr">
        <is>
          <t>https://info.lse.ac.uk/current-students/volunteer-centre/Community-engagement-programme</t>
        </is>
      </c>
      <c r="G30" s="77" t="inlineStr">
        <is>
          <t>Community Engagement Programme</t>
        </is>
      </c>
      <c r="H30" s="77" t="inlineStr">
        <is>
          <t>Programme page</t>
        </is>
      </c>
      <c r="I30" s="77" t="inlineStr">
        <is>
          <t>undated</t>
        </is>
      </c>
      <c r="J30" s="77" t="inlineStr">
        <is>
          <t>2026-10-12</t>
        </is>
      </c>
      <c r="K30" s="77" t="inlineStr">
        <is>
          <t>search-index extract</t>
        </is>
      </c>
      <c r="L30"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
      <c r="A31" s="77" t="inlineStr">
        <is>
          <t>RG13-S03-R2</t>
        </is>
      </c>
      <c r="B31" s="77" t="inlineStr">
        <is>
          <t>RG13</t>
        </is>
      </c>
      <c r="C31" s="77" t="inlineStr">
        <is>
          <t>RG13-S03</t>
        </is>
      </c>
      <c r="D31" s="77" t="inlineStr">
        <is>
          <t>LSE Community Engagement Programme (CEP)</t>
        </is>
      </c>
      <c r="E31" s="77" t="inlineStr">
        <is>
          <t>project; group; employer; status; participation</t>
        </is>
      </c>
      <c r="F31" s="77" t="inlineStr">
        <is>
          <t>https://blogs.lse.ac.uk/vcb/2025/10/20/lse-community-engagement-programme-2026-applications-now-open/</t>
        </is>
      </c>
      <c r="G31" s="77" t="inlineStr">
        <is>
          <t>LSE Community Engagement Programme 2026: Applications now open!</t>
        </is>
      </c>
      <c r="H31" s="77" t="inlineStr">
        <is>
          <t>Blog post</t>
        </is>
      </c>
      <c r="I31" s="77" t="inlineStr">
        <is>
          <t>2025</t>
        </is>
      </c>
      <c r="J31" s="77" t="inlineStr">
        <is>
          <t>2026-10-12</t>
        </is>
      </c>
      <c r="K31" s="77" t="inlineStr">
        <is>
          <t>search-index extract</t>
        </is>
      </c>
      <c r="L31" s="77" t="inlineStr">
        <is>
          <t>Programme runs 26 November 2025 to 25 March 2026; student applications via CareerHub until 9 November 2025; volunteer consultants answer project briefs for charities; teams supported by the Volunteer Centre, LSE Alumni Mentors and the charity.</t>
        </is>
      </c>
    </row>
    <row r="32">
      <c r="A32" s="77" t="inlineStr">
        <is>
          <t>RG13-S03-R3</t>
        </is>
      </c>
      <c r="B32" s="77" t="inlineStr">
        <is>
          <t>RG13</t>
        </is>
      </c>
      <c r="C32" s="77" t="inlineStr">
        <is>
          <t>RG13-S03</t>
        </is>
      </c>
      <c r="D32" s="77" t="inlineStr">
        <is>
          <t>LSE Community Engagement Programme (CEP)</t>
        </is>
      </c>
      <c r="E32" s="77" t="inlineStr">
        <is>
          <t>employer; status</t>
        </is>
      </c>
      <c r="F32" s="77" t="inlineStr">
        <is>
          <t>https://blogs.lse.ac.uk/vcb/2026/08/03/lse-community-engagement-programme-now-recruiting-charities-for-2027/</t>
        </is>
      </c>
      <c r="G32" s="77" t="inlineStr">
        <is>
          <t>LSE Community Engagement Programme: Now recruiting charities for 2027!</t>
        </is>
      </c>
      <c r="H32" s="77" t="inlineStr">
        <is>
          <t>Blog post</t>
        </is>
      </c>
      <c r="I32" s="77" t="inlineStr">
        <is>
          <t>2026</t>
        </is>
      </c>
      <c r="J32" s="77" t="inlineStr">
        <is>
          <t>2026-10-12</t>
        </is>
      </c>
      <c r="K32" s="77" t="inlineStr">
        <is>
          <t>search-index extract</t>
        </is>
      </c>
      <c r="L32" s="77" t="inlineStr">
        <is>
          <t>Next programme runs 13 January - 17 March 2027; charity applications open 3 August - 7 October 2026; report deadline 10 March 2027.</t>
        </is>
      </c>
    </row>
    <row r="33">
      <c r="A33" s="77" t="inlineStr">
        <is>
          <t>RG13-S04-R1</t>
        </is>
      </c>
      <c r="B33" s="77" t="inlineStr">
        <is>
          <t>RG13</t>
        </is>
      </c>
      <c r="C33" s="77" t="inlineStr">
        <is>
          <t>RG13-S04</t>
        </is>
      </c>
      <c r="D33" s="77" t="inlineStr">
        <is>
          <t>Research Volunteering Scheme (RVS)</t>
        </is>
      </c>
      <c r="E33" s="77" t="inlineStr">
        <is>
          <t>project; group; employer; eligibility; status; participation</t>
        </is>
      </c>
      <c r="F33" s="77" t="inlineStr">
        <is>
          <t>https://blogs.lse.ac.uk/vcb/2025/10/13/research-volunteering-scheme-applications-now-open-2/</t>
        </is>
      </c>
      <c r="G33" s="77" t="inlineStr">
        <is>
          <t>Research Volunteering Scheme: Applications now open!</t>
        </is>
      </c>
      <c r="H33" s="77" t="inlineStr">
        <is>
          <t>Blog post</t>
        </is>
      </c>
      <c r="I33" s="77" t="inlineStr">
        <is>
          <t>2025</t>
        </is>
      </c>
      <c r="J33" s="77" t="inlineStr">
        <is>
          <t>2026-10-12</t>
        </is>
      </c>
      <c r="K33" s="77" t="inlineStr">
        <is>
          <t>search-index extract</t>
        </is>
      </c>
      <c r="L33"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4">
      <c r="A34" s="77" t="inlineStr">
        <is>
          <t>RG13-S04-R2</t>
        </is>
      </c>
      <c r="B34" s="77" t="inlineStr">
        <is>
          <t>RG13</t>
        </is>
      </c>
      <c r="C34" s="77" t="inlineStr">
        <is>
          <t>RG13-S04</t>
        </is>
      </c>
      <c r="D34" s="77" t="inlineStr">
        <is>
          <t>Research Volunteering Scheme (RVS)</t>
        </is>
      </c>
      <c r="E34" s="77" t="inlineStr">
        <is>
          <t>employer; status</t>
        </is>
      </c>
      <c r="F34" s="77" t="inlineStr">
        <is>
          <t>https://blogs.lse.ac.uk/vcb/2025/09/01/research-volunteering-scheme-now-recruiting-charities-for-2025-6/</t>
        </is>
      </c>
      <c r="G34" s="77" t="inlineStr">
        <is>
          <t>Research Volunteering Scheme: Now recruiting charities for 2025-6!</t>
        </is>
      </c>
      <c r="H34" s="77" t="inlineStr">
        <is>
          <t>Blog post</t>
        </is>
      </c>
      <c r="I34" s="77" t="inlineStr">
        <is>
          <t>2025</t>
        </is>
      </c>
      <c r="J34" s="77" t="inlineStr">
        <is>
          <t>2026-10-12</t>
        </is>
      </c>
      <c r="K34" s="77" t="inlineStr">
        <is>
          <t>search-index extract</t>
        </is>
      </c>
      <c r="L34" s="77" t="inlineStr">
        <is>
          <t>Charity applications 1-28 September 2025; scheme runs 12 November 2025 - mid-March 2026.</t>
        </is>
      </c>
    </row>
    <row r="35">
      <c r="A35" s="77" t="inlineStr">
        <is>
          <t>RG13-S04-R3</t>
        </is>
      </c>
      <c r="B35" s="77" t="inlineStr">
        <is>
          <t>RG13</t>
        </is>
      </c>
      <c r="C35" s="77" t="inlineStr">
        <is>
          <t>RG13-S04</t>
        </is>
      </c>
      <c r="D35" s="77" t="inlineStr">
        <is>
          <t>Research Volunteering Scheme (RVS)</t>
        </is>
      </c>
      <c r="E35" s="77" t="inlineStr">
        <is>
          <t>status</t>
        </is>
      </c>
      <c r="F35" s="77" t="inlineStr">
        <is>
          <t>https://blogs.lse.ac.uk/vcb/2026/07/23/how-to-recruit-and-engage-lse-student-volunteers-in-2026-27/</t>
        </is>
      </c>
      <c r="G35" s="77" t="inlineStr">
        <is>
          <t>How to Recruit and Engage LSE Student Volunteers in 2026/27</t>
        </is>
      </c>
      <c r="H35" s="77" t="inlineStr">
        <is>
          <t>Blog post</t>
        </is>
      </c>
      <c r="I35" s="77" t="inlineStr">
        <is>
          <t>2026</t>
        </is>
      </c>
      <c r="J35" s="77" t="inlineStr">
        <is>
          <t>2026-10-12</t>
        </is>
      </c>
      <c r="K35" s="77" t="inlineStr">
        <is>
          <t>search-index extract</t>
        </is>
      </c>
      <c r="L35" s="77" t="inlineStr">
        <is>
          <t>The Research Volunteering Scheme runs every November to March; charity applications open on 3 August.</t>
        </is>
      </c>
    </row>
    <row r="36">
      <c r="A36" s="77" t="inlineStr">
        <is>
          <t>RG13-S05-R1</t>
        </is>
      </c>
      <c r="B36" s="77" t="inlineStr">
        <is>
          <t>RG13</t>
        </is>
      </c>
      <c r="C36" s="77" t="inlineStr">
        <is>
          <t>RG13-S05</t>
        </is>
      </c>
      <c r="D36" s="77" t="inlineStr">
        <is>
          <t>Department of Management Business Projects (Employer Partnerships)</t>
        </is>
      </c>
      <c r="E36" s="77" t="inlineStr">
        <is>
          <t>project; group; employer; status; reach</t>
        </is>
      </c>
      <c r="F36" s="77" t="inlineStr">
        <is>
          <t>https://www.lse.ac.uk/management/employer-partnerships/Business-Projects-Main-Page</t>
        </is>
      </c>
      <c r="G36" s="77" t="inlineStr">
        <is>
          <t>Business Projects</t>
        </is>
      </c>
      <c r="H36" s="77" t="inlineStr">
        <is>
          <t>Main page</t>
        </is>
      </c>
      <c r="I36" s="77" t="inlineStr">
        <is>
          <t>2026</t>
        </is>
      </c>
      <c r="J36" s="77" t="inlineStr">
        <is>
          <t>2026-10-12</t>
        </is>
      </c>
      <c r="K36" s="77" t="inlineStr">
        <is>
          <t>search-index extract</t>
        </is>
      </c>
      <c r="L36"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7">
      <c r="A37" s="77" t="inlineStr">
        <is>
          <t>RG13-S06-R1</t>
        </is>
      </c>
      <c r="B37" s="77" t="inlineStr">
        <is>
          <t>RG13</t>
        </is>
      </c>
      <c r="C37" s="77" t="inlineStr">
        <is>
          <t>RG13-S06</t>
        </is>
      </c>
      <c r="D37" s="77" t="inlineStr">
        <is>
          <t>GMiM Capstone Course - Management in Action</t>
        </is>
      </c>
      <c r="E37" s="77" t="inlineStr">
        <is>
          <t>project; group; employer; credit; status</t>
        </is>
      </c>
      <c r="F37" s="77" t="inlineStr">
        <is>
          <t>https://www.lse.ac.uk/resources/calendar2025-2026/courseGuides/MG/2025_MG488B.htm</t>
        </is>
      </c>
      <c r="G37" s="77" t="inlineStr">
        <is>
          <t>MG488B GMiM Capstone Course - Management in Action</t>
        </is>
      </c>
      <c r="H37" s="77" t="inlineStr">
        <is>
          <t>Course content; Assessment</t>
        </is>
      </c>
      <c r="I37" s="77" t="inlineStr">
        <is>
          <t>2025/26</t>
        </is>
      </c>
      <c r="J37" s="77" t="inlineStr">
        <is>
          <t>2026-10-12</t>
        </is>
      </c>
      <c r="K37" s="77" t="inlineStr">
        <is>
          <t>search-index extract</t>
        </is>
      </c>
      <c r="L37"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8">
      <c r="A38" s="77" t="inlineStr">
        <is>
          <t>RG13-S06-R2</t>
        </is>
      </c>
      <c r="B38" s="77" t="inlineStr">
        <is>
          <t>RG13</t>
        </is>
      </c>
      <c r="C38" s="77" t="inlineStr">
        <is>
          <t>RG13-S06</t>
        </is>
      </c>
      <c r="D38" s="77" t="inlineStr">
        <is>
          <t>GMiM Capstone Course - Management in Action</t>
        </is>
      </c>
      <c r="E38" s="77" t="inlineStr">
        <is>
          <t>employer; status; group</t>
        </is>
      </c>
      <c r="F38" s="77" t="inlineStr">
        <is>
          <t>https://www.lse.ac.uk/management/assets/documents/Employer-Partnerships-Business-Project-brochures/-GMiM-2025-26.pdf</t>
        </is>
      </c>
      <c r="G38" s="77" t="inlineStr">
        <is>
          <t>Global Master's in Management Business Projects (brochure 2025-26)</t>
        </is>
      </c>
      <c r="H38" s="77" t="inlineStr">
        <is>
          <t>Timeline</t>
        </is>
      </c>
      <c r="I38" s="77" t="inlineStr">
        <is>
          <t>2025-26</t>
        </is>
      </c>
      <c r="J38" s="77" t="inlineStr">
        <is>
          <t>2026-10-12</t>
        </is>
      </c>
      <c r="K38" s="77" t="inlineStr">
        <is>
          <t>search-index extract</t>
        </is>
      </c>
      <c r="L38" s="77" t="inlineStr">
        <is>
          <t>Proposal deadline 22 September; students work on Business Project October-January; final presentation week of 19 January 2026; no charge to companies.</t>
        </is>
      </c>
    </row>
    <row r="39">
      <c r="A39" s="77" t="inlineStr">
        <is>
          <t>RG13-S07-R1</t>
        </is>
      </c>
      <c r="B39" s="77" t="inlineStr">
        <is>
          <t>RG13</t>
        </is>
      </c>
      <c r="C39" s="77" t="inlineStr">
        <is>
          <t>RG13-S07</t>
        </is>
      </c>
      <c r="D39" s="77" t="inlineStr">
        <is>
          <t>CEMS &amp; MBA Business Projects</t>
        </is>
      </c>
      <c r="E39" s="77" t="inlineStr">
        <is>
          <t>project; group; employer; status</t>
        </is>
      </c>
      <c r="F39" s="77" t="inlineStr">
        <is>
          <t>https://www.lse.ac.uk/management/assets/documents/Employer-Partnerships-Business-Project-brochures/CEMS-MBA-2025-26.pdf</t>
        </is>
      </c>
      <c r="G39" s="77" t="inlineStr">
        <is>
          <t>CEMS &amp; MBA Business Projects (brochure 2025-26)</t>
        </is>
      </c>
      <c r="H39" s="77" t="inlineStr">
        <is>
          <t>Brochure</t>
        </is>
      </c>
      <c r="I39" s="77" t="inlineStr">
        <is>
          <t>2025-26</t>
        </is>
      </c>
      <c r="J39" s="77" t="inlineStr">
        <is>
          <t>2026-10-12</t>
        </is>
      </c>
      <c r="K39" s="77" t="inlineStr">
        <is>
          <t>search-index extract</t>
        </is>
      </c>
      <c r="L39" s="77" t="inlineStr">
        <is>
          <t>4-6 students assigned to a project; proposals due 28 November 2025; groups assigned 26 January 2026; students work February-May; final presentations to sponsors 4-18 May 2026; no charge to companies; students typically meet sponsor fortnightly.</t>
        </is>
      </c>
    </row>
    <row r="40">
      <c r="A40" s="77" t="inlineStr">
        <is>
          <t>RG13-S08-R1</t>
        </is>
      </c>
      <c r="B40" s="77" t="inlineStr">
        <is>
          <t>RG13</t>
        </is>
      </c>
      <c r="C40" s="77" t="inlineStr">
        <is>
          <t>RG13-S08</t>
        </is>
      </c>
      <c r="D40" s="77" t="inlineStr">
        <is>
          <t>HRO Links Scheme (Links Project)</t>
        </is>
      </c>
      <c r="E40" s="77" t="inlineStr">
        <is>
          <t>group; employer</t>
        </is>
      </c>
      <c r="F40" s="77" t="inlineStr">
        <is>
          <t>https://www.lse.ac.uk/study-at-lse/graduate/msc-human-resources-and-organisations</t>
        </is>
      </c>
      <c r="G40" s="77" t="inlineStr">
        <is>
          <t>MSc Human Resources and Organisations</t>
        </is>
      </c>
      <c r="H40" s="77" t="inlineStr">
        <is>
          <t>Programme page</t>
        </is>
      </c>
      <c r="I40" s="77" t="inlineStr">
        <is>
          <t>undated</t>
        </is>
      </c>
      <c r="J40" s="77" t="inlineStr">
        <is>
          <t>2026-10-12</t>
        </is>
      </c>
      <c r="K40" s="77" t="inlineStr">
        <is>
          <t>search-index extract</t>
        </is>
      </c>
      <c r="L40" s="77" t="inlineStr">
        <is>
          <t>Links Project: a consultancy project completed in pairs for an external organisation.</t>
        </is>
      </c>
    </row>
    <row r="41">
      <c r="A41" s="77" t="inlineStr">
        <is>
          <t>RG13-S08-R2</t>
        </is>
      </c>
      <c r="B41" s="77" t="inlineStr">
        <is>
          <t>RG13</t>
        </is>
      </c>
      <c r="C41" s="77" t="inlineStr">
        <is>
          <t>RG13-S08</t>
        </is>
      </c>
      <c r="D41" s="77" t="inlineStr">
        <is>
          <t>HRO Links Scheme (Links Project)</t>
        </is>
      </c>
      <c r="E41" s="77" t="inlineStr">
        <is>
          <t>project; group; employer; status</t>
        </is>
      </c>
      <c r="F41" s="77" t="inlineStr">
        <is>
          <t>https://www.lse.ac.uk/management/assets/documents/Employer-Partnerships-Business-Project-brochures/HRO-Links-2025-26.pdf</t>
        </is>
      </c>
      <c r="G41" s="77" t="inlineStr">
        <is>
          <t>HRO Links 2025-26</t>
        </is>
      </c>
      <c r="H41" s="77" t="inlineStr">
        <is>
          <t>Brochure</t>
        </is>
      </c>
      <c r="I41" s="77" t="inlineStr">
        <is>
          <t>2025-26</t>
        </is>
      </c>
      <c r="J41" s="77" t="inlineStr">
        <is>
          <t>2026-10-12</t>
        </is>
      </c>
      <c r="K41" s="77" t="inlineStr">
        <is>
          <t>search-index extract</t>
        </is>
      </c>
      <c r="L41" s="77" t="inlineStr">
        <is>
          <t>1-2 students will be assigned to a project; ends with a business report for the organisation alongside a joint LSE dissertation with project partner; proposals 7 November, assignment 19 December; no charge to sponsors.</t>
        </is>
      </c>
    </row>
    <row r="42">
      <c r="A42" s="77" t="inlineStr">
        <is>
          <t>RG13-S08-R3</t>
        </is>
      </c>
      <c r="B42" s="77" t="inlineStr">
        <is>
          <t>RG13</t>
        </is>
      </c>
      <c r="C42" s="77" t="inlineStr">
        <is>
          <t>RG13-S08</t>
        </is>
      </c>
      <c r="D42" s="77" t="inlineStr">
        <is>
          <t>HRO Links Scheme (Links Project)</t>
        </is>
      </c>
      <c r="E42" s="77" t="inlineStr">
        <is>
          <t>project; employer; credit; status</t>
        </is>
      </c>
      <c r="F42" s="77" t="inlineStr">
        <is>
          <t>https://www.lse.ac.uk/resources/calendar/courseGuides/MG/2026_MG493.htm</t>
        </is>
      </c>
      <c r="G42" s="77" t="inlineStr">
        <is>
          <t>MG493 Dissertation</t>
        </is>
      </c>
      <c r="H42" s="77" t="inlineStr">
        <is>
          <t>Course content</t>
        </is>
      </c>
      <c r="I42" s="77" t="inlineStr">
        <is>
          <t>2026/27</t>
        </is>
      </c>
      <c r="J42" s="77" t="inlineStr">
        <is>
          <t>2026-10-12</t>
        </is>
      </c>
      <c r="K42" s="77" t="inlineStr">
        <is>
          <t>search-index extract</t>
        </is>
      </c>
      <c r="L42" s="77" t="inlineStr">
        <is>
          <t>Students can also apply for a Links project and, if accepted, will conduct research on an HR question posed by the Links sponsor.</t>
        </is>
      </c>
    </row>
    <row r="43">
      <c r="A43" s="77" t="inlineStr">
        <is>
          <t>RG13-S09-R1</t>
        </is>
      </c>
      <c r="B43" s="77" t="inlineStr">
        <is>
          <t>RG13</t>
        </is>
      </c>
      <c r="C43" s="77" t="inlineStr">
        <is>
          <t>RG13-S09</t>
        </is>
      </c>
      <c r="D43" s="77" t="inlineStr">
        <is>
          <t>Marketing Action Learning Project (MALP)</t>
        </is>
      </c>
      <c r="E43" s="77" t="inlineStr">
        <is>
          <t>project; group; employer; credit; status; participation</t>
        </is>
      </c>
      <c r="F43" s="77" t="inlineStr">
        <is>
          <t>https://www.lse.ac.uk/resources/calendar/courseGuides/MG/2026_MG4F1.htm</t>
        </is>
      </c>
      <c r="G43" s="77" t="inlineStr">
        <is>
          <t>MG4F1 Marketing Action Learning Project</t>
        </is>
      </c>
      <c r="H43" s="77" t="inlineStr">
        <is>
          <t>Course guide</t>
        </is>
      </c>
      <c r="I43" s="77" t="inlineStr">
        <is>
          <t>2026/27</t>
        </is>
      </c>
      <c r="J43" s="77" t="inlineStr">
        <is>
          <t>2026-10-12</t>
        </is>
      </c>
      <c r="K43" s="77" t="inlineStr">
        <is>
          <t>search-index extract</t>
        </is>
      </c>
      <c r="L43" s="77" t="inlineStr">
        <is>
          <t>Teams of students work with vetted company sponsors, from global consumer brands to growth-stage startups, on a real marketing challenge; oral examination (40%), project (60%) in August; compulsory on MSc in Marketing; Total students 2025/26: 94.</t>
        </is>
      </c>
    </row>
    <row r="44">
      <c r="A44" s="77" t="inlineStr">
        <is>
          <t>RG13-S09-R2</t>
        </is>
      </c>
      <c r="B44" s="77" t="inlineStr">
        <is>
          <t>RG13</t>
        </is>
      </c>
      <c r="C44" s="77" t="inlineStr">
        <is>
          <t>RG13-S09</t>
        </is>
      </c>
      <c r="D44" s="77" t="inlineStr">
        <is>
          <t>Marketing Action Learning Project (MALP)</t>
        </is>
      </c>
      <c r="E44" s="77" t="inlineStr">
        <is>
          <t>employer</t>
        </is>
      </c>
      <c r="F44" s="77" t="inlineStr">
        <is>
          <t>https://www.lse.ac.uk/study-at-lse/graduate/msc-marketing</t>
        </is>
      </c>
      <c r="G44" s="77" t="inlineStr">
        <is>
          <t>MSc Marketing</t>
        </is>
      </c>
      <c r="H44" s="77" t="inlineStr">
        <is>
          <t>Programme page</t>
        </is>
      </c>
      <c r="I44" s="77" t="inlineStr">
        <is>
          <t>undated</t>
        </is>
      </c>
      <c r="J44" s="77" t="inlineStr">
        <is>
          <t>2026-10-12</t>
        </is>
      </c>
      <c r="K44" s="77" t="inlineStr">
        <is>
          <t>search-index extract</t>
        </is>
      </c>
      <c r="L44" s="77" t="inlineStr">
        <is>
          <t>Students have worked with companies such as Colgate-Palmolive, Cartier, Tata Group and Unilever; MALP commences in Winter Term, presentations early July, report deadline August.</t>
        </is>
      </c>
    </row>
    <row r="45">
      <c r="A45" s="77" t="inlineStr">
        <is>
          <t>RG13-S09-R3</t>
        </is>
      </c>
      <c r="B45" s="77" t="inlineStr">
        <is>
          <t>RG13</t>
        </is>
      </c>
      <c r="C45" s="77" t="inlineStr">
        <is>
          <t>RG13-S09</t>
        </is>
      </c>
      <c r="D45" s="77" t="inlineStr">
        <is>
          <t>Marketing Action Learning Project (MALP)</t>
        </is>
      </c>
      <c r="E45" s="77" t="inlineStr">
        <is>
          <t>group; status</t>
        </is>
      </c>
      <c r="F45" s="77" t="inlineStr">
        <is>
          <t>https://blogs.lse.ac.uk/management/2026/07/02/lses-msc-marketing-reflecting-on-the-marketing-action-learning-project/</t>
        </is>
      </c>
      <c r="G45" s="77" t="inlineStr">
        <is>
          <t>LSE's MSc Marketing: Reflecting on the Marketing Action Learning Project</t>
        </is>
      </c>
      <c r="H45" s="77" t="inlineStr">
        <is>
          <t>Student blog</t>
        </is>
      </c>
      <c r="I45" s="77" t="inlineStr">
        <is>
          <t>2026</t>
        </is>
      </c>
      <c r="J45" s="77" t="inlineStr">
        <is>
          <t>2026-10-12</t>
        </is>
      </c>
      <c r="K45" s="77" t="inlineStr">
        <is>
          <t>search-index extract</t>
        </is>
      </c>
      <c r="L45" s="77" t="inlineStr">
        <is>
          <t>Students could nominate one person they wished to work with before being grouped into teams of six.</t>
        </is>
      </c>
    </row>
    <row r="46">
      <c r="A46" s="77" t="inlineStr">
        <is>
          <t>RG13-S10-R1</t>
        </is>
      </c>
      <c r="B46" s="77" t="inlineStr">
        <is>
          <t>RG13</t>
        </is>
      </c>
      <c r="C46" s="77" t="inlineStr">
        <is>
          <t>RG13-S10</t>
        </is>
      </c>
      <c r="D46" s="77" t="inlineStr">
        <is>
          <t>MiM Capstone Course - International Management in Action (incl. London Consulting Project)</t>
        </is>
      </c>
      <c r="E46" s="77" t="inlineStr">
        <is>
          <t>project; group; employer; credit; status; participation</t>
        </is>
      </c>
      <c r="F46" s="77" t="inlineStr">
        <is>
          <t>https://www.lse.ac.uk/resources/calendar2025-2026/courseGuides/MG/2025_MG4J4.htm</t>
        </is>
      </c>
      <c r="G46" s="77" t="inlineStr">
        <is>
          <t>MG4J4 MiM Capstone Course - International Management in Action</t>
        </is>
      </c>
      <c r="H46" s="77" t="inlineStr">
        <is>
          <t>Course guide</t>
        </is>
      </c>
      <c r="I46" s="77" t="inlineStr">
        <is>
          <t>2025/26</t>
        </is>
      </c>
      <c r="J46" s="77" t="inlineStr">
        <is>
          <t>2026-10-12</t>
        </is>
      </c>
      <c r="K46" s="77" t="inlineStr">
        <is>
          <t>search-index extract</t>
        </is>
      </c>
      <c r="L46"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47">
      <c r="A47" s="77" t="inlineStr">
        <is>
          <t>RG13-S10-R2</t>
        </is>
      </c>
      <c r="B47" s="77" t="inlineStr">
        <is>
          <t>RG13</t>
        </is>
      </c>
      <c r="C47" s="77" t="inlineStr">
        <is>
          <t>RG13-S10</t>
        </is>
      </c>
      <c r="D47" s="77" t="inlineStr">
        <is>
          <t>MiM Capstone Course - International Management in Action (incl. London Consulting Project)</t>
        </is>
      </c>
      <c r="E47" s="77" t="inlineStr">
        <is>
          <t>project; employer</t>
        </is>
      </c>
      <c r="F47" s="77" t="inlineStr">
        <is>
          <t>https://www.lse.ac.uk/study-at-lse/graduate/masters-in-management</t>
        </is>
      </c>
      <c r="G47" s="77" t="inlineStr">
        <is>
          <t>Master's in Management</t>
        </is>
      </c>
      <c r="H47" s="77" t="inlineStr">
        <is>
          <t>Programme page</t>
        </is>
      </c>
      <c r="I47" s="77" t="inlineStr">
        <is>
          <t>2026/27-2027/28</t>
        </is>
      </c>
      <c r="J47" s="77" t="inlineStr">
        <is>
          <t>2026-10-12</t>
        </is>
      </c>
      <c r="K47" s="77" t="inlineStr">
        <is>
          <t>search-index extract</t>
        </is>
      </c>
      <c r="L47" s="77" t="inlineStr">
        <is>
          <t>London Consulting Project - apply classroom learning to a real business challenge through a project with an external organisation; overseas Capstone visit then work with peers on a business challenge presented by an external organisation.</t>
        </is>
      </c>
    </row>
    <row r="48">
      <c r="A48" s="77" t="inlineStr">
        <is>
          <t>RG13-S10-R3</t>
        </is>
      </c>
      <c r="B48" s="77" t="inlineStr">
        <is>
          <t>RG13</t>
        </is>
      </c>
      <c r="C48" s="77" t="inlineStr">
        <is>
          <t>RG13-S10</t>
        </is>
      </c>
      <c r="D48" s="77" t="inlineStr">
        <is>
          <t>MiM Capstone Course - International Management in Action (incl. London Consulting Project)</t>
        </is>
      </c>
      <c r="E48" s="77" t="inlineStr">
        <is>
          <t>project; group; employer; status</t>
        </is>
      </c>
      <c r="F48" s="77" t="inlineStr">
        <is>
          <t>https://blogs.lse.ac.uk/management/2026/05/21/lses-masters-in-management-the-programme-directors-perspective/</t>
        </is>
      </c>
      <c r="G48" s="77" t="inlineStr">
        <is>
          <t>LSE's Master's in Management: the Programme Director views</t>
        </is>
      </c>
      <c r="H48" s="77" t="inlineStr">
        <is>
          <t>Blog</t>
        </is>
      </c>
      <c r="I48" s="77" t="inlineStr">
        <is>
          <t>2026</t>
        </is>
      </c>
      <c r="J48" s="77" t="inlineStr">
        <is>
          <t>2026-10-12</t>
        </is>
      </c>
      <c r="K48" s="77" t="inlineStr">
        <is>
          <t>search-index extract</t>
        </is>
      </c>
      <c r="L48" s="77" t="inlineStr">
        <is>
          <t>The company provides a list of projects, real business challenges; 'working in teams, you will analyse the problem and make recommendations, knowing that those recommendations will very likely be acted upon.'</t>
        </is>
      </c>
    </row>
    <row r="49">
      <c r="A49" s="77" t="inlineStr">
        <is>
          <t>RG13-S11-R1</t>
        </is>
      </c>
      <c r="B49" s="77" t="inlineStr">
        <is>
          <t>RG13</t>
        </is>
      </c>
      <c r="C49" s="77" t="inlineStr">
        <is>
          <t>RG13-S11</t>
        </is>
      </c>
      <c r="D49" s="77" t="inlineStr">
        <is>
          <t>Social Innovation and Entrepreneurship Fundamentals (year-long partner group project)</t>
        </is>
      </c>
      <c r="E49" s="77" t="inlineStr">
        <is>
          <t>project; group; employer; credit; status</t>
        </is>
      </c>
      <c r="F49" s="77" t="inlineStr">
        <is>
          <t>https://www.lse.ac.uk/resources/calendar2026-2027/courseGuides/MG/2026_MG4G6.htm</t>
        </is>
      </c>
      <c r="G49" s="77" t="inlineStr">
        <is>
          <t>MG4G6 Social Innovation and Entrepreneurship Fundamentals</t>
        </is>
      </c>
      <c r="H49" s="77" t="inlineStr">
        <is>
          <t>Course guide</t>
        </is>
      </c>
      <c r="I49" s="77" t="inlineStr">
        <is>
          <t>2026/27</t>
        </is>
      </c>
      <c r="J49" s="77" t="inlineStr">
        <is>
          <t>2026-10-12</t>
        </is>
      </c>
      <c r="K49" s="77" t="inlineStr">
        <is>
          <t>search-index extract</t>
        </is>
      </c>
      <c r="L49" s="77" t="inlineStr">
        <is>
          <t>Compulsory on the MSc; taught across Autumn and Winter Terms; project worth 45% of assessment including an element of group work; students work with a social organisation in a developing-country setting.</t>
        </is>
      </c>
    </row>
    <row r="50">
      <c r="A50" s="77" t="inlineStr">
        <is>
          <t>RG13-S11-R2</t>
        </is>
      </c>
      <c r="B50" s="77" t="inlineStr">
        <is>
          <t>RG13</t>
        </is>
      </c>
      <c r="C50" s="77" t="inlineStr">
        <is>
          <t>RG13-S11</t>
        </is>
      </c>
      <c r="D50" s="77" t="inlineStr">
        <is>
          <t>Social Innovation and Entrepreneurship Fundamentals (year-long partner group project)</t>
        </is>
      </c>
      <c r="E50" s="77" t="inlineStr">
        <is>
          <t>project; group; employer</t>
        </is>
      </c>
      <c r="F50" s="77" t="inlineStr">
        <is>
          <t>https://www.lse.ac.uk/study-at-lse/graduate/msc-social-innovation-and-entrepreneurship</t>
        </is>
      </c>
      <c r="G50" s="77" t="inlineStr">
        <is>
          <t>MSc Social Innovation and Entrepreneurship</t>
        </is>
      </c>
      <c r="H50" s="77" t="inlineStr">
        <is>
          <t>Programme page</t>
        </is>
      </c>
      <c r="I50" s="77" t="inlineStr">
        <is>
          <t>undated</t>
        </is>
      </c>
      <c r="J50" s="77" t="inlineStr">
        <is>
          <t>2026-10-12</t>
        </is>
      </c>
      <c r="K50" s="77" t="inlineStr">
        <is>
          <t>search-index extract</t>
        </is>
      </c>
      <c r="L50"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51">
      <c r="A51" s="77" t="inlineStr">
        <is>
          <t>RG13-S11-R3</t>
        </is>
      </c>
      <c r="B51" s="77" t="inlineStr">
        <is>
          <t>RG13</t>
        </is>
      </c>
      <c r="C51" s="77" t="inlineStr">
        <is>
          <t>RG13-S11</t>
        </is>
      </c>
      <c r="D51" s="77" t="inlineStr">
        <is>
          <t>Social Innovation and Entrepreneurship Fundamentals (year-long partner group project)</t>
        </is>
      </c>
      <c r="E51" s="77" t="inlineStr">
        <is>
          <t>employer; status</t>
        </is>
      </c>
      <c r="F51" s="77" t="inlineStr">
        <is>
          <t>https://blogs.lse.ac.uk/management/2026/04/02/lses-msc-social-innovation-and-entrepreneurship-supporting-innovation-in-africa/</t>
        </is>
      </c>
      <c r="G51" s="77" t="inlineStr">
        <is>
          <t>LSE's MSc Social Innovation and Entrepreneurship: Field trip</t>
        </is>
      </c>
      <c r="H51" s="77" t="inlineStr">
        <is>
          <t>Blog</t>
        </is>
      </c>
      <c r="I51" s="77" t="inlineStr">
        <is>
          <t>2026</t>
        </is>
      </c>
      <c r="J51" s="77" t="inlineStr">
        <is>
          <t>2026-10-12</t>
        </is>
      </c>
      <c r="K51" s="77" t="inlineStr">
        <is>
          <t>search-index extract</t>
        </is>
      </c>
      <c r="L51" s="77" t="inlineStr">
        <is>
          <t>In-person international field trip in Winter Term to Kenya and South Africa.</t>
        </is>
      </c>
    </row>
    <row r="52">
      <c r="A52" s="77" t="inlineStr">
        <is>
          <t>RG13-S12-R1</t>
        </is>
      </c>
      <c r="B52" s="77" t="inlineStr">
        <is>
          <t>RG13</t>
        </is>
      </c>
      <c r="C52" s="77" t="inlineStr">
        <is>
          <t>RG13-S12</t>
        </is>
      </c>
      <c r="D52" s="77" t="inlineStr">
        <is>
          <t>Capstone Project (MSc Data Science)</t>
        </is>
      </c>
      <c r="E52" s="77" t="inlineStr">
        <is>
          <t>project; group; employer; credit; status; participation</t>
        </is>
      </c>
      <c r="F52" s="77" t="inlineStr">
        <is>
          <t>https://www.lse.ac.uk/resources/calendar2025-2026/courseGuides/ST/2025_ST498.htm</t>
        </is>
      </c>
      <c r="G52" s="77" t="inlineStr">
        <is>
          <t>ST498 Capstone Project</t>
        </is>
      </c>
      <c r="H52" s="77" t="inlineStr">
        <is>
          <t>Course guide</t>
        </is>
      </c>
      <c r="I52" s="77" t="inlineStr">
        <is>
          <t>2025/26</t>
        </is>
      </c>
      <c r="J52" s="77" t="inlineStr">
        <is>
          <t>2026-10-12</t>
        </is>
      </c>
      <c r="K52" s="77" t="inlineStr">
        <is>
          <t>search-index extract</t>
        </is>
      </c>
      <c r="L52"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53">
      <c r="A53" s="77" t="inlineStr">
        <is>
          <t>RG13-S12-R2</t>
        </is>
      </c>
      <c r="B53" s="77" t="inlineStr">
        <is>
          <t>RG13</t>
        </is>
      </c>
      <c r="C53" s="77" t="inlineStr">
        <is>
          <t>RG13-S12</t>
        </is>
      </c>
      <c r="D53" s="77" t="inlineStr">
        <is>
          <t>Capstone Project (MSc Data Science)</t>
        </is>
      </c>
      <c r="E53" s="77" t="inlineStr">
        <is>
          <t>employer</t>
        </is>
      </c>
      <c r="F53" s="77" t="inlineStr">
        <is>
          <t>https://www.lse.ac.uk/statistics/partnerships</t>
        </is>
      </c>
      <c r="G53" s="77" t="inlineStr">
        <is>
          <t>Partnerships</t>
        </is>
      </c>
      <c r="H53" s="77" t="inlineStr">
        <is>
          <t>Department page</t>
        </is>
      </c>
      <c r="I53" s="77" t="inlineStr">
        <is>
          <t>undated</t>
        </is>
      </c>
      <c r="J53" s="77" t="inlineStr">
        <is>
          <t>2026-10-12</t>
        </is>
      </c>
      <c r="K53" s="77" t="inlineStr">
        <is>
          <t>search-index extract</t>
        </is>
      </c>
      <c r="L53" s="77" t="inlineStr">
        <is>
          <t>Working with over 20 partners including Deloitte, Mastercard, Meta, Microsoft, Moody's, Sky, Transport for London, Wise and the World Trade Organization.</t>
        </is>
      </c>
    </row>
    <row r="54">
      <c r="A54" s="77" t="inlineStr">
        <is>
          <t>RG13-S12-R3</t>
        </is>
      </c>
      <c r="B54" s="77" t="inlineStr">
        <is>
          <t>RG13</t>
        </is>
      </c>
      <c r="C54" s="77" t="inlineStr">
        <is>
          <t>RG13-S12</t>
        </is>
      </c>
      <c r="D54" s="77" t="inlineStr">
        <is>
          <t>Capstone Project (MSc Data Science)</t>
        </is>
      </c>
      <c r="E54" s="77" t="inlineStr">
        <is>
          <t>employer</t>
        </is>
      </c>
      <c r="F54" s="77" t="inlineStr">
        <is>
          <t>https://info.lse.ac.uk/staff/divisions/Teaching-and-Learning-Centre/TLC-resource-materials/Education-Case-Studies/Statistics-MSc-Data-Science-capstone-project</t>
        </is>
      </c>
      <c r="G54" s="77" t="inlineStr">
        <is>
          <t>Statistics - MSc Data Science capstone project (education case study)</t>
        </is>
      </c>
      <c r="H54" s="77" t="inlineStr">
        <is>
          <t>Case study</t>
        </is>
      </c>
      <c r="I54" s="77" t="inlineStr">
        <is>
          <t>undated</t>
        </is>
      </c>
      <c r="J54" s="77" t="inlineStr">
        <is>
          <t>2026-10-12</t>
        </is>
      </c>
      <c r="K54" s="77" t="inlineStr">
        <is>
          <t>search-index extract</t>
        </is>
      </c>
      <c r="L54" s="77" t="inlineStr">
        <is>
          <t>Partners are either companies or, in some instances, LSE academics and Professional Service divisions.</t>
        </is>
      </c>
    </row>
    <row r="55">
      <c r="A55" s="77" t="inlineStr">
        <is>
          <t>RG13-S12-R4</t>
        </is>
      </c>
      <c r="B55" s="77" t="inlineStr">
        <is>
          <t>RG13</t>
        </is>
      </c>
      <c r="C55" s="77" t="inlineStr">
        <is>
          <t>RG13-S12</t>
        </is>
      </c>
      <c r="D55" s="77" t="inlineStr">
        <is>
          <t>Capstone Project (MSc Data Science)</t>
        </is>
      </c>
      <c r="E55" s="77" t="inlineStr">
        <is>
          <t>participation; credit</t>
        </is>
      </c>
      <c r="F55" s="77" t="inlineStr">
        <is>
          <t>https://www.lse.ac.uk/resources/calendar2025-2026/programmeRegulations/taughtMasters/2025/MScDataScience.htm</t>
        </is>
      </c>
      <c r="G55" s="77" t="inlineStr">
        <is>
          <t>MSc in Data Science programme regulations</t>
        </is>
      </c>
      <c r="H55" s="77" t="inlineStr">
        <is>
          <t>Regulations</t>
        </is>
      </c>
      <c r="I55" s="77" t="inlineStr">
        <is>
          <t>2025/26</t>
        </is>
      </c>
      <c r="J55" s="77" t="inlineStr">
        <is>
          <t>2026-10-12</t>
        </is>
      </c>
      <c r="K55" s="77" t="inlineStr">
        <is>
          <t>search-index extract</t>
        </is>
      </c>
      <c r="L55" s="77" t="inlineStr">
        <is>
          <t>ST498 Capstone Project (1.0) listed as compulsory.</t>
        </is>
      </c>
    </row>
    <row r="56">
      <c r="A56" s="77" t="inlineStr">
        <is>
          <t>RG13-S13-R1</t>
        </is>
      </c>
      <c r="B56" s="77" t="inlineStr">
        <is>
          <t>RG13</t>
        </is>
      </c>
      <c r="C56" s="77" t="inlineStr">
        <is>
          <t>RG13-S13</t>
        </is>
      </c>
      <c r="D56" s="77" t="inlineStr">
        <is>
          <t>Project in Operations Research &amp; Analytics</t>
        </is>
      </c>
      <c r="E56" s="77" t="inlineStr">
        <is>
          <t>project; employer; credit; status</t>
        </is>
      </c>
      <c r="F56" s="77" t="inlineStr">
        <is>
          <t>https://www.lse.ac.uk/resources/calendar2026-2027/courseGuides/MA/2026_MA425.htm</t>
        </is>
      </c>
      <c r="G56" s="77" t="inlineStr">
        <is>
          <t>MA425 Project in Operations Research &amp; Analytics</t>
        </is>
      </c>
      <c r="H56" s="77" t="inlineStr">
        <is>
          <t>Course guide</t>
        </is>
      </c>
      <c r="I56" s="77" t="inlineStr">
        <is>
          <t>2026/27</t>
        </is>
      </c>
      <c r="J56" s="77" t="inlineStr">
        <is>
          <t>2026-10-12</t>
        </is>
      </c>
      <c r="K56" s="77" t="inlineStr">
        <is>
          <t>search-index extract</t>
        </is>
      </c>
      <c r="L56" s="77" t="inlineStr">
        <is>
          <t>Typically a consulting-like placement with an industry, government or non-profit partner; full-time from early June until end of August, possibly at the client site; Project (100%); cannot be taken with MA426.</t>
        </is>
      </c>
    </row>
    <row r="57">
      <c r="A57" s="77" t="inlineStr">
        <is>
          <t>RG13-S13-R2</t>
        </is>
      </c>
      <c r="B57" s="77" t="inlineStr">
        <is>
          <t>RG13</t>
        </is>
      </c>
      <c r="C57" s="77" t="inlineStr">
        <is>
          <t>RG13-S13</t>
        </is>
      </c>
      <c r="D57" s="77" t="inlineStr">
        <is>
          <t>Project in Operations Research &amp; Analytics</t>
        </is>
      </c>
      <c r="E57" s="77" t="inlineStr">
        <is>
          <t>employer</t>
        </is>
      </c>
      <c r="F57" s="77" t="inlineStr">
        <is>
          <t>https://www.lse.ac.uk/study-at-lse/graduate/msc-operations-research-and-analytics</t>
        </is>
      </c>
      <c r="G57" s="77" t="inlineStr">
        <is>
          <t>MSc Operations Research and Analytics</t>
        </is>
      </c>
      <c r="H57" s="77" t="inlineStr">
        <is>
          <t>Programme page</t>
        </is>
      </c>
      <c r="I57" s="77" t="inlineStr">
        <is>
          <t>undated</t>
        </is>
      </c>
      <c r="J57" s="77" t="inlineStr">
        <is>
          <t>2026-10-12</t>
        </is>
      </c>
      <c r="K57" s="77" t="inlineStr">
        <is>
          <t>search-index extract</t>
        </is>
      </c>
      <c r="L57" s="77" t="inlineStr">
        <is>
          <t>Past and present partners include Amazon, BT, British Airways, Emirates Airlines, FICO, Ford Motor Company, Just Eat, Legal and General, the National Audit Office and Transport for London.</t>
        </is>
      </c>
    </row>
    <row r="58">
      <c r="A58" s="77" t="inlineStr">
        <is>
          <t>RG13-S14-R1</t>
        </is>
      </c>
      <c r="B58" s="77" t="inlineStr">
        <is>
          <t>RG13</t>
        </is>
      </c>
      <c r="C58" s="77" t="inlineStr">
        <is>
          <t>RG13-S14</t>
        </is>
      </c>
      <c r="D58" s="77" t="inlineStr">
        <is>
          <t>MPA Capstone Project</t>
        </is>
      </c>
      <c r="E58" s="77" t="inlineStr">
        <is>
          <t>project; group; employer; credit; status; participation</t>
        </is>
      </c>
      <c r="F58" s="77" t="inlineStr">
        <is>
          <t>https://www.lse.ac.uk/resources/calendar2025-2026/courseGuides/PP/2025_PP4B3.htm</t>
        </is>
      </c>
      <c r="G58" s="77" t="inlineStr">
        <is>
          <t>PP4B3 MPA Capstone Project</t>
        </is>
      </c>
      <c r="H58" s="77" t="inlineStr">
        <is>
          <t>Course guide</t>
        </is>
      </c>
      <c r="I58" s="77" t="inlineStr">
        <is>
          <t>2025/26</t>
        </is>
      </c>
      <c r="J58" s="77" t="inlineStr">
        <is>
          <t>2026-10-12</t>
        </is>
      </c>
      <c r="K58" s="77" t="inlineStr">
        <is>
          <t>search-index extract</t>
        </is>
      </c>
      <c r="L58"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59">
      <c r="A59" s="77" t="inlineStr">
        <is>
          <t>RG13-S14-R2</t>
        </is>
      </c>
      <c r="B59" s="77" t="inlineStr">
        <is>
          <t>RG13</t>
        </is>
      </c>
      <c r="C59" s="77" t="inlineStr">
        <is>
          <t>RG13-S14</t>
        </is>
      </c>
      <c r="D59" s="77" t="inlineStr">
        <is>
          <t>MPA Capstone Project</t>
        </is>
      </c>
      <c r="E59" s="77" t="inlineStr">
        <is>
          <t>group; employer; participation</t>
        </is>
      </c>
      <c r="F59" s="77" t="inlineStr">
        <is>
          <t>https://www.lse.ac.uk/school-of-public-policy/study/master-of-public-administration/capstone</t>
        </is>
      </c>
      <c r="G59" s="77" t="inlineStr">
        <is>
          <t>MPA Capstone Projects</t>
        </is>
      </c>
      <c r="H59" s="77" t="inlineStr">
        <is>
          <t>Programme page</t>
        </is>
      </c>
      <c r="I59" s="77" t="inlineStr">
        <is>
          <t>undated</t>
        </is>
      </c>
      <c r="J59" s="77" t="inlineStr">
        <is>
          <t>2026-10-12</t>
        </is>
      </c>
      <c r="K59" s="77" t="inlineStr">
        <is>
          <t>search-index extract</t>
        </is>
      </c>
      <c r="L59" s="77" t="inlineStr">
        <is>
          <t>Compulsory for second-year MPA students; groups of 3-6; October to March on an issue defined by the client organisation; recent partners include Goldman Sachs, Unilever, UNDP, UNICEF, OECD, Migration Policy Institute, NHS England.</t>
        </is>
      </c>
    </row>
    <row r="60">
      <c r="A60" s="77" t="inlineStr">
        <is>
          <t>RG13-S15-R1</t>
        </is>
      </c>
      <c r="B60" s="77" t="inlineStr">
        <is>
          <t>RG13</t>
        </is>
      </c>
      <c r="C60" s="77" t="inlineStr">
        <is>
          <t>RG13-S15</t>
        </is>
      </c>
      <c r="D60" s="77" t="inlineStr">
        <is>
          <t>Capstone Project: MPA - Data Science for Public Policy</t>
        </is>
      </c>
      <c r="E60" s="77" t="inlineStr">
        <is>
          <t>project; group; employer; status</t>
        </is>
      </c>
      <c r="F60" s="77" t="inlineStr">
        <is>
          <t>https://www.lse.ac.uk/resources/calendar2025-2026/courseGuides/PP/2025_PP4B5.htm</t>
        </is>
      </c>
      <c r="G60" s="77" t="inlineStr">
        <is>
          <t>PP4B5 Capstone Project: MPA - Data Science for Public Policy</t>
        </is>
      </c>
      <c r="H60" s="77" t="inlineStr">
        <is>
          <t>Course guide</t>
        </is>
      </c>
      <c r="I60" s="77" t="inlineStr">
        <is>
          <t>2025/26</t>
        </is>
      </c>
      <c r="J60" s="77" t="inlineStr">
        <is>
          <t>2026-10-12</t>
        </is>
      </c>
      <c r="K60" s="77" t="inlineStr">
        <is>
          <t>search-index extract</t>
        </is>
      </c>
      <c r="L60"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61">
      <c r="A61" s="77" t="inlineStr">
        <is>
          <t>RG13-S16-R1</t>
        </is>
      </c>
      <c r="B61" s="77" t="inlineStr">
        <is>
          <t>RG13</t>
        </is>
      </c>
      <c r="C61" s="77" t="inlineStr">
        <is>
          <t>RG13-S16</t>
        </is>
      </c>
      <c r="D61" s="77" t="inlineStr">
        <is>
          <t>Executive MPP Capstone Project</t>
        </is>
      </c>
      <c r="E61" s="77" t="inlineStr">
        <is>
          <t>project; group; employer; credit; status</t>
        </is>
      </c>
      <c r="F61" s="77" t="inlineStr">
        <is>
          <t>https://www.lse.ac.uk/resources/calendar2025-2026/courseGuides/PP/2025_PP4B3E.htm</t>
        </is>
      </c>
      <c r="G61" s="77" t="inlineStr">
        <is>
          <t>PP4B3E Half Unit Executive MPP Capstone Project</t>
        </is>
      </c>
      <c r="H61" s="77" t="inlineStr">
        <is>
          <t>Course guide</t>
        </is>
      </c>
      <c r="I61" s="77" t="inlineStr">
        <is>
          <t>2025/26</t>
        </is>
      </c>
      <c r="J61" s="77" t="inlineStr">
        <is>
          <t>2026-10-12</t>
        </is>
      </c>
      <c r="K61" s="77" t="inlineStr">
        <is>
          <t>search-index extract</t>
        </is>
      </c>
      <c r="L61" s="77" t="inlineStr">
        <is>
          <t>Client is the Civil Service; teams of roughly 3 to 5 work on a public policy problem identified jointly by the Civil Service and LSE academics, over one week.</t>
        </is>
      </c>
    </row>
    <row r="62">
      <c r="A62" s="77" t="inlineStr">
        <is>
          <t>RG13-S17-R1</t>
        </is>
      </c>
      <c r="B62" s="77" t="inlineStr">
        <is>
          <t>RG13</t>
        </is>
      </c>
      <c r="C62" s="77" t="inlineStr">
        <is>
          <t>RG13-S17</t>
        </is>
      </c>
      <c r="D62" s="77" t="inlineStr">
        <is>
          <t>Philosophy, Politics and Economics: Capstone</t>
        </is>
      </c>
      <c r="E62" s="77" t="inlineStr">
        <is>
          <t>project; group; employer; credit; status; participation</t>
        </is>
      </c>
      <c r="F62" s="77" t="inlineStr">
        <is>
          <t>https://www.lse.ac.uk/resources/calendar2025-2026/courseGuides/GV/2025_GV343.htm</t>
        </is>
      </c>
      <c r="G62" s="77" t="inlineStr">
        <is>
          <t>GV343 Philosophy, Politics and Economics: Capstone</t>
        </is>
      </c>
      <c r="H62" s="77" t="inlineStr">
        <is>
          <t>Course guide</t>
        </is>
      </c>
      <c r="I62" s="77" t="inlineStr">
        <is>
          <t>2025/26</t>
        </is>
      </c>
      <c r="J62" s="77" t="inlineStr">
        <is>
          <t>2026-10-12</t>
        </is>
      </c>
      <c r="K62" s="77" t="inlineStr">
        <is>
          <t>search-index extract</t>
        </is>
      </c>
      <c r="L62"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63">
      <c r="A63" s="77" t="inlineStr">
        <is>
          <t>RG13-S17-R2</t>
        </is>
      </c>
      <c r="B63" s="77" t="inlineStr">
        <is>
          <t>RG13</t>
        </is>
      </c>
      <c r="C63" s="77" t="inlineStr">
        <is>
          <t>RG13-S17</t>
        </is>
      </c>
      <c r="D63" s="77" t="inlineStr">
        <is>
          <t>Philosophy, Politics and Economics: Capstone</t>
        </is>
      </c>
      <c r="E63" s="77" t="inlineStr">
        <is>
          <t>project; group; employer</t>
        </is>
      </c>
      <c r="F63" s="77" t="inlineStr">
        <is>
          <t>https://www.lse.ac.uk/philosophy/studying-at-the-department/bsc-philosophy-politics-and-economics-showcase</t>
        </is>
      </c>
      <c r="G63" s="77" t="inlineStr">
        <is>
          <t>BSc Philosophy, Politics and Economics Showcase</t>
        </is>
      </c>
      <c r="H63" s="77" t="inlineStr">
        <is>
          <t>Showcase page</t>
        </is>
      </c>
      <c r="I63" s="77" t="inlineStr">
        <is>
          <t>undated</t>
        </is>
      </c>
      <c r="J63" s="77" t="inlineStr">
        <is>
          <t>2026-10-12</t>
        </is>
      </c>
      <c r="K63" s="77" t="inlineStr">
        <is>
          <t>search-index extract</t>
        </is>
      </c>
      <c r="L63" s="77" t="inlineStr">
        <is>
          <t>Each team works under a faculty supervisor on a practical policy problem set by an external client over an intensive 11-week period culminating in a presentation and submission of a written report to the client.</t>
        </is>
      </c>
    </row>
    <row r="64">
      <c r="A64" s="77" t="inlineStr">
        <is>
          <t>RG13-S17-R3</t>
        </is>
      </c>
      <c r="B64" s="77" t="inlineStr">
        <is>
          <t>RG13</t>
        </is>
      </c>
      <c r="C64" s="77" t="inlineStr">
        <is>
          <t>RG13-S17</t>
        </is>
      </c>
      <c r="D64" s="77" t="inlineStr">
        <is>
          <t>Philosophy, Politics and Economics: Capstone</t>
        </is>
      </c>
      <c r="E64" s="77" t="inlineStr">
        <is>
          <t>employer</t>
        </is>
      </c>
      <c r="F64" s="77" t="inlineStr">
        <is>
          <t>https://www.lse.ac.uk/philosophy/ppe-showcase/2023-showcase/</t>
        </is>
      </c>
      <c r="G64" s="77" t="inlineStr">
        <is>
          <t>2023 Showcase</t>
        </is>
      </c>
      <c r="H64" s="77" t="inlineStr">
        <is>
          <t>Showcase</t>
        </is>
      </c>
      <c r="I64" s="77" t="inlineStr">
        <is>
          <t>2023</t>
        </is>
      </c>
      <c r="J64" s="77" t="inlineStr">
        <is>
          <t>2026-10-12</t>
        </is>
      </c>
      <c r="K64" s="77" t="inlineStr">
        <is>
          <t>search-index extract</t>
        </is>
      </c>
      <c r="L64" s="77" t="inlineStr">
        <is>
          <t>Lists named client projects, including one for Twaweza and one for Amazon Web Services.</t>
        </is>
      </c>
    </row>
    <row r="65">
      <c r="A65" s="77" t="inlineStr">
        <is>
          <t>RG13-S17-R4</t>
        </is>
      </c>
      <c r="B65" s="77" t="inlineStr">
        <is>
          <t>RG13</t>
        </is>
      </c>
      <c r="C65" s="77" t="inlineStr">
        <is>
          <t>RG13-S17</t>
        </is>
      </c>
      <c r="D65" s="77" t="inlineStr">
        <is>
          <t>Philosophy, Politics and Economics: Capstone</t>
        </is>
      </c>
      <c r="E65" s="77" t="inlineStr">
        <is>
          <t>status</t>
        </is>
      </c>
      <c r="F65" s="77" t="inlineStr">
        <is>
          <t>https://www.lse.ac.uk/philosophy/events/upcoming-events/philosophy-showcase-2026</t>
        </is>
      </c>
      <c r="G65" s="77" t="inlineStr">
        <is>
          <t>Philosophy Showcase 2026</t>
        </is>
      </c>
      <c r="H65" s="77" t="inlineStr">
        <is>
          <t>Event</t>
        </is>
      </c>
      <c r="I65" s="77" t="inlineStr">
        <is>
          <t>2026</t>
        </is>
      </c>
      <c r="J65" s="77" t="inlineStr">
        <is>
          <t>2026-10-12</t>
        </is>
      </c>
      <c r="K65" s="77" t="inlineStr">
        <is>
          <t>search-index extract</t>
        </is>
      </c>
      <c r="L65" s="77" t="inlineStr">
        <is>
          <t>Friday 8 May 2026, including Presentations of 4th Year PPE Capstone Projects.</t>
        </is>
      </c>
    </row>
    <row r="66">
      <c r="A66" s="77" t="inlineStr">
        <is>
          <t>RG13-S18-R1</t>
        </is>
      </c>
      <c r="B66" s="77" t="inlineStr">
        <is>
          <t>RG13</t>
        </is>
      </c>
      <c r="C66" s="77" t="inlineStr">
        <is>
          <t>RG13-S18</t>
        </is>
      </c>
      <c r="D66" s="77" t="inlineStr">
        <is>
          <t>International Development Consultancy Projects</t>
        </is>
      </c>
      <c r="E66" s="77" t="inlineStr">
        <is>
          <t>project; group; employer</t>
        </is>
      </c>
      <c r="F66" s="77" t="inlineStr">
        <is>
          <t>https://www.lse.ac.uk/international-development/study/consultancy-projects</t>
        </is>
      </c>
      <c r="G66" s="77" t="inlineStr">
        <is>
          <t>International Development Consultancy Project</t>
        </is>
      </c>
      <c r="H66" s="77" t="inlineStr">
        <is>
          <t>Department page</t>
        </is>
      </c>
      <c r="I66" s="77" t="inlineStr">
        <is>
          <t>undated</t>
        </is>
      </c>
      <c r="J66" s="77" t="inlineStr">
        <is>
          <t>2026-10-12</t>
        </is>
      </c>
      <c r="K66" s="77" t="inlineStr">
        <is>
          <t>search-index extract</t>
        </is>
      </c>
      <c r="L66"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67">
      <c r="A67" s="77" t="inlineStr">
        <is>
          <t>RG13-S18-R2</t>
        </is>
      </c>
      <c r="B67" s="77" t="inlineStr">
        <is>
          <t>RG13</t>
        </is>
      </c>
      <c r="C67" s="77" t="inlineStr">
        <is>
          <t>RG13-S18</t>
        </is>
      </c>
      <c r="D67" s="77" t="inlineStr">
        <is>
          <t>International Development Consultancy Projects</t>
        </is>
      </c>
      <c r="E67" s="77" t="inlineStr">
        <is>
          <t>credit; group</t>
        </is>
      </c>
      <c r="F67" s="77" t="inlineStr">
        <is>
          <t>https://www.lse.ac.uk/international-development/study/assessment-information</t>
        </is>
      </c>
      <c r="G67" s="77" t="inlineStr">
        <is>
          <t>Assessment Information</t>
        </is>
      </c>
      <c r="H67" s="77" t="inlineStr">
        <is>
          <t>Department page</t>
        </is>
      </c>
      <c r="I67" s="77" t="inlineStr">
        <is>
          <t>undated</t>
        </is>
      </c>
      <c r="J67" s="77" t="inlineStr">
        <is>
          <t>2026-10-12</t>
        </is>
      </c>
      <c r="K67" s="77" t="inlineStr">
        <is>
          <t>search-index extract</t>
        </is>
      </c>
      <c r="L67" s="77" t="inlineStr">
        <is>
          <t>Consultancy projects: group project and report (80%), reflective learning report (10%), group presentation (10%) in Winter Term.</t>
        </is>
      </c>
    </row>
    <row r="68">
      <c r="A68" s="77" t="inlineStr">
        <is>
          <t>RG13-S19-R1</t>
        </is>
      </c>
      <c r="B68" s="77" t="inlineStr">
        <is>
          <t>RG13</t>
        </is>
      </c>
      <c r="C68" s="77" t="inlineStr">
        <is>
          <t>RG13-S19</t>
        </is>
      </c>
      <c r="D68" s="77" t="inlineStr">
        <is>
          <t>Development Management Consultancy Project</t>
        </is>
      </c>
      <c r="E68" s="77" t="inlineStr">
        <is>
          <t>project; group; employer; credit; status; participation</t>
        </is>
      </c>
      <c r="F68" s="77" t="inlineStr">
        <is>
          <t>https://www.lse.ac.uk/resources/calendar2025-2026/courseGuides/DV/2025_DV443.htm</t>
        </is>
      </c>
      <c r="G68" s="77" t="inlineStr">
        <is>
          <t>DV443 Development Management Consultancy Project</t>
        </is>
      </c>
      <c r="H68" s="77" t="inlineStr">
        <is>
          <t>Course guide</t>
        </is>
      </c>
      <c r="I68" s="77" t="inlineStr">
        <is>
          <t>2025/26</t>
        </is>
      </c>
      <c r="J68" s="77" t="inlineStr">
        <is>
          <t>2026-10-12</t>
        </is>
      </c>
      <c r="K68" s="77" t="inlineStr">
        <is>
          <t>search-index extract</t>
        </is>
      </c>
      <c r="L68"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69">
      <c r="A69" s="77" t="inlineStr">
        <is>
          <t>RG13-S20-R1</t>
        </is>
      </c>
      <c r="B69" s="77" t="inlineStr">
        <is>
          <t>RG13</t>
        </is>
      </c>
      <c r="C69" s="77" t="inlineStr">
        <is>
          <t>RG13-S20</t>
        </is>
      </c>
      <c r="D69" s="77" t="inlineStr">
        <is>
          <t>Health and International Development Consultancy Project</t>
        </is>
      </c>
      <c r="E69" s="77" t="inlineStr">
        <is>
          <t>eligibility; status; project</t>
        </is>
      </c>
      <c r="F69" s="77" t="inlineStr">
        <is>
          <t>https://www.lse.ac.uk/resources/calendar/courseGuides/DV/2025_DV453.htm</t>
        </is>
      </c>
      <c r="G69" s="77" t="inlineStr">
        <is>
          <t>DV453 Health and International Development Consultancy Project</t>
        </is>
      </c>
      <c r="H69" s="77" t="inlineStr">
        <is>
          <t>Course guide</t>
        </is>
      </c>
      <c r="I69" s="77" t="inlineStr">
        <is>
          <t>2025/26</t>
        </is>
      </c>
      <c r="J69" s="77" t="inlineStr">
        <is>
          <t>2026-10-12</t>
        </is>
      </c>
      <c r="K69" s="77" t="inlineStr">
        <is>
          <t>search-index extract</t>
        </is>
      </c>
      <c r="L69" s="77" t="inlineStr">
        <is>
          <t>Half unit; open to MSc Development Studies and MSc Health and International Development students only; controlled access; Health and International Development students guaranteed a place.</t>
        </is>
      </c>
    </row>
    <row r="70">
      <c r="A70" s="77" t="inlineStr">
        <is>
          <t>RG13-S20-R2</t>
        </is>
      </c>
      <c r="B70" s="77" t="inlineStr">
        <is>
          <t>RG13</t>
        </is>
      </c>
      <c r="C70" s="77" t="inlineStr">
        <is>
          <t>RG13-S20</t>
        </is>
      </c>
      <c r="D70" s="77" t="inlineStr">
        <is>
          <t>Health and International Development Consultancy Project</t>
        </is>
      </c>
      <c r="E70" s="77" t="inlineStr">
        <is>
          <t>project; credit; status</t>
        </is>
      </c>
      <c r="F70" s="77" t="inlineStr">
        <is>
          <t>https://www.lse.ac.uk/resources/calendar/courseGuides/DV/2026_DV453.htm</t>
        </is>
      </c>
      <c r="G70" s="77" t="inlineStr">
        <is>
          <t>DV453 Health and International Development Consultancy Project</t>
        </is>
      </c>
      <c r="H70" s="77" t="inlineStr">
        <is>
          <t>Course guide</t>
        </is>
      </c>
      <c r="I70" s="77" t="inlineStr">
        <is>
          <t>2026/27</t>
        </is>
      </c>
      <c r="J70" s="77" t="inlineStr">
        <is>
          <t>2026-10-12</t>
        </is>
      </c>
      <c r="K70" s="77" t="inlineStr">
        <is>
          <t>search-index extract</t>
        </is>
      </c>
      <c r="L70" s="77" t="inlineStr">
        <is>
          <t>Assessment: report (80%, 8000 words), presentation (10%), learning log (10%).</t>
        </is>
      </c>
    </row>
    <row r="71">
      <c r="A71" s="77" t="inlineStr">
        <is>
          <t>RG13-S20-R3</t>
        </is>
      </c>
      <c r="B71" s="77" t="inlineStr">
        <is>
          <t>RG13</t>
        </is>
      </c>
      <c r="C71" s="77" t="inlineStr">
        <is>
          <t>RG13-S20</t>
        </is>
      </c>
      <c r="D71" s="77" t="inlineStr">
        <is>
          <t>Health and International Development Consultancy Project</t>
        </is>
      </c>
      <c r="E71" s="77" t="inlineStr">
        <is>
          <t>group; employer</t>
        </is>
      </c>
      <c r="F71" s="77" t="inlineStr">
        <is>
          <t>https://www.lse.ac.uk/international-development/study/consultancy-projects</t>
        </is>
      </c>
      <c r="G71" s="77" t="inlineStr">
        <is>
          <t>International Development Consultancy Project</t>
        </is>
      </c>
      <c r="H71" s="77" t="inlineStr">
        <is>
          <t>Department page (covers the department's consultancy courses)</t>
        </is>
      </c>
      <c r="I71" s="77" t="inlineStr">
        <is>
          <t>undated</t>
        </is>
      </c>
      <c r="J71" s="77" t="inlineStr">
        <is>
          <t>2026-10-12</t>
        </is>
      </c>
      <c r="K71" s="77" t="inlineStr">
        <is>
          <t>search-index extract</t>
        </is>
      </c>
      <c r="L71" s="77" t="inlineStr">
        <is>
          <t>Working in teams of 3-5, students produce a report for a client; clients submit an initial proposal or draft Terms of Reference.</t>
        </is>
      </c>
    </row>
    <row r="72">
      <c r="A72" s="77" t="inlineStr">
        <is>
          <t>RG13-S21-R1</t>
        </is>
      </c>
      <c r="B72" s="77" t="inlineStr">
        <is>
          <t>RG13</t>
        </is>
      </c>
      <c r="C72" s="77" t="inlineStr">
        <is>
          <t>RG13-S21</t>
        </is>
      </c>
      <c r="D72" s="77" t="inlineStr">
        <is>
          <t>Humanitarian Consultancy Project</t>
        </is>
      </c>
      <c r="E72" s="77" t="inlineStr">
        <is>
          <t>project; employer; participation; status</t>
        </is>
      </c>
      <c r="F72" s="77" t="inlineStr">
        <is>
          <t>https://www.lse.ac.uk/resources/calendar2025-2026/courseGuides/DV/2025_DV466.htm</t>
        </is>
      </c>
      <c r="G72" s="77" t="inlineStr">
        <is>
          <t>DV466 Half Unit Humanitarian Consultancy Project</t>
        </is>
      </c>
      <c r="H72" s="77" t="inlineStr">
        <is>
          <t>Course guide</t>
        </is>
      </c>
      <c r="I72" s="77" t="inlineStr">
        <is>
          <t>2025/26</t>
        </is>
      </c>
      <c r="J72" s="77" t="inlineStr">
        <is>
          <t>2026-10-12</t>
        </is>
      </c>
      <c r="K72" s="77" t="inlineStr">
        <is>
          <t>search-index extract</t>
        </is>
      </c>
      <c r="L72" s="77" t="inlineStr">
        <is>
          <t>Compulsory on the MSc in International Development and Humanitarian Emergencies; working on a live consultancy project for a real client.</t>
        </is>
      </c>
    </row>
    <row r="73">
      <c r="A73" s="77" t="inlineStr">
        <is>
          <t>RG13-S21-R2</t>
        </is>
      </c>
      <c r="B73" s="77" t="inlineStr">
        <is>
          <t>RG13</t>
        </is>
      </c>
      <c r="C73" s="77" t="inlineStr">
        <is>
          <t>RG13-S21</t>
        </is>
      </c>
      <c r="D73" s="77" t="inlineStr">
        <is>
          <t>Humanitarian Consultancy Project</t>
        </is>
      </c>
      <c r="E73" s="77" t="inlineStr">
        <is>
          <t>participation; credit</t>
        </is>
      </c>
      <c r="F73" s="77" t="inlineStr">
        <is>
          <t>https://www.lse.ac.uk/resources/calendar2025-2026/programmeRegulations/taughtMasters/2025/MScInternationalDevelopmentAndHumanitarianEmergencies.htm</t>
        </is>
      </c>
      <c r="G73" s="77" t="inlineStr">
        <is>
          <t>MSc in International Development and Humanitarian Emergencies regulations</t>
        </is>
      </c>
      <c r="H73" s="77" t="inlineStr">
        <is>
          <t>Paper 2</t>
        </is>
      </c>
      <c r="I73" s="77" t="inlineStr">
        <is>
          <t>2025/26</t>
        </is>
      </c>
      <c r="J73" s="77" t="inlineStr">
        <is>
          <t>2026-10-12</t>
        </is>
      </c>
      <c r="K73" s="77" t="inlineStr">
        <is>
          <t>search-index extract</t>
        </is>
      </c>
      <c r="L73" s="77" t="inlineStr">
        <is>
          <t>DV466 Humanitarian Consultancy Project (0.5) listed under Paper 2.</t>
        </is>
      </c>
    </row>
    <row r="74">
      <c r="A74" s="77" t="inlineStr">
        <is>
          <t>RG13-S21-R3</t>
        </is>
      </c>
      <c r="B74" s="77" t="inlineStr">
        <is>
          <t>RG13</t>
        </is>
      </c>
      <c r="C74" s="77" t="inlineStr">
        <is>
          <t>RG13-S21</t>
        </is>
      </c>
      <c r="D74" s="77" t="inlineStr">
        <is>
          <t>Humanitarian Consultancy Project</t>
        </is>
      </c>
      <c r="E74" s="77" t="inlineStr">
        <is>
          <t>project; group; employer</t>
        </is>
      </c>
      <c r="F74" s="77" t="inlineStr">
        <is>
          <t>https://www.lse.ac.uk/study-at-lse/graduate/msc-international-development-and-humanitarian-emergencies</t>
        </is>
      </c>
      <c r="G74" s="77" t="inlineStr">
        <is>
          <t>MSc International Development and Humanitarian Emergencies</t>
        </is>
      </c>
      <c r="H74" s="77" t="inlineStr">
        <is>
          <t>Programme page</t>
        </is>
      </c>
      <c r="I74" s="77" t="inlineStr">
        <is>
          <t>undated</t>
        </is>
      </c>
      <c r="J74" s="77" t="inlineStr">
        <is>
          <t>2026-10-12</t>
        </is>
      </c>
      <c r="K74" s="77" t="inlineStr">
        <is>
          <t>search-index extract</t>
        </is>
      </c>
      <c r="L74" s="77" t="inlineStr">
        <is>
          <t>Humanitarian consultancy project where you'll work in a small team on a current policy issue for a humanitarian, development, or emergency-based organisation; clients include UNICEF, UNHCR, the ICRC, Save the Children and others.</t>
        </is>
      </c>
    </row>
    <row r="75">
      <c r="A75" s="77" t="inlineStr">
        <is>
          <t>RG13-S22-R1</t>
        </is>
      </c>
      <c r="B75" s="77" t="inlineStr">
        <is>
          <t>RG13</t>
        </is>
      </c>
      <c r="C75" s="77" t="inlineStr">
        <is>
          <t>RG13-S22</t>
        </is>
      </c>
      <c r="D75" s="77" t="inlineStr">
        <is>
          <t>Urban Policy and Planning (applied consultancy project)</t>
        </is>
      </c>
      <c r="E75" s="77" t="inlineStr">
        <is>
          <t>project; group; employer; status</t>
        </is>
      </c>
      <c r="F75" s="77" t="inlineStr">
        <is>
          <t>https://www.lse.ac.uk/resources/calendar/courseGuides/GY/2026_GY454.htm</t>
        </is>
      </c>
      <c r="G75" s="77" t="inlineStr">
        <is>
          <t>GY454 Urban Policy and Planning</t>
        </is>
      </c>
      <c r="H75" s="77" t="inlineStr">
        <is>
          <t>Course guide</t>
        </is>
      </c>
      <c r="I75" s="77" t="inlineStr">
        <is>
          <t>2026/27</t>
        </is>
      </c>
      <c r="J75" s="77" t="inlineStr">
        <is>
          <t>2026-10-12</t>
        </is>
      </c>
      <c r="K75" s="77" t="inlineStr">
        <is>
          <t>search-index extract</t>
        </is>
      </c>
      <c r="L75"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76">
      <c r="A76" s="77" t="inlineStr">
        <is>
          <t>RG13-S23-R1</t>
        </is>
      </c>
      <c r="B76" s="77" t="inlineStr">
        <is>
          <t>RG13</t>
        </is>
      </c>
      <c r="C76" s="77" t="inlineStr">
        <is>
          <t>RG13-S23</t>
        </is>
      </c>
      <c r="D76" s="77" t="inlineStr">
        <is>
          <t>LSE Legal Advice Centre Sustainability Clinic</t>
        </is>
      </c>
      <c r="E76" s="77" t="inlineStr">
        <is>
          <t>project; group; employer; eligibility</t>
        </is>
      </c>
      <c r="F76" s="77" t="inlineStr">
        <is>
          <t>https://www.lse.ac.uk/law/legal-advice-centre/sustainability-and-the-rule-of-law</t>
        </is>
      </c>
      <c r="G76" s="77" t="inlineStr">
        <is>
          <t>Sustainability and the Rule of Law</t>
        </is>
      </c>
      <c r="H76" s="77" t="inlineStr">
        <is>
          <t>LAC projects page</t>
        </is>
      </c>
      <c r="I76" s="77" t="inlineStr">
        <is>
          <t>undated</t>
        </is>
      </c>
      <c r="J76" s="77" t="inlineStr">
        <is>
          <t>2026-10-12</t>
        </is>
      </c>
      <c r="K76" s="77" t="inlineStr">
        <is>
          <t>search-index extract</t>
        </is>
      </c>
      <c r="L76"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77">
      <c r="A77" s="77" t="inlineStr">
        <is>
          <t>RG13-S23-R2</t>
        </is>
      </c>
      <c r="B77" s="77" t="inlineStr">
        <is>
          <t>RG13</t>
        </is>
      </c>
      <c r="C77" s="77" t="inlineStr">
        <is>
          <t>RG13-S23</t>
        </is>
      </c>
      <c r="D77" s="77" t="inlineStr">
        <is>
          <t>LSE Legal Advice Centre Sustainability Clinic</t>
        </is>
      </c>
      <c r="E77" s="77" t="inlineStr">
        <is>
          <t>project; employer</t>
        </is>
      </c>
      <c r="F77" s="77" t="inlineStr">
        <is>
          <t>https://www.lse.ac.uk/law/gsos/clinic/client-earth</t>
        </is>
      </c>
      <c r="G77" s="77" t="inlineStr">
        <is>
          <t>Banks, Financed Emissions, and the Road to Climate Accountability</t>
        </is>
      </c>
      <c r="H77" s="77" t="inlineStr">
        <is>
          <t>Clinic project page</t>
        </is>
      </c>
      <c r="I77" s="77" t="inlineStr">
        <is>
          <t>undated</t>
        </is>
      </c>
      <c r="J77" s="77" t="inlineStr">
        <is>
          <t>2026-10-12</t>
        </is>
      </c>
      <c r="K77" s="77" t="inlineStr">
        <is>
          <t>search-index extract</t>
        </is>
      </c>
      <c r="L77" s="77" t="inlineStr">
        <is>
          <t>Collaboration with ClientEarth's Accountable Finance team; students produced the report and presented it to an expert panel; weekly training from LSE experts and ClientEarth specialists.</t>
        </is>
      </c>
    </row>
    <row r="78">
      <c r="A78" s="77" t="inlineStr">
        <is>
          <t>RG13-S24-R1</t>
        </is>
      </c>
      <c r="B78" s="77" t="inlineStr">
        <is>
          <t>RG13</t>
        </is>
      </c>
      <c r="C78" s="77" t="inlineStr">
        <is>
          <t>RG13-S24</t>
        </is>
      </c>
      <c r="D78" s="77" t="inlineStr">
        <is>
          <t>ECtHR Intervention Clinic</t>
        </is>
      </c>
      <c r="E78" s="77" t="inlineStr">
        <is>
          <t>project; employer; eligibility</t>
        </is>
      </c>
      <c r="F78" s="77" t="inlineStr">
        <is>
          <t>https://www.lse.ac.uk/law/study/llm/echr-clinic-llm</t>
        </is>
      </c>
      <c r="G78" s="77" t="inlineStr">
        <is>
          <t>ECtHR Intervention Clinic</t>
        </is>
      </c>
      <c r="H78" s="77" t="inlineStr">
        <is>
          <t>LLM page</t>
        </is>
      </c>
      <c r="I78" s="77" t="inlineStr">
        <is>
          <t>undated</t>
        </is>
      </c>
      <c r="J78" s="77" t="inlineStr">
        <is>
          <t>2026-10-12</t>
        </is>
      </c>
      <c r="K78" s="77" t="inlineStr">
        <is>
          <t>search-index extract</t>
        </is>
      </c>
      <c r="L78" s="77" t="inlineStr">
        <is>
          <t>Run by Dr Martin Husovec with the European Information Society Institute (EISi); extra-curricular activity intervening before the Court in cases involving digital liberties; third party interventions are often cited by the Strasbourg court.</t>
        </is>
      </c>
    </row>
    <row r="79">
      <c r="A79" s="77" t="inlineStr">
        <is>
          <t>RG13-S24-R2</t>
        </is>
      </c>
      <c r="B79" s="77" t="inlineStr">
        <is>
          <t>RG13</t>
        </is>
      </c>
      <c r="C79" s="77" t="inlineStr">
        <is>
          <t>RG13-S24</t>
        </is>
      </c>
      <c r="D79" s="77" t="inlineStr">
        <is>
          <t>ECtHR Intervention Clinic</t>
        </is>
      </c>
      <c r="E79" s="77" t="inlineStr">
        <is>
          <t>group; project</t>
        </is>
      </c>
      <c r="F79" s="77" t="inlineStr">
        <is>
          <t>https://www.lse.ac.uk/law/news/2021/echr-clinic</t>
        </is>
      </c>
      <c r="G79" s="77" t="inlineStr">
        <is>
          <t>LSE Law Students Intervene Before the European Court of Human Rights</t>
        </is>
      </c>
      <c r="H79" s="77" t="inlineStr">
        <is>
          <t>News</t>
        </is>
      </c>
      <c r="I79" s="77" t="inlineStr">
        <is>
          <t>2021</t>
        </is>
      </c>
      <c r="J79" s="77" t="inlineStr">
        <is>
          <t>2026-10-12</t>
        </is>
      </c>
      <c r="K79" s="77" t="inlineStr">
        <is>
          <t>search-index extract</t>
        </is>
      </c>
      <c r="L79" s="77" t="inlineStr">
        <is>
          <t>Brief prepared by five LLM students for Podchasov v Russia.</t>
        </is>
      </c>
    </row>
    <row r="80">
      <c r="A80" s="77" t="inlineStr">
        <is>
          <t>RG17-S01-R1</t>
        </is>
      </c>
      <c r="B80" s="77" t="inlineStr">
        <is>
          <t>RG17</t>
        </is>
      </c>
      <c r="C80" s="77" t="inlineStr">
        <is>
          <t>RG17-S01</t>
        </is>
      </c>
      <c r="D80" s="77" t="inlineStr">
        <is>
          <t>The Oxford Strategy Challenge (TOSCA)</t>
        </is>
      </c>
      <c r="E80" s="77" t="inlineStr">
        <is>
          <t>project; group; eligibility; reach; status</t>
        </is>
      </c>
      <c r="F80" s="77" t="inlineStr">
        <is>
          <t>https://www.careers.ox.ac.uk/oxford-strategy-challenge</t>
        </is>
      </c>
      <c r="G80" s="77" t="inlineStr">
        <is>
          <t>The Oxford Strategy Challenge (Programme Paused)</t>
        </is>
      </c>
      <c r="H80" s="77" t="inlineStr">
        <is>
          <t>Programme page</t>
        </is>
      </c>
      <c r="I80" s="77" t="inlineStr">
        <is>
          <t>undated</t>
        </is>
      </c>
      <c r="J80" s="77" t="inlineStr">
        <is>
          <t>2026-10-12</t>
        </is>
      </c>
      <c r="K80" s="77" t="inlineStr">
        <is>
          <t>search-index extract (quoted)</t>
        </is>
      </c>
      <c r="L80"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81">
      <c r="A81" s="77" t="inlineStr">
        <is>
          <t>RG17-S01-R2</t>
        </is>
      </c>
      <c r="B81" s="77" t="inlineStr">
        <is>
          <t>RG17</t>
        </is>
      </c>
      <c r="C81" s="77" t="inlineStr">
        <is>
          <t>RG17-S01</t>
        </is>
      </c>
      <c r="D81" s="77" t="inlineStr">
        <is>
          <t>The Oxford Strategy Challenge (TOSCA)</t>
        </is>
      </c>
      <c r="E81" s="77" t="inlineStr">
        <is>
          <t>project; group; employer; duration; status</t>
        </is>
      </c>
      <c r="F81" s="77" t="inlineStr">
        <is>
          <t>https://www.careers.ox.ac.uk/Collaborative-Projects</t>
        </is>
      </c>
      <c r="G81" s="77" t="inlineStr">
        <is>
          <t>Collaborative projects with Oxford students</t>
        </is>
      </c>
      <c r="H81" s="77" t="inlineStr">
        <is>
          <t>Employer information; programme table</t>
        </is>
      </c>
      <c r="I81" s="77" t="inlineStr">
        <is>
          <t>undated</t>
        </is>
      </c>
      <c r="J81" s="77" t="inlineStr">
        <is>
          <t>2026-10-12</t>
        </is>
      </c>
      <c r="K81" s="77" t="inlineStr">
        <is>
          <t>search-index extract (quoted)</t>
        </is>
      </c>
      <c r="L81"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82">
      <c r="A82" s="77" t="inlineStr">
        <is>
          <t>RG17-S01-R3</t>
        </is>
      </c>
      <c r="B82" s="77" t="inlineStr">
        <is>
          <t>RG17</t>
        </is>
      </c>
      <c r="C82" s="77" t="inlineStr">
        <is>
          <t>RG17-S01</t>
        </is>
      </c>
      <c r="D82" s="77" t="inlineStr">
        <is>
          <t>The Oxford Strategy Challenge (TOSCA)</t>
        </is>
      </c>
      <c r="E82" s="77" t="inlineStr">
        <is>
          <t>employer; project</t>
        </is>
      </c>
      <c r="F82" s="77" t="inlineStr">
        <is>
          <t>https://www.careers.ox.ac.uk/article/oxford-students-olgas-fine-foods</t>
        </is>
      </c>
      <c r="G82" s="77" t="inlineStr">
        <is>
          <t>Students on their Oxford Strategy Challenge projects with Olga's Fine Foods</t>
        </is>
      </c>
      <c r="H82" s="77" t="inlineStr">
        <is>
          <t>Article</t>
        </is>
      </c>
      <c r="I82" s="77" t="inlineStr">
        <is>
          <t>undated</t>
        </is>
      </c>
      <c r="J82" s="77" t="inlineStr">
        <is>
          <t>2026-10-12</t>
        </is>
      </c>
      <c r="K82" s="77" t="inlineStr">
        <is>
          <t>search-summary paraphrase</t>
        </is>
      </c>
      <c r="L82" s="77" t="inlineStr">
        <is>
          <t>Team worked with Olga's Fine Foods, an Australian food manufacturer; client said recommendations would inform its ESG roadmap (energy efficiency, sustainable packaging, waste reduction).</t>
        </is>
      </c>
    </row>
    <row r="83">
      <c r="A83" s="77" t="inlineStr">
        <is>
          <t>RG17-S02-R1</t>
        </is>
      </c>
      <c r="B83" s="77" t="inlineStr">
        <is>
          <t>RG17</t>
        </is>
      </c>
      <c r="C83" s="77" t="inlineStr">
        <is>
          <t>RG17-S02</t>
        </is>
      </c>
      <c r="D83" s="77" t="inlineStr">
        <is>
          <t>Making a Difference Programme (MaDe)</t>
        </is>
      </c>
      <c r="E83" s="77" t="inlineStr">
        <is>
          <t>project; status; participation</t>
        </is>
      </c>
      <c r="F83" s="77" t="inlineStr">
        <is>
          <t>https://www.careers.ox.ac.uk/making-a-difference</t>
        </is>
      </c>
      <c r="G83" s="77" t="inlineStr">
        <is>
          <t>Making a Difference Programme (Programme Paused)</t>
        </is>
      </c>
      <c r="H83" s="77" t="inlineStr">
        <is>
          <t>Programme page</t>
        </is>
      </c>
      <c r="I83" s="77" t="inlineStr">
        <is>
          <t>undated</t>
        </is>
      </c>
      <c r="J83" s="77" t="inlineStr">
        <is>
          <t>2026-10-12</t>
        </is>
      </c>
      <c r="K83" s="77" t="inlineStr">
        <is>
          <t>search-summary paraphrase</t>
        </is>
      </c>
      <c r="L83" s="77" t="inlineStr">
        <is>
          <t>'This programme is paused at the moment.' Term-long programme with 50 places per term and a client project; Hilary term 2026 participant and January 2026 workshop dates listed.</t>
        </is>
      </c>
    </row>
    <row r="84">
      <c r="A84" s="77" t="inlineStr">
        <is>
          <t>RG17-S02-R2</t>
        </is>
      </c>
      <c r="B84" s="77" t="inlineStr">
        <is>
          <t>RG17</t>
        </is>
      </c>
      <c r="C84" s="77" t="inlineStr">
        <is>
          <t>RG17-S02</t>
        </is>
      </c>
      <c r="D84" s="77" t="inlineStr">
        <is>
          <t>Making a Difference Programme (MaDe)</t>
        </is>
      </c>
      <c r="E84" s="77" t="inlineStr">
        <is>
          <t>employer; duration; status</t>
        </is>
      </c>
      <c r="F84" s="77" t="inlineStr">
        <is>
          <t>https://www.careers.ox.ac.uk/Collaborative-Projects</t>
        </is>
      </c>
      <c r="G84" s="77" t="inlineStr">
        <is>
          <t>Collaborative projects with Oxford students</t>
        </is>
      </c>
      <c r="H84" s="77" t="inlineStr">
        <is>
          <t>Programme table</t>
        </is>
      </c>
      <c r="I84" s="77" t="inlineStr">
        <is>
          <t>undated</t>
        </is>
      </c>
      <c r="J84" s="77" t="inlineStr">
        <is>
          <t>2026-10-12</t>
        </is>
      </c>
      <c r="K84" s="77" t="inlineStr">
        <is>
          <t>search-summary paraphrase</t>
        </is>
      </c>
      <c r="L84" s="77" t="inlineStr">
        <is>
          <t>Making a Difference (MaDe): three-week programme aimed at charities and social enterprises; programme runs twice a year during the autumn and spring terms.</t>
        </is>
      </c>
    </row>
    <row r="85">
      <c r="A85" s="77" t="inlineStr">
        <is>
          <t>RG17-S03-R1</t>
        </is>
      </c>
      <c r="B85" s="77" t="inlineStr">
        <is>
          <t>RG17</t>
        </is>
      </c>
      <c r="C85" s="77" t="inlineStr">
        <is>
          <t>RG17-S03</t>
        </is>
      </c>
      <c r="D85" s="77" t="inlineStr">
        <is>
          <t>The Student Consultancy (TSC)</t>
        </is>
      </c>
      <c r="E85" s="77" t="inlineStr">
        <is>
          <t>project; group; employer; duration; status</t>
        </is>
      </c>
      <c r="F85" s="77" t="inlineStr">
        <is>
          <t>https://www.careers.ox.ac.uk/tsc</t>
        </is>
      </c>
      <c r="G85" s="77" t="inlineStr">
        <is>
          <t>The Student Consultancy (Programme Paused)</t>
        </is>
      </c>
      <c r="H85" s="77" t="inlineStr">
        <is>
          <t>Programme page</t>
        </is>
      </c>
      <c r="I85" s="77" t="inlineStr">
        <is>
          <t>undated</t>
        </is>
      </c>
      <c r="J85" s="77" t="inlineStr">
        <is>
          <t>2026-10-12</t>
        </is>
      </c>
      <c r="K85" s="77" t="inlineStr">
        <is>
          <t>search-summary paraphrase</t>
        </is>
      </c>
      <c r="L85" s="77" t="inlineStr">
        <is>
          <t>Students participate in teams over 4 - 6 weeks to address a strategic issue or business challenge for a client organisation; teams liaise directly with clients and receive mentoring support; page marked paused.</t>
        </is>
      </c>
    </row>
    <row r="86">
      <c r="A86" s="77" t="inlineStr">
        <is>
          <t>RG17-S03-R2</t>
        </is>
      </c>
      <c r="B86" s="77" t="inlineStr">
        <is>
          <t>RG17</t>
        </is>
      </c>
      <c r="C86" s="77" t="inlineStr">
        <is>
          <t>RG17-S03</t>
        </is>
      </c>
      <c r="D86" s="77" t="inlineStr">
        <is>
          <t>The Student Consultancy (TSC)</t>
        </is>
      </c>
      <c r="E86" s="77" t="inlineStr">
        <is>
          <t>group; employer</t>
        </is>
      </c>
      <c r="F86" s="77" t="inlineStr">
        <is>
          <t>https://careers.ox.ac.uk/partnerships-in-the-community</t>
        </is>
      </c>
      <c r="G86" s="77" t="inlineStr">
        <is>
          <t>Collaborative Projects with Oxford Students</t>
        </is>
      </c>
      <c r="H86" s="77" t="inlineStr">
        <is>
          <t>Employer information</t>
        </is>
      </c>
      <c r="I86" s="77" t="inlineStr">
        <is>
          <t>undated</t>
        </is>
      </c>
      <c r="J86" s="77" t="inlineStr">
        <is>
          <t>2026-10-12</t>
        </is>
      </c>
      <c r="K86" s="77" t="inlineStr">
        <is>
          <t>search-summary paraphrase</t>
        </is>
      </c>
      <c r="L86" s="77" t="inlineStr">
        <is>
          <t>'The Oxford Strategy Challenge and The Student Consultancy are innovative learning and consulting experience programmes for Oxford students.' Teams of four to six; clients get a briefing call, a check-in and a final presentation of recommendations.</t>
        </is>
      </c>
    </row>
    <row r="87">
      <c r="A87" s="77" t="inlineStr">
        <is>
          <t>RG17-S04-R1</t>
        </is>
      </c>
      <c r="B87" s="77" t="inlineStr">
        <is>
          <t>RG17</t>
        </is>
      </c>
      <c r="C87" s="77" t="inlineStr">
        <is>
          <t>RG17-S04</t>
        </is>
      </c>
      <c r="D87" s="77" t="inlineStr">
        <is>
          <t>The Agency</t>
        </is>
      </c>
      <c r="E87" s="77" t="inlineStr">
        <is>
          <t>project; group; employer; duration</t>
        </is>
      </c>
      <c r="F87" s="77" t="inlineStr">
        <is>
          <t>https://www.careers.ox.ac.uk/the-agency</t>
        </is>
      </c>
      <c r="G87" s="77" t="inlineStr">
        <is>
          <t>The Agency</t>
        </is>
      </c>
      <c r="H87" s="77" t="inlineStr">
        <is>
          <t>Programme page</t>
        </is>
      </c>
      <c r="I87" s="77" t="inlineStr">
        <is>
          <t>undated (index metadata ~2,385 days old)</t>
        </is>
      </c>
      <c r="J87" s="77" t="inlineStr">
        <is>
          <t>2026-10-12</t>
        </is>
      </c>
      <c r="K87" s="77" t="inlineStr">
        <is>
          <t>search-summary paraphrase</t>
        </is>
      </c>
      <c r="L87"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88">
      <c r="A88" s="77" t="inlineStr">
        <is>
          <t>RG17-S05-R1</t>
        </is>
      </c>
      <c r="B88" s="77" t="inlineStr">
        <is>
          <t>RG17</t>
        </is>
      </c>
      <c r="C88" s="77" t="inlineStr">
        <is>
          <t>RG17-S05</t>
        </is>
      </c>
      <c r="D88" s="77" t="inlineStr">
        <is>
          <t>Strategic Consulting Project (Oxford MBA)</t>
        </is>
      </c>
      <c r="E88" s="77" t="inlineStr">
        <is>
          <t>project; group; credit; status; participation</t>
        </is>
      </c>
      <c r="F88" s="77" t="inlineStr">
        <is>
          <t>https://www.sbs.ox.ac.uk/sites/default/files/2024-10/Master_of_Businsess_Administation_MBA_2025-26entry_08Oct2024.pdf</t>
        </is>
      </c>
      <c r="G88" s="77" t="inlineStr">
        <is>
          <t>Master of Business Administration (MBA) 2025-26 entry</t>
        </is>
      </c>
      <c r="H88" s="77" t="inlineStr">
        <is>
          <t>Programme specification</t>
        </is>
      </c>
      <c r="I88" s="77" t="inlineStr">
        <is>
          <t>2024 (for 2025-26 entry)</t>
        </is>
      </c>
      <c r="J88" s="77" t="inlineStr">
        <is>
          <t>2026-10-12</t>
        </is>
      </c>
      <c r="K88" s="77" t="inlineStr">
        <is>
          <t>search-summary paraphrase</t>
        </is>
      </c>
      <c r="L88" s="77" t="inlineStr">
        <is>
          <t>Final two elective credits over the summer via electives, a Strategic Consulting Project or an Internship for Credit; teams of two to five for a six-week project for a corporate sponsor.</t>
        </is>
      </c>
    </row>
    <row r="89">
      <c r="A89" s="77" t="inlineStr">
        <is>
          <t>RG17-S05-R2</t>
        </is>
      </c>
      <c r="B89" s="77" t="inlineStr">
        <is>
          <t>RG17</t>
        </is>
      </c>
      <c r="C89" s="77" t="inlineStr">
        <is>
          <t>RG17-S05</t>
        </is>
      </c>
      <c r="D89" s="77" t="inlineStr">
        <is>
          <t>Strategic Consulting Project (Oxford MBA)</t>
        </is>
      </c>
      <c r="E89" s="77" t="inlineStr">
        <is>
          <t>employer; group; project</t>
        </is>
      </c>
      <c r="F89" s="77" t="inlineStr">
        <is>
          <t>https://development.sbs.ox.ac.uk/strategic-consulting-projects/index.html</t>
        </is>
      </c>
      <c r="G89" s="77" t="inlineStr">
        <is>
          <t>Strategic Consulting Projects</t>
        </is>
      </c>
      <c r="H89" s="77" t="inlineStr">
        <is>
          <t>FAQ for organisations</t>
        </is>
      </c>
      <c r="I89" s="77" t="inlineStr">
        <is>
          <t>undated</t>
        </is>
      </c>
      <c r="J89" s="77" t="inlineStr">
        <is>
          <t>2026-10-12</t>
        </is>
      </c>
      <c r="K89" s="77" t="inlineStr">
        <is>
          <t>search-index extract (quoted)</t>
        </is>
      </c>
      <c r="L89"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90">
      <c r="A90" s="77" t="inlineStr">
        <is>
          <t>RG17-S05-R3</t>
        </is>
      </c>
      <c r="B90" s="77" t="inlineStr">
        <is>
          <t>RG17</t>
        </is>
      </c>
      <c r="C90" s="77" t="inlineStr">
        <is>
          <t>RG17-S05</t>
        </is>
      </c>
      <c r="D90" s="77" t="inlineStr">
        <is>
          <t>Strategic Consulting Project (Oxford MBA)</t>
        </is>
      </c>
      <c r="E90" s="77" t="inlineStr">
        <is>
          <t>group; duration</t>
        </is>
      </c>
      <c r="F90" s="77" t="inlineStr">
        <is>
          <t>https://www.sbs.ox.ac.uk/programmes/mbas/mba/academic-curriculum/core-courses-and-electives</t>
        </is>
      </c>
      <c r="G90" s="77" t="inlineStr">
        <is>
          <t>Core courses and electives</t>
        </is>
      </c>
      <c r="H90" s="77" t="inlineStr">
        <is>
          <t>Academic curriculum</t>
        </is>
      </c>
      <c r="I90" s="77" t="inlineStr">
        <is>
          <t>undated</t>
        </is>
      </c>
      <c r="J90" s="77" t="inlineStr">
        <is>
          <t>2026-10-12</t>
        </is>
      </c>
      <c r="K90" s="77" t="inlineStr">
        <is>
          <t>search-summary paraphrase</t>
        </is>
      </c>
      <c r="L90" s="77" t="inlineStr">
        <is>
          <t>Teams of two to four take on a seven-week project for a corporate sponsor.</t>
        </is>
      </c>
    </row>
    <row r="91">
      <c r="A91" s="77" t="inlineStr">
        <is>
          <t>RG17-S06-R1</t>
        </is>
      </c>
      <c r="B91" s="77" t="inlineStr">
        <is>
          <t>RG17</t>
        </is>
      </c>
      <c r="C91" s="77" t="inlineStr">
        <is>
          <t>RG17-S06</t>
        </is>
      </c>
      <c r="D91" s="77" t="inlineStr">
        <is>
          <t>Group Design Practical (Second Year Group Design Practicals)</t>
        </is>
      </c>
      <c r="E91" s="77" t="inlineStr">
        <is>
          <t>project; group; employer</t>
        </is>
      </c>
      <c r="F91" s="77" t="inlineStr">
        <is>
          <t>https://www.cs.ox.ac.uk/innovation/industry_relations/interact_group_project.html</t>
        </is>
      </c>
      <c r="G91" s="77" t="inlineStr">
        <is>
          <t>Department of Computer Science: industry interaction - group projects</t>
        </is>
      </c>
      <c r="H91" s="77" t="inlineStr">
        <is>
          <t>Industry relations</t>
        </is>
      </c>
      <c r="I91" s="77" t="inlineStr">
        <is>
          <t>undated</t>
        </is>
      </c>
      <c r="J91" s="77" t="inlineStr">
        <is>
          <t>2026-10-12</t>
        </is>
      </c>
      <c r="K91" s="77" t="inlineStr">
        <is>
          <t>search-summary paraphrase</t>
        </is>
      </c>
      <c r="L91"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92">
      <c r="A92" s="77" t="inlineStr">
        <is>
          <t>RG17-S06-R2</t>
        </is>
      </c>
      <c r="B92" s="77" t="inlineStr">
        <is>
          <t>RG17</t>
        </is>
      </c>
      <c r="C92" s="77" t="inlineStr">
        <is>
          <t>RG17-S06</t>
        </is>
      </c>
      <c r="D92" s="77" t="inlineStr">
        <is>
          <t>Group Design Practical (Second Year Group Design Practicals)</t>
        </is>
      </c>
      <c r="E92" s="77" t="inlineStr">
        <is>
          <t>group; employer; duration</t>
        </is>
      </c>
      <c r="F92" s="77" t="inlineStr">
        <is>
          <t>https://www.cs.ox.ac.uk/innovation/industry_relations/Guidance_for_industrial_sponsors_on_second_year_group_projects.pdf</t>
        </is>
      </c>
      <c r="G92" s="77" t="inlineStr">
        <is>
          <t>Guidance for industrial collaboration on Undergraduate group projects</t>
        </is>
      </c>
      <c r="H92" s="77" t="inlineStr">
        <is>
          <t>Sponsor guidance PDF</t>
        </is>
      </c>
      <c r="I92" s="77" t="inlineStr">
        <is>
          <t>undated</t>
        </is>
      </c>
      <c r="J92" s="77" t="inlineStr">
        <is>
          <t>2026-10-12</t>
        </is>
      </c>
      <c r="K92" s="77" t="inlineStr">
        <is>
          <t>search-summary paraphrase</t>
        </is>
      </c>
      <c r="L92"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93">
      <c r="A93" s="77" t="inlineStr">
        <is>
          <t>RG17-S06-R3</t>
        </is>
      </c>
      <c r="B93" s="77" t="inlineStr">
        <is>
          <t>RG17</t>
        </is>
      </c>
      <c r="C93" s="77" t="inlineStr">
        <is>
          <t>RG17-S06</t>
        </is>
      </c>
      <c r="D93" s="77" t="inlineStr">
        <is>
          <t>Group Design Practical (Second Year Group Design Practicals)</t>
        </is>
      </c>
      <c r="E93" s="77" t="inlineStr">
        <is>
          <t>status; participation; credit</t>
        </is>
      </c>
      <c r="F93" s="77" t="inlineStr">
        <is>
          <t>https://www.cs.ox.ac.uk/teaching/bacompsci/PartA/</t>
        </is>
      </c>
      <c r="G93" s="77" t="inlineStr">
        <is>
          <t>Part A, Computer Science</t>
        </is>
      </c>
      <c r="H93" s="77" t="inlineStr">
        <is>
          <t>Course listing</t>
        </is>
      </c>
      <c r="I93" s="77" t="inlineStr">
        <is>
          <t>2025/26</t>
        </is>
      </c>
      <c r="J93" s="77" t="inlineStr">
        <is>
          <t>2026-10-12</t>
        </is>
      </c>
      <c r="K93" s="77" t="inlineStr">
        <is>
          <t>search-summary paraphrase</t>
        </is>
      </c>
      <c r="L93" s="77" t="inlineStr">
        <is>
          <t>Group Design Practical listed in Hilary Term 2026; required of every second-year student; students need 40% or more overall in their practicals.</t>
        </is>
      </c>
    </row>
    <row r="94">
      <c r="A94" s="77" t="inlineStr">
        <is>
          <t>RG17-S06-R4</t>
        </is>
      </c>
      <c r="B94" s="77" t="inlineStr">
        <is>
          <t>RG17</t>
        </is>
      </c>
      <c r="C94" s="77" t="inlineStr">
        <is>
          <t>RG17-S06</t>
        </is>
      </c>
      <c r="D94" s="77" t="inlineStr">
        <is>
          <t>Group Design Practical (Second Year Group Design Practicals)</t>
        </is>
      </c>
      <c r="E94" s="77" t="inlineStr">
        <is>
          <t>project</t>
        </is>
      </c>
      <c r="F94" s="77" t="inlineStr">
        <is>
          <t>https://www.cs.ox.ac.uk/news/1311-full.html</t>
        </is>
      </c>
      <c r="G94" s="77" t="inlineStr">
        <is>
          <t>Four £500 prizes awarded to students at the Second Year Group Design Practical Presentation Day</t>
        </is>
      </c>
      <c r="H94" s="77" t="inlineStr">
        <is>
          <t>News</t>
        </is>
      </c>
      <c r="I94" s="77" t="inlineStr">
        <is>
          <t>undated</t>
        </is>
      </c>
      <c r="J94" s="77" t="inlineStr">
        <is>
          <t>2026-10-12</t>
        </is>
      </c>
      <c r="K94" s="77" t="inlineStr">
        <is>
          <t>search-summary paraphrase</t>
        </is>
      </c>
      <c r="L94" s="77" t="inlineStr">
        <is>
          <t>Prizes awarded at the Second Year Group Design Practical Presentation Day.</t>
        </is>
      </c>
    </row>
    <row r="95">
      <c r="A95" s="77" t="inlineStr">
        <is>
          <t>RG17-S07-R1</t>
        </is>
      </c>
      <c r="B95" s="77" t="inlineStr">
        <is>
          <t>RG17</t>
        </is>
      </c>
      <c r="C95" s="77" t="inlineStr">
        <is>
          <t>RG17-S07</t>
        </is>
      </c>
      <c r="D95" s="77" t="inlineStr">
        <is>
          <t>Third Year Group Design Project (3YP), Engineering Science</t>
        </is>
      </c>
      <c r="E95" s="77" t="inlineStr">
        <is>
          <t>project; group</t>
        </is>
      </c>
      <c r="F95" s="77" t="inlineStr">
        <is>
          <t>https://eng.ox.ac.uk/study/undergraduate/your-degree/course-structure</t>
        </is>
      </c>
      <c r="G95" s="77" t="inlineStr">
        <is>
          <t>Course Structure (Engineering Science)</t>
        </is>
      </c>
      <c r="H95" s="77" t="inlineStr">
        <is>
          <t>Third year</t>
        </is>
      </c>
      <c r="I95" s="77" t="inlineStr">
        <is>
          <t>undated</t>
        </is>
      </c>
      <c r="J95" s="77" t="inlineStr">
        <is>
          <t>2026-10-12</t>
        </is>
      </c>
      <c r="K95" s="77" t="inlineStr">
        <is>
          <t>search-index extract (quoted)</t>
        </is>
      </c>
      <c r="L95" s="77" t="inlineStr">
        <is>
          <t>In teams of 4-5 students, you'll write the sort of detailed design proposal that could be used as the basis for a new product or engineering project; about a day a week.</t>
        </is>
      </c>
    </row>
    <row r="96">
      <c r="A96" s="77" t="inlineStr">
        <is>
          <t>RG17-S07-R2</t>
        </is>
      </c>
      <c r="B96" s="77" t="inlineStr">
        <is>
          <t>RG17</t>
        </is>
      </c>
      <c r="C96" s="77" t="inlineStr">
        <is>
          <t>RG17-S07</t>
        </is>
      </c>
      <c r="D96" s="77" t="inlineStr">
        <is>
          <t>Third Year Group Design Project (3YP), Engineering Science</t>
        </is>
      </c>
      <c r="E96" s="77" t="inlineStr">
        <is>
          <t>group; credit; status</t>
        </is>
      </c>
      <c r="F96" s="77" t="inlineStr">
        <is>
          <t>https://eng.ox.ac.uk/media/hb1n1xsp/fhs-handbook-2024-25-clean-version-final.pdf</t>
        </is>
      </c>
      <c r="G96" s="77" t="inlineStr">
        <is>
          <t>Course Handbook 2024/2025 Engineering Science Final Honour School</t>
        </is>
      </c>
      <c r="H96" s="77" t="inlineStr">
        <is>
          <t>3YP assessment</t>
        </is>
      </c>
      <c r="I96" s="77" t="inlineStr">
        <is>
          <t>2024/25</t>
        </is>
      </c>
      <c r="J96" s="77" t="inlineStr">
        <is>
          <t>2026-10-12</t>
        </is>
      </c>
      <c r="K96" s="77" t="inlineStr">
        <is>
          <t>search-index extract (quoted)</t>
        </is>
      </c>
      <c r="L96" s="77" t="inlineStr">
        <is>
          <t>Element consists of a report on your personal contribution to a design project undertaken as part of a small group of undergraduates.</t>
        </is>
      </c>
    </row>
    <row r="97">
      <c r="A97" s="77" t="inlineStr">
        <is>
          <t>RG17-S07-R3</t>
        </is>
      </c>
      <c r="B97" s="77" t="inlineStr">
        <is>
          <t>RG17</t>
        </is>
      </c>
      <c r="C97" s="77" t="inlineStr">
        <is>
          <t>RG17-S07</t>
        </is>
      </c>
      <c r="D97" s="77" t="inlineStr">
        <is>
          <t>Third Year Group Design Project (3YP), Engineering Science</t>
        </is>
      </c>
      <c r="E97" s="77" t="inlineStr">
        <is>
          <t>employer</t>
        </is>
      </c>
      <c r="F97" s="77" t="inlineStr">
        <is>
          <t>https://www.st-hildas.ox.ac.uk/asset/engineering-science-university-of-oxford.pdf</t>
        </is>
      </c>
      <c r="G97" s="77" t="inlineStr">
        <is>
          <t>Engineering Science (St Hilda's College)</t>
        </is>
      </c>
      <c r="H97" s="77" t="inlineStr">
        <is>
          <t>Student profile</t>
        </is>
      </c>
      <c r="I97" s="77" t="inlineStr">
        <is>
          <t>undated</t>
        </is>
      </c>
      <c r="J97" s="77" t="inlineStr">
        <is>
          <t>2026-10-12</t>
        </is>
      </c>
      <c r="K97" s="77" t="inlineStr">
        <is>
          <t>search-index extract (quoted)</t>
        </is>
      </c>
      <c r="L97" s="77" t="inlineStr">
        <is>
          <t>Third-year wind turbine project 'was actually sponsored by a Scottish company who approached Oxford.'</t>
        </is>
      </c>
    </row>
    <row r="98">
      <c r="A98" s="77" t="inlineStr">
        <is>
          <t>RG17-S08-R1</t>
        </is>
      </c>
      <c r="B98" s="77" t="inlineStr">
        <is>
          <t>RG17</t>
        </is>
      </c>
      <c r="C98" s="77" t="inlineStr">
        <is>
          <t>RG17-S08</t>
        </is>
      </c>
      <c r="D98" s="77" t="inlineStr">
        <is>
          <t>MSc in Energy Systems whole-cohort consultancy exercise</t>
        </is>
      </c>
      <c r="E98" s="77" t="inlineStr">
        <is>
          <t>employer; status; project</t>
        </is>
      </c>
      <c r="F98" s="77" t="inlineStr">
        <is>
          <t>https://eng.ox.ac.uk/media/ycigaoue/msc-energy-systems-course-handbook-25-26-v11.pdf</t>
        </is>
      </c>
      <c r="G98" s="77" t="inlineStr">
        <is>
          <t>Course Handbook 2025/2026 MSc Energy Systems</t>
        </is>
      </c>
      <c r="H98" s="77" t="inlineStr">
        <is>
          <t>Whole cohort exercise</t>
        </is>
      </c>
      <c r="I98" s="77" t="inlineStr">
        <is>
          <t>2025/26</t>
        </is>
      </c>
      <c r="J98" s="77" t="inlineStr">
        <is>
          <t>2026-10-12</t>
        </is>
      </c>
      <c r="K98" s="77" t="inlineStr">
        <is>
          <t>search-summary paraphrase</t>
        </is>
      </c>
      <c r="L98" s="77" t="inlineStr">
        <is>
          <t>During Hilary term, the cohort partners with an external stakeholder to begin planning the shape and context of their agreed energy-related problem.</t>
        </is>
      </c>
    </row>
    <row r="99">
      <c r="A99" s="77" t="inlineStr">
        <is>
          <t>RG17-S08-R2</t>
        </is>
      </c>
      <c r="B99" s="77" t="inlineStr">
        <is>
          <t>RG17</t>
        </is>
      </c>
      <c r="C99" s="77" t="inlineStr">
        <is>
          <t>RG17-S08</t>
        </is>
      </c>
      <c r="D99" s="77" t="inlineStr">
        <is>
          <t>MSc in Energy Systems whole-cohort consultancy exercise</t>
        </is>
      </c>
      <c r="E99" s="77" t="inlineStr">
        <is>
          <t>group; project; employer</t>
        </is>
      </c>
      <c r="F99" s="77" t="inlineStr">
        <is>
          <t>https://oerc.ox.ac.uk/news/msc-in-energy-systems-at-the-university-of-oxford-prepares-to-enter-its-fifth-year</t>
        </is>
      </c>
      <c r="G99" s="77" t="inlineStr">
        <is>
          <t>MSc in Energy Systems at the University of Oxford prepares to enter its fifth year</t>
        </is>
      </c>
      <c r="H99" s="77" t="inlineStr">
        <is>
          <t>Interview</t>
        </is>
      </c>
      <c r="I99" s="77" t="inlineStr">
        <is>
          <t>undated (c. 2021)</t>
        </is>
      </c>
      <c r="J99" s="77" t="inlineStr">
        <is>
          <t>2026-10-12</t>
        </is>
      </c>
      <c r="K99" s="77" t="inlineStr">
        <is>
          <t>search-index extract (quoted)</t>
        </is>
      </c>
      <c r="L99"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100">
      <c r="A100" s="77" t="inlineStr">
        <is>
          <t>AU02-S01-R1</t>
        </is>
      </c>
      <c r="B100" s="77" t="inlineStr">
        <is>
          <t>AU02</t>
        </is>
      </c>
      <c r="C100" s="77" t="inlineStr">
        <is>
          <t>AU02-S01</t>
        </is>
      </c>
      <c r="D100" s="77" t="inlineStr">
        <is>
          <t>Industry Project</t>
        </is>
      </c>
      <c r="E100" s="77" t="inlineStr">
        <is>
          <t>project; group; employer; eligibility</t>
        </is>
      </c>
      <c r="F100" s="77" t="inlineStr">
        <is>
          <t>https://arts.unimelb.edu.au/students/experiential-learning/industry-project</t>
        </is>
      </c>
      <c r="G100" s="77" t="inlineStr">
        <is>
          <t>Industry Project (ARTS30001) - Faculty of Arts</t>
        </is>
      </c>
      <c r="H100" s="77" t="inlineStr">
        <is>
          <t>Student page</t>
        </is>
      </c>
      <c r="I100" s="77" t="inlineStr">
        <is>
          <t>undated</t>
        </is>
      </c>
      <c r="J100" s="77" t="inlineStr">
        <is>
          <t>2026-10-12</t>
        </is>
      </c>
      <c r="K100" s="77" t="inlineStr">
        <is>
          <t>search-index extract</t>
        </is>
      </c>
      <c r="L100" s="77" t="inlineStr">
        <is>
          <t>In this subject you will collaborate on a real project for an actual industry partner as part of a small consulting team. ... available to Bachelor of Arts students and is eligible as a breadth option for approved courses.</t>
        </is>
      </c>
    </row>
    <row r="101">
      <c r="A101" s="77" t="inlineStr">
        <is>
          <t>AU02-S01-R2</t>
        </is>
      </c>
      <c r="B101" s="77" t="inlineStr">
        <is>
          <t>AU02</t>
        </is>
      </c>
      <c r="C101" s="77" t="inlineStr">
        <is>
          <t>AU02-S01</t>
        </is>
      </c>
      <c r="D101" s="77" t="inlineStr">
        <is>
          <t>Industry Project</t>
        </is>
      </c>
      <c r="E101" s="77" t="inlineStr">
        <is>
          <t>project; group; employer</t>
        </is>
      </c>
      <c r="F101" s="77" t="inlineStr">
        <is>
          <t>https://arts.unimelb.edu.au/engage/partner-with-us/work-with-our-students/industry-projects</t>
        </is>
      </c>
      <c r="G101" s="77" t="inlineStr">
        <is>
          <t>Industry projects - Faculty of Arts</t>
        </is>
      </c>
      <c r="H101" s="77" t="inlineStr">
        <is>
          <t>Partner-facing page</t>
        </is>
      </c>
      <c r="I101" s="77" t="inlineStr">
        <is>
          <t>undated</t>
        </is>
      </c>
      <c r="J101" s="77" t="inlineStr">
        <is>
          <t>2026-10-12</t>
        </is>
      </c>
      <c r="K101" s="77" t="inlineStr">
        <is>
          <t>search-index extract</t>
        </is>
      </c>
      <c r="L101"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102">
      <c r="A102" s="77" t="inlineStr">
        <is>
          <t>AU02-S01-R3</t>
        </is>
      </c>
      <c r="B102" s="77" t="inlineStr">
        <is>
          <t>AU02</t>
        </is>
      </c>
      <c r="C102" s="77" t="inlineStr">
        <is>
          <t>AU02-S01</t>
        </is>
      </c>
      <c r="D102" s="77" t="inlineStr">
        <is>
          <t>Industry Project</t>
        </is>
      </c>
      <c r="E102" s="77" t="inlineStr">
        <is>
          <t>status; credit</t>
        </is>
      </c>
      <c r="F102" s="77" t="inlineStr">
        <is>
          <t>https://handbook.unimelb.edu.au/2026/courses/b-arts/course-structure</t>
        </is>
      </c>
      <c r="G102" s="77" t="inlineStr">
        <is>
          <t>Course structure: Bachelor of Arts (B-ARTS) 2026</t>
        </is>
      </c>
      <c r="H102" s="77" t="inlineStr">
        <is>
          <t>Course structure</t>
        </is>
      </c>
      <c r="I102" s="77" t="inlineStr">
        <is>
          <t>2026</t>
        </is>
      </c>
      <c r="J102" s="77" t="inlineStr">
        <is>
          <t>2026-10-12</t>
        </is>
      </c>
      <c r="K102" s="77" t="inlineStr">
        <is>
          <t>search-index extract</t>
        </is>
      </c>
      <c r="L102" s="77" t="inlineStr">
        <is>
          <t>Lists ARTS30001 as a 12.5-point Semester 2 subject at Parkville (paraphrase of search extract).</t>
        </is>
      </c>
    </row>
    <row r="103">
      <c r="A103" s="77" t="inlineStr">
        <is>
          <t>AU02-S01-R4</t>
        </is>
      </c>
      <c r="B103" s="77" t="inlineStr">
        <is>
          <t>AU02</t>
        </is>
      </c>
      <c r="C103" s="77" t="inlineStr">
        <is>
          <t>AU02-S01</t>
        </is>
      </c>
      <c r="D103" s="77" t="inlineStr">
        <is>
          <t>Industry Project</t>
        </is>
      </c>
      <c r="E103" s="77" t="inlineStr">
        <is>
          <t>credit</t>
        </is>
      </c>
      <c r="F103" s="77" t="inlineStr">
        <is>
          <t>https://handbook.unimelb.edu.au/2020/subjects/arts30001/assessment</t>
        </is>
      </c>
      <c r="G103" s="77" t="inlineStr">
        <is>
          <t>Assessment: Industry Project (ARTS30001) 2020</t>
        </is>
      </c>
      <c r="H103" s="77" t="inlineStr">
        <is>
          <t>Assessment</t>
        </is>
      </c>
      <c r="I103" s="77" t="inlineStr">
        <is>
          <t>2020</t>
        </is>
      </c>
      <c r="J103" s="77" t="inlineStr">
        <is>
          <t>2026-10-12</t>
        </is>
      </c>
      <c r="K103" s="77" t="inlineStr">
        <is>
          <t>search-index extract</t>
        </is>
      </c>
      <c r="L103" s="77" t="inlineStr">
        <is>
          <t>10-minute presentation (20%), 1,500-word project summary (40%), 1,500-word project proposal (40%); students must attend a minimum of 80% of seminars in order to pass.</t>
        </is>
      </c>
    </row>
    <row r="104">
      <c r="A104" s="77" t="inlineStr">
        <is>
          <t>AU02-S01-R5</t>
        </is>
      </c>
      <c r="B104" s="77" t="inlineStr">
        <is>
          <t>AU02</t>
        </is>
      </c>
      <c r="C104" s="77" t="inlineStr">
        <is>
          <t>AU02-S01</t>
        </is>
      </c>
      <c r="D104" s="77" t="inlineStr">
        <is>
          <t>Industry Project</t>
        </is>
      </c>
      <c r="E104" s="77" t="inlineStr">
        <is>
          <t>eligibility</t>
        </is>
      </c>
      <c r="F104" s="77" t="inlineStr">
        <is>
          <t>https://handbook.unimelb.edu.au/2018/subjects/arts30001/eligibility-and-requirements</t>
        </is>
      </c>
      <c r="G104" s="77" t="inlineStr">
        <is>
          <t>Eligibility and requirements: ARTS30001 2018</t>
        </is>
      </c>
      <c r="H104" s="77" t="inlineStr">
        <is>
          <t>Eligibility</t>
        </is>
      </c>
      <c r="I104" s="77" t="inlineStr">
        <is>
          <t>2018</t>
        </is>
      </c>
      <c r="J104" s="77" t="inlineStr">
        <is>
          <t>2026-10-12</t>
        </is>
      </c>
      <c r="K104" s="77" t="inlineStr">
        <is>
          <t>search-index extract</t>
        </is>
      </c>
      <c r="L104" s="77" t="inlineStr">
        <is>
          <t>Prerequisite: completion of 150 points of the Bachelor of Arts.</t>
        </is>
      </c>
    </row>
    <row r="105">
      <c r="A105" s="77" t="inlineStr">
        <is>
          <t>AU02-S02-R1</t>
        </is>
      </c>
      <c r="B105" s="77" t="inlineStr">
        <is>
          <t>AU02</t>
        </is>
      </c>
      <c r="C105" s="77" t="inlineStr">
        <is>
          <t>AU02-S02</t>
        </is>
      </c>
      <c r="D105" s="77" t="inlineStr">
        <is>
          <t>Interdisciplinary Industry Project 2 (and Interdisciplinary Industry Project 1)</t>
        </is>
      </c>
      <c r="E105" s="77" t="inlineStr">
        <is>
          <t>project; group; employer; credit</t>
        </is>
      </c>
      <c r="F105" s="77" t="inlineStr">
        <is>
          <t>https://handbook.unimelb.edu.au/2021/subjects/arts90027</t>
        </is>
      </c>
      <c r="G105" s="77" t="inlineStr">
        <is>
          <t>Interdisciplinary Industry Project 2 (ARTS90027) 2021</t>
        </is>
      </c>
      <c r="H105" s="77" t="inlineStr">
        <is>
          <t>Overview</t>
        </is>
      </c>
      <c r="I105" s="77" t="inlineStr">
        <is>
          <t>2021</t>
        </is>
      </c>
      <c r="J105" s="77" t="inlineStr">
        <is>
          <t>2026-10-12</t>
        </is>
      </c>
      <c r="K105" s="77" t="inlineStr">
        <is>
          <t>search-index extract</t>
        </is>
      </c>
      <c r="L105" s="77" t="inlineStr">
        <is>
          <t>students work individually, in smaller teams or a combination of the two modes of project management, whilst under academic and industry supervision. Graduate coursework Points: 25</t>
        </is>
      </c>
    </row>
    <row r="106">
      <c r="A106" s="77" t="inlineStr">
        <is>
          <t>AU02-S02-R2</t>
        </is>
      </c>
      <c r="B106" s="77" t="inlineStr">
        <is>
          <t>AU02</t>
        </is>
      </c>
      <c r="C106" s="77" t="inlineStr">
        <is>
          <t>AU02-S02</t>
        </is>
      </c>
      <c r="D106" s="77" t="inlineStr">
        <is>
          <t>Interdisciplinary Industry Project 2 (and Interdisciplinary Industry Project 1)</t>
        </is>
      </c>
      <c r="E106" s="77" t="inlineStr">
        <is>
          <t>eligibility; employer</t>
        </is>
      </c>
      <c r="F106" s="77" t="inlineStr">
        <is>
          <t>https://handbook.unimelb.edu.au/2024/subjects/arts90027/eligibility-and-requirements</t>
        </is>
      </c>
      <c r="G106" s="77" t="inlineStr">
        <is>
          <t>Eligibility and requirements: ARTS90027 2024</t>
        </is>
      </c>
      <c r="H106" s="77" t="inlineStr">
        <is>
          <t>Eligibility</t>
        </is>
      </c>
      <c r="I106" s="77" t="inlineStr">
        <is>
          <t>2024</t>
        </is>
      </c>
      <c r="J106" s="77" t="inlineStr">
        <is>
          <t>2026-10-12</t>
        </is>
      </c>
      <c r="K106" s="77" t="inlineStr">
        <is>
          <t>search-index extract</t>
        </is>
      </c>
      <c r="L106" s="77" t="inlineStr">
        <is>
          <t>selection process by subject coordinator(s) and application process which will be tailored to industry prerequisites, prior knowledge/ skills and compliance.</t>
        </is>
      </c>
    </row>
    <row r="107">
      <c r="A107" s="77" t="inlineStr">
        <is>
          <t>AU02-S02-R3</t>
        </is>
      </c>
      <c r="B107" s="77" t="inlineStr">
        <is>
          <t>AU02</t>
        </is>
      </c>
      <c r="C107" s="77" t="inlineStr">
        <is>
          <t>AU02-S02</t>
        </is>
      </c>
      <c r="D107" s="77" t="inlineStr">
        <is>
          <t>Interdisciplinary Industry Project 2 (and Interdisciplinary Industry Project 1)</t>
        </is>
      </c>
      <c r="E107" s="77" t="inlineStr">
        <is>
          <t>status</t>
        </is>
      </c>
      <c r="F107" s="77" t="inlineStr">
        <is>
          <t>https://handbook.unimelb.edu.au/2026/subjects?page=154&amp;sid=l3ldj%27</t>
        </is>
      </c>
      <c r="G107" s="77" t="inlineStr">
        <is>
          <t>Subjects - UniMelb Handbook 2026 (listing)</t>
        </is>
      </c>
      <c r="H107" s="77" t="inlineStr">
        <is>
          <t>Subject listing</t>
        </is>
      </c>
      <c r="I107" s="77" t="inlineStr">
        <is>
          <t>2026</t>
        </is>
      </c>
      <c r="J107" s="77" t="inlineStr">
        <is>
          <t>2026-10-12</t>
        </is>
      </c>
      <c r="K107" s="77" t="inlineStr">
        <is>
          <t>search-index extract</t>
        </is>
      </c>
      <c r="L107" s="77" t="inlineStr">
        <is>
          <t>ARTS90027 offered Semester 2 2026, teaching period 27 July-25 October 2026, coordinator Kristian Camilleri, On Campus (Parkville); ARTS90026 not available in 2026 (search summary; exact attribution uncertain).</t>
        </is>
      </c>
    </row>
    <row r="108">
      <c r="A108" s="77" t="inlineStr">
        <is>
          <t>AU02-S02-R4</t>
        </is>
      </c>
      <c r="B108" s="77" t="inlineStr">
        <is>
          <t>AU02</t>
        </is>
      </c>
      <c r="C108" s="77" t="inlineStr">
        <is>
          <t>AU02-S02</t>
        </is>
      </c>
      <c r="D108" s="77" t="inlineStr">
        <is>
          <t>Interdisciplinary Industry Project 2 (and Interdisciplinary Industry Project 1)</t>
        </is>
      </c>
      <c r="E108" s="77" t="inlineStr">
        <is>
          <t>status; eligibility</t>
        </is>
      </c>
      <c r="F108" s="77" t="inlineStr">
        <is>
          <t>https://handbook.unimelb.edu.au/subjects/arts90026</t>
        </is>
      </c>
      <c r="G108" s="77" t="inlineStr">
        <is>
          <t>Interdisciplinary Industry Project 1 (ARTS90026)</t>
        </is>
      </c>
      <c r="H108" s="77" t="inlineStr">
        <is>
          <t>Overview</t>
        </is>
      </c>
      <c r="I108" s="77" t="inlineStr">
        <is>
          <t>2026 (current page)</t>
        </is>
      </c>
      <c r="J108" s="77" t="inlineStr">
        <is>
          <t>2026-10-12</t>
        </is>
      </c>
      <c r="K108" s="77" t="inlineStr">
        <is>
          <t>search-index extract</t>
        </is>
      </c>
      <c r="L108" s="77" t="inlineStr">
        <is>
          <t>Not available in 2026; there may be further eligibility criteria as requested by the industry partner.</t>
        </is>
      </c>
    </row>
    <row r="109">
      <c r="A109" s="77" t="inlineStr">
        <is>
          <t>AU02-S03-R1</t>
        </is>
      </c>
      <c r="B109" s="77" t="inlineStr">
        <is>
          <t>AU02</t>
        </is>
      </c>
      <c r="C109" s="77" t="inlineStr">
        <is>
          <t>AU02-S03</t>
        </is>
      </c>
      <c r="D109" s="77" t="inlineStr">
        <is>
          <t>Capstone Projects (School of Computing and Information Systems industry projects)</t>
        </is>
      </c>
      <c r="E109" s="77" t="inlineStr">
        <is>
          <t>project; employer; reach</t>
        </is>
      </c>
      <c r="F109" s="77" t="inlineStr">
        <is>
          <t>https://cis.unimelb.edu.au/engage/industry-projects/capstone-projects</t>
        </is>
      </c>
      <c r="G109" s="77" t="inlineStr">
        <is>
          <t>Capstone Projects - CIS</t>
        </is>
      </c>
      <c r="H109" s="77" t="inlineStr">
        <is>
          <t>Partner page</t>
        </is>
      </c>
      <c r="I109" s="77" t="inlineStr">
        <is>
          <t>undated</t>
        </is>
      </c>
      <c r="J109" s="77" t="inlineStr">
        <is>
          <t>2026-10-12</t>
        </is>
      </c>
      <c r="K109" s="77" t="inlineStr">
        <is>
          <t>search-index extract</t>
        </is>
      </c>
      <c r="L109"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110">
      <c r="A110" s="77" t="inlineStr">
        <is>
          <t>AU02-S04-R1</t>
        </is>
      </c>
      <c r="B110" s="77" t="inlineStr">
        <is>
          <t>AU02</t>
        </is>
      </c>
      <c r="C110" s="77" t="inlineStr">
        <is>
          <t>AU02-S04</t>
        </is>
      </c>
      <c r="D110" s="77" t="inlineStr">
        <is>
          <t>Software Project</t>
        </is>
      </c>
      <c r="E110" s="77" t="inlineStr">
        <is>
          <t>project; employer</t>
        </is>
      </c>
      <c r="F110" s="77" t="inlineStr">
        <is>
          <t>https://cis.unimelb.edu.au/engage/industry-projects/capstone-projects</t>
        </is>
      </c>
      <c r="G110" s="77" t="inlineStr">
        <is>
          <t>Capstone Projects - CIS</t>
        </is>
      </c>
      <c r="H110" s="77" t="inlineStr">
        <is>
          <t>Software Project (COMP90082)</t>
        </is>
      </c>
      <c r="I110" s="77" t="inlineStr">
        <is>
          <t>undated</t>
        </is>
      </c>
      <c r="J110" s="77" t="inlineStr">
        <is>
          <t>2026-10-12</t>
        </is>
      </c>
      <c r="K110" s="77" t="inlineStr">
        <is>
          <t>search-index extract</t>
        </is>
      </c>
      <c r="L110"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111">
      <c r="A111" s="77" t="inlineStr">
        <is>
          <t>AU02-S04-R2</t>
        </is>
      </c>
      <c r="B111" s="77" t="inlineStr">
        <is>
          <t>AU02</t>
        </is>
      </c>
      <c r="C111" s="77" t="inlineStr">
        <is>
          <t>AU02-S04</t>
        </is>
      </c>
      <c r="D111" s="77" t="inlineStr">
        <is>
          <t>Software Project</t>
        </is>
      </c>
      <c r="E111" s="77" t="inlineStr">
        <is>
          <t>project; group; status; credit; eligibility</t>
        </is>
      </c>
      <c r="F111" s="77" t="inlineStr">
        <is>
          <t>https://handbook.unimelb.edu.au/2026/subjects/comp90082</t>
        </is>
      </c>
      <c r="G111" s="77" t="inlineStr">
        <is>
          <t>Software Project (COMP90082) 2026</t>
        </is>
      </c>
      <c r="H111" s="77" t="inlineStr">
        <is>
          <t>Overview/Eligibility/Assessment</t>
        </is>
      </c>
      <c r="I111" s="77" t="inlineStr">
        <is>
          <t>2026</t>
        </is>
      </c>
      <c r="J111" s="77" t="inlineStr">
        <is>
          <t>2026-10-12</t>
        </is>
      </c>
      <c r="K111" s="77" t="inlineStr">
        <is>
          <t>search-index extract</t>
        </is>
      </c>
      <c r="L111"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112">
      <c r="A112" s="77" t="inlineStr">
        <is>
          <t>AU02-S05-R1</t>
        </is>
      </c>
      <c r="B112" s="77" t="inlineStr">
        <is>
          <t>AU02</t>
        </is>
      </c>
      <c r="C112" s="77" t="inlineStr">
        <is>
          <t>AU02-S05</t>
        </is>
      </c>
      <c r="D112" s="77" t="inlineStr">
        <is>
          <t>Masters Advanced Software Project Part 1 / Part 2</t>
        </is>
      </c>
      <c r="E112" s="77" t="inlineStr">
        <is>
          <t>project; group; employer; status</t>
        </is>
      </c>
      <c r="F112" s="77" t="inlineStr">
        <is>
          <t>https://handbook.unimelb.edu.au/2026/subjects/swen90017</t>
        </is>
      </c>
      <c r="G112" s="77" t="inlineStr">
        <is>
          <t>Masters Advanced Software Project Part 1 (SWEN90017) 2026</t>
        </is>
      </c>
      <c r="H112" s="77" t="inlineStr">
        <is>
          <t>Overview</t>
        </is>
      </c>
      <c r="I112" s="77" t="inlineStr">
        <is>
          <t>2026</t>
        </is>
      </c>
      <c r="J112" s="77" t="inlineStr">
        <is>
          <t>2026-10-12</t>
        </is>
      </c>
      <c r="K112" s="77" t="inlineStr">
        <is>
          <t>search-index extract</t>
        </is>
      </c>
      <c r="L112" s="77" t="inlineStr">
        <is>
          <t>Students will work in large teams to develop a non-trivial software system for an external client using agile software engineering methods.</t>
        </is>
      </c>
    </row>
    <row r="113">
      <c r="A113" s="77" t="inlineStr">
        <is>
          <t>AU02-S05-R2</t>
        </is>
      </c>
      <c r="B113" s="77" t="inlineStr">
        <is>
          <t>AU02</t>
        </is>
      </c>
      <c r="C113" s="77" t="inlineStr">
        <is>
          <t>AU02-S05</t>
        </is>
      </c>
      <c r="D113" s="77" t="inlineStr">
        <is>
          <t>Masters Advanced Software Project Part 1 / Part 2</t>
        </is>
      </c>
      <c r="E113" s="77" t="inlineStr">
        <is>
          <t>employer; reach</t>
        </is>
      </c>
      <c r="F113" s="77" t="inlineStr">
        <is>
          <t>https://cis.unimelb.edu.au/engage/industry-projects/capstone-projects</t>
        </is>
      </c>
      <c r="G113" s="77" t="inlineStr">
        <is>
          <t>Capstone Projects - CIS</t>
        </is>
      </c>
      <c r="H113" s="77" t="inlineStr">
        <is>
          <t>Software engineering</t>
        </is>
      </c>
      <c r="I113" s="77" t="inlineStr">
        <is>
          <t>undated</t>
        </is>
      </c>
      <c r="J113" s="77" t="inlineStr">
        <is>
          <t>2026-10-12</t>
        </is>
      </c>
      <c r="K113" s="77" t="inlineStr">
        <is>
          <t>search-index extract</t>
        </is>
      </c>
      <c r="L113" s="77" t="inlineStr">
        <is>
          <t>Masters Advanced Software Project (SWEN90017 &amp; SWEN90018) for year-long projects with Master of Software Engineering students; industry partners can submit a project proposal.</t>
        </is>
      </c>
    </row>
    <row r="114">
      <c r="A114" s="77" t="inlineStr">
        <is>
          <t>AU02-S05-R3</t>
        </is>
      </c>
      <c r="B114" s="77" t="inlineStr">
        <is>
          <t>AU02</t>
        </is>
      </c>
      <c r="C114" s="77" t="inlineStr">
        <is>
          <t>AU02-S05</t>
        </is>
      </c>
      <c r="D114" s="77" t="inlineStr">
        <is>
          <t>Masters Advanced Software Project Part 1 / Part 2</t>
        </is>
      </c>
      <c r="E114" s="77" t="inlineStr">
        <is>
          <t>eligibility</t>
        </is>
      </c>
      <c r="F114" s="77" t="inlineStr">
        <is>
          <t>https://handbook.unimelb.edu.au/2026/subjects/swen90017/eligibility-and-requirements</t>
        </is>
      </c>
      <c r="G114" s="77" t="inlineStr">
        <is>
          <t>Eligibility: SWEN90017 2026</t>
        </is>
      </c>
      <c r="H114" s="77" t="inlineStr">
        <is>
          <t>Eligibility</t>
        </is>
      </c>
      <c r="I114" s="77" t="inlineStr">
        <is>
          <t>2026</t>
        </is>
      </c>
      <c r="J114" s="77" t="inlineStr">
        <is>
          <t>2026-10-12</t>
        </is>
      </c>
      <c r="K114" s="77" t="inlineStr">
        <is>
          <t>search-index extract</t>
        </is>
      </c>
      <c r="L114" s="77" t="inlineStr">
        <is>
          <t>Prerequisites SWEN90006, SWEN90014, SWEN90009 and ENGR90051.</t>
        </is>
      </c>
    </row>
    <row r="115">
      <c r="A115" s="77" t="inlineStr">
        <is>
          <t>AU02-S05-R4</t>
        </is>
      </c>
      <c r="B115" s="77" t="inlineStr">
        <is>
          <t>AU02</t>
        </is>
      </c>
      <c r="C115" s="77" t="inlineStr">
        <is>
          <t>AU02-S05</t>
        </is>
      </c>
      <c r="D115" s="77" t="inlineStr">
        <is>
          <t>Masters Advanced Software Project Part 1 / Part 2</t>
        </is>
      </c>
      <c r="E115" s="77" t="inlineStr">
        <is>
          <t>employer</t>
        </is>
      </c>
      <c r="F115" s="77" t="inlineStr">
        <is>
          <t>https://cis-projects.carrd.co/</t>
        </is>
      </c>
      <c r="G115" s="77" t="inlineStr">
        <is>
          <t>CIS Projects (unofficial)</t>
        </is>
      </c>
      <c r="H115" s="77" t="inlineStr"/>
      <c r="I115" s="77" t="inlineStr">
        <is>
          <t>undated</t>
        </is>
      </c>
      <c r="J115" s="77" t="inlineStr">
        <is>
          <t>2026-10-12</t>
        </is>
      </c>
      <c r="K115" s="77" t="inlineStr">
        <is>
          <t>search-index extract</t>
        </is>
      </c>
      <c r="L115" s="77" t="inlineStr">
        <is>
          <t>Subject has run with industry partners since 2016; partners include Royal Melbourne Hospital, Big Issue, NDIS and Grok Learning.</t>
        </is>
      </c>
    </row>
    <row r="116">
      <c r="A116" s="77" t="inlineStr">
        <is>
          <t>AU02-S06-R1</t>
        </is>
      </c>
      <c r="B116" s="77" t="inlineStr">
        <is>
          <t>AU02</t>
        </is>
      </c>
      <c r="C116" s="77" t="inlineStr">
        <is>
          <t>AU02-S06</t>
        </is>
      </c>
      <c r="D116" s="77" t="inlineStr">
        <is>
          <t>IT Project</t>
        </is>
      </c>
      <c r="E116" s="77" t="inlineStr">
        <is>
          <t>project; group; status; reach</t>
        </is>
      </c>
      <c r="F116" s="77" t="inlineStr">
        <is>
          <t>https://handbook.unimelb.edu.au/2026/subjects/comp30022</t>
        </is>
      </c>
      <c r="G116" s="77" t="inlineStr">
        <is>
          <t>IT Project (COMP30022) 2026</t>
        </is>
      </c>
      <c r="H116" s="77" t="inlineStr">
        <is>
          <t>Overview</t>
        </is>
      </c>
      <c r="I116" s="77" t="inlineStr">
        <is>
          <t>2026</t>
        </is>
      </c>
      <c r="J116" s="77" t="inlineStr">
        <is>
          <t>2026-10-12</t>
        </is>
      </c>
      <c r="K116" s="77" t="inlineStr">
        <is>
          <t>search-index extract</t>
        </is>
      </c>
      <c r="L116" s="77" t="inlineStr">
        <is>
          <t>Capstone project for the Informatics major and the Computing and Software Systems major; small teams; communicate with stakeholders including clients and team members to build a system that meets client needs; Semester 2 2026, 27 July-25 October.</t>
        </is>
      </c>
    </row>
    <row r="117">
      <c r="A117" s="77" t="inlineStr">
        <is>
          <t>AU02-S06-R2</t>
        </is>
      </c>
      <c r="B117" s="77" t="inlineStr">
        <is>
          <t>AU02</t>
        </is>
      </c>
      <c r="C117" s="77" t="inlineStr">
        <is>
          <t>AU02-S06</t>
        </is>
      </c>
      <c r="D117" s="77" t="inlineStr">
        <is>
          <t>IT Project</t>
        </is>
      </c>
      <c r="E117" s="77" t="inlineStr">
        <is>
          <t>credit; group</t>
        </is>
      </c>
      <c r="F117" s="77" t="inlineStr">
        <is>
          <t>https://handbook.unimelb.edu.au/2024/subjects/comp30022/assessment</t>
        </is>
      </c>
      <c r="G117" s="77" t="inlineStr">
        <is>
          <t>Assessment: COMP30022 2024</t>
        </is>
      </c>
      <c r="H117" s="77" t="inlineStr">
        <is>
          <t>Assessment</t>
        </is>
      </c>
      <c r="I117" s="77" t="inlineStr">
        <is>
          <t>2024</t>
        </is>
      </c>
      <c r="J117" s="77" t="inlineStr">
        <is>
          <t>2026-10-12</t>
        </is>
      </c>
      <c r="K117" s="77" t="inlineStr">
        <is>
          <t>search-index extract</t>
        </is>
      </c>
      <c r="L117" s="77" t="inlineStr">
        <is>
          <t>Team project management (50%), final product release in week 12 (30%), individual contribution (20%).</t>
        </is>
      </c>
    </row>
    <row r="118">
      <c r="A118" s="77" t="inlineStr">
        <is>
          <t>AU02-S07-R1</t>
        </is>
      </c>
      <c r="B118" s="77" t="inlineStr">
        <is>
          <t>AU02</t>
        </is>
      </c>
      <c r="C118" s="77" t="inlineStr">
        <is>
          <t>AU02-S07</t>
        </is>
      </c>
      <c r="D118" s="77" t="inlineStr">
        <is>
          <t>Engineering Capstone Project Part 1 / Part 2</t>
        </is>
      </c>
      <c r="E118" s="77" t="inlineStr">
        <is>
          <t>project; group; employer; credit</t>
        </is>
      </c>
      <c r="F118" s="77" t="inlineStr">
        <is>
          <t>https://handbook.unimelb.edu.au/subjects/engr90037</t>
        </is>
      </c>
      <c r="G118" s="77" t="inlineStr">
        <is>
          <t>Engineering Capstone Project Part 1 (ENGR90037)</t>
        </is>
      </c>
      <c r="H118" s="77" t="inlineStr">
        <is>
          <t>Overview</t>
        </is>
      </c>
      <c r="I118" s="77" t="inlineStr">
        <is>
          <t>2026 (current page)</t>
        </is>
      </c>
      <c r="J118" s="77" t="inlineStr">
        <is>
          <t>2026-10-12</t>
        </is>
      </c>
      <c r="K118" s="77" t="inlineStr">
        <is>
          <t>search-index extract</t>
        </is>
      </c>
      <c r="L118" s="77" t="inlineStr">
        <is>
          <t>Projects are group-based, and each project is supervised by a member of academic staff and, where appropriate, an industry partner. 12.5 points; 200-hour time commitment, or 400 hours across Parts 1 and 2.</t>
        </is>
      </c>
    </row>
    <row r="119">
      <c r="A119" s="77" t="inlineStr">
        <is>
          <t>AU02-S07-R2</t>
        </is>
      </c>
      <c r="B119" s="77" t="inlineStr">
        <is>
          <t>AU02</t>
        </is>
      </c>
      <c r="C119" s="77" t="inlineStr">
        <is>
          <t>AU02-S07</t>
        </is>
      </c>
      <c r="D119" s="77" t="inlineStr">
        <is>
          <t>Engineering Capstone Project Part 1 / Part 2</t>
        </is>
      </c>
      <c r="E119" s="77" t="inlineStr">
        <is>
          <t>status</t>
        </is>
      </c>
      <c r="F119" s="77" t="inlineStr">
        <is>
          <t>https://handbook.unimelb.edu.au/2026/subjects/engr90037/dates-times</t>
        </is>
      </c>
      <c r="G119" s="77" t="inlineStr">
        <is>
          <t>Dates and times: ENGR90037 2026</t>
        </is>
      </c>
      <c r="H119" s="77" t="inlineStr">
        <is>
          <t>Dates</t>
        </is>
      </c>
      <c r="I119" s="77" t="inlineStr">
        <is>
          <t>2026</t>
        </is>
      </c>
      <c r="J119" s="77" t="inlineStr">
        <is>
          <t>2026-10-12</t>
        </is>
      </c>
      <c r="K119" s="77" t="inlineStr">
        <is>
          <t>search-index extract</t>
        </is>
      </c>
      <c r="L119" s="77" t="inlineStr">
        <is>
          <t>Semester 1 runs 2 March to 30 June 2026; Semester 2 runs 27 July to 24 December 2026.</t>
        </is>
      </c>
    </row>
    <row r="120">
      <c r="A120" s="77" t="inlineStr">
        <is>
          <t>AU02-S08-R1</t>
        </is>
      </c>
      <c r="B120" s="77" t="inlineStr">
        <is>
          <t>AU02</t>
        </is>
      </c>
      <c r="C120" s="77" t="inlineStr">
        <is>
          <t>AU02-S08</t>
        </is>
      </c>
      <c r="D120" s="77" t="inlineStr">
        <is>
          <t>Electrical and Electronic Engineering industry-based capstone projects</t>
        </is>
      </c>
      <c r="E120" s="77" t="inlineStr">
        <is>
          <t>project; group; employer</t>
        </is>
      </c>
      <c r="F120" s="77" t="inlineStr">
        <is>
          <t>https://electrical.eng.unimelb.edu.au/industry/student-projects</t>
        </is>
      </c>
      <c r="G120" s="77" t="inlineStr">
        <is>
          <t>Student industry projects - Electrical and Electronic Engineering</t>
        </is>
      </c>
      <c r="H120" s="77" t="inlineStr">
        <is>
          <t>Introduction</t>
        </is>
      </c>
      <c r="I120" s="77" t="inlineStr">
        <is>
          <t>undated</t>
        </is>
      </c>
      <c r="J120" s="77" t="inlineStr">
        <is>
          <t>2026-10-12</t>
        </is>
      </c>
      <c r="K120" s="77" t="inlineStr">
        <is>
          <t>search-index extract</t>
        </is>
      </c>
      <c r="L120" s="77" t="inlineStr">
        <is>
          <t>industry-based projects are run in small teams under the supervision of an industry supervisor and a member of academic staff; an agreement at the start of the project assigns all project IP to the industry partner.</t>
        </is>
      </c>
    </row>
    <row r="121">
      <c r="A121" s="77" t="inlineStr">
        <is>
          <t>AU02-S09-R1</t>
        </is>
      </c>
      <c r="B121" s="77" t="inlineStr">
        <is>
          <t>AU02</t>
        </is>
      </c>
      <c r="C121" s="77" t="inlineStr">
        <is>
          <t>AU02-S09</t>
        </is>
      </c>
      <c r="D121" s="77" t="inlineStr">
        <is>
          <t>Industry projects for graduate students (Faculty of Science)</t>
        </is>
      </c>
      <c r="E121" s="77" t="inlineStr">
        <is>
          <t>project; group; employer; reach</t>
        </is>
      </c>
      <c r="F121" s="77" t="inlineStr">
        <is>
          <t>https://science.unimelb.edu.au/students/enrich-your-studies/industry-projects</t>
        </is>
      </c>
      <c r="G121" s="77" t="inlineStr">
        <is>
          <t>Industry projects for graduate students - Faculty of Science</t>
        </is>
      </c>
      <c r="H121" s="77" t="inlineStr">
        <is>
          <t>Main page</t>
        </is>
      </c>
      <c r="I121" s="77" t="inlineStr">
        <is>
          <t>undated</t>
        </is>
      </c>
      <c r="J121" s="77" t="inlineStr">
        <is>
          <t>2026-10-12</t>
        </is>
      </c>
      <c r="K121" s="77" t="inlineStr">
        <is>
          <t>search-index extract</t>
        </is>
      </c>
      <c r="L121"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122">
      <c r="A122" s="77" t="inlineStr">
        <is>
          <t>AU02-S10-R1</t>
        </is>
      </c>
      <c r="B122" s="77" t="inlineStr">
        <is>
          <t>AU02</t>
        </is>
      </c>
      <c r="C122" s="77" t="inlineStr">
        <is>
          <t>AU02-S10</t>
        </is>
      </c>
      <c r="D122" s="77" t="inlineStr">
        <is>
          <t>Industry Project in Biotechnology</t>
        </is>
      </c>
      <c r="E122" s="77" t="inlineStr">
        <is>
          <t>project; group; employer; credit</t>
        </is>
      </c>
      <c r="F122" s="77" t="inlineStr">
        <is>
          <t>https://handbook.unimelb.edu.au/subjects/scie90015</t>
        </is>
      </c>
      <c r="G122" s="77" t="inlineStr">
        <is>
          <t>Industry Project in Biotechnology (SCIE90015)</t>
        </is>
      </c>
      <c r="H122" s="77" t="inlineStr">
        <is>
          <t>Overview</t>
        </is>
      </c>
      <c r="I122" s="77" t="inlineStr">
        <is>
          <t>undated (current URL)</t>
        </is>
      </c>
      <c r="J122" s="77" t="inlineStr">
        <is>
          <t>2026-10-12</t>
        </is>
      </c>
      <c r="K122" s="77" t="inlineStr">
        <is>
          <t>search-index extract</t>
        </is>
      </c>
      <c r="L122" s="77" t="inlineStr">
        <is>
          <t>Students will be assigned to syndicate groups to address a practical industry challenge/issue which has been identified by industry. Year Long (On Campus - Parkville), 25 credit points.</t>
        </is>
      </c>
    </row>
    <row r="123">
      <c r="A123" s="77" t="inlineStr">
        <is>
          <t>AU02-S10-R2</t>
        </is>
      </c>
      <c r="B123" s="77" t="inlineStr">
        <is>
          <t>AU02</t>
        </is>
      </c>
      <c r="C123" s="77" t="inlineStr">
        <is>
          <t>AU02-S10</t>
        </is>
      </c>
      <c r="D123" s="77" t="inlineStr">
        <is>
          <t>Industry Project in Biotechnology</t>
        </is>
      </c>
      <c r="E123" s="77" t="inlineStr">
        <is>
          <t>group; employer</t>
        </is>
      </c>
      <c r="F123" s="77" t="inlineStr">
        <is>
          <t>https://science.unimelb.edu.au/students/enrich-your-studies/industry-projects</t>
        </is>
      </c>
      <c r="G123" s="77" t="inlineStr">
        <is>
          <t>Industry projects for graduate students</t>
        </is>
      </c>
      <c r="H123" s="77" t="inlineStr"/>
      <c r="I123" s="77" t="inlineStr">
        <is>
          <t>undated</t>
        </is>
      </c>
      <c r="J123" s="77" t="inlineStr">
        <is>
          <t>2026-10-12</t>
        </is>
      </c>
      <c r="K123" s="77" t="inlineStr">
        <is>
          <t>search-index extract</t>
        </is>
      </c>
      <c r="L123" s="77" t="inlineStr">
        <is>
          <t>a dedicated team of 3-5 students are assigned to each project ... Our partners submit a project brief ... New biomaterials for a medical device; Determine regulatory landscapes for new drugs.</t>
        </is>
      </c>
    </row>
    <row r="124">
      <c r="A124" s="77" t="inlineStr">
        <is>
          <t>AU02-S11-R1</t>
        </is>
      </c>
      <c r="B124" s="77" t="inlineStr">
        <is>
          <t>AU02</t>
        </is>
      </c>
      <c r="C124" s="77" t="inlineStr">
        <is>
          <t>AU02-S11</t>
        </is>
      </c>
      <c r="D124" s="77" t="inlineStr">
        <is>
          <t>Data Science Project Part 1 / Part 2</t>
        </is>
      </c>
      <c r="E124" s="77" t="inlineStr">
        <is>
          <t>group; status</t>
        </is>
      </c>
      <c r="F124" s="77" t="inlineStr">
        <is>
          <t>https://handbook.unimelb.edu.au/2026/subjects/mast90106</t>
        </is>
      </c>
      <c r="G124" s="77" t="inlineStr">
        <is>
          <t>Data Science Project Pt1 (MAST90106) 2026</t>
        </is>
      </c>
      <c r="H124" s="77" t="inlineStr">
        <is>
          <t>Overview</t>
        </is>
      </c>
      <c r="I124" s="77" t="inlineStr">
        <is>
          <t>2026</t>
        </is>
      </c>
      <c r="J124" s="77" t="inlineStr">
        <is>
          <t>2026-10-12</t>
        </is>
      </c>
      <c r="K124" s="77" t="inlineStr">
        <is>
          <t>search-index extract</t>
        </is>
      </c>
      <c r="L124" s="77" t="inlineStr">
        <is>
          <t>students work in teams under only general guidance from staff members.</t>
        </is>
      </c>
    </row>
    <row r="125">
      <c r="A125" s="77" t="inlineStr">
        <is>
          <t>AU02-S11-R2</t>
        </is>
      </c>
      <c r="B125" s="77" t="inlineStr">
        <is>
          <t>AU02</t>
        </is>
      </c>
      <c r="C125" s="77" t="inlineStr">
        <is>
          <t>AU02-S11</t>
        </is>
      </c>
      <c r="D125" s="77" t="inlineStr">
        <is>
          <t>Data Science Project Part 1 / Part 2</t>
        </is>
      </c>
      <c r="E125" s="77" t="inlineStr">
        <is>
          <t>project; group; employer</t>
        </is>
      </c>
      <c r="F125" s="77" t="inlineStr">
        <is>
          <t>https://science.unimelb.edu.au/students/enrich-your-studies/industry-projects</t>
        </is>
      </c>
      <c r="G125" s="77" t="inlineStr">
        <is>
          <t>Industry projects for graduate students</t>
        </is>
      </c>
      <c r="H125" s="77" t="inlineStr"/>
      <c r="I125" s="77" t="inlineStr">
        <is>
          <t>undated</t>
        </is>
      </c>
      <c r="J125" s="77" t="inlineStr">
        <is>
          <t>2026-10-12</t>
        </is>
      </c>
      <c r="K125" s="77" t="inlineStr">
        <is>
          <t>search-index extract</t>
        </is>
      </c>
      <c r="L125" s="77" t="inlineStr">
        <is>
          <t>capstone Industry Project subject for Master of Data Science students ... students collaboratively work in teams to deliver solutions to participating organisations' real-world challenges.</t>
        </is>
      </c>
    </row>
    <row r="126">
      <c r="A126" s="77" t="inlineStr">
        <is>
          <t>AU02-S11-R3</t>
        </is>
      </c>
      <c r="B126" s="77" t="inlineStr">
        <is>
          <t>AU02</t>
        </is>
      </c>
      <c r="C126" s="77" t="inlineStr">
        <is>
          <t>AU02-S11</t>
        </is>
      </c>
      <c r="D126" s="77" t="inlineStr">
        <is>
          <t>Data Science Project Part 1 / Part 2</t>
        </is>
      </c>
      <c r="E126" s="77" t="inlineStr">
        <is>
          <t>employer; credit</t>
        </is>
      </c>
      <c r="F126" s="77" t="inlineStr">
        <is>
          <t>https://cis.unimelb.edu.au/engage/industry-projects/capstone-projects</t>
        </is>
      </c>
      <c r="G126" s="77" t="inlineStr">
        <is>
          <t>Capstone Projects - CIS</t>
        </is>
      </c>
      <c r="H126" s="77" t="inlineStr">
        <is>
          <t>Data Science</t>
        </is>
      </c>
      <c r="I126" s="77" t="inlineStr">
        <is>
          <t>undated</t>
        </is>
      </c>
      <c r="J126" s="77" t="inlineStr">
        <is>
          <t>2026-10-12</t>
        </is>
      </c>
      <c r="K126" s="77" t="inlineStr">
        <is>
          <t>search-index extract</t>
        </is>
      </c>
      <c r="L126" s="77" t="inlineStr">
        <is>
          <t>Data Science entry for MAST90106 and MAST90107, year-long project, commencing in Semester 1 only.</t>
        </is>
      </c>
    </row>
    <row r="127">
      <c r="A127" s="77" t="inlineStr">
        <is>
          <t>AU02-S11-R4</t>
        </is>
      </c>
      <c r="B127" s="77" t="inlineStr">
        <is>
          <t>AU02</t>
        </is>
      </c>
      <c r="C127" s="77" t="inlineStr">
        <is>
          <t>AU02-S11</t>
        </is>
      </c>
      <c r="D127" s="77" t="inlineStr">
        <is>
          <t>Data Science Project Part 1 / Part 2</t>
        </is>
      </c>
      <c r="E127" s="77" t="inlineStr">
        <is>
          <t>group; credit</t>
        </is>
      </c>
      <c r="F127" s="77" t="inlineStr">
        <is>
          <t>https://handbook.unimelb.edu.au/2024/subjects/mast90107</t>
        </is>
      </c>
      <c r="G127" s="77" t="inlineStr">
        <is>
          <t>Data Science Project Pt2 (MAST90107) 2024</t>
        </is>
      </c>
      <c r="H127" s="77" t="inlineStr">
        <is>
          <t>Overview</t>
        </is>
      </c>
      <c r="I127" s="77" t="inlineStr">
        <is>
          <t>2024</t>
        </is>
      </c>
      <c r="J127" s="77" t="inlineStr">
        <is>
          <t>2026-10-12</t>
        </is>
      </c>
      <c r="K127" s="77" t="inlineStr">
        <is>
          <t>search-index extract</t>
        </is>
      </c>
      <c r="L127" s="77" t="inlineStr">
        <is>
          <t>Teams continue from Part 1; students present a group project report and oral presentation; individual contribution logged via diaries.</t>
        </is>
      </c>
    </row>
    <row r="128">
      <c r="A128" s="77" t="inlineStr">
        <is>
          <t>AU02-S12-R1</t>
        </is>
      </c>
      <c r="B128" s="77" t="inlineStr">
        <is>
          <t>AU02</t>
        </is>
      </c>
      <c r="C128" s="77" t="inlineStr">
        <is>
          <t>AU02-S12</t>
        </is>
      </c>
      <c r="D128" s="77" t="inlineStr">
        <is>
          <t>Industry Project in Environmental Science Pt1 &amp; Pt2</t>
        </is>
      </c>
      <c r="E128" s="77" t="inlineStr">
        <is>
          <t>status; project; participation</t>
        </is>
      </c>
      <c r="F128" s="77" t="inlineStr">
        <is>
          <t>https://handbook.unimelb.edu.au/2026/courses/mc-envsc/course-structure</t>
        </is>
      </c>
      <c r="G128" s="77" t="inlineStr">
        <is>
          <t>Course structure: Master of Environmental Science (MC-ENVSC) 2026</t>
        </is>
      </c>
      <c r="H128" s="77" t="inlineStr">
        <is>
          <t>Course structure</t>
        </is>
      </c>
      <c r="I128" s="77" t="inlineStr">
        <is>
          <t>2026</t>
        </is>
      </c>
      <c r="J128" s="77" t="inlineStr">
        <is>
          <t>2026-10-12</t>
        </is>
      </c>
      <c r="K128" s="77" t="inlineStr">
        <is>
          <t>search-index extract</t>
        </is>
      </c>
      <c r="L128" s="77" t="inlineStr">
        <is>
          <t>EVSC90019 Graduate Seminar: Environmental Science and Industry Project in EnvironmentalSci Pt1 &amp; Pt2 will be taken in the second year of study ... Outstanding students may replace the Industry Project with EVSC90034 ... and EVSC90035.</t>
        </is>
      </c>
    </row>
    <row r="129">
      <c r="A129" s="77" t="inlineStr">
        <is>
          <t>AU02-S12-R2</t>
        </is>
      </c>
      <c r="B129" s="77" t="inlineStr">
        <is>
          <t>AU02</t>
        </is>
      </c>
      <c r="C129" s="77" t="inlineStr">
        <is>
          <t>AU02-S12</t>
        </is>
      </c>
      <c r="D129" s="77" t="inlineStr">
        <is>
          <t>Industry Project in Environmental Science Pt1 &amp; Pt2</t>
        </is>
      </c>
      <c r="E129" s="77" t="inlineStr">
        <is>
          <t>employer</t>
        </is>
      </c>
      <c r="F129" s="77" t="inlineStr">
        <is>
          <t>https://study.unimelb.edu.au/find/courses/graduate/master-of-environmental-science/structure/</t>
        </is>
      </c>
      <c r="G129" s="77" t="inlineStr">
        <is>
          <t>Master of Environmental Science: Course structure</t>
        </is>
      </c>
      <c r="H129" s="77" t="inlineStr"/>
      <c r="I129" s="77" t="inlineStr">
        <is>
          <t>undated</t>
        </is>
      </c>
      <c r="J129" s="77" t="inlineStr">
        <is>
          <t>2026-10-12</t>
        </is>
      </c>
      <c r="K129" s="77" t="inlineStr">
        <is>
          <t>search-index extract</t>
        </is>
      </c>
      <c r="L129" s="77" t="inlineStr">
        <is>
          <t>year-long industry project where students spend time at the workplace of their assigned industry client.</t>
        </is>
      </c>
    </row>
    <row r="130">
      <c r="A130" s="77" t="inlineStr">
        <is>
          <t>AU02-S13-R1</t>
        </is>
      </c>
      <c r="B130" s="77" t="inlineStr">
        <is>
          <t>AU02</t>
        </is>
      </c>
      <c r="C130" s="77" t="inlineStr">
        <is>
          <t>AU02-S13</t>
        </is>
      </c>
      <c r="D130" s="77" t="inlineStr">
        <is>
          <t>Management Consulting</t>
        </is>
      </c>
      <c r="E130" s="77" t="inlineStr">
        <is>
          <t>project; group; employer; credit</t>
        </is>
      </c>
      <c r="F130" s="77" t="inlineStr">
        <is>
          <t>https://handbook.unimelb.edu.au/subjects/mgmt30012</t>
        </is>
      </c>
      <c r="G130" s="77" t="inlineStr">
        <is>
          <t>Management Consulting (MGMT30012)</t>
        </is>
      </c>
      <c r="H130" s="77" t="inlineStr">
        <is>
          <t>Overview</t>
        </is>
      </c>
      <c r="I130" s="77" t="inlineStr">
        <is>
          <t>2026 (current page)</t>
        </is>
      </c>
      <c r="J130" s="77" t="inlineStr">
        <is>
          <t>2026-10-12</t>
        </is>
      </c>
      <c r="K130" s="77" t="inlineStr">
        <is>
          <t>search-index extract</t>
        </is>
      </c>
      <c r="L130" s="77" t="inlineStr">
        <is>
          <t>Working in cross-disciplinary teams, students will be assigned to a client organisation ... Undergraduate level 3 Points: 12.5 On Campus (Parkville); Semester 1 and Semester 2.</t>
        </is>
      </c>
    </row>
    <row r="131">
      <c r="A131" s="77" t="inlineStr">
        <is>
          <t>AU02-S13-R2</t>
        </is>
      </c>
      <c r="B131" s="77" t="inlineStr">
        <is>
          <t>AU02</t>
        </is>
      </c>
      <c r="C131" s="77" t="inlineStr">
        <is>
          <t>AU02-S13</t>
        </is>
      </c>
      <c r="D131" s="77" t="inlineStr">
        <is>
          <t>Management Consulting</t>
        </is>
      </c>
      <c r="E131" s="77" t="inlineStr">
        <is>
          <t>credit; group</t>
        </is>
      </c>
      <c r="F131" s="77" t="inlineStr">
        <is>
          <t>https://handbook.unimelb.edu.au/2023/subjects/mgmt30012/assessment</t>
        </is>
      </c>
      <c r="G131" s="77" t="inlineStr">
        <is>
          <t>Assessment: MGMT30012 2023</t>
        </is>
      </c>
      <c r="H131" s="77" t="inlineStr">
        <is>
          <t>Assessment</t>
        </is>
      </c>
      <c r="I131" s="77" t="inlineStr">
        <is>
          <t>2023</t>
        </is>
      </c>
      <c r="J131" s="77" t="inlineStr">
        <is>
          <t>2026-10-12</t>
        </is>
      </c>
      <c r="K131" s="77" t="inlineStr">
        <is>
          <t>search-index extract</t>
        </is>
      </c>
      <c r="L131" s="77" t="inlineStr">
        <is>
          <t>workshop participation hurdle, team progress notes, team presentation, team report, reflective essay, peer evaluation.</t>
        </is>
      </c>
    </row>
    <row r="132">
      <c r="A132" s="77" t="inlineStr">
        <is>
          <t>AU02-S13-R3</t>
        </is>
      </c>
      <c r="B132" s="77" t="inlineStr">
        <is>
          <t>AU02</t>
        </is>
      </c>
      <c r="C132" s="77" t="inlineStr">
        <is>
          <t>AU02-S13</t>
        </is>
      </c>
      <c r="D132" s="77" t="inlineStr">
        <is>
          <t>Management Consulting</t>
        </is>
      </c>
      <c r="E132" s="77" t="inlineStr">
        <is>
          <t>eligibility; participation</t>
        </is>
      </c>
      <c r="F132" s="77" t="inlineStr">
        <is>
          <t>https://handbook.unimelb.edu.au/2024/subjects/mgmt30012/eligibility-and-requirements</t>
        </is>
      </c>
      <c r="G132" s="77" t="inlineStr">
        <is>
          <t>Eligibility: MGMT30012 2024</t>
        </is>
      </c>
      <c r="H132" s="77" t="inlineStr">
        <is>
          <t>Eligibility</t>
        </is>
      </c>
      <c r="I132" s="77" t="inlineStr">
        <is>
          <t>2024</t>
        </is>
      </c>
      <c r="J132" s="77" t="inlineStr">
        <is>
          <t>2026-10-12</t>
        </is>
      </c>
      <c r="K132" s="77" t="inlineStr">
        <is>
          <t>search-index extract</t>
        </is>
      </c>
      <c r="L132" s="77" t="inlineStr">
        <is>
          <t>quota of 60 students, selection by application; from Semester 2 2024 at least 150 credit points and permission of the Subject Coordinator.</t>
        </is>
      </c>
    </row>
    <row r="133">
      <c r="A133" s="77" t="inlineStr">
        <is>
          <t>AU02-S13-R4</t>
        </is>
      </c>
      <c r="B133" s="77" t="inlineStr">
        <is>
          <t>AU02</t>
        </is>
      </c>
      <c r="C133" s="77" t="inlineStr">
        <is>
          <t>AU02-S13</t>
        </is>
      </c>
      <c r="D133" s="77" t="inlineStr">
        <is>
          <t>Management Consulting</t>
        </is>
      </c>
      <c r="E133" s="77" t="inlineStr">
        <is>
          <t>status</t>
        </is>
      </c>
      <c r="F133" s="77" t="inlineStr">
        <is>
          <t>https://handbook.unimelb.edu.au/2026/components/b-com-major-6/course-structure</t>
        </is>
      </c>
      <c r="G133" s="77" t="inlineStr">
        <is>
          <t>Structure: Management (BCom major) 2026</t>
        </is>
      </c>
      <c r="H133" s="77" t="inlineStr">
        <is>
          <t>Course structure</t>
        </is>
      </c>
      <c r="I133" s="77" t="inlineStr">
        <is>
          <t>2026</t>
        </is>
      </c>
      <c r="J133" s="77" t="inlineStr">
        <is>
          <t>2026-10-12</t>
        </is>
      </c>
      <c r="K133" s="77" t="inlineStr">
        <is>
          <t>search-index extract</t>
        </is>
      </c>
      <c r="L133" s="77" t="inlineStr">
        <is>
          <t>Appeared in results for MGMT30012 in 2026 Management major; no verbatim extract obtained.</t>
        </is>
      </c>
    </row>
    <row r="134">
      <c r="A134" s="77" t="inlineStr">
        <is>
          <t>AU02-S14-R1</t>
        </is>
      </c>
      <c r="B134" s="77" t="inlineStr">
        <is>
          <t>AU02</t>
        </is>
      </c>
      <c r="C134" s="77" t="inlineStr">
        <is>
          <t>AU02-S14</t>
        </is>
      </c>
      <c r="D134" s="77" t="inlineStr">
        <is>
          <t>Industry Projects (FBE partner offer)</t>
        </is>
      </c>
      <c r="E134" s="77" t="inlineStr">
        <is>
          <t>project; group; employer; credit</t>
        </is>
      </c>
      <c r="F134" s="77" t="inlineStr">
        <is>
          <t>https://fbe.unimelb.edu.au/engage/partnerships/opportunities/industry-projects</t>
        </is>
      </c>
      <c r="G134" s="77" t="inlineStr">
        <is>
          <t>Industry Projects - Faculty of Business and Economics</t>
        </is>
      </c>
      <c r="H134" s="77" t="inlineStr">
        <is>
          <t>Partner page</t>
        </is>
      </c>
      <c r="I134" s="77" t="inlineStr">
        <is>
          <t>undated</t>
        </is>
      </c>
      <c r="J134" s="77" t="inlineStr">
        <is>
          <t>2026-10-12</t>
        </is>
      </c>
      <c r="K134" s="77" t="inlineStr">
        <is>
          <t>search-index extract</t>
        </is>
      </c>
      <c r="L134"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135">
      <c r="A135" s="77" t="inlineStr">
        <is>
          <t>AU02-S15-R1</t>
        </is>
      </c>
      <c r="B135" s="77" t="inlineStr">
        <is>
          <t>AU02</t>
        </is>
      </c>
      <c r="C135" s="77" t="inlineStr">
        <is>
          <t>AU02-S15</t>
        </is>
      </c>
      <c r="D135" s="77" t="inlineStr">
        <is>
          <t>Business Innovation Challenge</t>
        </is>
      </c>
      <c r="E135" s="77" t="inlineStr">
        <is>
          <t>project; group; employer; eligibility; status</t>
        </is>
      </c>
      <c r="F135" s="77" t="inlineStr">
        <is>
          <t>https://mbs.unimelb.edu.au/career/expertise/business-innovation-challenge</t>
        </is>
      </c>
      <c r="G135" s="77" t="inlineStr">
        <is>
          <t>Business Innovation Challenge - Melbourne Business School</t>
        </is>
      </c>
      <c r="H135" s="77" t="inlineStr">
        <is>
          <t>Program page</t>
        </is>
      </c>
      <c r="I135" s="77" t="inlineStr">
        <is>
          <t>2026</t>
        </is>
      </c>
      <c r="J135" s="77" t="inlineStr">
        <is>
          <t>2026-10-12</t>
        </is>
      </c>
      <c r="K135" s="77" t="inlineStr">
        <is>
          <t>search-index extract</t>
        </is>
      </c>
      <c r="L135"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136">
      <c r="A136" s="77" t="inlineStr">
        <is>
          <t>AU02-S15-R2</t>
        </is>
      </c>
      <c r="B136" s="77" t="inlineStr">
        <is>
          <t>AU02</t>
        </is>
      </c>
      <c r="C136" s="77" t="inlineStr">
        <is>
          <t>AU02-S15</t>
        </is>
      </c>
      <c r="D136" s="77" t="inlineStr">
        <is>
          <t>Business Innovation Challenge</t>
        </is>
      </c>
      <c r="E136" s="77" t="inlineStr">
        <is>
          <t>status</t>
        </is>
      </c>
      <c r="F136" s="77" t="inlineStr">
        <is>
          <t>https://fbe.unimelb.edu.au/bcom/career/fbe-student-calendar/sep/semester-2-business-innovation-challenge-applications-open</t>
        </is>
      </c>
      <c r="G136" s="77" t="inlineStr">
        <is>
          <t>Semester 2 Business Innovation Challenge Applications Open</t>
        </is>
      </c>
      <c r="H136" s="77" t="inlineStr">
        <is>
          <t>Calendar</t>
        </is>
      </c>
      <c r="I136" s="77" t="inlineStr">
        <is>
          <t>2026</t>
        </is>
      </c>
      <c r="J136" s="77" t="inlineStr">
        <is>
          <t>2026-10-12</t>
        </is>
      </c>
      <c r="K136" s="77" t="inlineStr">
        <is>
          <t>search-index extract</t>
        </is>
      </c>
      <c r="L136" s="77" t="inlineStr">
        <is>
          <t>Applications for the semester 2 Business Innovation Challenge open 17 Aug 2026.</t>
        </is>
      </c>
    </row>
    <row r="137">
      <c r="A137" s="77" t="inlineStr">
        <is>
          <t>AU02-S16-R1</t>
        </is>
      </c>
      <c r="B137" s="77" t="inlineStr">
        <is>
          <t>AU02</t>
        </is>
      </c>
      <c r="C137" s="77" t="inlineStr">
        <is>
          <t>AU02-S16</t>
        </is>
      </c>
      <c r="D137" s="77" t="inlineStr">
        <is>
          <t>Virtual Industry Projects</t>
        </is>
      </c>
      <c r="E137" s="77" t="inlineStr">
        <is>
          <t>project; group; employer; eligibility; status</t>
        </is>
      </c>
      <c r="F137" s="77" t="inlineStr">
        <is>
          <t>https://mbs.unimelb.edu.au/career/expertise/virtual-industry-projects</t>
        </is>
      </c>
      <c r="G137" s="77" t="inlineStr">
        <is>
          <t>Virtual Industry Projects - Melbourne Business School</t>
        </is>
      </c>
      <c r="H137" s="77" t="inlineStr">
        <is>
          <t>Program page</t>
        </is>
      </c>
      <c r="I137" s="77" t="inlineStr">
        <is>
          <t>2026</t>
        </is>
      </c>
      <c r="J137" s="77" t="inlineStr">
        <is>
          <t>2026-10-12</t>
        </is>
      </c>
      <c r="K137" s="77" t="inlineStr">
        <is>
          <t>search-index extract</t>
        </is>
      </c>
      <c r="L137"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138">
      <c r="A138" s="77" t="inlineStr">
        <is>
          <t>AU02-S16-R2</t>
        </is>
      </c>
      <c r="B138" s="77" t="inlineStr">
        <is>
          <t>AU02</t>
        </is>
      </c>
      <c r="C138" s="77" t="inlineStr">
        <is>
          <t>AU02-S16</t>
        </is>
      </c>
      <c r="D138" s="77" t="inlineStr">
        <is>
          <t>Virtual Industry Projects</t>
        </is>
      </c>
      <c r="E138" s="77" t="inlineStr">
        <is>
          <t>status</t>
        </is>
      </c>
      <c r="F138" s="77" t="inlineStr">
        <is>
          <t>https://fbe.unimelb.edu.au/bcom/career/fbe-student-calendar/oct/virtual-industry-projects-summer-applications-open</t>
        </is>
      </c>
      <c r="G138" s="77" t="inlineStr">
        <is>
          <t>Virtual Industry Projects Summer Applications Open</t>
        </is>
      </c>
      <c r="H138" s="77" t="inlineStr">
        <is>
          <t>Calendar</t>
        </is>
      </c>
      <c r="I138" s="77" t="inlineStr">
        <is>
          <t>2026</t>
        </is>
      </c>
      <c r="J138" s="77" t="inlineStr">
        <is>
          <t>2026-10-12</t>
        </is>
      </c>
      <c r="K138" s="77" t="inlineStr">
        <is>
          <t>search-index extract</t>
        </is>
      </c>
      <c r="L138" s="77" t="inlineStr">
        <is>
          <t>Summer 2026 applications open 5-25 October 2026.</t>
        </is>
      </c>
    </row>
    <row r="139">
      <c r="A139" s="77" t="inlineStr">
        <is>
          <t>AU02-S17-R1</t>
        </is>
      </c>
      <c r="B139" s="77" t="inlineStr">
        <is>
          <t>AU02</t>
        </is>
      </c>
      <c r="C139" s="77" t="inlineStr">
        <is>
          <t>AU02-S17</t>
        </is>
      </c>
      <c r="D139" s="77" t="inlineStr">
        <is>
          <t>Group Project</t>
        </is>
      </c>
      <c r="E139" s="77" t="inlineStr">
        <is>
          <t>project; group; employer; credit</t>
        </is>
      </c>
      <c r="F139" s="77" t="inlineStr">
        <is>
          <t>https://handbook.unimelb.edu.au/subjects/mgmt90129/</t>
        </is>
      </c>
      <c r="G139" s="77" t="inlineStr">
        <is>
          <t>Group Project (MGMT90129)</t>
        </is>
      </c>
      <c r="H139" s="77" t="inlineStr">
        <is>
          <t>Overview/Assessment (2024 data)</t>
        </is>
      </c>
      <c r="I139" s="77" t="inlineStr">
        <is>
          <t>2024</t>
        </is>
      </c>
      <c r="J139" s="77" t="inlineStr">
        <is>
          <t>2026-10-12</t>
        </is>
      </c>
      <c r="K139" s="77" t="inlineStr">
        <is>
          <t>search-index extract</t>
        </is>
      </c>
      <c r="L139" s="77" t="inlineStr">
        <is>
          <t>The Group Project is a group research project, undertaken for an external organisation. ... group presentation worth 15% ... Each student in the group is awarded the same result.</t>
        </is>
      </c>
    </row>
    <row r="140">
      <c r="A140" s="77" t="inlineStr">
        <is>
          <t>AU02-S18-R1</t>
        </is>
      </c>
      <c r="B140" s="77" t="inlineStr">
        <is>
          <t>AU02</t>
        </is>
      </c>
      <c r="C140" s="77" t="inlineStr">
        <is>
          <t>AU02-S18</t>
        </is>
      </c>
      <c r="D140" s="77" t="inlineStr">
        <is>
          <t>Analytics Lab (Master of Business Analytics)</t>
        </is>
      </c>
      <c r="E140" s="77" t="inlineStr">
        <is>
          <t>project; employer</t>
        </is>
      </c>
      <c r="F140" s="77" t="inlineStr">
        <is>
          <t>https://mbs.edu/centres/centre-for-business-analytics/about-us</t>
        </is>
      </c>
      <c r="G140" s="77" t="inlineStr">
        <is>
          <t>About Us - Centre for Business Analytics</t>
        </is>
      </c>
      <c r="H140" s="77" t="inlineStr"/>
      <c r="I140" s="77" t="inlineStr">
        <is>
          <t>undated</t>
        </is>
      </c>
      <c r="J140" s="77" t="inlineStr">
        <is>
          <t>2026-10-12</t>
        </is>
      </c>
      <c r="K140" s="77" t="inlineStr">
        <is>
          <t>search-index extract</t>
        </is>
      </c>
      <c r="L140"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141">
      <c r="A141" s="77" t="inlineStr">
        <is>
          <t>AU02-S18-R2</t>
        </is>
      </c>
      <c r="B141" s="77" t="inlineStr">
        <is>
          <t>AU02</t>
        </is>
      </c>
      <c r="C141" s="77" t="inlineStr">
        <is>
          <t>AU02-S18</t>
        </is>
      </c>
      <c r="D141" s="77" t="inlineStr">
        <is>
          <t>Analytics Lab (Master of Business Analytics)</t>
        </is>
      </c>
      <c r="E141" s="77" t="inlineStr">
        <is>
          <t>employer</t>
        </is>
      </c>
      <c r="F141" s="77" t="inlineStr">
        <is>
          <t>https://mbs.edu/-/media/PDF/Brochures/Degree-Programs/Master-of-Business-Analytics-Brochure---Melbourne-Business-School.ashx</t>
        </is>
      </c>
      <c r="G141" s="77" t="inlineStr">
        <is>
          <t>Master of Business Analytics brochure</t>
        </is>
      </c>
      <c r="H141" s="77" t="inlineStr">
        <is>
          <t>Analytics Lab</t>
        </is>
      </c>
      <c r="I141" s="77" t="inlineStr">
        <is>
          <t>undated</t>
        </is>
      </c>
      <c r="J141" s="77" t="inlineStr">
        <is>
          <t>2026-10-12</t>
        </is>
      </c>
      <c r="K141" s="77" t="inlineStr">
        <is>
          <t>search-index extract</t>
        </is>
      </c>
      <c r="L141" s="77" t="inlineStr">
        <is>
          <t>students work within an organisation to help solve pressing business challenges in that five-week lab; snapshots for EY, Suncorp, Downer and L'Oreal Australia.</t>
        </is>
      </c>
    </row>
    <row r="142">
      <c r="A142" s="77" t="inlineStr">
        <is>
          <t>AU02-S19-R1</t>
        </is>
      </c>
      <c r="B142" s="77" t="inlineStr">
        <is>
          <t>AU02</t>
        </is>
      </c>
      <c r="C142" s="77" t="inlineStr">
        <is>
          <t>AU02-S19</t>
        </is>
      </c>
      <c r="D142" s="77" t="inlineStr">
        <is>
          <t>Creating Innovative Professionals (IPP Spark)</t>
        </is>
      </c>
      <c r="E142" s="77" t="inlineStr">
        <is>
          <t>project; group; employer; status; credit</t>
        </is>
      </c>
      <c r="F142" s="77" t="inlineStr">
        <is>
          <t>https://handbook.unimelb.edu.au/subjects/engr90039</t>
        </is>
      </c>
      <c r="G142" s="77" t="inlineStr">
        <is>
          <t>Creating Innovative Professionals (ENGR90039)</t>
        </is>
      </c>
      <c r="H142" s="77" t="inlineStr">
        <is>
          <t>Overview</t>
        </is>
      </c>
      <c r="I142" s="77" t="inlineStr">
        <is>
          <t>2026</t>
        </is>
      </c>
      <c r="J142" s="77" t="inlineStr">
        <is>
          <t>2026-10-12</t>
        </is>
      </c>
      <c r="K142" s="77" t="inlineStr">
        <is>
          <t>search-index extract</t>
        </is>
      </c>
      <c r="L142"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143">
      <c r="A143" s="77" t="inlineStr">
        <is>
          <t>AU02-S19-R2</t>
        </is>
      </c>
      <c r="B143" s="77" t="inlineStr">
        <is>
          <t>AU02</t>
        </is>
      </c>
      <c r="C143" s="77" t="inlineStr">
        <is>
          <t>AU02-S19</t>
        </is>
      </c>
      <c r="D143" s="77" t="inlineStr">
        <is>
          <t>Creating Innovative Professionals (IPP Spark)</t>
        </is>
      </c>
      <c r="E143" s="77" t="inlineStr">
        <is>
          <t>eligibility; reach</t>
        </is>
      </c>
      <c r="F143" s="77" t="inlineStr">
        <is>
          <t>https://handbook.unimelb.edu.au/2026/subjects/engr90039/eligibility-and-requirements</t>
        </is>
      </c>
      <c r="G143" s="77" t="inlineStr">
        <is>
          <t>Eligibility: ENGR90039 2026</t>
        </is>
      </c>
      <c r="H143" s="77" t="inlineStr">
        <is>
          <t>Eligibility</t>
        </is>
      </c>
      <c r="I143" s="77" t="inlineStr">
        <is>
          <t>2026</t>
        </is>
      </c>
      <c r="J143" s="77" t="inlineStr">
        <is>
          <t>2026-10-12</t>
        </is>
      </c>
      <c r="K143" s="77" t="inlineStr">
        <is>
          <t>search-index extract</t>
        </is>
      </c>
      <c r="L143" s="77" t="inlineStr">
        <is>
          <t>Lists specified masters programs plus approved programs in FBE and the School of Design; it is not possible to self-enrol in CIP. All enrolments are by application and are subject to a variable quota.</t>
        </is>
      </c>
    </row>
    <row r="144">
      <c r="A144" s="77" t="inlineStr">
        <is>
          <t>AU02-S19-R3</t>
        </is>
      </c>
      <c r="B144" s="77" t="inlineStr">
        <is>
          <t>AU02</t>
        </is>
      </c>
      <c r="C144" s="77" t="inlineStr">
        <is>
          <t>AU02-S19</t>
        </is>
      </c>
      <c r="D144" s="77" t="inlineStr">
        <is>
          <t>Creating Innovative Professionals (IPP Spark)</t>
        </is>
      </c>
      <c r="E144" s="77" t="inlineStr">
        <is>
          <t>participation</t>
        </is>
      </c>
      <c r="F144" s="77" t="inlineStr">
        <is>
          <t>https://ipp.eng.unimelb.edu.au/home/ipp-wins-feit-excellence-award</t>
        </is>
      </c>
      <c r="G144" s="77" t="inlineStr">
        <is>
          <t>IPP wins FEIT Excellence Award</t>
        </is>
      </c>
      <c r="H144" s="77" t="inlineStr"/>
      <c r="I144" s="77" t="inlineStr">
        <is>
          <t>undated</t>
        </is>
      </c>
      <c r="J144" s="77" t="inlineStr">
        <is>
          <t>2026-10-12</t>
        </is>
      </c>
      <c r="K144" s="77" t="inlineStr">
        <is>
          <t>search-index extract</t>
        </is>
      </c>
      <c r="L144" s="77" t="inlineStr">
        <is>
          <t>delivered more than 300 innovation projects with over 130 industry sponsors in six years.</t>
        </is>
      </c>
    </row>
    <row r="145">
      <c r="A145" s="77" t="inlineStr">
        <is>
          <t>AU02-S19-R4</t>
        </is>
      </c>
      <c r="B145" s="77" t="inlineStr">
        <is>
          <t>AU02</t>
        </is>
      </c>
      <c r="C145" s="77" t="inlineStr">
        <is>
          <t>AU02-S19</t>
        </is>
      </c>
      <c r="D145" s="77" t="inlineStr">
        <is>
          <t>Creating Innovative Professionals (IPP Spark)</t>
        </is>
      </c>
      <c r="E145" s="77" t="inlineStr">
        <is>
          <t>status</t>
        </is>
      </c>
      <c r="F145" s="77" t="inlineStr">
        <is>
          <t>https://mbs.unimelb.edu.au/career/apply-your-learning/creating-innovative-professionals</t>
        </is>
      </c>
      <c r="G145" s="77" t="inlineStr">
        <is>
          <t>Creating Innovative Professionals - MBS</t>
        </is>
      </c>
      <c r="H145" s="77" t="inlineStr"/>
      <c r="I145" s="77" t="inlineStr">
        <is>
          <t>2026</t>
        </is>
      </c>
      <c r="J145" s="77" t="inlineStr">
        <is>
          <t>2026-10-12</t>
        </is>
      </c>
      <c r="K145" s="77" t="inlineStr">
        <is>
          <t>search-index extract</t>
        </is>
      </c>
      <c r="L145" s="77" t="inlineStr">
        <is>
          <t>States CIP is not running in 2026 and limits eligibility to Master of International Business and Master of Management (conflicts with handbook).</t>
        </is>
      </c>
    </row>
    <row r="146">
      <c r="A146" s="77" t="inlineStr">
        <is>
          <t>AU02-S20-R1</t>
        </is>
      </c>
      <c r="B146" s="77" t="inlineStr">
        <is>
          <t>AU02</t>
        </is>
      </c>
      <c r="C146" s="77" t="inlineStr">
        <is>
          <t>AU02-S20</t>
        </is>
      </c>
      <c r="D146" s="77" t="inlineStr">
        <is>
          <t>Ignite (Opportunity Lab / O-Lab)</t>
        </is>
      </c>
      <c r="E146" s="77" t="inlineStr">
        <is>
          <t>project; group; employer; participation</t>
        </is>
      </c>
      <c r="F146" s="77" t="inlineStr">
        <is>
          <t>https://ipp.eng.unimelb.edu.au/for-industry/o-lab</t>
        </is>
      </c>
      <c r="G146" s="77" t="inlineStr">
        <is>
          <t>Ignite - Innovation Practice Program</t>
        </is>
      </c>
      <c r="H146" s="77" t="inlineStr">
        <is>
          <t>For industry</t>
        </is>
      </c>
      <c r="I146" s="77" t="inlineStr">
        <is>
          <t>undated (refers to 2021-2022)</t>
        </is>
      </c>
      <c r="J146" s="77" t="inlineStr">
        <is>
          <t>2026-10-12</t>
        </is>
      </c>
      <c r="K146" s="77" t="inlineStr">
        <is>
          <t>search-index extract</t>
        </is>
      </c>
      <c r="L146"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147">
      <c r="A147" s="77" t="inlineStr">
        <is>
          <t>AU02-S20-R2</t>
        </is>
      </c>
      <c r="B147" s="77" t="inlineStr">
        <is>
          <t>AU02</t>
        </is>
      </c>
      <c r="C147" s="77" t="inlineStr">
        <is>
          <t>AU02-S20</t>
        </is>
      </c>
      <c r="D147" s="77" t="inlineStr">
        <is>
          <t>Ignite (Opportunity Lab / O-Lab)</t>
        </is>
      </c>
      <c r="E147" s="77" t="inlineStr">
        <is>
          <t>reach; eligibility</t>
        </is>
      </c>
      <c r="F147" s="77" t="inlineStr">
        <is>
          <t>https://ipp.eng.unimelb.edu.au/for-students/o-lab</t>
        </is>
      </c>
      <c r="G147" s="77" t="inlineStr">
        <is>
          <t>Ignite (O-Lab) for Students</t>
        </is>
      </c>
      <c r="H147" s="77" t="inlineStr"/>
      <c r="I147" s="77" t="inlineStr">
        <is>
          <t>undated</t>
        </is>
      </c>
      <c r="J147" s="77" t="inlineStr">
        <is>
          <t>2026-10-12</t>
        </is>
      </c>
      <c r="K147" s="77" t="inlineStr">
        <is>
          <t>search-index extract</t>
        </is>
      </c>
      <c r="L147" s="77" t="inlineStr">
        <is>
          <t>O-Lab is open to postgraduate students across the University of Melbourne.</t>
        </is>
      </c>
    </row>
    <row r="148">
      <c r="A148" s="77" t="inlineStr">
        <is>
          <t>AU02-S21-R1</t>
        </is>
      </c>
      <c r="B148" s="77" t="inlineStr">
        <is>
          <t>AU02</t>
        </is>
      </c>
      <c r="C148" s="77" t="inlineStr">
        <is>
          <t>AU02-S21</t>
        </is>
      </c>
      <c r="D148" s="77" t="inlineStr">
        <is>
          <t>SCOUT (Students Consulting on University Translation)</t>
        </is>
      </c>
      <c r="E148" s="77" t="inlineStr">
        <is>
          <t>project; group; employer; status</t>
        </is>
      </c>
      <c r="F148" s="77" t="inlineStr">
        <is>
          <t>https://about.unimelb.edu.au/education-melbourne/our-people-in-action/university-students-lead-greenhouse-project-and-gain-industry-experience</t>
        </is>
      </c>
      <c r="G148" s="77" t="inlineStr">
        <is>
          <t>University students lead greenhouse project and gain industry experience</t>
        </is>
      </c>
      <c r="H148" s="77" t="inlineStr">
        <is>
          <t>News</t>
        </is>
      </c>
      <c r="I148" s="77" t="inlineStr">
        <is>
          <t>2026</t>
        </is>
      </c>
      <c r="J148" s="77" t="inlineStr">
        <is>
          <t>2026-10-12</t>
        </is>
      </c>
      <c r="K148" s="77" t="inlineStr">
        <is>
          <t>search-index extract</t>
        </is>
      </c>
      <c r="L148"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149">
      <c r="A149" s="77" t="inlineStr">
        <is>
          <t>AU02-S21-R2</t>
        </is>
      </c>
      <c r="B149" s="77" t="inlineStr">
        <is>
          <t>AU02</t>
        </is>
      </c>
      <c r="C149" s="77" t="inlineStr">
        <is>
          <t>AU02-S21</t>
        </is>
      </c>
      <c r="D149" s="77" t="inlineStr">
        <is>
          <t>SCOUT (Students Consulting on University Translation)</t>
        </is>
      </c>
      <c r="E149" s="77" t="inlineStr">
        <is>
          <t>group; reach; eligibility</t>
        </is>
      </c>
      <c r="F149" s="77" t="inlineStr">
        <is>
          <t>https://www.tagcaustralia.com/blog/scout-internship-program-provides-students-with-diverse-real-world-insight</t>
        </is>
      </c>
      <c r="G149" s="77" t="inlineStr">
        <is>
          <t>SCOUT internship program provides students with diverse real-world insight</t>
        </is>
      </c>
      <c r="H149" s="77" t="inlineStr">
        <is>
          <t>Blog</t>
        </is>
      </c>
      <c r="I149" s="77" t="inlineStr">
        <is>
          <t>2025 (approx.)</t>
        </is>
      </c>
      <c r="J149" s="77" t="inlineStr">
        <is>
          <t>2026-10-12</t>
        </is>
      </c>
      <c r="K149" s="77" t="inlineStr">
        <is>
          <t>search-index extract</t>
        </is>
      </c>
      <c r="L149"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150">
      <c r="A150" s="77" t="inlineStr">
        <is>
          <t>AU02-S22-R1</t>
        </is>
      </c>
      <c r="B150" s="77" t="inlineStr">
        <is>
          <t>AU02</t>
        </is>
      </c>
      <c r="C150" s="77" t="inlineStr">
        <is>
          <t>AU02-S22</t>
        </is>
      </c>
      <c r="D150" s="77" t="inlineStr">
        <is>
          <t>Indigenous Legal Advocacy Clinic</t>
        </is>
      </c>
      <c r="E150" s="77" t="inlineStr">
        <is>
          <t>project; group; employer</t>
        </is>
      </c>
      <c r="F150" s="77" t="inlineStr">
        <is>
          <t>https://law.unimelb.edu.au/students/jd/enrichment/mls-clinics/subjects/indigenous-legal-advocacy-clinic</t>
        </is>
      </c>
      <c r="G150" s="77" t="inlineStr">
        <is>
          <t>Indigenous Legal Advocacy Clinic - Melbourne Law School</t>
        </is>
      </c>
      <c r="H150" s="77" t="inlineStr">
        <is>
          <t>Subject page</t>
        </is>
      </c>
      <c r="I150" s="77" t="inlineStr">
        <is>
          <t>undated (repeats 2023 description)</t>
        </is>
      </c>
      <c r="J150" s="77" t="inlineStr">
        <is>
          <t>2026-10-12</t>
        </is>
      </c>
      <c r="K150" s="77" t="inlineStr">
        <is>
          <t>search-index extract</t>
        </is>
      </c>
      <c r="L150"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151">
      <c r="A151" s="77" t="inlineStr">
        <is>
          <t>AU02-S22-R2</t>
        </is>
      </c>
      <c r="B151" s="77" t="inlineStr">
        <is>
          <t>AU02</t>
        </is>
      </c>
      <c r="C151" s="77" t="inlineStr">
        <is>
          <t>AU02-S22</t>
        </is>
      </c>
      <c r="D151" s="77" t="inlineStr">
        <is>
          <t>Indigenous Legal Advocacy Clinic</t>
        </is>
      </c>
      <c r="E151" s="77" t="inlineStr">
        <is>
          <t>project; employer; status</t>
        </is>
      </c>
      <c r="F151" s="77" t="inlineStr">
        <is>
          <t>https://handbook.unimelb.edu.au/2025/subjects/laws90209</t>
        </is>
      </c>
      <c r="G151" s="77" t="inlineStr">
        <is>
          <t>Indigenous Legal Advocacy Clinic (LAWS90209) 2025</t>
        </is>
      </c>
      <c r="H151" s="77" t="inlineStr">
        <is>
          <t>Overview</t>
        </is>
      </c>
      <c r="I151" s="77" t="inlineStr">
        <is>
          <t>2025</t>
        </is>
      </c>
      <c r="J151" s="77" t="inlineStr">
        <is>
          <t>2026-10-12</t>
        </is>
      </c>
      <c r="K151" s="77" t="inlineStr">
        <is>
          <t>search-index extract</t>
        </is>
      </c>
      <c r="L151" s="77" t="inlineStr">
        <is>
          <t>On campus (Parkville), Semester 1; students work with an Indigenous organisation or campaign and produce a major project from a research brief the partner supplies (paraphrase; small-group wording absent).</t>
        </is>
      </c>
    </row>
    <row r="152">
      <c r="A152" s="77" t="inlineStr">
        <is>
          <t>AU02-S23-R1</t>
        </is>
      </c>
      <c r="B152" s="77" t="inlineStr">
        <is>
          <t>AU02</t>
        </is>
      </c>
      <c r="C152" s="77" t="inlineStr">
        <is>
          <t>AU02-S23</t>
        </is>
      </c>
      <c r="D152" s="77" t="inlineStr">
        <is>
          <t>Industry Partner project Studio</t>
        </is>
      </c>
      <c r="E152" s="77" t="inlineStr">
        <is>
          <t>project; group; credit</t>
        </is>
      </c>
      <c r="F152" s="77" t="inlineStr">
        <is>
          <t>https://handbook.unimelb.edu.au/2019/subjects/abpl30044</t>
        </is>
      </c>
      <c r="G152" s="77" t="inlineStr">
        <is>
          <t>Industry Partner project Studio (ABPL30044) 2019</t>
        </is>
      </c>
      <c r="H152" s="77" t="inlineStr">
        <is>
          <t>Overview</t>
        </is>
      </c>
      <c r="I152" s="77" t="inlineStr">
        <is>
          <t>2019</t>
        </is>
      </c>
      <c r="J152" s="77" t="inlineStr">
        <is>
          <t>2026-10-12</t>
        </is>
      </c>
      <c r="K152" s="77" t="inlineStr">
        <is>
          <t>search-index extract</t>
        </is>
      </c>
      <c r="L152"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153">
      <c r="A153" s="77" t="inlineStr">
        <is>
          <t>AU02-S23-R2</t>
        </is>
      </c>
      <c r="B153" s="77" t="inlineStr">
        <is>
          <t>AU02</t>
        </is>
      </c>
      <c r="C153" s="77" t="inlineStr">
        <is>
          <t>AU02-S23</t>
        </is>
      </c>
      <c r="D153" s="77" t="inlineStr">
        <is>
          <t>Industry Partner project Studio</t>
        </is>
      </c>
      <c r="E153" s="77" t="inlineStr">
        <is>
          <t>status</t>
        </is>
      </c>
      <c r="F153" s="77" t="inlineStr">
        <is>
          <t>https://students.unimelb.edu.au/__data/assets/pdf_file/0005/5407196/Course-based-fees_AF-and-OF_20260305.pdf</t>
        </is>
      </c>
      <c r="G153" s="77" t="inlineStr">
        <is>
          <t>UoM Fees, EFTSL values and Census (2026)</t>
        </is>
      </c>
      <c r="H153" s="77" t="inlineStr">
        <is>
          <t>Fee list</t>
        </is>
      </c>
      <c r="I153" s="77" t="inlineStr">
        <is>
          <t>2026</t>
        </is>
      </c>
      <c r="J153" s="77" t="inlineStr">
        <is>
          <t>2026-10-12</t>
        </is>
      </c>
      <c r="K153" s="77" t="inlineStr">
        <is>
          <t>search-index extract</t>
        </is>
      </c>
      <c r="L153" s="77" t="inlineStr">
        <is>
          <t>ABPL30044 listed at 0.125 EFTSL.</t>
        </is>
      </c>
    </row>
    <row r="154">
      <c r="A154" s="77" t="inlineStr">
        <is>
          <t>AU06-S01-R1</t>
        </is>
      </c>
      <c r="B154" s="77" t="inlineStr">
        <is>
          <t>AU06</t>
        </is>
      </c>
      <c r="C154" s="77" t="inlineStr">
        <is>
          <t>AU06-S01</t>
        </is>
      </c>
      <c r="D154" s="77" t="inlineStr">
        <is>
          <t>Ventures Industry Challenge</t>
        </is>
      </c>
      <c r="E154" s="77" t="inlineStr">
        <is>
          <t>project; group; employer; reach; eligibility; status; participation</t>
        </is>
      </c>
      <c r="F154" s="77" t="inlineStr">
        <is>
          <t>https://ventures.uq.edu.au/industry-challenge</t>
        </is>
      </c>
      <c r="G154" s="77" t="inlineStr">
        <is>
          <t>Ventures Industry Challenge</t>
        </is>
      </c>
      <c r="H154" s="77" t="inlineStr">
        <is>
          <t>Main page</t>
        </is>
      </c>
      <c r="I154" s="77" t="inlineStr">
        <is>
          <t>2026 (page describes 2026 edition)</t>
        </is>
      </c>
      <c r="J154" s="77" t="inlineStr">
        <is>
          <t>2026-10-12</t>
        </is>
      </c>
      <c r="K154" s="77" t="inlineStr">
        <is>
          <t>search-summary paraphrase</t>
        </is>
      </c>
      <c r="L154"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155">
      <c r="A155" s="77" t="inlineStr">
        <is>
          <t>AU06-S01-R2</t>
        </is>
      </c>
      <c r="B155" s="77" t="inlineStr">
        <is>
          <t>AU06</t>
        </is>
      </c>
      <c r="C155" s="77" t="inlineStr">
        <is>
          <t>AU06-S01</t>
        </is>
      </c>
      <c r="D155" s="77" t="inlineStr">
        <is>
          <t>Ventures Industry Challenge</t>
        </is>
      </c>
      <c r="E155" s="77" t="inlineStr">
        <is>
          <t>employer; status</t>
        </is>
      </c>
      <c r="F155" s="77" t="inlineStr">
        <is>
          <t>https://ventures.uq.edu.au/article/2024/10/ventures-industry-challenge-hooks-finalist-status-2024-excellence-awards</t>
        </is>
      </c>
      <c r="G155" s="77" t="inlineStr">
        <is>
          <t>Ventures Industry Challenge hooks finalist status in 2024 Excellence Awards</t>
        </is>
      </c>
      <c r="H155" s="77" t="inlineStr">
        <is>
          <t>News article</t>
        </is>
      </c>
      <c r="I155" s="77" t="inlineStr">
        <is>
          <t>2024</t>
        </is>
      </c>
      <c r="J155" s="77" t="inlineStr">
        <is>
          <t>2026-10-12</t>
        </is>
      </c>
      <c r="K155" s="77" t="inlineStr">
        <is>
          <t>search-summary paraphrase</t>
        </is>
      </c>
      <c r="L155" s="77" t="inlineStr">
        <is>
          <t>2024 edition used an Ocean Innovation theme with the Port of Brisbane; programme a Finalist in the Engagement Australia 2024 Excellence Awards.</t>
        </is>
      </c>
    </row>
    <row r="156">
      <c r="A156" s="77" t="inlineStr">
        <is>
          <t>AU06-S01-R3</t>
        </is>
      </c>
      <c r="B156" s="77" t="inlineStr">
        <is>
          <t>AU06</t>
        </is>
      </c>
      <c r="C156" s="77" t="inlineStr">
        <is>
          <t>AU06-S01</t>
        </is>
      </c>
      <c r="D156" s="77" t="inlineStr">
        <is>
          <t>Ventures Industry Challenge</t>
        </is>
      </c>
      <c r="E156" s="77" t="inlineStr">
        <is>
          <t>group; eligibility; duration; status</t>
        </is>
      </c>
      <c r="F156" s="77" t="inlineStr">
        <is>
          <t>https://ventures.uq.edu.au/industry-challenge</t>
        </is>
      </c>
      <c r="G156" s="77" t="inlineStr">
        <is>
          <t>Ventures Industry Challenge</t>
        </is>
      </c>
      <c r="H156" s="77" t="inlineStr">
        <is>
          <t>2026 details</t>
        </is>
      </c>
      <c r="I156" s="77" t="inlineStr">
        <is>
          <t>2026</t>
        </is>
      </c>
      <c r="J156" s="77" t="inlineStr">
        <is>
          <t>2026-10-12</t>
        </is>
      </c>
      <c r="K156" s="77" t="inlineStr">
        <is>
          <t>search-summary paraphrase</t>
        </is>
      </c>
      <c r="L156" s="77" t="inlineStr">
        <is>
          <t>Across September, student teams explore challenges related to sexual health and wellbeing; teams encouraged to be cross-disciplinary, 'no matter your discipline or year level'; 'Judging Criteria and Terms and Conditions apply to the pitch competition'.</t>
        </is>
      </c>
    </row>
    <row r="157">
      <c r="A157" s="77" t="inlineStr">
        <is>
          <t>AU06-S02-R1</t>
        </is>
      </c>
      <c r="B157" s="77" t="inlineStr">
        <is>
          <t>AU06</t>
        </is>
      </c>
      <c r="C157" s="77" t="inlineStr">
        <is>
          <t>AU06-S02</t>
        </is>
      </c>
      <c r="D157" s="77" t="inlineStr">
        <is>
          <t>Practera SAIEP - Industry Experience Projects</t>
        </is>
      </c>
      <c r="E157" s="77" t="inlineStr">
        <is>
          <t>project; group; employer; reach; eligibility; duration; status</t>
        </is>
      </c>
      <c r="F157" s="77" t="inlineStr">
        <is>
          <t>https://employability.uq.edu.au/practera-saiep-industry-experience-projects</t>
        </is>
      </c>
      <c r="G157" s="77" t="inlineStr">
        <is>
          <t>Practera SAIEP - Industry Experience Projects</t>
        </is>
      </c>
      <c r="H157" s="77" t="inlineStr">
        <is>
          <t>Main page</t>
        </is>
      </c>
      <c r="I157" s="77" t="inlineStr">
        <is>
          <t>2026/27 (Summer 2026/2027 orientation dates listed)</t>
        </is>
      </c>
      <c r="J157" s="77" t="inlineStr">
        <is>
          <t>2026-10-12</t>
        </is>
      </c>
      <c r="K157" s="77" t="inlineStr">
        <is>
          <t>search-summary paraphrase</t>
        </is>
      </c>
      <c r="L157"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158">
      <c r="A158" s="77" t="inlineStr">
        <is>
          <t>AU06-S03-R1</t>
        </is>
      </c>
      <c r="B158" s="77" t="inlineStr">
        <is>
          <t>AU06</t>
        </is>
      </c>
      <c r="C158" s="77" t="inlineStr">
        <is>
          <t>AU06-S03</t>
        </is>
      </c>
      <c r="D158" s="77" t="inlineStr">
        <is>
          <t>Industry Consulting Project (Business Industry Consultancy Project)</t>
        </is>
      </c>
      <c r="E158" s="77" t="inlineStr">
        <is>
          <t>project; group; employer; eligibility; status; duration</t>
        </is>
      </c>
      <c r="F158" s="77" t="inlineStr">
        <is>
          <t>https://bel.uq.edu.au/for-students/careers/wil/industry-project</t>
        </is>
      </c>
      <c r="G158" s="77" t="inlineStr">
        <is>
          <t>Industry consulting project - Faculty of Business, Economics &amp; Law</t>
        </is>
      </c>
      <c r="H158" s="77" t="inlineStr">
        <is>
          <t>Student page</t>
        </is>
      </c>
      <c r="I158" s="77" t="inlineStr">
        <is>
          <t>2026 (application deadlines for Summer 2026-27 and Semester 1 2027)</t>
        </is>
      </c>
      <c r="J158" s="77" t="inlineStr">
        <is>
          <t>2026-10-12</t>
        </is>
      </c>
      <c r="K158" s="77" t="inlineStr">
        <is>
          <t>search-summary paraphrase</t>
        </is>
      </c>
      <c r="L158"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159">
      <c r="A159" s="77" t="inlineStr">
        <is>
          <t>AU06-S03-R2</t>
        </is>
      </c>
      <c r="B159" s="77" t="inlineStr">
        <is>
          <t>AU06</t>
        </is>
      </c>
      <c r="C159" s="77" t="inlineStr">
        <is>
          <t>AU06-S03</t>
        </is>
      </c>
      <c r="D159" s="77" t="inlineStr">
        <is>
          <t>Industry Consulting Project (Business Industry Consultancy Project)</t>
        </is>
      </c>
      <c r="E159" s="77" t="inlineStr">
        <is>
          <t>group; employer</t>
        </is>
      </c>
      <c r="F159" s="77" t="inlineStr">
        <is>
          <t>https://about.uq.edu.au/faculties-institutes/bel/partners-community/partnerships/work-with-students</t>
        </is>
      </c>
      <c r="G159" s="77" t="inlineStr">
        <is>
          <t>Work with our students (BEL)</t>
        </is>
      </c>
      <c r="H159" s="77" t="inlineStr">
        <is>
          <t>Partner-facing page</t>
        </is>
      </c>
      <c r="I159" s="77" t="inlineStr">
        <is>
          <t>undated</t>
        </is>
      </c>
      <c r="J159" s="77" t="inlineStr">
        <is>
          <t>2026-10-12</t>
        </is>
      </c>
      <c r="K159" s="77" t="inlineStr">
        <is>
          <t>search-summary paraphrase</t>
        </is>
      </c>
      <c r="L159" s="77" t="inlineStr">
        <is>
          <t>Consultancy projects in which students 'work in teams to develop a tailored response to your project brief with the support of a UQ mentor'.</t>
        </is>
      </c>
    </row>
    <row r="160">
      <c r="A160" s="77" t="inlineStr">
        <is>
          <t>AU06-S03-R3</t>
        </is>
      </c>
      <c r="B160" s="77" t="inlineStr">
        <is>
          <t>AU06</t>
        </is>
      </c>
      <c r="C160" s="77" t="inlineStr">
        <is>
          <t>AU06-S03</t>
        </is>
      </c>
      <c r="D160" s="77" t="inlineStr">
        <is>
          <t>Industry Consulting Project (Business Industry Consultancy Project)</t>
        </is>
      </c>
      <c r="E160" s="77" t="inlineStr">
        <is>
          <t>eligibility; credit</t>
        </is>
      </c>
      <c r="F160" s="77" t="inlineStr">
        <is>
          <t>https://programs-courses.uq.edu.au/course.html?course_code=RBUS3888</t>
        </is>
      </c>
      <c r="G160" s="77" t="inlineStr">
        <is>
          <t>Business Industry Consultancy Project (RBUS3888)</t>
        </is>
      </c>
      <c r="H160" s="77" t="inlineStr">
        <is>
          <t>Course page</t>
        </is>
      </c>
      <c r="I160" s="77" t="inlineStr">
        <is>
          <t>undated</t>
        </is>
      </c>
      <c r="J160" s="77" t="inlineStr">
        <is>
          <t>2026-10-12</t>
        </is>
      </c>
      <c r="K160" s="77" t="inlineStr">
        <is>
          <t>search-summary paraphrase</t>
        </is>
      </c>
      <c r="L160" s="77" t="inlineStr">
        <is>
          <t>Prerequisite GPA of 4.0 or higher and approval from Head of School via BEL Student Administration Team.</t>
        </is>
      </c>
    </row>
    <row r="161">
      <c r="A161" s="77" t="inlineStr">
        <is>
          <t>AU06-S04-R1</t>
        </is>
      </c>
      <c r="B161" s="77" t="inlineStr">
        <is>
          <t>AU06</t>
        </is>
      </c>
      <c r="C161" s="77" t="inlineStr">
        <is>
          <t>AU06-S04</t>
        </is>
      </c>
      <c r="D161" s="77" t="inlineStr">
        <is>
          <t>Learning by Doing in a Disruptive World</t>
        </is>
      </c>
      <c r="E161" s="77" t="inlineStr">
        <is>
          <t>project; group; employer; reach; status; credit</t>
        </is>
      </c>
      <c r="F161" s="77" t="inlineStr">
        <is>
          <t>https://programs-courses.uq.edu.au/course.html?course_code=PBEL3000</t>
        </is>
      </c>
      <c r="G161" s="77" t="inlineStr">
        <is>
          <t>Learning by Doing in a Disruptive World (PBEL3000)</t>
        </is>
      </c>
      <c r="H161" s="77" t="inlineStr">
        <is>
          <t>Course description</t>
        </is>
      </c>
      <c r="I161" s="77" t="inlineStr">
        <is>
          <t>Summer Semester 2025 offering listed</t>
        </is>
      </c>
      <c r="J161" s="77" t="inlineStr">
        <is>
          <t>2026-10-12</t>
        </is>
      </c>
      <c r="K161" s="77" t="inlineStr">
        <is>
          <t>search-index extract (quoted)</t>
        </is>
      </c>
      <c r="L161"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162">
      <c r="A162" s="77" t="inlineStr">
        <is>
          <t>AU06-S04-R2</t>
        </is>
      </c>
      <c r="B162" s="77" t="inlineStr">
        <is>
          <t>AU06</t>
        </is>
      </c>
      <c r="C162" s="77" t="inlineStr">
        <is>
          <t>AU06-S04</t>
        </is>
      </c>
      <c r="D162" s="77" t="inlineStr">
        <is>
          <t>Learning by Doing in a Disruptive World</t>
        </is>
      </c>
      <c r="E162" s="77" t="inlineStr">
        <is>
          <t>group; project; employer; credit</t>
        </is>
      </c>
      <c r="F162" s="77" t="inlineStr">
        <is>
          <t>https://course-profiles.uq.edu.au/course-profiles/PBEL3000-80098-7480</t>
        </is>
      </c>
      <c r="G162" s="77" t="inlineStr">
        <is>
          <t>PBEL3000 course profile</t>
        </is>
      </c>
      <c r="H162" s="77" t="inlineStr">
        <is>
          <t>Assessment</t>
        </is>
      </c>
      <c r="I162" s="77" t="inlineStr">
        <is>
          <t>2024</t>
        </is>
      </c>
      <c r="J162" s="77" t="inlineStr">
        <is>
          <t>2026-10-12</t>
        </is>
      </c>
      <c r="K162" s="77" t="inlineStr">
        <is>
          <t>search-summary paraphrase</t>
        </is>
      </c>
      <c r="L162" s="77" t="inlineStr">
        <is>
          <t>Teams of 3-5; team presentation (30%) pitches solution to partner, who questions team and gives feedback; final industry report (40%) 2,000-3,000 words.</t>
        </is>
      </c>
    </row>
    <row r="163">
      <c r="A163" s="77" t="inlineStr">
        <is>
          <t>AU06-S04-R3</t>
        </is>
      </c>
      <c r="B163" s="77" t="inlineStr">
        <is>
          <t>AU06</t>
        </is>
      </c>
      <c r="C163" s="77" t="inlineStr">
        <is>
          <t>AU06-S04</t>
        </is>
      </c>
      <c r="D163" s="77" t="inlineStr">
        <is>
          <t>Learning by Doing in a Disruptive World</t>
        </is>
      </c>
      <c r="E163" s="77" t="inlineStr">
        <is>
          <t>employer; status</t>
        </is>
      </c>
      <c r="F163" s="77" t="inlineStr">
        <is>
          <t>https://bel.uq.edu.au/blog/2022/11/staff-take-centre-stage-2022-bel-employee-excellence-awards</t>
        </is>
      </c>
      <c r="G163" s="77" t="inlineStr">
        <is>
          <t>2022 BEL Awards for Excellence</t>
        </is>
      </c>
      <c r="H163" s="77" t="inlineStr">
        <is>
          <t>Award notice</t>
        </is>
      </c>
      <c r="I163" s="77" t="inlineStr">
        <is>
          <t>2022</t>
        </is>
      </c>
      <c r="J163" s="77" t="inlineStr">
        <is>
          <t>2026-10-12</t>
        </is>
      </c>
      <c r="K163" s="77" t="inlineStr">
        <is>
          <t>search-summary paraphrase</t>
        </is>
      </c>
      <c r="L163" s="77" t="inlineStr">
        <is>
          <t>Course developed by Dr Frederik von Briel; first delivered Summer Semester 2021 as BEL Employability Capstone; helped four industry partners with innovative solutions.</t>
        </is>
      </c>
    </row>
    <row r="164">
      <c r="A164" s="77" t="inlineStr">
        <is>
          <t>AU06-S05-R1</t>
        </is>
      </c>
      <c r="B164" s="77" t="inlineStr">
        <is>
          <t>AU06</t>
        </is>
      </c>
      <c r="C164" s="77" t="inlineStr">
        <is>
          <t>AU06-S05</t>
        </is>
      </c>
      <c r="D164" s="77" t="inlineStr">
        <is>
          <t>Impact Academy 1: Discovering New Solutions for Complex Problems</t>
        </is>
      </c>
      <c r="E164" s="77" t="inlineStr">
        <is>
          <t>project; group; employer; status; credit</t>
        </is>
      </c>
      <c r="F164" s="77" t="inlineStr">
        <is>
          <t>https://programs-courses.uq.edu.au/course.html?course_code=MGTS7820</t>
        </is>
      </c>
      <c r="G164" s="77" t="inlineStr">
        <is>
          <t>Impact Academy 1: Discovering New Solutions for Complex Problems (MGTS7820)</t>
        </is>
      </c>
      <c r="H164" s="77" t="inlineStr">
        <is>
          <t>Course page / 2026 course profile (MGTS7820-60075-7560)</t>
        </is>
      </c>
      <c r="I164" s="77" t="inlineStr">
        <is>
          <t>2026 (Semester 1, 2026 offering)</t>
        </is>
      </c>
      <c r="J164" s="77" t="inlineStr">
        <is>
          <t>2026-10-12</t>
        </is>
      </c>
      <c r="K164" s="77" t="inlineStr">
        <is>
          <t>search-summary paraphrase</t>
        </is>
      </c>
      <c r="L164"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165">
      <c r="A165" s="77" t="inlineStr">
        <is>
          <t>AU06-S05-R2</t>
        </is>
      </c>
      <c r="B165" s="77" t="inlineStr">
        <is>
          <t>AU06</t>
        </is>
      </c>
      <c r="C165" s="77" t="inlineStr">
        <is>
          <t>AU06-S05</t>
        </is>
      </c>
      <c r="D165" s="77" t="inlineStr">
        <is>
          <t>Impact Academy 1: Discovering New Solutions for Complex Problems</t>
        </is>
      </c>
      <c r="E165" s="77" t="inlineStr">
        <is>
          <t>employer; duration</t>
        </is>
      </c>
      <c r="F165" s="77" t="inlineStr">
        <is>
          <t>https://business.uq.edu.au/current-students/mba-industry-projects</t>
        </is>
      </c>
      <c r="G165" s="77" t="inlineStr">
        <is>
          <t>MBA Industry Projects - UQ Business School</t>
        </is>
      </c>
      <c r="H165" s="77" t="inlineStr">
        <is>
          <t>Main page</t>
        </is>
      </c>
      <c r="I165" s="77" t="inlineStr">
        <is>
          <t>undated</t>
        </is>
      </c>
      <c r="J165" s="77" t="inlineStr">
        <is>
          <t>2026-10-12</t>
        </is>
      </c>
      <c r="K165" s="77" t="inlineStr">
        <is>
          <t>search-summary paraphrase</t>
        </is>
      </c>
      <c r="L165" s="77" t="inlineStr">
        <is>
          <t>Consulting projects free to partner organisations; teams work with client for three to four months; projects best address a genuine business problem.</t>
        </is>
      </c>
    </row>
    <row r="166">
      <c r="A166" s="77" t="inlineStr">
        <is>
          <t>AU06-S05-R3</t>
        </is>
      </c>
      <c r="B166" s="77" t="inlineStr">
        <is>
          <t>AU06</t>
        </is>
      </c>
      <c r="C166" s="77" t="inlineStr">
        <is>
          <t>AU06-S05</t>
        </is>
      </c>
      <c r="D166" s="77" t="inlineStr">
        <is>
          <t>Impact Academy 1: Discovering New Solutions for Complex Problems</t>
        </is>
      </c>
      <c r="E166" s="77" t="inlineStr">
        <is>
          <t>employer; participation</t>
        </is>
      </c>
      <c r="F166" s="77" t="inlineStr">
        <is>
          <t>https://study.uq.edu.au/stories/mba-capstone-projects-industry-experience</t>
        </is>
      </c>
      <c r="G166" s="77" t="inlineStr">
        <is>
          <t>UQ MBA Impact Academy</t>
        </is>
      </c>
      <c r="H166" s="77" t="inlineStr">
        <is>
          <t>Story</t>
        </is>
      </c>
      <c r="I166" s="77" t="inlineStr">
        <is>
          <t>undated</t>
        </is>
      </c>
      <c r="J166" s="77" t="inlineStr">
        <is>
          <t>2026-10-12</t>
        </is>
      </c>
      <c r="K166" s="77" t="inlineStr">
        <is>
          <t>search-summary paraphrase</t>
        </is>
      </c>
      <c r="L166"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167">
      <c r="A167" s="77" t="inlineStr">
        <is>
          <t>AU06-S06-R1</t>
        </is>
      </c>
      <c r="B167" s="77" t="inlineStr">
        <is>
          <t>AU06</t>
        </is>
      </c>
      <c r="C167" s="77" t="inlineStr">
        <is>
          <t>AU06-S06</t>
        </is>
      </c>
      <c r="D167" s="77" t="inlineStr">
        <is>
          <t>Industry Engagement Capstone</t>
        </is>
      </c>
      <c r="E167" s="77" t="inlineStr">
        <is>
          <t>project; group; employer; credit; status</t>
        </is>
      </c>
      <c r="F167" s="77" t="inlineStr">
        <is>
          <t>https://course-profiles.uq.edu.au/course-profiles/MGTS7818-60293-7460</t>
        </is>
      </c>
      <c r="G167" s="77" t="inlineStr">
        <is>
          <t>MGTS7818 course profile</t>
        </is>
      </c>
      <c r="H167" s="77" t="inlineStr">
        <is>
          <t>Course description and assessment</t>
        </is>
      </c>
      <c r="I167" s="77" t="inlineStr">
        <is>
          <t>2024</t>
        </is>
      </c>
      <c r="J167" s="77" t="inlineStr">
        <is>
          <t>2026-10-12</t>
        </is>
      </c>
      <c r="K167" s="77" t="inlineStr">
        <is>
          <t>search-summary paraphrase</t>
        </is>
      </c>
      <c r="L167"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168">
      <c r="A168" s="77" t="inlineStr">
        <is>
          <t>AU06-S06-R2</t>
        </is>
      </c>
      <c r="B168" s="77" t="inlineStr">
        <is>
          <t>AU06</t>
        </is>
      </c>
      <c r="C168" s="77" t="inlineStr">
        <is>
          <t>AU06-S06</t>
        </is>
      </c>
      <c r="D168" s="77" t="inlineStr">
        <is>
          <t>Industry Engagement Capstone</t>
        </is>
      </c>
      <c r="E168" s="77" t="inlineStr">
        <is>
          <t>status</t>
        </is>
      </c>
      <c r="F168" s="77" t="inlineStr">
        <is>
          <t>https://my.uq.edu.au/programs-courses/course.html?course_code=MGTS7818</t>
        </is>
      </c>
      <c r="G168" s="77" t="inlineStr">
        <is>
          <t>Industry Engagement Capstone (MGTS7818)</t>
        </is>
      </c>
      <c r="H168" s="77" t="inlineStr">
        <is>
          <t>Course page</t>
        </is>
      </c>
      <c r="I168" s="77" t="inlineStr">
        <is>
          <t>undated</t>
        </is>
      </c>
      <c r="J168" s="77" t="inlineStr">
        <is>
          <t>2026-10-12</t>
        </is>
      </c>
      <c r="K168" s="77" t="inlineStr">
        <is>
          <t>search-summary paraphrase</t>
        </is>
      </c>
      <c r="L168" s="77" t="inlineStr">
        <is>
          <t>Most recent listed offerings Semester 1 and Semester 2 2024.</t>
        </is>
      </c>
    </row>
    <row r="169">
      <c r="A169" s="77" t="inlineStr">
        <is>
          <t>AU09-S01-R1</t>
        </is>
      </c>
      <c r="B169" s="77" t="inlineStr">
        <is>
          <t>AU09</t>
        </is>
      </c>
      <c r="C169" s="77" t="inlineStr">
        <is>
          <t>AU09-S01</t>
        </is>
      </c>
      <c r="D169" s="77" t="inlineStr">
        <is>
          <t>Transdisciplinary (TD) Electives</t>
        </is>
      </c>
      <c r="E169" s="77" t="inlineStr">
        <is>
          <t>project; group; employer; reach; eligibility</t>
        </is>
      </c>
      <c r="F169" s="77" t="inlineStr">
        <is>
          <t>https://www.uts.edu.au/for-students/transdisciplinary-innovation/transdisciplinary-electives</t>
        </is>
      </c>
      <c r="G169" s="77" t="inlineStr">
        <is>
          <t>Transdisciplinary Electives at UTS</t>
        </is>
      </c>
      <c r="H169" s="77" t="inlineStr">
        <is>
          <t>Student page</t>
        </is>
      </c>
      <c r="I169" s="77" t="inlineStr">
        <is>
          <t>undated</t>
        </is>
      </c>
      <c r="J169" s="77" t="inlineStr">
        <is>
          <t>2026-10-12</t>
        </is>
      </c>
      <c r="K169" s="77" t="inlineStr">
        <is>
          <t>search-summary paraphrase</t>
        </is>
      </c>
      <c r="L169" s="77" t="inlineStr">
        <is>
          <t>Each TD elective subject involves a real-world challenge presented by an industry partner organisation; students from across all faculties collaborate in teams; BCII students choose a different elective.</t>
        </is>
      </c>
    </row>
    <row r="170">
      <c r="A170" s="77" t="inlineStr">
        <is>
          <t>AU09-S01-R2</t>
        </is>
      </c>
      <c r="B170" s="77" t="inlineStr">
        <is>
          <t>AU09</t>
        </is>
      </c>
      <c r="C170" s="77" t="inlineStr">
        <is>
          <t>AU09-S01</t>
        </is>
      </c>
      <c r="D170" s="77" t="inlineStr">
        <is>
          <t>Transdisciplinary (TD) Electives</t>
        </is>
      </c>
      <c r="E170" s="77" t="inlineStr">
        <is>
          <t>project; employer</t>
        </is>
      </c>
      <c r="F170" s="77" t="inlineStr">
        <is>
          <t>https://www.uts.edu.au/about/faculties/transdisciplinary-school/partnerships/how-get-involved/project-based-engagements/td-electives</t>
        </is>
      </c>
      <c r="G170" s="77" t="inlineStr">
        <is>
          <t>TD electives (partner page)</t>
        </is>
      </c>
      <c r="H170" s="77" t="inlineStr">
        <is>
          <t>Partnerships &gt; Project-based engagements</t>
        </is>
      </c>
      <c r="I170" s="77" t="inlineStr">
        <is>
          <t>undated</t>
        </is>
      </c>
      <c r="J170" s="77" t="inlineStr">
        <is>
          <t>2026-10-12</t>
        </is>
      </c>
      <c r="K170" s="77" t="inlineStr">
        <is>
          <t>search-index extract (quoted)</t>
        </is>
      </c>
      <c r="L170"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171">
      <c r="A171" s="77" t="inlineStr">
        <is>
          <t>AU09-S01-R3</t>
        </is>
      </c>
      <c r="B171" s="77" t="inlineStr">
        <is>
          <t>AU09</t>
        </is>
      </c>
      <c r="C171" s="77" t="inlineStr">
        <is>
          <t>AU09-S01</t>
        </is>
      </c>
      <c r="D171" s="77" t="inlineStr">
        <is>
          <t>Transdisciplinary (TD) Electives</t>
        </is>
      </c>
      <c r="E171" s="77" t="inlineStr">
        <is>
          <t>project; employer; status</t>
        </is>
      </c>
      <c r="F171" s="77" t="inlineStr">
        <is>
          <t>https://www.uts.edu.au/globalassets/sites/default/files/article/downloads/td-electives-2026-brochure.pdf</t>
        </is>
      </c>
      <c r="G171" s="77" t="inlineStr">
        <is>
          <t>TD Electives Program (2026 brochure)</t>
        </is>
      </c>
      <c r="H171" s="77" t="inlineStr">
        <is>
          <t>Partner brochure</t>
        </is>
      </c>
      <c r="I171" s="77" t="inlineStr">
        <is>
          <t>2026</t>
        </is>
      </c>
      <c r="J171" s="77" t="inlineStr">
        <is>
          <t>2026-10-12</t>
        </is>
      </c>
      <c r="K171" s="77" t="inlineStr">
        <is>
          <t>search-index extract (quoted)</t>
        </is>
      </c>
      <c r="L171"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172">
      <c r="A172" s="77" t="inlineStr">
        <is>
          <t>AU09-S01-R4</t>
        </is>
      </c>
      <c r="B172" s="77" t="inlineStr">
        <is>
          <t>AU09</t>
        </is>
      </c>
      <c r="C172" s="77" t="inlineStr">
        <is>
          <t>AU09-S01</t>
        </is>
      </c>
      <c r="D172" s="77" t="inlineStr">
        <is>
          <t>Transdisciplinary (TD) Electives</t>
        </is>
      </c>
      <c r="E172" s="77" t="inlineStr">
        <is>
          <t>project; credit</t>
        </is>
      </c>
      <c r="F172" s="77" t="inlineStr">
        <is>
          <t>https://handbookpre2025.uts.edu.au/2024_1/subjects/details/95009.html</t>
        </is>
      </c>
      <c r="G172" s="77" t="inlineStr">
        <is>
          <t>UTS: 95009 TD: Change-making for social impact</t>
        </is>
      </c>
      <c r="H172" s="77" t="inlineStr">
        <is>
          <t>Assessment</t>
        </is>
      </c>
      <c r="I172" s="77" t="inlineStr">
        <is>
          <t>2024</t>
        </is>
      </c>
      <c r="J172" s="77" t="inlineStr">
        <is>
          <t>2026-10-12</t>
        </is>
      </c>
      <c r="K172" s="77" t="inlineStr">
        <is>
          <t>search-summary paraphrase</t>
        </is>
      </c>
      <c r="L172" s="77" t="inlineStr">
        <is>
          <t>Major task worth 40% includes a 10 minute presentation, a poster and a Miro board.</t>
        </is>
      </c>
    </row>
    <row r="173">
      <c r="A173" s="77" t="inlineStr">
        <is>
          <t>AU09-S01-R5</t>
        </is>
      </c>
      <c r="B173" s="77" t="inlineStr">
        <is>
          <t>AU09</t>
        </is>
      </c>
      <c r="C173" s="77" t="inlineStr">
        <is>
          <t>AU09-S01</t>
        </is>
      </c>
      <c r="D173" s="77" t="inlineStr">
        <is>
          <t>Transdisciplinary (TD) Electives</t>
        </is>
      </c>
      <c r="E173" s="77" t="inlineStr">
        <is>
          <t>status; credit</t>
        </is>
      </c>
      <c r="F173" s="77" t="inlineStr">
        <is>
          <t>https://coursehandbook.uts.edu.au/subject/2026/95010</t>
        </is>
      </c>
      <c r="G173" s="77" t="inlineStr">
        <is>
          <t>TD: Reframing, remixing, reimagining society +</t>
        </is>
      </c>
      <c r="H173" s="77" t="inlineStr">
        <is>
          <t>2026 handbook subject entry</t>
        </is>
      </c>
      <c r="I173" s="77" t="inlineStr">
        <is>
          <t>2026</t>
        </is>
      </c>
      <c r="J173" s="77" t="inlineStr">
        <is>
          <t>2026-10-12</t>
        </is>
      </c>
      <c r="K173" s="77" t="inlineStr">
        <is>
          <t>search-summary paraphrase</t>
        </is>
      </c>
      <c r="L173" s="77" t="inlineStr">
        <is>
          <t>95010, 8 credit points, listed in the 2026 handbook (assessment details not returned).</t>
        </is>
      </c>
    </row>
    <row r="174">
      <c r="A174" s="77" t="inlineStr">
        <is>
          <t>AU09-S02-R1</t>
        </is>
      </c>
      <c r="B174" s="77" t="inlineStr">
        <is>
          <t>AU09</t>
        </is>
      </c>
      <c r="C174" s="77" t="inlineStr">
        <is>
          <t>AU09-S02</t>
        </is>
      </c>
      <c r="D174" s="77" t="inlineStr">
        <is>
          <t>Industry Innovation Project</t>
        </is>
      </c>
      <c r="E174" s="77" t="inlineStr">
        <is>
          <t>project; group; employer</t>
        </is>
      </c>
      <c r="F174" s="77" t="inlineStr">
        <is>
          <t>https://www.uts.edu.au/about/faculties/transdisciplinary-school/partnerships/how-get-involved/project-based-engagements/industry-innovation-project</t>
        </is>
      </c>
      <c r="G174" s="77" t="inlineStr">
        <is>
          <t>Industry Innovation Project (partner page)</t>
        </is>
      </c>
      <c r="H174" s="77" t="inlineStr">
        <is>
          <t>Partnerships &gt; Project-based engagements</t>
        </is>
      </c>
      <c r="I174" s="77" t="inlineStr">
        <is>
          <t>undated (timeframes from 2022)</t>
        </is>
      </c>
      <c r="J174" s="77" t="inlineStr">
        <is>
          <t>2026-10-12</t>
        </is>
      </c>
      <c r="K174" s="77" t="inlineStr">
        <is>
          <t>search-summary paraphrase</t>
        </is>
      </c>
      <c r="L174"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175">
      <c r="A175" s="77" t="inlineStr">
        <is>
          <t>AU09-S02-R2</t>
        </is>
      </c>
      <c r="B175" s="77" t="inlineStr">
        <is>
          <t>AU09</t>
        </is>
      </c>
      <c r="C175" s="77" t="inlineStr">
        <is>
          <t>AU09-S02</t>
        </is>
      </c>
      <c r="D175" s="77" t="inlineStr">
        <is>
          <t>Industry Innovation Project</t>
        </is>
      </c>
      <c r="E175" s="77" t="inlineStr">
        <is>
          <t>project; employer; status; duration; eligibility</t>
        </is>
      </c>
      <c r="F175" s="77" t="inlineStr">
        <is>
          <t>https://www.uts.edu.au/globalassets/shared-media/documents/td-school/td-industry-innovation-project-2026-bcii-brochure.pdf</t>
        </is>
      </c>
      <c r="G175" s="77" t="inlineStr">
        <is>
          <t>Industry Innovation Project 2026 (BCII brochure)</t>
        </is>
      </c>
      <c r="H175" s="77" t="inlineStr">
        <is>
          <t>Partner brochure</t>
        </is>
      </c>
      <c r="I175" s="77" t="inlineStr">
        <is>
          <t>2026</t>
        </is>
      </c>
      <c r="J175" s="77" t="inlineStr">
        <is>
          <t>2026-10-12</t>
        </is>
      </c>
      <c r="K175" s="77" t="inlineStr">
        <is>
          <t>search-summary paraphrase</t>
        </is>
      </c>
      <c r="L175" s="77" t="inlineStr">
        <is>
          <t>Final-year BCII students; runs over a 13-week period from March to June 2026; competitive process with projects ultimately selected by student vote; students present initiatives, insights and prototypes in a final presentation with a report.</t>
        </is>
      </c>
    </row>
    <row r="176">
      <c r="A176" s="77" t="inlineStr">
        <is>
          <t>AU09-S03-R1</t>
        </is>
      </c>
      <c r="B176" s="77" t="inlineStr">
        <is>
          <t>AU09</t>
        </is>
      </c>
      <c r="C176" s="77" t="inlineStr">
        <is>
          <t>AU09-S03</t>
        </is>
      </c>
      <c r="D176" s="77" t="inlineStr">
        <is>
          <t>UTS Shopfront Community Program – community projects in coursework</t>
        </is>
      </c>
      <c r="E176" s="77" t="inlineStr">
        <is>
          <t>project; group; employer; eligibility; credit</t>
        </is>
      </c>
      <c r="F176" s="77" t="inlineStr">
        <is>
          <t>https://www.uts.edu.au/current-students/opportunities/community-and-leadership-programs/uts-shopfront/community-projects</t>
        </is>
      </c>
      <c r="G176" s="77" t="inlineStr">
        <is>
          <t>Community projects in coursework</t>
        </is>
      </c>
      <c r="H176" s="77" t="inlineStr">
        <is>
          <t>Student page</t>
        </is>
      </c>
      <c r="I176" s="77" t="inlineStr">
        <is>
          <t>undated</t>
        </is>
      </c>
      <c r="J176" s="77" t="inlineStr">
        <is>
          <t>2026-10-12</t>
        </is>
      </c>
      <c r="K176" s="77" t="inlineStr">
        <is>
          <t>search-summary paraphrase</t>
        </is>
      </c>
      <c r="L176" s="77" t="inlineStr">
        <is>
          <t>Community organisations identify the projects that matter to them; students work in teams as external consultants, usually in their final year or as postgraduates, and receive course credit; sessions Autumn (March–June) and Spring (August–November).</t>
        </is>
      </c>
    </row>
    <row r="177">
      <c r="A177" s="77" t="inlineStr">
        <is>
          <t>AU09-S03-R2</t>
        </is>
      </c>
      <c r="B177" s="77" t="inlineStr">
        <is>
          <t>AU09</t>
        </is>
      </c>
      <c r="C177" s="77" t="inlineStr">
        <is>
          <t>AU09-S03</t>
        </is>
      </c>
      <c r="D177" s="77" t="inlineStr">
        <is>
          <t>UTS Shopfront Community Program – community projects in coursework</t>
        </is>
      </c>
      <c r="E177" s="77" t="inlineStr">
        <is>
          <t>employer</t>
        </is>
      </c>
      <c r="F177" s="77" t="inlineStr">
        <is>
          <t>https://www.uts.edu.au/about/uts-vision/initiatives/social-justice-uts/uts-shopfront-community-program/community-groups/submit-shopfront-project</t>
        </is>
      </c>
      <c r="G177" s="77" t="inlineStr">
        <is>
          <t>Submit a Shopfront project</t>
        </is>
      </c>
      <c r="H177" s="77" t="inlineStr">
        <is>
          <t>Community groups</t>
        </is>
      </c>
      <c r="I177" s="77" t="inlineStr">
        <is>
          <t>undated</t>
        </is>
      </c>
      <c r="J177" s="77" t="inlineStr">
        <is>
          <t>2026-10-12</t>
        </is>
      </c>
      <c r="K177" s="77" t="inlineStr">
        <is>
          <t>search-summary paraphrase</t>
        </is>
      </c>
      <c r="L177" s="77" t="inlineStr">
        <is>
          <t>Pro bono program with no fee for community organisations; each organisation nominates a key contact able to dedicate up to two hours per week.</t>
        </is>
      </c>
    </row>
    <row r="178">
      <c r="A178" s="77" t="inlineStr">
        <is>
          <t>AU09-S03-R3</t>
        </is>
      </c>
      <c r="B178" s="77" t="inlineStr">
        <is>
          <t>AU09</t>
        </is>
      </c>
      <c r="C178" s="77" t="inlineStr">
        <is>
          <t>AU09-S03</t>
        </is>
      </c>
      <c r="D178" s="77" t="inlineStr">
        <is>
          <t>UTS Shopfront Community Program – community projects in coursework</t>
        </is>
      </c>
      <c r="E178" s="77" t="inlineStr">
        <is>
          <t>employer; status</t>
        </is>
      </c>
      <c r="F178" s="77" t="inlineStr">
        <is>
          <t>https://educationexpress.uts.edu.au/blog/2024/08/22/uts-shopfront-connects-students-and-community/</t>
        </is>
      </c>
      <c r="G178" s="77" t="inlineStr">
        <is>
          <t>UTS Shopfront connects students and community</t>
        </is>
      </c>
      <c r="H178" s="77" t="inlineStr">
        <is>
          <t>Blog</t>
        </is>
      </c>
      <c r="I178" s="77" t="inlineStr">
        <is>
          <t>2024</t>
        </is>
      </c>
      <c r="J178" s="77" t="inlineStr">
        <is>
          <t>2026-10-12</t>
        </is>
      </c>
      <c r="K178" s="77" t="inlineStr">
        <is>
          <t>search-summary paraphrase</t>
        </is>
      </c>
      <c r="L178" s="77" t="inlineStr">
        <is>
          <t>Examples of past work include research for the HIV/AIDS Legal Centre (NSW) and a music program with Glebe Youth Service.</t>
        </is>
      </c>
    </row>
    <row r="179">
      <c r="A179" s="77" t="inlineStr">
        <is>
          <t>UK02-S01-R1</t>
        </is>
      </c>
      <c r="B179" s="77" t="inlineStr">
        <is>
          <t>UK02</t>
        </is>
      </c>
      <c r="C179" s="77" t="inlineStr">
        <is>
          <t>UK02-S01</t>
        </is>
      </c>
      <c r="D179" s="77" t="inlineStr">
        <is>
          <t>Vertically Integrated Projects (VIP)</t>
        </is>
      </c>
      <c r="E179" s="77" t="inlineStr">
        <is>
          <t>status</t>
        </is>
      </c>
      <c r="F179" s="77" t="inlineStr">
        <is>
          <t>https://memos.wp.st-andrews.ac.uk/2026/04/15/applications-for-2026-2027-vip-modules-open-now/</t>
        </is>
      </c>
      <c r="G179" s="77" t="inlineStr">
        <is>
          <t>Applications for 2026-2027 VIP modules open now !</t>
        </is>
      </c>
      <c r="H179" s="77" t="inlineStr">
        <is>
          <t>Memo, April 2026</t>
        </is>
      </c>
      <c r="I179" s="77" t="inlineStr">
        <is>
          <t>2026</t>
        </is>
      </c>
      <c r="J179" s="77" t="inlineStr">
        <is>
          <t>2026-10-12</t>
        </is>
      </c>
      <c r="K179" s="77" t="inlineStr">
        <is>
          <t>search-summary paraphrase</t>
        </is>
      </c>
      <c r="L179" s="77" t="inlineStr">
        <is>
          <t>Applications for 2026-27 VIP modules open; deadline 9am, Monday 11th of May.</t>
        </is>
      </c>
    </row>
    <row r="180">
      <c r="A180" s="77" t="inlineStr">
        <is>
          <t>UK02-S01-R2</t>
        </is>
      </c>
      <c r="B180" s="77" t="inlineStr">
        <is>
          <t>UK02</t>
        </is>
      </c>
      <c r="C180" s="77" t="inlineStr">
        <is>
          <t>UK02-S01</t>
        </is>
      </c>
      <c r="D180" s="77" t="inlineStr">
        <is>
          <t>Vertically Integrated Projects (VIP)</t>
        </is>
      </c>
      <c r="E180" s="77" t="inlineStr">
        <is>
          <t>project; group; credit; participation</t>
        </is>
      </c>
      <c r="F180" s="77" t="inlineStr">
        <is>
          <t>https://www.st-andrews.ac.uk/education/vip/students/</t>
        </is>
      </c>
      <c r="G180" s="77" t="inlineStr">
        <is>
          <t>Information for students - Education - University of St Andrews</t>
        </is>
      </c>
      <c r="H180" s="77" t="inlineStr">
        <is>
          <t>Students page</t>
        </is>
      </c>
      <c r="I180" s="77" t="inlineStr">
        <is>
          <t>undated</t>
        </is>
      </c>
      <c r="J180" s="77" t="inlineStr">
        <is>
          <t>2026-10-12</t>
        </is>
      </c>
      <c r="K180" s="77" t="inlineStr">
        <is>
          <t>search-index extract (quoted)</t>
        </is>
      </c>
      <c r="L180"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181">
      <c r="A181" s="77" t="inlineStr">
        <is>
          <t>UK02-S01-R3</t>
        </is>
      </c>
      <c r="B181" s="77" t="inlineStr">
        <is>
          <t>UK02</t>
        </is>
      </c>
      <c r="C181" s="77" t="inlineStr">
        <is>
          <t>UK02-S01</t>
        </is>
      </c>
      <c r="D181" s="77" t="inlineStr">
        <is>
          <t>Vertically Integrated Projects (VIP)</t>
        </is>
      </c>
      <c r="E181" s="77" t="inlineStr">
        <is>
          <t>group; project</t>
        </is>
      </c>
      <c r="F181" s="77" t="inlineStr">
        <is>
          <t>https://education.wp.st-andrews.ac.uk/2021/02/23/vertically-integrated-projects-at-st-andrews/</t>
        </is>
      </c>
      <c r="G181" s="77" t="inlineStr">
        <is>
          <t>Vertically Integrated Projects at St Andrews</t>
        </is>
      </c>
      <c r="H181" s="77" t="inlineStr">
        <is>
          <t>Education blog</t>
        </is>
      </c>
      <c r="I181" s="77" t="inlineStr">
        <is>
          <t>2021</t>
        </is>
      </c>
      <c r="J181" s="77" t="inlineStr">
        <is>
          <t>2026-10-12</t>
        </is>
      </c>
      <c r="K181" s="77" t="inlineStr">
        <is>
          <t>search-index extract (quoted)</t>
        </is>
      </c>
      <c r="L181" s="77" t="inlineStr">
        <is>
          <t>'A VIP brings together a student team formed from different disciplines and levels of study to contribute to an ongoing research project for credit and grades.'</t>
        </is>
      </c>
    </row>
    <row r="182">
      <c r="A182" s="77" t="inlineStr">
        <is>
          <t>UK02-S01-R4</t>
        </is>
      </c>
      <c r="B182" s="77" t="inlineStr">
        <is>
          <t>UK02</t>
        </is>
      </c>
      <c r="C182" s="77" t="inlineStr">
        <is>
          <t>UK02-S01</t>
        </is>
      </c>
      <c r="D182" s="77" t="inlineStr">
        <is>
          <t>Vertically Integrated Projects (VIP)</t>
        </is>
      </c>
      <c r="E182" s="77" t="inlineStr">
        <is>
          <t>project; employer</t>
        </is>
      </c>
      <c r="F182" s="77" t="inlineStr">
        <is>
          <t>https://vip.wp.st-andrews.ac.uk/projectoverviews/st-andrews-forest/</t>
        </is>
      </c>
      <c r="G182" s="77" t="inlineStr">
        <is>
          <t>St Andrews Forest</t>
        </is>
      </c>
      <c r="H182" s="77" t="inlineStr">
        <is>
          <t>VIP project overview</t>
        </is>
      </c>
      <c r="I182" s="77" t="inlineStr">
        <is>
          <t>undated</t>
        </is>
      </c>
      <c r="J182" s="77" t="inlineStr">
        <is>
          <t>2026-10-12</t>
        </is>
      </c>
      <c r="K182" s="77" t="inlineStr">
        <is>
          <t>search-summary paraphrase</t>
        </is>
      </c>
      <c r="L182" s="77" t="inlineStr">
        <is>
          <t>Aims to join 'academics, practitioners and our neighbours to plan, implement and monitor the forest'; output is a commissioned report (and group presentation) to the University's Environmental Sustainability Board.</t>
        </is>
      </c>
    </row>
    <row r="183">
      <c r="A183" s="77" t="inlineStr">
        <is>
          <t>UK02-S01-R5</t>
        </is>
      </c>
      <c r="B183" s="77" t="inlineStr">
        <is>
          <t>UK02</t>
        </is>
      </c>
      <c r="C183" s="77" t="inlineStr">
        <is>
          <t>UK02-S01</t>
        </is>
      </c>
      <c r="D183" s="77" t="inlineStr">
        <is>
          <t>Vertically Integrated Projects (VIP)</t>
        </is>
      </c>
      <c r="E183" s="77" t="inlineStr">
        <is>
          <t>eligibility</t>
        </is>
      </c>
      <c r="F183" s="77" t="inlineStr">
        <is>
          <t>https://www.st-andrews.ac.uk/education/vip/projects/</t>
        </is>
      </c>
      <c r="G183" s="77" t="inlineStr">
        <is>
          <t>Projects - Education - University of St Andrews</t>
        </is>
      </c>
      <c r="H183" s="77" t="inlineStr">
        <is>
          <t>Projects list</t>
        </is>
      </c>
      <c r="I183" s="77" t="inlineStr">
        <is>
          <t>undated</t>
        </is>
      </c>
      <c r="J183" s="77" t="inlineStr">
        <is>
          <t>2026-10-12</t>
        </is>
      </c>
      <c r="K183" s="77" t="inlineStr">
        <is>
          <t>search-summary paraphrase</t>
        </is>
      </c>
      <c r="L183" s="77" t="inlineStr">
        <is>
          <t>Projects accept applications on a rolling basis and may close once desired numbers are reached.</t>
        </is>
      </c>
    </row>
    <row r="184">
      <c r="A184" s="77" t="inlineStr">
        <is>
          <t>UK02-S02-R1</t>
        </is>
      </c>
      <c r="B184" s="77" t="inlineStr">
        <is>
          <t>UK02</t>
        </is>
      </c>
      <c r="C184" s="77" t="inlineStr">
        <is>
          <t>UK02-S02</t>
        </is>
      </c>
      <c r="D184" s="77" t="inlineStr">
        <is>
          <t>Summer Team Enterprise Programme (STEP)</t>
        </is>
      </c>
      <c r="E184" s="77" t="inlineStr">
        <is>
          <t>project; group; employer; status; duration; credit</t>
        </is>
      </c>
      <c r="F184" s="77" t="inlineStr">
        <is>
          <t>https://www.st-andrews.ac.uk/education/handbook/step/</t>
        </is>
      </c>
      <c r="G184" s="77" t="inlineStr">
        <is>
          <t>Summer Team Enterprise Programme - Education - University of St Andrews</t>
        </is>
      </c>
      <c r="H184" s="77" t="inlineStr">
        <is>
          <t>Handbook page incl. 2026 timetable</t>
        </is>
      </c>
      <c r="I184" s="77" t="inlineStr">
        <is>
          <t>2026</t>
        </is>
      </c>
      <c r="J184" s="77" t="inlineStr">
        <is>
          <t>2026-10-12</t>
        </is>
      </c>
      <c r="K184" s="77" t="inlineStr">
        <is>
          <t>search-index extract (quoted)</t>
        </is>
      </c>
      <c r="L184"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185">
      <c r="A185" s="77" t="inlineStr">
        <is>
          <t>UK02-S02-R2</t>
        </is>
      </c>
      <c r="B185" s="77" t="inlineStr">
        <is>
          <t>UK02</t>
        </is>
      </c>
      <c r="C185" s="77" t="inlineStr">
        <is>
          <t>UK02-S02</t>
        </is>
      </c>
      <c r="D185" s="77" t="inlineStr">
        <is>
          <t>Summer Team Enterprise Programme (STEP)</t>
        </is>
      </c>
      <c r="E185" s="77" t="inlineStr">
        <is>
          <t>project; employer; reach</t>
        </is>
      </c>
      <c r="F185" s="77" t="inlineStr">
        <is>
          <t>https://www.st-andrews.ac.uk/careers/career-options/sectors/business/</t>
        </is>
      </c>
      <c r="G185" s="77" t="inlineStr">
        <is>
          <t>Business, consulting and management - Careers - University of St Andrews</t>
        </is>
      </c>
      <c r="H185" s="77" t="inlineStr">
        <is>
          <t>Gaining experience</t>
        </is>
      </c>
      <c r="I185" s="77" t="inlineStr">
        <is>
          <t>undated</t>
        </is>
      </c>
      <c r="J185" s="77" t="inlineStr">
        <is>
          <t>2026-10-12</t>
        </is>
      </c>
      <c r="K185" s="77" t="inlineStr">
        <is>
          <t>search-index extract (quoted)</t>
        </is>
      </c>
      <c r="L185"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186">
      <c r="A186" s="77" t="inlineStr">
        <is>
          <t>UK02-S03-R1</t>
        </is>
      </c>
      <c r="B186" s="77" t="inlineStr">
        <is>
          <t>UK02</t>
        </is>
      </c>
      <c r="C186" s="77" t="inlineStr">
        <is>
          <t>UK02-S03</t>
        </is>
      </c>
      <c r="D186" s="77" t="inlineStr">
        <is>
          <t>CS3099 Software Engineering Team Project</t>
        </is>
      </c>
      <c r="E186" s="77" t="inlineStr">
        <is>
          <t>project; group; credit; eligibility</t>
        </is>
      </c>
      <c r="F186" s="77" t="inlineStr">
        <is>
          <t>https://www.st-andrews.ac.uk/subjects/modules/catalogue/?code=CS3099</t>
        </is>
      </c>
      <c r="G186" s="77" t="inlineStr">
        <is>
          <t>CS3099 Software Engineering Team Project</t>
        </is>
      </c>
      <c r="H186" s="77" t="inlineStr">
        <is>
          <t>Module catalogue</t>
        </is>
      </c>
      <c r="I186" s="77" t="inlineStr">
        <is>
          <t>undated</t>
        </is>
      </c>
      <c r="J186" s="77" t="inlineStr">
        <is>
          <t>2026-10-12</t>
        </is>
      </c>
      <c r="K186" s="77" t="inlineStr">
        <is>
          <t>search-index extract (quoted)</t>
        </is>
      </c>
      <c r="L186" s="77" t="inlineStr">
        <is>
          <t>30 SCOTCAT / 15 ECTS; coursework 100%, no reassessment; prerequisites CS2002 and (CS2101 or CS2001); teams 'specify, plan, design, implement, test and document a medium-sized software system, under the guidance of a member of staff'.</t>
        </is>
      </c>
    </row>
    <row r="187">
      <c r="A187" s="77" t="inlineStr">
        <is>
          <t>UK02-S03-R2</t>
        </is>
      </c>
      <c r="B187" s="77" t="inlineStr">
        <is>
          <t>UK02</t>
        </is>
      </c>
      <c r="C187" s="77" t="inlineStr">
        <is>
          <t>UK02-S03</t>
        </is>
      </c>
      <c r="D187" s="77" t="inlineStr">
        <is>
          <t>CS3099 Software Engineering Team Project</t>
        </is>
      </c>
      <c r="E187" s="77" t="inlineStr">
        <is>
          <t>group; employer</t>
        </is>
      </c>
      <c r="F187" s="77" t="inlineStr">
        <is>
          <t>https://blogs.cs.st-andrews.ac.uk/csblog/2025/04/25/keeping-doors-open-connection-collaboration-and-opportunities/</t>
        </is>
      </c>
      <c r="G187" s="77" t="inlineStr">
        <is>
          <t>Keeping Doors Open: Connection, Collaboration and Opportunities</t>
        </is>
      </c>
      <c r="H187" s="77" t="inlineStr">
        <is>
          <t>School of Computer Science blog</t>
        </is>
      </c>
      <c r="I187" s="77" t="inlineStr">
        <is>
          <t>2025</t>
        </is>
      </c>
      <c r="J187" s="77" t="inlineStr">
        <is>
          <t>2026-10-12</t>
        </is>
      </c>
      <c r="K187" s="77" t="inlineStr">
        <is>
          <t>search-index extract (quoted)</t>
        </is>
      </c>
      <c r="L187"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188">
      <c r="A188" s="77" t="inlineStr">
        <is>
          <t>UK02-S03-R3</t>
        </is>
      </c>
      <c r="B188" s="77" t="inlineStr">
        <is>
          <t>UK02</t>
        </is>
      </c>
      <c r="C188" s="77" t="inlineStr">
        <is>
          <t>UK02-S03</t>
        </is>
      </c>
      <c r="D188" s="77" t="inlineStr">
        <is>
          <t>CS3099 Software Engineering Team Project</t>
        </is>
      </c>
      <c r="E188" s="77" t="inlineStr">
        <is>
          <t>status</t>
        </is>
      </c>
      <c r="F188" s="77" t="inlineStr">
        <is>
          <t>https://info.cs.st-andrews.ac.uk/student-handbook/modules/</t>
        </is>
      </c>
      <c r="G188" s="77" t="inlineStr">
        <is>
          <t>Modules in the School of Computer Science for 2026-27</t>
        </is>
      </c>
      <c r="H188" s="77" t="inlineStr">
        <is>
          <t>Student handbook module list</t>
        </is>
      </c>
      <c r="I188" s="77" t="inlineStr">
        <is>
          <t>2026/27</t>
        </is>
      </c>
      <c r="J188" s="77" t="inlineStr">
        <is>
          <t>2026-10-12</t>
        </is>
      </c>
      <c r="K188" s="77" t="inlineStr">
        <is>
          <t>search-summary paraphrase</t>
        </is>
      </c>
      <c r="L188" s="77" t="inlineStr">
        <is>
          <t>CS3099 listed among School of Computer Science modules for 2026-27.</t>
        </is>
      </c>
    </row>
    <row r="189">
      <c r="A189" s="77" t="inlineStr">
        <is>
          <t>UK02-S04-R1</t>
        </is>
      </c>
      <c r="B189" s="77" t="inlineStr">
        <is>
          <t>UK02</t>
        </is>
      </c>
      <c r="C189" s="77" t="inlineStr">
        <is>
          <t>UK02-S04</t>
        </is>
      </c>
      <c r="D189" s="77" t="inlineStr">
        <is>
          <t>Management MSc - consultancy projects with local organisations</t>
        </is>
      </c>
      <c r="E189" s="77" t="inlineStr">
        <is>
          <t>project; employer</t>
        </is>
      </c>
      <c r="F189" s="77" t="inlineStr">
        <is>
          <t>https://www.st-andrews.ac.uk/subjects/management/management-msc/</t>
        </is>
      </c>
      <c r="G189" s="77" t="inlineStr">
        <is>
          <t>Management MSc - Subjects - University of St Andrews</t>
        </is>
      </c>
      <c r="H189" s="77" t="inlineStr">
        <is>
          <t>Course overview (2027 entry)</t>
        </is>
      </c>
      <c r="I189" s="77" t="inlineStr">
        <is>
          <t>2027 entry</t>
        </is>
      </c>
      <c r="J189" s="77" t="inlineStr">
        <is>
          <t>2026-10-12</t>
        </is>
      </c>
      <c r="K189" s="77" t="inlineStr">
        <is>
          <t>search-index extract (quoted)</t>
        </is>
      </c>
      <c r="L189" s="77" t="inlineStr">
        <is>
          <t>Includes practical elements where students apply theory to real organisations, and 'the opportunity to work on consultancy projects with local organisations'.</t>
        </is>
      </c>
    </row>
    <row r="190">
      <c r="A190" s="77" t="inlineStr">
        <is>
          <t>UK02-S04-R2</t>
        </is>
      </c>
      <c r="B190" s="77" t="inlineStr">
        <is>
          <t>UK02</t>
        </is>
      </c>
      <c r="C190" s="77" t="inlineStr">
        <is>
          <t>UK02-S04</t>
        </is>
      </c>
      <c r="D190" s="77" t="inlineStr">
        <is>
          <t>Management MSc - consultancy projects with local organisations</t>
        </is>
      </c>
      <c r="E190" s="77" t="inlineStr">
        <is>
          <t>project</t>
        </is>
      </c>
      <c r="F190" s="77" t="inlineStr">
        <is>
          <t>https://archive.st-andrews.ac.uk/courses/2025-2026/pg/management-mlitt/</t>
        </is>
      </c>
      <c r="G190" s="77" t="inlineStr">
        <is>
          <t>Management MLitt - Courses archive - University of St Andrews</t>
        </is>
      </c>
      <c r="H190" s="77" t="inlineStr">
        <is>
          <t>Course overview</t>
        </is>
      </c>
      <c r="I190" s="77" t="inlineStr">
        <is>
          <t>2025/26</t>
        </is>
      </c>
      <c r="J190" s="77" t="inlineStr">
        <is>
          <t>2026-10-12</t>
        </is>
      </c>
      <c r="K190" s="77" t="inlineStr">
        <is>
          <t>search-index extract (quoted)</t>
        </is>
      </c>
      <c r="L190" s="77" t="inlineStr">
        <is>
          <t>Lists 'opportunities to take part in consultancy projects, and team activities'.</t>
        </is>
      </c>
    </row>
    <row r="191">
      <c r="A191" s="77" t="inlineStr">
        <is>
          <t>UK05-S01-R1</t>
        </is>
      </c>
      <c r="B191" s="77" t="inlineStr">
        <is>
          <t>UK05</t>
        </is>
      </c>
      <c r="C191" s="77" t="inlineStr">
        <is>
          <t>UK05-S01</t>
        </is>
      </c>
      <c r="D191" s="77" t="inlineStr">
        <is>
          <t>Work-Based Learning: Team Projects with Employer Partners</t>
        </is>
      </c>
      <c r="E191" s="77" t="inlineStr">
        <is>
          <t>project; group; employer; eligibility; credit; duration</t>
        </is>
      </c>
      <c r="F191" s="77" t="inlineStr">
        <is>
          <t>https://www.abdn.ac.uk/registry/courses/undergraduate/2025/professional_development/pd2503</t>
        </is>
      </c>
      <c r="G191" s="77" t="inlineStr">
        <is>
          <t>PD2503: Work-Based Learning: Team Projects with Employer Partners - Catalogue of Courses</t>
        </is>
      </c>
      <c r="H191" s="77" t="inlineStr">
        <is>
          <t>Course overview / assessment</t>
        </is>
      </c>
      <c r="I191" s="77" t="inlineStr">
        <is>
          <t>2024-25 (URL path /2025/)</t>
        </is>
      </c>
      <c r="J191" s="77" t="inlineStr">
        <is>
          <t>2026-10-12</t>
        </is>
      </c>
      <c r="K191" s="77" t="inlineStr">
        <is>
          <t>search-summary paraphrase</t>
        </is>
      </c>
      <c r="L191" s="77" t="inlineStr">
        <is>
          <t>Level 2, 15 credits (7.5 ECTS), second term, Achieved/Not Achieved; prerequisites Programme Level 2 and Any Undergraduate Programme. Students choose a preferred project, meet milestones and present results, working directly with a project sponsor and receiving feedback. Projects must add value for the sponsoring organisation and link to a 2040 theme. Team work includes the project plan (sent as a draft to the sponsor for sign-off or suggested changes) and the final team submission; the pre-recorded pitch is shown to the class and the project sponsors.</t>
        </is>
      </c>
    </row>
    <row r="192">
      <c r="A192" s="77" t="inlineStr">
        <is>
          <t>UK05-S01-R2</t>
        </is>
      </c>
      <c r="B192" s="77" t="inlineStr">
        <is>
          <t>UK05</t>
        </is>
      </c>
      <c r="C192" s="77" t="inlineStr">
        <is>
          <t>UK05-S01</t>
        </is>
      </c>
      <c r="D192" s="77" t="inlineStr">
        <is>
          <t>Work-Based Learning: Team Projects with Employer Partners</t>
        </is>
      </c>
      <c r="E192" s="77" t="inlineStr">
        <is>
          <t>reach; eligibility; group; employer</t>
        </is>
      </c>
      <c r="F192" s="77" t="inlineStr">
        <is>
          <t>https://www.abdn.ac.uk/careers/experience/placements-and-work-experience-and-in-the-curriculum/</t>
        </is>
      </c>
      <c r="G192" s="77" t="inlineStr">
        <is>
          <t>Placements and Work Experience and in the Curriculum</t>
        </is>
      </c>
      <c r="H192" s="77" t="inlineStr">
        <is>
          <t>Credit-bearing courses</t>
        </is>
      </c>
      <c r="I192" s="77" t="inlineStr">
        <is>
          <t>undated</t>
        </is>
      </c>
      <c r="J192" s="77" t="inlineStr">
        <is>
          <t>2026-10-12</t>
        </is>
      </c>
      <c r="K192" s="77" t="inlineStr">
        <is>
          <t>search-summary paraphrase</t>
        </is>
      </c>
      <c r="L192" s="77" t="inlineStr">
        <is>
          <t>Careers page lists PD2503 among courses open to undergraduate students from any degree discipline; course connects students with employers for hands-on experience working in a team on a real project.</t>
        </is>
      </c>
    </row>
    <row r="193">
      <c r="A193" s="77" t="inlineStr">
        <is>
          <t>UK05-S01-R3</t>
        </is>
      </c>
      <c r="B193" s="77" t="inlineStr">
        <is>
          <t>UK05</t>
        </is>
      </c>
      <c r="C193" s="77" t="inlineStr">
        <is>
          <t>UK05-S01</t>
        </is>
      </c>
      <c r="D193" s="77" t="inlineStr">
        <is>
          <t>Work-Based Learning: Team Projects with Employer Partners</t>
        </is>
      </c>
      <c r="E193" s="77" t="inlineStr">
        <is>
          <t>participation; status</t>
        </is>
      </c>
      <c r="F193" s="77" t="inlineStr">
        <is>
          <t>https://www.abdn.ac.uk/staffnet/education/blog/forget-about-the-grades-why-feedback-is-key-to-workplace-readiness/</t>
        </is>
      </c>
      <c r="G193" s="77" t="inlineStr">
        <is>
          <t>Forget about the grades: Why feedback is key to workplace readiness</t>
        </is>
      </c>
      <c r="H193" s="77" t="inlineStr">
        <is>
          <t>Staff education blog</t>
        </is>
      </c>
      <c r="I193" s="77" t="inlineStr">
        <is>
          <t>2025</t>
        </is>
      </c>
      <c r="J193" s="77" t="inlineStr">
        <is>
          <t>2026-10-12</t>
        </is>
      </c>
      <c r="K193" s="77" t="inlineStr">
        <is>
          <t>search-summary paraphrase</t>
        </is>
      </c>
      <c r="L193" s="77" t="inlineStr">
        <is>
          <t>Twenty-three undergraduate students from a range of degree disciplines enrolled when the course launched in January 2025; every assessment component was framed as a milestone to achieve, not a grade.</t>
        </is>
      </c>
    </row>
    <row r="194">
      <c r="A194" s="77" t="inlineStr">
        <is>
          <t>UK05-S02-R1</t>
        </is>
      </c>
      <c r="B194" s="77" t="inlineStr">
        <is>
          <t>UK05</t>
        </is>
      </c>
      <c r="C194" s="77" t="inlineStr">
        <is>
          <t>UK05-S02</t>
        </is>
      </c>
      <c r="D194" s="77" t="inlineStr">
        <is>
          <t>Employer-led Interdisciplinary Project</t>
        </is>
      </c>
      <c r="E194" s="77" t="inlineStr">
        <is>
          <t>project; group; employer</t>
        </is>
      </c>
      <c r="F194" s="77" t="inlineStr">
        <is>
          <t>https://www.abdn.ac.uk/registry/courses/undergraduate/2024/education/ed3537</t>
        </is>
      </c>
      <c r="G194" s="77" t="inlineStr">
        <is>
          <t>ED3537: Employer-led Interdisciplinary Project - Catalogue of Courses</t>
        </is>
      </c>
      <c r="H194" s="77" t="inlineStr">
        <is>
          <t>Course overview</t>
        </is>
      </c>
      <c r="I194" s="77" t="inlineStr">
        <is>
          <t>2023-24 (URL path /2024/)</t>
        </is>
      </c>
      <c r="J194" s="77" t="inlineStr">
        <is>
          <t>2026-10-12</t>
        </is>
      </c>
      <c r="K194" s="77" t="inlineStr">
        <is>
          <t>search-summary paraphrase</t>
        </is>
      </c>
      <c r="L194" s="77" t="inlineStr">
        <is>
          <t>Students work together in a small group on a consultancy-style project hosted by a micro-business, organisation, or charity.</t>
        </is>
      </c>
    </row>
    <row r="195">
      <c r="A195" s="77" t="inlineStr">
        <is>
          <t>UK05-S03-R1</t>
        </is>
      </c>
      <c r="B195" s="77" t="inlineStr">
        <is>
          <t>UK05</t>
        </is>
      </c>
      <c r="C195" s="77" t="inlineStr">
        <is>
          <t>UK05-S03</t>
        </is>
      </c>
      <c r="D195" s="77" t="inlineStr">
        <is>
          <t>Engineering Work Experience</t>
        </is>
      </c>
      <c r="E195" s="77" t="inlineStr">
        <is>
          <t>project; group; employer; eligibility; credit; status</t>
        </is>
      </c>
      <c r="F195" s="77" t="inlineStr">
        <is>
          <t>https://www.abdn.ac.uk/registry/courses/undergraduate/2025-2026/education/ed251a</t>
        </is>
      </c>
      <c r="G195" s="77" t="inlineStr">
        <is>
          <t>ed251a: engineering work experience (2025-2026)</t>
        </is>
      </c>
      <c r="H195" s="77" t="inlineStr">
        <is>
          <t>Course overview / entry requirements</t>
        </is>
      </c>
      <c r="I195" s="77" t="inlineStr">
        <is>
          <t>2025-26</t>
        </is>
      </c>
      <c r="J195" s="77" t="inlineStr">
        <is>
          <t>2026-10-12</t>
        </is>
      </c>
      <c r="K195" s="77" t="inlineStr">
        <is>
          <t>search-summary paraphrase</t>
        </is>
      </c>
      <c r="L195" s="77" t="inlineStr">
        <is>
          <t>15-credit course in which students undertake a group consultancy project for a local engineering organisation; entry requirements Engineering (EG) (Studied).</t>
        </is>
      </c>
    </row>
    <row r="196">
      <c r="A196" s="77" t="inlineStr">
        <is>
          <t>UK05-S03-R2</t>
        </is>
      </c>
      <c r="B196" s="77" t="inlineStr">
        <is>
          <t>UK05</t>
        </is>
      </c>
      <c r="C196" s="77" t="inlineStr">
        <is>
          <t>UK05-S03</t>
        </is>
      </c>
      <c r="D196" s="77" t="inlineStr">
        <is>
          <t>Engineering Work Experience</t>
        </is>
      </c>
      <c r="E196" s="77" t="inlineStr">
        <is>
          <t>project; group; employer; duration</t>
        </is>
      </c>
      <c r="F196" s="77" t="inlineStr">
        <is>
          <t>https://www.abdn.ac.uk/staffnet/education/good-practice/other-learning--teaching-case-studies/employability/engineering-work-experience/</t>
        </is>
      </c>
      <c r="G196" s="77" t="inlineStr">
        <is>
          <t>Embedding Engineering Work Experience into the Second Year Curriculum</t>
        </is>
      </c>
      <c r="H196" s="77" t="inlineStr">
        <is>
          <t>Staff good-practice case study</t>
        </is>
      </c>
      <c r="I196" s="77" t="inlineStr">
        <is>
          <t>2018</t>
        </is>
      </c>
      <c r="J196" s="77" t="inlineStr">
        <is>
          <t>2026-10-12</t>
        </is>
      </c>
      <c r="K196" s="77" t="inlineStr">
        <is>
          <t>search-summary paraphrase</t>
        </is>
      </c>
      <c r="L196" s="77" t="inlineStr">
        <is>
          <t>10-week course with projects running January to March; consultancy-style group projects let students work on a real-life project brief.</t>
        </is>
      </c>
    </row>
    <row r="197">
      <c r="A197" s="77" t="inlineStr">
        <is>
          <t>UK05-S04-R1</t>
        </is>
      </c>
      <c r="B197" s="77" t="inlineStr">
        <is>
          <t>UK05</t>
        </is>
      </c>
      <c r="C197" s="77" t="inlineStr">
        <is>
          <t>UK05-S04</t>
        </is>
      </c>
      <c r="D197" s="77" t="inlineStr">
        <is>
          <t>Computing Science work-based learning course (Collaborate with Future Talent)</t>
        </is>
      </c>
      <c r="E197" s="77" t="inlineStr">
        <is>
          <t>project; employer; eligibility; duration</t>
        </is>
      </c>
      <c r="F197" s="77" t="inlineStr">
        <is>
          <t>https://www.abdn.ac.uk/ncs/departments/computing-science/work-based-learning-course/collaborate-with-future-talent/</t>
        </is>
      </c>
      <c r="G197" s="77" t="inlineStr">
        <is>
          <t>Collaborate with Future Talent</t>
        </is>
      </c>
      <c r="H197" s="77" t="inlineStr">
        <is>
          <t>Computing Science work-based learning course (employer page)</t>
        </is>
      </c>
      <c r="I197" s="77" t="inlineStr">
        <is>
          <t>undated</t>
        </is>
      </c>
      <c r="J197" s="77" t="inlineStr">
        <is>
          <t>2026-10-12</t>
        </is>
      </c>
      <c r="K197" s="77" t="inlineStr">
        <is>
          <t>search-summary paraphrase</t>
        </is>
      </c>
      <c r="L197" s="77" t="inlineStr">
        <is>
          <t>Employers are matched with students and propose a project, meet weekly for guidance and complete an end-of-project appraisal; 10 weeks, September to December, 10 hours a week; access restricted to students whose prior academic performance demonstrates the required level of competence.</t>
        </is>
      </c>
    </row>
    <row r="198">
      <c r="A198" s="77" t="inlineStr">
        <is>
          <t>UK05-S05-R1</t>
        </is>
      </c>
      <c r="B198" s="77" t="inlineStr">
        <is>
          <t>UK05</t>
        </is>
      </c>
      <c r="C198" s="77" t="inlineStr">
        <is>
          <t>UK05-S05</t>
        </is>
      </c>
      <c r="D198" s="77" t="inlineStr">
        <is>
          <t>ABDN Grad Challenge</t>
        </is>
      </c>
      <c r="E198" s="77" t="inlineStr">
        <is>
          <t>project; group; employer</t>
        </is>
      </c>
      <c r="F198" s="77" t="inlineStr">
        <is>
          <t>https://www.abdn.ac.uk/careers/skills-attributes/abdn-grad-challenge-1515.php</t>
        </is>
      </c>
      <c r="G198" s="77" t="inlineStr">
        <is>
          <t>ABDN Grad Challenge</t>
        </is>
      </c>
      <c r="H198" s="77" t="inlineStr">
        <is>
          <t>Careers skills and attributes</t>
        </is>
      </c>
      <c r="I198" s="77" t="inlineStr">
        <is>
          <t>undated</t>
        </is>
      </c>
      <c r="J198" s="77" t="inlineStr">
        <is>
          <t>2026-10-12</t>
        </is>
      </c>
      <c r="K198" s="77" t="inlineStr">
        <is>
          <t>search-index extract (quoted)</t>
        </is>
      </c>
      <c r="L198" s="77" t="inlineStr">
        <is>
          <t>Graduating students take part in project-based, virtual work experience as part of a cross-discipline team tackling real life challenges set by our employer partners.</t>
        </is>
      </c>
    </row>
    <row r="199">
      <c r="A199" s="77" t="inlineStr">
        <is>
          <t>UK08-S01-R1</t>
        </is>
      </c>
      <c r="B199" s="77" t="inlineStr">
        <is>
          <t>UK08</t>
        </is>
      </c>
      <c r="C199" s="77" t="inlineStr">
        <is>
          <t>UK08-S01</t>
        </is>
      </c>
      <c r="D199" s="77" t="inlineStr">
        <is>
          <t>Career Lab Student Consultancy Programme</t>
        </is>
      </c>
      <c r="E199" s="77" t="inlineStr">
        <is>
          <t>project; group; employer; eligibility; reach; duration</t>
        </is>
      </c>
      <c r="F199" s="77" t="inlineStr">
        <is>
          <t>https://student.sussex.ac.uk/careers/career-lab/student-consultancy</t>
        </is>
      </c>
      <c r="G199" s="77" t="inlineStr">
        <is>
          <t>Student consultancy : University of Sussex</t>
        </is>
      </c>
      <c r="H199" s="77" t="inlineStr">
        <is>
          <t>Programme description / eligibility</t>
        </is>
      </c>
      <c r="I199" s="77" t="inlineStr">
        <is>
          <t>undated</t>
        </is>
      </c>
      <c r="J199" s="77" t="inlineStr">
        <is>
          <t>2026-10-12</t>
        </is>
      </c>
      <c r="K199" s="77" t="inlineStr">
        <is>
          <t>search-summary paraphrase</t>
        </is>
      </c>
      <c r="L199" s="77" t="inlineStr">
        <is>
          <t>Open to final-year undergraduates and taught postgraduates, once per academic year; students placed in multidisciplinary teams matched to an organisation; after training work four weeks (three for Summer) then present to the client; briefs set by charities and NGOs, startups and large corporates; c.20 hours in total; bursary GBP 269 for Winter 2025/Spring 2026 at Real Living Wage.</t>
        </is>
      </c>
    </row>
    <row r="200">
      <c r="A200" s="77" t="inlineStr">
        <is>
          <t>UK08-S01-R2</t>
        </is>
      </c>
      <c r="B200" s="77" t="inlineStr">
        <is>
          <t>UK08</t>
        </is>
      </c>
      <c r="C200" s="77" t="inlineStr">
        <is>
          <t>UK08-S01</t>
        </is>
      </c>
      <c r="D200" s="77" t="inlineStr">
        <is>
          <t>Career Lab Student Consultancy Programme</t>
        </is>
      </c>
      <c r="E200" s="77" t="inlineStr">
        <is>
          <t>status; participation</t>
        </is>
      </c>
      <c r="F200" s="77" t="inlineStr">
        <is>
          <t>https://www.sussex.ac.uk/broadcast/read/71127</t>
        </is>
      </c>
      <c r="G200" s="77" t="inlineStr">
        <is>
          <t>Applications open now! Apply to take part in the Award-Winning Career Lab Student Consultancy Programme</t>
        </is>
      </c>
      <c r="H200" s="77" t="inlineStr">
        <is>
          <t>News item</t>
        </is>
      </c>
      <c r="I200" s="77" t="inlineStr">
        <is>
          <t>2026</t>
        </is>
      </c>
      <c r="J200" s="77" t="inlineStr">
        <is>
          <t>2026-10-12</t>
        </is>
      </c>
      <c r="K200" s="77" t="inlineStr">
        <is>
          <t>search-summary paraphrase</t>
        </is>
      </c>
      <c r="L200" s="77" t="inlineStr">
        <is>
          <t>Applications for 2026/27 opened 1 September 2026; programme runs three times in 2026-27 (winter, spring, summer).</t>
        </is>
      </c>
    </row>
    <row r="201">
      <c r="A201" s="77" t="inlineStr">
        <is>
          <t>UK08-S01-R3</t>
        </is>
      </c>
      <c r="B201" s="77" t="inlineStr">
        <is>
          <t>UK08</t>
        </is>
      </c>
      <c r="C201" s="77" t="inlineStr">
        <is>
          <t>UK08-S01</t>
        </is>
      </c>
      <c r="D201" s="77" t="inlineStr">
        <is>
          <t>Career Lab Student Consultancy Programme</t>
        </is>
      </c>
      <c r="E201" s="77" t="inlineStr">
        <is>
          <t>project; group; employer</t>
        </is>
      </c>
      <c r="F201" s="77" t="inlineStr">
        <is>
          <t>https://careerhub.sussex.ac.uk/docs/255/Hastings-Direct-Student-Consultancy-Case-Study.pdf</t>
        </is>
      </c>
      <c r="G201" s="77" t="inlineStr">
        <is>
          <t>Student Consultancy Programme: Five students inform real-world changes</t>
        </is>
      </c>
      <c r="H201" s="77" t="inlineStr">
        <is>
          <t>Case study</t>
        </is>
      </c>
      <c r="I201" s="77" t="inlineStr">
        <is>
          <t>2024</t>
        </is>
      </c>
      <c r="J201" s="77" t="inlineStr">
        <is>
          <t>2026-10-12</t>
        </is>
      </c>
      <c r="K201" s="77" t="inlineStr">
        <is>
          <t>search-summary paraphrase</t>
        </is>
      </c>
      <c r="L201" s="77" t="inlineStr">
        <is>
          <t>Hastings Direct gave a five-student team a brief on improving its UN SDG contributions; the company has since made changes, some aligned with the students' recommendations.</t>
        </is>
      </c>
    </row>
    <row r="202">
      <c r="A202" s="77" t="inlineStr">
        <is>
          <t>UK08-S01-R4</t>
        </is>
      </c>
      <c r="B202" s="77" t="inlineStr">
        <is>
          <t>UK08</t>
        </is>
      </c>
      <c r="C202" s="77" t="inlineStr">
        <is>
          <t>UK08-S01</t>
        </is>
      </c>
      <c r="D202" s="77" t="inlineStr">
        <is>
          <t>Career Lab Student Consultancy Programme</t>
        </is>
      </c>
      <c r="E202" s="77" t="inlineStr">
        <is>
          <t>employer</t>
        </is>
      </c>
      <c r="F202" s="77" t="inlineStr">
        <is>
          <t>https://www.sussex.ac.uk/study/careers/postgraduate-support/masters-careers-support/guaranteed-internships</t>
        </is>
      </c>
      <c r="G202" s="77" t="inlineStr">
        <is>
          <t>Guaranteed internships for Business School Masters students</t>
        </is>
      </c>
      <c r="H202" s="77" t="inlineStr">
        <is>
          <t>Past projects</t>
        </is>
      </c>
      <c r="I202" s="77" t="inlineStr">
        <is>
          <t>undated</t>
        </is>
      </c>
      <c r="J202" s="77" t="inlineStr">
        <is>
          <t>2026-10-12</t>
        </is>
      </c>
      <c r="K202" s="77" t="inlineStr">
        <is>
          <t>search-summary paraphrase</t>
        </is>
      </c>
      <c r="L202" s="77" t="inlineStr">
        <is>
          <t>Past consultancy teams worked with AECOM (net zero strategy), Komedia (YouTube channel) and Mindlab (marketing audiences).</t>
        </is>
      </c>
    </row>
    <row r="203">
      <c r="A203" s="77" t="inlineStr">
        <is>
          <t>UK08-S02-R1</t>
        </is>
      </c>
      <c r="B203" s="77" t="inlineStr">
        <is>
          <t>UK08</t>
        </is>
      </c>
      <c r="C203" s="77" t="inlineStr">
        <is>
          <t>UK08-S02</t>
        </is>
      </c>
      <c r="D203" s="77" t="inlineStr">
        <is>
          <t>Marketing Consultancy Project (Capstone)</t>
        </is>
      </c>
      <c r="E203" s="77" t="inlineStr">
        <is>
          <t>project; group; employer; credit</t>
        </is>
      </c>
      <c r="F203" s="77" t="inlineStr">
        <is>
          <t>https://www.sussex.ac.uk/study/modules/undergraduate/2025/105316-marketing-consultancy-project-capstone</t>
        </is>
      </c>
      <c r="G203" s="77" t="inlineStr">
        <is>
          <t>Marketing Consultancy Project (Capstone) module : University of Sussex</t>
        </is>
      </c>
      <c r="H203" s="77" t="inlineStr">
        <is>
          <t>Module overview / assessment</t>
        </is>
      </c>
      <c r="I203" s="77" t="inlineStr">
        <is>
          <t>2025</t>
        </is>
      </c>
      <c r="J203" s="77" t="inlineStr">
        <is>
          <t>2026-10-12</t>
        </is>
      </c>
      <c r="K203" s="77" t="inlineStr">
        <is>
          <t>search-index extract (quoted)</t>
        </is>
      </c>
      <c r="L203"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204">
      <c r="A204" s="77" t="inlineStr">
        <is>
          <t>UK08-S02-R2</t>
        </is>
      </c>
      <c r="B204" s="77" t="inlineStr">
        <is>
          <t>UK08</t>
        </is>
      </c>
      <c r="C204" s="77" t="inlineStr">
        <is>
          <t>UK08-S02</t>
        </is>
      </c>
      <c r="D204" s="77" t="inlineStr">
        <is>
          <t>Marketing Consultancy Project (Capstone)</t>
        </is>
      </c>
      <c r="E204" s="77" t="inlineStr">
        <is>
          <t>status</t>
        </is>
      </c>
      <c r="F204" s="77" t="inlineStr">
        <is>
          <t>https://www.sussex.ac.uk/study/modules/undergraduate/2026/105316-marketing-consultancy-project-capstone</t>
        </is>
      </c>
      <c r="G204" s="77" t="inlineStr">
        <is>
          <t>Marketing Consultancy Project (Capstone) module : University of Sussex</t>
        </is>
      </c>
      <c r="H204" s="77" t="inlineStr">
        <is>
          <t>Module catalogue 2026</t>
        </is>
      </c>
      <c r="I204" s="77" t="inlineStr">
        <is>
          <t>2026</t>
        </is>
      </c>
      <c r="J204" s="77" t="inlineStr">
        <is>
          <t>2026-10-12</t>
        </is>
      </c>
      <c r="K204" s="77" t="inlineStr">
        <is>
          <t>search-summary paraphrase</t>
        </is>
      </c>
      <c r="L204" s="77" t="inlineStr">
        <is>
          <t>Module page listed in the 2026 undergraduate module catalogue (title only seen in results).</t>
        </is>
      </c>
    </row>
    <row r="205">
      <c r="A205" s="77" t="inlineStr">
        <is>
          <t>UK08-S03-R1</t>
        </is>
      </c>
      <c r="B205" s="77" t="inlineStr">
        <is>
          <t>UK08</t>
        </is>
      </c>
      <c r="C205" s="77" t="inlineStr">
        <is>
          <t>UK08-S03</t>
        </is>
      </c>
      <c r="D205" s="77" t="inlineStr">
        <is>
          <t>Consultancy Project</t>
        </is>
      </c>
      <c r="E205" s="77" t="inlineStr">
        <is>
          <t>project; group; employer; credit; duration</t>
        </is>
      </c>
      <c r="F205" s="77" t="inlineStr">
        <is>
          <t>https://www.sussex.ac.uk/study/modules/postgraduate/2024/90902-consultancy-project</t>
        </is>
      </c>
      <c r="G205" s="77" t="inlineStr">
        <is>
          <t>Consultancy Project module : University of Sussex</t>
        </is>
      </c>
      <c r="H205" s="77" t="inlineStr">
        <is>
          <t>Module overview / assessment</t>
        </is>
      </c>
      <c r="I205" s="77" t="inlineStr">
        <is>
          <t>2024/25</t>
        </is>
      </c>
      <c r="J205" s="77" t="inlineStr">
        <is>
          <t>2026-10-12</t>
        </is>
      </c>
      <c r="K205" s="77" t="inlineStr">
        <is>
          <t>search-summary paraphrase</t>
        </is>
      </c>
      <c r="L205"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206">
      <c r="A206" s="77" t="inlineStr">
        <is>
          <t>UK08-S03-R2</t>
        </is>
      </c>
      <c r="B206" s="77" t="inlineStr">
        <is>
          <t>UK08</t>
        </is>
      </c>
      <c r="C206" s="77" t="inlineStr">
        <is>
          <t>UK08-S03</t>
        </is>
      </c>
      <c r="D206" s="77" t="inlineStr">
        <is>
          <t>Consultancy Project</t>
        </is>
      </c>
      <c r="E206" s="77" t="inlineStr">
        <is>
          <t>project; group; employer; eligibility</t>
        </is>
      </c>
      <c r="F206" s="77" t="inlineStr">
        <is>
          <t>https://www.sussex.ac.uk/study/masters/courses/management-msc</t>
        </is>
      </c>
      <c r="G206" s="77" t="inlineStr">
        <is>
          <t>Management MSc at the University of Sussex</t>
        </is>
      </c>
      <c r="H206" s="77" t="inlineStr">
        <is>
          <t>Course overview / dissertation options</t>
        </is>
      </c>
      <c r="I206" s="77" t="inlineStr">
        <is>
          <t>undated</t>
        </is>
      </c>
      <c r="J206" s="77" t="inlineStr">
        <is>
          <t>2026-10-12</t>
        </is>
      </c>
      <c r="K206" s="77" t="inlineStr">
        <is>
          <t>search-summary paraphrase</t>
        </is>
      </c>
      <c r="L206" s="77" t="inlineStr">
        <is>
          <t>Students solve real challenges with local organisations in a live consultancy project; one dissertation option offers small groups of students the opportunity to prepare a consultancy project for a business.</t>
        </is>
      </c>
    </row>
    <row r="207">
      <c r="A207" s="77" t="inlineStr">
        <is>
          <t>UK11-S01-R1</t>
        </is>
      </c>
      <c r="B207" s="77" t="inlineStr">
        <is>
          <t>UK11</t>
        </is>
      </c>
      <c r="C207" s="77" t="inlineStr">
        <is>
          <t>UK11-S01</t>
        </is>
      </c>
      <c r="D207" s="77" t="inlineStr">
        <is>
          <t>Multidisciplinary Engineering Final Year Project (industrial-client design project)</t>
        </is>
      </c>
      <c r="E207" s="77" t="inlineStr">
        <is>
          <t>project; employer; eligibility</t>
        </is>
      </c>
      <c r="F207" s="77" t="inlineStr">
        <is>
          <t>https://researchportal.hw.ac.uk/en/publications/multidisciplinary-engineering-final-year-project-approaches-and-r/</t>
        </is>
      </c>
      <c r="G207" s="77" t="inlineStr">
        <is>
          <t>Multidisciplinary Engineering Final Year Project: Approaches and Reflections</t>
        </is>
      </c>
      <c r="H207" s="77" t="inlineStr">
        <is>
          <t>Abstract</t>
        </is>
      </c>
      <c r="I207" s="77" t="inlineStr">
        <is>
          <t>undated</t>
        </is>
      </c>
      <c r="J207" s="77" t="inlineStr">
        <is>
          <t>2026-10-12</t>
        </is>
      </c>
      <c r="K207" s="77" t="inlineStr">
        <is>
          <t>search-index extract (quoted)</t>
        </is>
      </c>
      <c r="L207"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208">
      <c r="A208" s="77" t="inlineStr">
        <is>
          <t>UK11-S02-R1</t>
        </is>
      </c>
      <c r="B208" s="77" t="inlineStr">
        <is>
          <t>UK11</t>
        </is>
      </c>
      <c r="C208" s="77" t="inlineStr">
        <is>
          <t>UK11-S02</t>
        </is>
      </c>
      <c r="D208" s="77" t="inlineStr">
        <is>
          <t>System Project</t>
        </is>
      </c>
      <c r="E208" s="77" t="inlineStr">
        <is>
          <t>project; group; employer; status</t>
        </is>
      </c>
      <c r="F208" s="77" t="inlineStr">
        <is>
          <t>https://curriculum.hw.ac.uk/coursedetails/B39VS?termcode=202223</t>
        </is>
      </c>
      <c r="G208" s="77" t="inlineStr">
        <is>
          <t>System Project - Curriculum Explorer</t>
        </is>
      </c>
      <c r="H208" s="77" t="inlineStr">
        <is>
          <t>Course details / learning outcomes</t>
        </is>
      </c>
      <c r="I208" s="77" t="inlineStr">
        <is>
          <t>2022/23</t>
        </is>
      </c>
      <c r="J208" s="77" t="inlineStr">
        <is>
          <t>2026-10-12</t>
        </is>
      </c>
      <c r="K208" s="77" t="inlineStr">
        <is>
          <t>search-summary paraphrase</t>
        </is>
      </c>
      <c r="L208" s="77" t="inlineStr">
        <is>
          <t>Teamwork-focused course; learning outcomes include a project demonstration to academic staff and staff from industry, and team documents such as meeting minutes and a final report.</t>
        </is>
      </c>
    </row>
    <row r="209">
      <c r="A209" s="77" t="inlineStr">
        <is>
          <t>UK11-S03-R1</t>
        </is>
      </c>
      <c r="B209" s="77" t="inlineStr">
        <is>
          <t>UK11</t>
        </is>
      </c>
      <c r="C209" s="77" t="inlineStr">
        <is>
          <t>UK11-S03</t>
        </is>
      </c>
      <c r="D209" s="77" t="inlineStr">
        <is>
          <t>MSc International Business Management - company consultancy project</t>
        </is>
      </c>
      <c r="E209" s="77" t="inlineStr">
        <is>
          <t>project</t>
        </is>
      </c>
      <c r="F209" s="77" t="inlineStr">
        <is>
          <t>https://www.hw.ac.uk/study/postgraduate/international-business-management</t>
        </is>
      </c>
      <c r="G209" s="77" t="inlineStr">
        <is>
          <t>MSc International Business Management</t>
        </is>
      </c>
      <c r="H209" s="77" t="inlineStr">
        <is>
          <t>Programme structure</t>
        </is>
      </c>
      <c r="I209" s="77" t="inlineStr">
        <is>
          <t>undated</t>
        </is>
      </c>
      <c r="J209" s="77" t="inlineStr">
        <is>
          <t>2026-10-12</t>
        </is>
      </c>
      <c r="K209" s="77" t="inlineStr">
        <is>
          <t>search-summary paraphrase</t>
        </is>
      </c>
      <c r="L209" s="77" t="inlineStr">
        <is>
          <t>The final part of the degree includes 'a chance to work on a company consultancy project which allows you to understand business issues and apply concepts learnt during the programme'.</t>
        </is>
      </c>
    </row>
    <row r="210">
      <c r="A210" s="77" t="inlineStr">
        <is>
          <t>UK14-S01-R1</t>
        </is>
      </c>
      <c r="B210" s="77" t="inlineStr">
        <is>
          <t>UK14</t>
        </is>
      </c>
      <c r="C210" s="77" t="inlineStr">
        <is>
          <t>UK14-S01</t>
        </is>
      </c>
      <c r="D210" s="77" t="inlineStr">
        <is>
          <t>Civil Engineering MEng Level 7 group design exercise</t>
        </is>
      </c>
      <c r="E210" s="77" t="inlineStr">
        <is>
          <t>project; group; employer; duration</t>
        </is>
      </c>
      <c r="F210" s="77" t="inlineStr">
        <is>
          <t>https://www.swansea.ac.uk/undergraduate/courses/aerospace-civil-electrical-mechanical-engineering/civil-engineering/beng-civil-engineering/</t>
        </is>
      </c>
      <c r="G210" s="77" t="inlineStr">
        <is>
          <t>Civil Engineering, BEng (Hons) / MEng (Hons) - Swansea University</t>
        </is>
      </c>
      <c r="H210" s="77" t="inlineStr">
        <is>
          <t>Course structure, Level 7 / student testimonial</t>
        </is>
      </c>
      <c r="I210" s="77" t="inlineStr">
        <is>
          <t>undated</t>
        </is>
      </c>
      <c r="J210" s="77" t="inlineStr">
        <is>
          <t>2026-10-12</t>
        </is>
      </c>
      <c r="K210" s="77" t="inlineStr">
        <is>
          <t>search-summary paraphrase</t>
        </is>
      </c>
      <c r="L210"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211">
      <c r="A211" s="77" t="inlineStr">
        <is>
          <t>UK14-S01-R2</t>
        </is>
      </c>
      <c r="B211" s="77" t="inlineStr">
        <is>
          <t>UK14</t>
        </is>
      </c>
      <c r="C211" s="77" t="inlineStr">
        <is>
          <t>UK14-S01</t>
        </is>
      </c>
      <c r="D211" s="77" t="inlineStr">
        <is>
          <t>Civil Engineering MEng Level 7 group design exercise</t>
        </is>
      </c>
      <c r="E211" s="77" t="inlineStr">
        <is>
          <t>reach</t>
        </is>
      </c>
      <c r="F211" s="77" t="inlineStr">
        <is>
          <t>https://www.swansea.ac.uk/undergraduate/courses/engineering/civil-engineering/beng-civil-engineering-h200/</t>
        </is>
      </c>
      <c r="G211" s="77" t="inlineStr">
        <is>
          <t>Civil Engineering, BEng (Hons) - Swansea University</t>
        </is>
      </c>
      <c r="H211" s="77" t="inlineStr">
        <is>
          <t>Course page (possible alternate source of the same text)</t>
        </is>
      </c>
      <c r="I211" s="77" t="inlineStr">
        <is>
          <t>undated</t>
        </is>
      </c>
      <c r="J211" s="77" t="inlineStr">
        <is>
          <t>2026-10-12</t>
        </is>
      </c>
      <c r="K211" s="77" t="inlineStr">
        <is>
          <t>search-summary paraphrase</t>
        </is>
      </c>
      <c r="L211" s="77" t="inlineStr">
        <is>
          <t>Returned in the same search; the summary did not clearly tie the extract to this URL rather than [1].</t>
        </is>
      </c>
    </row>
    <row r="212">
      <c r="A212" s="77" t="inlineStr">
        <is>
          <t>UK14-S02-R1</t>
        </is>
      </c>
      <c r="B212" s="77" t="inlineStr">
        <is>
          <t>UK14</t>
        </is>
      </c>
      <c r="C212" s="77" t="inlineStr">
        <is>
          <t>UK14-S02</t>
        </is>
      </c>
      <c r="D212" s="77" t="inlineStr">
        <is>
          <t>Civil Engineering BEng Level 6 design project</t>
        </is>
      </c>
      <c r="E212" s="77" t="inlineStr">
        <is>
          <t>project; employer</t>
        </is>
      </c>
      <c r="F212" s="77" t="inlineStr">
        <is>
          <t>https://www.swansea.ac.uk/undergraduate/courses/aerospace-civil-electrical-mechanical-engineering/civil-engineering/beng-civil-engineering/</t>
        </is>
      </c>
      <c r="G212" s="77" t="inlineStr">
        <is>
          <t>Civil Engineering, BEng (Hons) / MEng (Hons) - Swansea University</t>
        </is>
      </c>
      <c r="H212" s="77" t="inlineStr">
        <is>
          <t>Course structure, Level 6</t>
        </is>
      </c>
      <c r="I212" s="77" t="inlineStr">
        <is>
          <t>undated</t>
        </is>
      </c>
      <c r="J212" s="77" t="inlineStr">
        <is>
          <t>2026-10-12</t>
        </is>
      </c>
      <c r="K212" s="77" t="inlineStr">
        <is>
          <t>search-summary paraphrase</t>
        </is>
      </c>
      <c r="L212" s="77" t="inlineStr">
        <is>
          <t>'The design project brings this knowledge together with a task set by engineers currently working in industry. You will also undertake an individual project linked with the expertise of the department.'</t>
        </is>
      </c>
    </row>
    <row r="213">
      <c r="A213" s="77" t="inlineStr">
        <is>
          <t>UK14-S03-R1</t>
        </is>
      </c>
      <c r="B213" s="77" t="inlineStr">
        <is>
          <t>UK14</t>
        </is>
      </c>
      <c r="C213" s="77" t="inlineStr">
        <is>
          <t>UK14-S03</t>
        </is>
      </c>
      <c r="D213" s="77" t="inlineStr">
        <is>
          <t>Business Consultancy Project (BSc Economics and Business)</t>
        </is>
      </c>
      <c r="E213" s="77" t="inlineStr">
        <is>
          <t>project; employer</t>
        </is>
      </c>
      <c r="F213" s="77" t="inlineStr">
        <is>
          <t>https://www.swansea.ac.uk/undergraduate/courses/social-sciences/economics/bsc-economics-business/</t>
        </is>
      </c>
      <c r="G213" s="77" t="inlineStr">
        <is>
          <t>Economics and Business, BSc (Hons) - Swansea University</t>
        </is>
      </c>
      <c r="H213" s="77" t="inlineStr">
        <is>
          <t>Course overview</t>
        </is>
      </c>
      <c r="I213" s="77" t="inlineStr">
        <is>
          <t>undated</t>
        </is>
      </c>
      <c r="J213" s="77" t="inlineStr">
        <is>
          <t>2026-10-12</t>
        </is>
      </c>
      <c r="K213" s="77" t="inlineStr">
        <is>
          <t>search-index extract (quoted)</t>
        </is>
      </c>
      <c r="L213" s="77" t="inlineStr">
        <is>
          <t>'Business Consultancy Project, where you will apply your skills to a live client real-world challenge.'</t>
        </is>
      </c>
    </row>
    <row r="214">
      <c r="A214" s="77" t="inlineStr">
        <is>
          <t>UK14-S04-R1</t>
        </is>
      </c>
      <c r="B214" s="77" t="inlineStr">
        <is>
          <t>UK14</t>
        </is>
      </c>
      <c r="C214" s="77" t="inlineStr">
        <is>
          <t>UK14-S04</t>
        </is>
      </c>
      <c r="D214" s="77" t="inlineStr">
        <is>
          <t>Marketing consultancy project (BSc Marketing final-year pathway)</t>
        </is>
      </c>
      <c r="E214" s="77" t="inlineStr">
        <is>
          <t>project; participation</t>
        </is>
      </c>
      <c r="F214" s="77" t="inlineStr">
        <is>
          <t>https://www.swansea.ac.uk/undergraduate/courses/som/marketing/bsc-marketing/</t>
        </is>
      </c>
      <c r="G214" s="77" t="inlineStr">
        <is>
          <t>Marketing, BSc (Hons) - Swansea University</t>
        </is>
      </c>
      <c r="H214" s="77" t="inlineStr">
        <is>
          <t>Final year pathways</t>
        </is>
      </c>
      <c r="I214" s="77" t="inlineStr">
        <is>
          <t>undated</t>
        </is>
      </c>
      <c r="J214" s="77" t="inlineStr">
        <is>
          <t>2026-10-12</t>
        </is>
      </c>
      <c r="K214" s="77" t="inlineStr">
        <is>
          <t>search-index extract (quoted)</t>
        </is>
      </c>
      <c r="L214" s="77" t="inlineStr">
        <is>
          <t>'Flexible final year pathways, that allow you to choose between a traditional dissertation, a Welsh-medium dissertation, or a marketing consultancy project'</t>
        </is>
      </c>
    </row>
    <row r="215">
      <c r="A215" s="77" t="inlineStr">
        <is>
          <t>UK14-S05-R1</t>
        </is>
      </c>
      <c r="B215" s="77" t="inlineStr">
        <is>
          <t>UK14</t>
        </is>
      </c>
      <c r="C215" s="77" t="inlineStr">
        <is>
          <t>UK14-S05</t>
        </is>
      </c>
      <c r="D215" s="77" t="inlineStr">
        <is>
          <t>MSc Project Management live project collaborations</t>
        </is>
      </c>
      <c r="E215" s="77" t="inlineStr">
        <is>
          <t>project; group; employer</t>
        </is>
      </c>
      <c r="F215" s="77" t="inlineStr">
        <is>
          <t>https://www.swansea.ac.uk/postgraduate/taught/som/business-management/msc-project-management/</t>
        </is>
      </c>
      <c r="G215" s="77" t="inlineStr">
        <is>
          <t>Project Management, MSc - Swansea University</t>
        </is>
      </c>
      <c r="H215" s="77" t="inlineStr">
        <is>
          <t>Course overview</t>
        </is>
      </c>
      <c r="I215" s="77" t="inlineStr">
        <is>
          <t>undated</t>
        </is>
      </c>
      <c r="J215" s="77" t="inlineStr">
        <is>
          <t>2026-10-12</t>
        </is>
      </c>
      <c r="K215" s="77" t="inlineStr">
        <is>
          <t>search-summary paraphrase</t>
        </is>
      </c>
      <c r="L215" s="77" t="inlineStr">
        <is>
          <t>'live project collaborations, and dissertation partnerships with organisations such as Tata Steel, Siemens, the NHS'; students join project teams and take on live project challenges.</t>
        </is>
      </c>
    </row>
    <row r="216">
      <c r="A216" s="77" t="inlineStr">
        <is>
          <t>UK14-S06-R1</t>
        </is>
      </c>
      <c r="B216" s="77" t="inlineStr">
        <is>
          <t>UK14</t>
        </is>
      </c>
      <c r="C216" s="77" t="inlineStr">
        <is>
          <t>UK14-S06</t>
        </is>
      </c>
      <c r="D216" s="77" t="inlineStr">
        <is>
          <t>Student Enterprise hackathon (Swansea City Football Club challenge)</t>
        </is>
      </c>
      <c r="E216" s="77" t="inlineStr">
        <is>
          <t>employer; reach</t>
        </is>
      </c>
      <c r="F216" s="77" t="inlineStr">
        <is>
          <t>https://hwb.swansea.ac.uk/employability-enterprise/student-enterprise/</t>
        </is>
      </c>
      <c r="G216" s="77" t="inlineStr">
        <is>
          <t>Student Enterprise - Swansea University</t>
        </is>
      </c>
      <c r="H216" s="77" t="inlineStr">
        <is>
          <t>Hackathons</t>
        </is>
      </c>
      <c r="I216" s="77" t="inlineStr">
        <is>
          <t>undated</t>
        </is>
      </c>
      <c r="J216" s="77" t="inlineStr">
        <is>
          <t>2026-10-12</t>
        </is>
      </c>
      <c r="K216" s="77" t="inlineStr">
        <is>
          <t>search-index extract (quoted)</t>
        </is>
      </c>
      <c r="L216" s="77" t="inlineStr">
        <is>
          <t>'Students from across all faculties ... gained experience working on a real-life commercial challenge and as a result developed over 12 commercial ideas to support Swansea City Football club'</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7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t>
        </is>
      </c>
    </row>
    <row r="10">
      <c r="A10" s="77" t="inlineStr">
        <is>
          <t>RG01</t>
        </is>
      </c>
      <c r="B10" s="77" t="inlineStr">
        <is>
          <t>Birmingham</t>
        </is>
      </c>
      <c r="C10" s="77" t="inlineStr">
        <is>
          <t>Science</t>
        </is>
      </c>
      <c r="D10" s="77" t="inlineStr">
        <is>
          <t>Searched</t>
        </is>
      </c>
      <c r="E10" s="77" t="inlineStr">
        <is>
          <t>physics third year group industrial project company students small groups</t>
        </is>
      </c>
      <c r="F10" s="77" t="inlineStr">
        <is>
          <t>https://www.birmingham.ac.uk/Documents/college-eps/college/stem/group-industrial-projects.pdf</t>
        </is>
      </c>
      <c r="G10" s="77" t="inlineStr">
        <is>
          <t>Only Physics searched: group project is academic-led. Biosciences, Geography/Environmental Sciences, Mathematics, Psychology not searched (search limit reached).</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t>
        </is>
      </c>
      <c r="F11" s="77" t="inlineStr">
        <is>
          <t>https://www.birmingham.ac.uk/documents/college-artslaw/studentexperience/2022-psm-example-projects-web-version.pdf</t>
        </is>
      </c>
      <c r="G11" s="77" t="inlineStr">
        <is>
          <t>One broad search only: Arts and Law Professional Skills Module is placement-based; no social-science group client module found. INLOGOV/public policy, Government and Society, Education not searched individually.</t>
        </is>
      </c>
    </row>
    <row r="12">
      <c r="A12" s="77" t="inlineStr">
        <is>
          <t>RG01</t>
        </is>
      </c>
      <c r="B12" s="77" t="inlineStr">
        <is>
          <t>Birmingham</t>
        </is>
      </c>
      <c r="C12" s="77" t="inlineStr">
        <is>
          <t>Other (law, health, design, architecture…)</t>
        </is>
      </c>
      <c r="D12" s="77" t="inlineStr">
        <is>
          <t>Not searched</t>
        </is>
      </c>
      <c r="E12" s="77" t="inlineStr"/>
      <c r="F12" s="77" t="inlineStr"/>
      <c r="G12" s="77" t="inlineStr">
        <is>
          <t>Law (Pro Bono/clinics), Medicine and Health, Education not searched: shared web-search budget exhausted after 14 searches.</t>
        </is>
      </c>
    </row>
    <row r="13">
      <c r="A13" s="77" t="inlineStr">
        <is>
          <t>RG13</t>
        </is>
      </c>
      <c r="B13" s="77" t="inlineStr">
        <is>
          <t>London School of Economics</t>
        </is>
      </c>
      <c r="C13" s="77" t="inlineStr">
        <is>
          <t>Central provision</t>
        </is>
      </c>
      <c r="D13" s="77" t="inlineStr">
        <is>
          <t>Searched</t>
        </is>
      </c>
      <c r="E13"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13"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13"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14">
      <c r="A14" s="77" t="inlineStr">
        <is>
          <t>RG13</t>
        </is>
      </c>
      <c r="B14" s="77" t="inlineStr">
        <is>
          <t>London School of Economics</t>
        </is>
      </c>
      <c r="C14" s="77" t="inlineStr">
        <is>
          <t>Business/management</t>
        </is>
      </c>
      <c r="D14" s="77" t="inlineStr">
        <is>
          <t>Searched</t>
        </is>
      </c>
      <c r="E14"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14"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14" s="77" t="inlineStr">
        <is>
          <t>Dense provision: a department-wide sponsored Business Projects framework (GMiM, CEMS/MBA, HRO Links, MALP, Open Innovation) plus the MiM capstone/London Consulting Project and the SIE year-long partner project; all PG taught and programme-embedded.</t>
        </is>
      </c>
    </row>
    <row r="15">
      <c r="A15" s="77" t="inlineStr">
        <is>
          <t>RG13</t>
        </is>
      </c>
      <c r="B15" s="77" t="inlineStr">
        <is>
          <t>London School of Economics</t>
        </is>
      </c>
      <c r="C15" s="77" t="inlineStr">
        <is>
          <t>Engineering/computing</t>
        </is>
      </c>
      <c r="D15" s="77" t="inlineStr">
        <is>
          <t>Not applicable</t>
        </is>
      </c>
      <c r="E15" s="77" t="inlineStr"/>
      <c r="F15" s="77" t="inlineStr"/>
      <c r="G15" s="77" t="inlineStr">
        <is>
          <t>LSE has no engineering or computer science faculty. Data science provision (Statistics ST498; Methodology MY498) is recorded under 'science' as the nearest quantitative area.</t>
        </is>
      </c>
    </row>
    <row r="16">
      <c r="A16" s="77" t="inlineStr">
        <is>
          <t>RG13</t>
        </is>
      </c>
      <c r="B16" s="77" t="inlineStr">
        <is>
          <t>London School of Economics</t>
        </is>
      </c>
      <c r="C16" s="77" t="inlineStr">
        <is>
          <t>Science</t>
        </is>
      </c>
      <c r="D16" s="77" t="inlineStr">
        <is>
          <t>Searched</t>
        </is>
      </c>
      <c r="E16" s="77" t="inlineStr">
        <is>
          <t>LSE Statistics ST498 Capstone Project external partner; ST498 course guide assessment partner jointly supervised; MY498 Capstone Applied Social Data Science; MSc Operations Research and Analytics project with company / MA498</t>
        </is>
      </c>
      <c r="F16" s="77" t="inlineStr">
        <is>
          <t>https://www.lse.ac.uk/resources/calendar2025-2026/courseGuides/ST/2025_ST498.htm; https://www.lse.ac.uk/resources/calendar2026-2027/courseGuides/MA/2026_MA425.htm</t>
        </is>
      </c>
      <c r="G16"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17">
      <c r="A17" s="77" t="inlineStr">
        <is>
          <t>RG13</t>
        </is>
      </c>
      <c r="B17" s="77" t="inlineStr">
        <is>
          <t>London School of Economics</t>
        </is>
      </c>
      <c r="C17" s="77" t="inlineStr">
        <is>
          <t>Arts/humanities/social sciences</t>
        </is>
      </c>
      <c r="D17" s="77" t="inlineStr">
        <is>
          <t>Searched</t>
        </is>
      </c>
      <c r="E17"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17"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17"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18">
      <c r="A18" s="77" t="inlineStr">
        <is>
          <t>RG13</t>
        </is>
      </c>
      <c r="B18" s="77" t="inlineStr">
        <is>
          <t>London School of Economics</t>
        </is>
      </c>
      <c r="C18" s="77" t="inlineStr">
        <is>
          <t>Other (law, health, design, architecture…)</t>
        </is>
      </c>
      <c r="D18" s="77" t="inlineStr">
        <is>
          <t>Searched</t>
        </is>
      </c>
      <c r="E18" s="77" t="inlineStr">
        <is>
          <t>LSE Law School pro bono clinic group project external organisation; LSE Legal Advice Centre Sustainability clinic ClientEarth; ECtHR Intervention Clinic teams</t>
        </is>
      </c>
      <c r="F18" s="77" t="inlineStr">
        <is>
          <t>https://www.lse.ac.uk/law/legal-advice-centre/sustainability-and-the-rule-of-law; https://www.lse.ac.uk/law/study/llm/echr-clinic-llm</t>
        </is>
      </c>
      <c r="G18"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19">
      <c r="A19" s="77" t="inlineStr">
        <is>
          <t>RG17</t>
        </is>
      </c>
      <c r="B19" s="77" t="inlineStr">
        <is>
          <t>Oxford</t>
        </is>
      </c>
      <c r="C19" s="77" t="inlineStr">
        <is>
          <t>Central provision</t>
        </is>
      </c>
      <c r="D19" s="77" t="inlineStr">
        <is>
          <t>Searched</t>
        </is>
      </c>
      <c r="E19"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9" s="77" t="inlineStr">
        <is>
          <t>https://www.careers.ox.ac.uk/Collaborative-Projects; https://www.careers.ox.ac.uk/oxford-strategy-challenge; https://www.careers.ox.ac.uk/making-a-difference; https://www.careers.ox.ac.uk/tsc; https://www.careers.ox.ac.uk/micros</t>
        </is>
      </c>
      <c r="G19"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20">
      <c r="A20" s="77" t="inlineStr">
        <is>
          <t>RG17</t>
        </is>
      </c>
      <c r="B20" s="77" t="inlineStr">
        <is>
          <t>Oxford</t>
        </is>
      </c>
      <c r="C20" s="77" t="inlineStr">
        <is>
          <t>Business/management</t>
        </is>
      </c>
      <c r="D20" s="77" t="inlineStr">
        <is>
          <t>Searched</t>
        </is>
      </c>
      <c r="E20" s="77" t="inlineStr">
        <is>
          <t>Oxford MBA Strategic Consulting Project teams client organisation elective (extended); Saïd Business School team project real organisation client MSc/Executive MBA</t>
        </is>
      </c>
      <c r="F20" s="77" t="inlineStr">
        <is>
          <t>https://development.sbs.ox.ac.uk/strategic-consulting-projects/index.html; https://www.sbs.ox.ac.uk/sites/default/files/2024-10/Master_of_Businsess_Administation_MBA_2025-26entry_08Oct2024.pdf</t>
        </is>
      </c>
      <c r="G20"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21">
      <c r="A21" s="77" t="inlineStr">
        <is>
          <t>RG17</t>
        </is>
      </c>
      <c r="B21" s="77" t="inlineStr">
        <is>
          <t>Oxford</t>
        </is>
      </c>
      <c r="C21" s="77" t="inlineStr">
        <is>
          <t>Engineering/computing</t>
        </is>
      </c>
      <c r="D21" s="77" t="inlineStr">
        <is>
          <t>Searched</t>
        </is>
      </c>
      <c r="E21"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21" s="77" t="inlineStr">
        <is>
          <t>https://www.cs.ox.ac.uk/innovation/industry_relations/interact_group_project.html; https://www.cs.ox.ac.uk/teaching/bacompsci/PartA/; https://eng.ox.ac.uk/study/undergraduate/your-degree/course-structure; https://eng.ox.ac.uk/media/ycigaoue/msc-energy-systems-course-handbook-25-26-v11.pdf</t>
        </is>
      </c>
      <c r="G21"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22">
      <c r="A22" s="77" t="inlineStr">
        <is>
          <t>RG17</t>
        </is>
      </c>
      <c r="B22" s="77" t="inlineStr">
        <is>
          <t>Oxford</t>
        </is>
      </c>
      <c r="C22" s="77" t="inlineStr">
        <is>
          <t>Science</t>
        </is>
      </c>
      <c r="D22" s="77" t="inlineStr">
        <is>
          <t>Searched</t>
        </is>
      </c>
      <c r="E22" s="77" t="inlineStr">
        <is>
          <t>Oxford MSc Mathematical Modelling and Scientific Computing case studies industry group project (extended); Oxford MSc students group consultancy project external partner organisation environment/sustainability/statistics</t>
        </is>
      </c>
      <c r="F22" s="77" t="inlineStr">
        <is>
          <t>https://courses.maths.ox.ac.uk/mod/book/view.php?id=65607&amp;chapterid=802; https://www.stats.ox.ac.uk/internal-clients</t>
        </is>
      </c>
      <c r="G22" s="77" t="inlineStr">
        <is>
          <t>Limited coverage: MMSC group case studies lack evidenced external clients; Statistics consultancy is not a student route. Chemistry, Biology, Earth Sciences, Physics, Smith School (MSc SEE) not searched due to search budget exhaustion.</t>
        </is>
      </c>
    </row>
    <row r="23">
      <c r="A23" s="77" t="inlineStr">
        <is>
          <t>RG17</t>
        </is>
      </c>
      <c r="B23" s="77" t="inlineStr">
        <is>
          <t>Oxford</t>
        </is>
      </c>
      <c r="C23" s="77" t="inlineStr">
        <is>
          <t>Arts/humanities/social sciences</t>
        </is>
      </c>
      <c r="D23" s="77" t="inlineStr">
        <is>
          <t>Not searched</t>
        </is>
      </c>
      <c r="E23" s="77" t="inlineStr">
        <is>
          <t>Blavatnik School MPP students team project real policy client (refused: web search budget exhausted)</t>
        </is>
      </c>
      <c r="F23" s="77" t="inlineStr"/>
      <c r="G23" s="77" t="inlineStr">
        <is>
          <t>Not searched: the shared per-turn web-search limit was reached before this area could be researched (Blavatnik MPP, Oxford Internet Institute, ODID, Humanities Division, Continuing Education MSc Sustainable Urban Development all outstanding).</t>
        </is>
      </c>
    </row>
    <row r="24">
      <c r="A24" s="77" t="inlineStr">
        <is>
          <t>RG17</t>
        </is>
      </c>
      <c r="B24" s="77" t="inlineStr">
        <is>
          <t>Oxford</t>
        </is>
      </c>
      <c r="C24" s="77" t="inlineStr">
        <is>
          <t>Other (law, health, design, architecture…)</t>
        </is>
      </c>
      <c r="D24" s="77" t="inlineStr">
        <is>
          <t>Not searched</t>
        </is>
      </c>
      <c r="E24" s="77" t="inlineStr"/>
      <c r="F24" s="77" t="inlineStr"/>
      <c r="G24" s="77" t="inlineStr">
        <is>
          <t>Not searched: search budget exhausted (Law Faculty clinics/pro bono, Medical Sciences, Education).</t>
        </is>
      </c>
    </row>
    <row r="25">
      <c r="A25" s="77" t="inlineStr">
        <is>
          <t>AU02</t>
        </is>
      </c>
      <c r="B25" s="77" t="inlineStr">
        <is>
          <t>Melbourne</t>
        </is>
      </c>
      <c r="C25" s="77" t="inlineStr">
        <is>
          <t>Central provision</t>
        </is>
      </c>
      <c r="D25" s="77" t="inlineStr">
        <is>
          <t>Searched</t>
        </is>
      </c>
      <c r="E25"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25"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25"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26">
      <c r="A26" s="77" t="inlineStr">
        <is>
          <t>AU02</t>
        </is>
      </c>
      <c r="B26" s="77" t="inlineStr">
        <is>
          <t>Melbourne</t>
        </is>
      </c>
      <c r="C26" s="77" t="inlineStr">
        <is>
          <t>Business/management</t>
        </is>
      </c>
      <c r="D26" s="77" t="inlineStr">
        <is>
          <t>Searched</t>
        </is>
      </c>
      <c r="E26"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26"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26"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27">
      <c r="A27" s="77" t="inlineStr">
        <is>
          <t>AU02</t>
        </is>
      </c>
      <c r="B27" s="77" t="inlineStr">
        <is>
          <t>Melbourne</t>
        </is>
      </c>
      <c r="C27" s="77" t="inlineStr">
        <is>
          <t>Engineering/computing</t>
        </is>
      </c>
      <c r="D27" s="77" t="inlineStr">
        <is>
          <t>Searched</t>
        </is>
      </c>
      <c r="E27"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27"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27"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28">
      <c r="A28" s="77" t="inlineStr">
        <is>
          <t>AU02</t>
        </is>
      </c>
      <c r="B28" s="77" t="inlineStr">
        <is>
          <t>Melbourne</t>
        </is>
      </c>
      <c r="C28" s="77" t="inlineStr">
        <is>
          <t>Science</t>
        </is>
      </c>
      <c r="D28" s="77" t="inlineStr">
        <is>
          <t>Searched</t>
        </is>
      </c>
      <c r="E28"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28"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28"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29">
      <c r="A29" s="77" t="inlineStr">
        <is>
          <t>AU02</t>
        </is>
      </c>
      <c r="B29" s="77" t="inlineStr">
        <is>
          <t>Melbourne</t>
        </is>
      </c>
      <c r="C29" s="77" t="inlineStr">
        <is>
          <t>Arts/humanities/social sciences</t>
        </is>
      </c>
      <c r="D29" s="77" t="inlineStr">
        <is>
          <t>Searched</t>
        </is>
      </c>
      <c r="E29"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29"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29"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30">
      <c r="A30" s="77" t="inlineStr">
        <is>
          <t>AU02</t>
        </is>
      </c>
      <c r="B30" s="77" t="inlineStr">
        <is>
          <t>Melbourne</t>
        </is>
      </c>
      <c r="C30" s="77" t="inlineStr">
        <is>
          <t>Other (law, health, design, architecture…)</t>
        </is>
      </c>
      <c r="D30" s="77" t="inlineStr">
        <is>
          <t>Searched</t>
        </is>
      </c>
      <c r="E30"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30"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30"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31">
      <c r="A31" s="77" t="inlineStr">
        <is>
          <t>AU06</t>
        </is>
      </c>
      <c r="B31" s="77" t="inlineStr">
        <is>
          <t>Queensland</t>
        </is>
      </c>
      <c r="C31" s="77" t="inlineStr">
        <is>
          <t>Central provision</t>
        </is>
      </c>
      <c r="D31" s="77" t="inlineStr">
        <is>
          <t>Searched</t>
        </is>
      </c>
      <c r="E3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31" s="77" t="inlineStr">
        <is>
          <t>https://ventures.uq.edu.au/industry-challenge; https://employability.uq.edu.au/practera-saiep-industry-experience-projects</t>
        </is>
      </c>
      <c r="G3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32">
      <c r="A32" s="77" t="inlineStr">
        <is>
          <t>AU06</t>
        </is>
      </c>
      <c r="B32" s="77" t="inlineStr">
        <is>
          <t>Queensland</t>
        </is>
      </c>
      <c r="C32" s="77" t="inlineStr">
        <is>
          <t>Business/management</t>
        </is>
      </c>
      <c r="D32" s="77" t="inlineStr">
        <is>
          <t>Searched</t>
        </is>
      </c>
      <c r="E3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t>
        </is>
      </c>
      <c r="F32" s="77" t="inlineStr">
        <is>
          <t>https://bel.uq.edu.au/for-students/careers/wil/industry-project; https://programs-courses.uq.edu.au/course.html?course_code=PBEL3000; https://programs-courses.uq.edu.au/course.html?course_code=MGTS7820; https://course-profiles.uq.edu.au/course-profiles/MGTS7818-60293-7460</t>
        </is>
      </c>
      <c r="G32" s="77" t="inlineStr">
        <is>
          <t>BEL Industry Consulting Project (RBUS3888/4888/7888, BSAN7215), PBEL3000 capstone and MBA Impact Academy 1 all qualify with current evidence; former MBA capstone MGTS7818 last evidenced 2024.</t>
        </is>
      </c>
    </row>
    <row r="33">
      <c r="A33" s="77" t="inlineStr">
        <is>
          <t>AU06</t>
        </is>
      </c>
      <c r="B33" s="77" t="inlineStr">
        <is>
          <t>Queensland</t>
        </is>
      </c>
      <c r="C33" s="77" t="inlineStr">
        <is>
          <t>Engineering/computing</t>
        </is>
      </c>
      <c r="D33" s="77" t="inlineStr">
        <is>
          <t>Searched</t>
        </is>
      </c>
      <c r="E3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33" s="77" t="inlineStr">
        <is>
          <t>https://programs-courses.uq.edu.au/course.html?course_code=DECO3801; https://www.eait.uq.edu.au/employability/industry-partnerships/data-science-and-cyber-security/master-of-data-science-capstone-project</t>
        </is>
      </c>
      <c r="G3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34">
      <c r="A34" s="77" t="inlineStr">
        <is>
          <t>AU06</t>
        </is>
      </c>
      <c r="B34" s="77" t="inlineStr">
        <is>
          <t>Queensland</t>
        </is>
      </c>
      <c r="C34" s="77" t="inlineStr">
        <is>
          <t>Science</t>
        </is>
      </c>
      <c r="D34" s="77" t="inlineStr">
        <is>
          <t>Not searched</t>
        </is>
      </c>
      <c r="E34" s="77" t="inlineStr"/>
      <c r="F34" s="77" t="inlineStr"/>
      <c r="G34" s="77" t="inlineStr">
        <is>
          <t>Not searched: shared web-search budget for the session was exhausted after 12 searches.</t>
        </is>
      </c>
    </row>
    <row r="35">
      <c r="A35" s="77" t="inlineStr">
        <is>
          <t>AU06</t>
        </is>
      </c>
      <c r="B35" s="77" t="inlineStr">
        <is>
          <t>Queensland</t>
        </is>
      </c>
      <c r="C35" s="77" t="inlineStr">
        <is>
          <t>Arts/humanities/social sciences</t>
        </is>
      </c>
      <c r="D35" s="77" t="inlineStr">
        <is>
          <t>Not searched</t>
        </is>
      </c>
      <c r="E35" s="77" t="inlineStr"/>
      <c r="F35" s="77" t="inlineStr"/>
      <c r="G35" s="77" t="inlineStr">
        <is>
          <t>Not searched: web-search budget exhausted.</t>
        </is>
      </c>
    </row>
    <row r="36">
      <c r="A36" s="77" t="inlineStr">
        <is>
          <t>AU06</t>
        </is>
      </c>
      <c r="B36" s="77" t="inlineStr">
        <is>
          <t>Queensland</t>
        </is>
      </c>
      <c r="C36" s="77" t="inlineStr">
        <is>
          <t>Other (law, health, design, architecture…)</t>
        </is>
      </c>
      <c r="D36" s="77" t="inlineStr">
        <is>
          <t>Not searched</t>
        </is>
      </c>
      <c r="E36" s="77" t="inlineStr"/>
      <c r="F36" s="77" t="inlineStr"/>
      <c r="G36" s="77" t="inlineStr">
        <is>
          <t>Not searched (law, health, architecture/design): web-search budget exhausted.</t>
        </is>
      </c>
    </row>
    <row r="37">
      <c r="A37" s="77" t="inlineStr">
        <is>
          <t>AU09</t>
        </is>
      </c>
      <c r="B37" s="77" t="inlineStr">
        <is>
          <t>University of Technology Sydney</t>
        </is>
      </c>
      <c r="C37" s="77" t="inlineStr">
        <is>
          <t>Central provision</t>
        </is>
      </c>
      <c r="D37" s="77" t="inlineStr">
        <is>
          <t>Searched</t>
        </is>
      </c>
      <c r="E3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3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3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38">
      <c r="A38" s="77" t="inlineStr">
        <is>
          <t>AU09</t>
        </is>
      </c>
      <c r="B38" s="77" t="inlineStr">
        <is>
          <t>University of Technology Sydney</t>
        </is>
      </c>
      <c r="C38" s="77" t="inlineStr">
        <is>
          <t>Business/management</t>
        </is>
      </c>
      <c r="D38" s="77" t="inlineStr">
        <is>
          <t>Not searched</t>
        </is>
      </c>
      <c r="E38" s="77" t="inlineStr"/>
      <c r="F38" s="77" t="inlineStr"/>
      <c r="G38" s="77" t="inlineStr">
        <is>
          <t>Not searched: the shared WebSearch budget for this run (200 calls per turn across all agents) ran out after 7 UTS searches. A follow-up run should cover this area.</t>
        </is>
      </c>
    </row>
    <row r="39">
      <c r="A39" s="77" t="inlineStr">
        <is>
          <t>AU09</t>
        </is>
      </c>
      <c r="B39" s="77" t="inlineStr">
        <is>
          <t>University of Technology Sydney</t>
        </is>
      </c>
      <c r="C39" s="77" t="inlineStr">
        <is>
          <t>Engineering/computing</t>
        </is>
      </c>
      <c r="D39" s="77" t="inlineStr">
        <is>
          <t>Not searched</t>
        </is>
      </c>
      <c r="E39" s="77" t="inlineStr"/>
      <c r="F39" s="77" t="inlineStr"/>
      <c r="G39" s="77" t="inlineStr">
        <is>
          <t>Not searched: the shared WebSearch budget for this run (200 calls per turn across all agents) ran out after 7 UTS searches. A follow-up run should cover this area.</t>
        </is>
      </c>
    </row>
    <row r="40">
      <c r="A40" s="77" t="inlineStr">
        <is>
          <t>AU09</t>
        </is>
      </c>
      <c r="B40" s="77" t="inlineStr">
        <is>
          <t>University of Technology Sydney</t>
        </is>
      </c>
      <c r="C40" s="77" t="inlineStr">
        <is>
          <t>Science</t>
        </is>
      </c>
      <c r="D40" s="77" t="inlineStr">
        <is>
          <t>Not searched</t>
        </is>
      </c>
      <c r="E40" s="77" t="inlineStr"/>
      <c r="F40" s="77" t="inlineStr"/>
      <c r="G40" s="77" t="inlineStr">
        <is>
          <t>Not searched: the shared WebSearch budget for this run (200 calls per turn across all agents) ran out after 7 UTS searches. A follow-up run should cover this area.</t>
        </is>
      </c>
    </row>
    <row r="41">
      <c r="A41" s="77" t="inlineStr">
        <is>
          <t>AU09</t>
        </is>
      </c>
      <c r="B41" s="77" t="inlineStr">
        <is>
          <t>University of Technology Sydney</t>
        </is>
      </c>
      <c r="C41" s="77" t="inlineStr">
        <is>
          <t>Arts/humanities/social sciences</t>
        </is>
      </c>
      <c r="D41" s="77" t="inlineStr">
        <is>
          <t>Not searched</t>
        </is>
      </c>
      <c r="E41" s="77" t="inlineStr"/>
      <c r="F41" s="77" t="inlineStr"/>
      <c r="G41" s="77" t="inlineStr">
        <is>
          <t>Not searched: the shared WebSearch budget for this run (200 calls per turn across all agents) ran out after 7 UTS searches. A follow-up run should cover this area.</t>
        </is>
      </c>
    </row>
    <row r="42">
      <c r="A42" s="77" t="inlineStr">
        <is>
          <t>AU09</t>
        </is>
      </c>
      <c r="B42" s="77" t="inlineStr">
        <is>
          <t>University of Technology Sydney</t>
        </is>
      </c>
      <c r="C42" s="77" t="inlineStr">
        <is>
          <t>Other (law, health, design, architecture…)</t>
        </is>
      </c>
      <c r="D42" s="77" t="inlineStr">
        <is>
          <t>Not searched</t>
        </is>
      </c>
      <c r="E42" s="77" t="inlineStr"/>
      <c r="F42" s="77" t="inlineStr"/>
      <c r="G42" s="77" t="inlineStr">
        <is>
          <t>Not searched: the shared WebSearch budget for this run (200 calls per turn across all agents) ran out after 7 UTS searches. A follow-up run should cover this area.</t>
        </is>
      </c>
    </row>
    <row r="43">
      <c r="A43" s="77" t="inlineStr">
        <is>
          <t>UK02</t>
        </is>
      </c>
      <c r="B43" s="77" t="inlineStr">
        <is>
          <t>St Andrews</t>
        </is>
      </c>
      <c r="C43" s="77" t="inlineStr">
        <is>
          <t>Central provision</t>
        </is>
      </c>
      <c r="D43" s="77" t="inlineStr">
        <is>
          <t>Searched</t>
        </is>
      </c>
      <c r="E43"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t>
        </is>
      </c>
      <c r="F43" s="77" t="inlineStr">
        <is>
          <t>https://www.st-andrews.ac.uk/education/vip/students/; https://memos.wp.st-andrews.ac.uk/2026/04/15/applications-for-2026-2027-vip-modules-open-now/; https://www.st-andrews.ac.uk/education/handbook/step/; https://www.st-andrews.ac.uk/careers/career-options/sectors/business/</t>
        </is>
      </c>
      <c r="G43"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44">
      <c r="A44" s="77" t="inlineStr">
        <is>
          <t>UK02</t>
        </is>
      </c>
      <c r="B44" s="77" t="inlineStr">
        <is>
          <t>St Andrews</t>
        </is>
      </c>
      <c r="C44" s="77" t="inlineStr">
        <is>
          <t>Business/management</t>
        </is>
      </c>
      <c r="D44" s="77" t="inlineStr">
        <is>
          <t>Searched</t>
        </is>
      </c>
      <c r="E44" s="77" t="inlineStr">
        <is>
          <t>School of Management St Andrews consultancy project organisation students group MSc module; Management MSc St Andrews "consultancy projects" local organisations</t>
        </is>
      </c>
      <c r="F44" s="77" t="inlineStr">
        <is>
          <t>https://www.st-andrews.ac.uk/subjects/management/management-msc/; https://archive.st-andrews.ac.uk/courses/2025-2026/pg/management-mlitt/</t>
        </is>
      </c>
      <c r="G44" s="77" t="inlineStr">
        <is>
          <t>Management MSc/MLitt pages advertise consultancy projects with local organisations but the underlying module, team structure and client role were not identified before the search budget ran out.</t>
        </is>
      </c>
    </row>
    <row r="45">
      <c r="A45" s="77" t="inlineStr">
        <is>
          <t>UK02</t>
        </is>
      </c>
      <c r="B45" s="77" t="inlineStr">
        <is>
          <t>St Andrews</t>
        </is>
      </c>
      <c r="C45" s="77" t="inlineStr">
        <is>
          <t>Engineering/computing</t>
        </is>
      </c>
      <c r="D45" s="77" t="inlineStr">
        <is>
          <t>Searched</t>
        </is>
      </c>
      <c r="E45" s="77" t="inlineStr">
        <is>
          <t>CS3099 software engineering team project industry client Skyscanner St Andrews; Keeping Doors Open Experian Skyscanner CS3099 blog</t>
        </is>
      </c>
      <c r="F45" s="77" t="inlineStr">
        <is>
          <t>https://www.st-andrews.ac.uk/subjects/modules/catalogue/?code=CS3099; https://blogs.cs.st-andrews.ac.uk/csblog/2025/04/25/keeping-doors-open-connection-collaboration-and-opportunities/; https://info.cs.st-andrews.ac.uk/student-handbook/modules/</t>
        </is>
      </c>
      <c r="G45" s="77" t="inlineStr">
        <is>
          <t>CS3099 third-year software engineering team project (current 2026/27) has documented involvement of Experian and Skyscanner, but their role is not specified (C Unclear). St Andrews has no engineering school; computing only.</t>
        </is>
      </c>
    </row>
    <row r="46">
      <c r="A46" s="77" t="inlineStr">
        <is>
          <t>UK02</t>
        </is>
      </c>
      <c r="B46" s="77" t="inlineStr">
        <is>
          <t>St Andrews</t>
        </is>
      </c>
      <c r="C46" s="77" t="inlineStr">
        <is>
          <t>Science</t>
        </is>
      </c>
      <c r="D46" s="77" t="inlineStr">
        <is>
          <t>Not searched</t>
        </is>
      </c>
      <c r="E46" s="77" t="inlineStr"/>
      <c r="F46" s="77" t="inlineStr"/>
      <c r="G46" s="77" t="inlineStr">
        <is>
          <t>Not searched: the shared per-turn web search limit was reached after 8 searches.</t>
        </is>
      </c>
    </row>
    <row r="47">
      <c r="A47" s="77" t="inlineStr">
        <is>
          <t>UK02</t>
        </is>
      </c>
      <c r="B47" s="77" t="inlineStr">
        <is>
          <t>St Andrews</t>
        </is>
      </c>
      <c r="C47" s="77" t="inlineStr">
        <is>
          <t>Arts/humanities/social sciences</t>
        </is>
      </c>
      <c r="D47" s="77" t="inlineStr">
        <is>
          <t>Not searched</t>
        </is>
      </c>
      <c r="E47" s="77" t="inlineStr"/>
      <c r="F47" s="77" t="inlineStr"/>
      <c r="G47" s="77" t="inlineStr">
        <is>
          <t>Not searched: the shared per-turn web search limit was reached (VIP covers some arts-faculty participation but no AHSS-specific routes were searched).</t>
        </is>
      </c>
    </row>
    <row r="48">
      <c r="A48" s="77" t="inlineStr">
        <is>
          <t>UK02</t>
        </is>
      </c>
      <c r="B48" s="77" t="inlineStr">
        <is>
          <t>St Andrews</t>
        </is>
      </c>
      <c r="C48" s="77" t="inlineStr">
        <is>
          <t>Other (law, health, design, architecture…)</t>
        </is>
      </c>
      <c r="D48" s="77" t="inlineStr">
        <is>
          <t>Not searched</t>
        </is>
      </c>
      <c r="E48" s="77" t="inlineStr"/>
      <c r="F48" s="77" t="inlineStr"/>
      <c r="G48" s="77" t="inlineStr">
        <is>
          <t>Not searched (Medicine, Divinity): the shared per-turn web search limit was reached.</t>
        </is>
      </c>
    </row>
    <row r="49">
      <c r="A49" s="77" t="inlineStr">
        <is>
          <t>UK05</t>
        </is>
      </c>
      <c r="B49" s="77" t="inlineStr">
        <is>
          <t>Aberdeen</t>
        </is>
      </c>
      <c r="C49" s="77" t="inlineStr">
        <is>
          <t>Central provision</t>
        </is>
      </c>
      <c r="D49" s="77" t="inlineStr">
        <is>
          <t>Searched</t>
        </is>
      </c>
      <c r="E49"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49"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49"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50">
      <c r="A50" s="77" t="inlineStr">
        <is>
          <t>UK05</t>
        </is>
      </c>
      <c r="B50" s="77" t="inlineStr">
        <is>
          <t>Aberdeen</t>
        </is>
      </c>
      <c r="C50" s="77" t="inlineStr">
        <is>
          <t>Business/management</t>
        </is>
      </c>
      <c r="D50" s="77" t="inlineStr">
        <is>
          <t>Not searched</t>
        </is>
      </c>
      <c r="E50" s="77" t="inlineStr"/>
      <c r="F50" s="77" t="inlineStr"/>
      <c r="G50" s="77" t="inlineStr">
        <is>
          <t>Not searched: search budget exhausted. Only incidental result: Accountancy PD2002 is an online careers-skills course, not a project.</t>
        </is>
      </c>
    </row>
    <row r="51">
      <c r="A51" s="77" t="inlineStr">
        <is>
          <t>UK05</t>
        </is>
      </c>
      <c r="B51" s="77" t="inlineStr">
        <is>
          <t>Aberdeen</t>
        </is>
      </c>
      <c r="C51" s="77" t="inlineStr">
        <is>
          <t>Engineering/computing</t>
        </is>
      </c>
      <c r="D51" s="77" t="inlineStr">
        <is>
          <t>Searched</t>
        </is>
      </c>
      <c r="E51" s="77" t="inlineStr">
        <is>
          <t>(results from the general and curriculum queries above)</t>
        </is>
      </c>
      <c r="F51"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51" s="77" t="inlineStr">
        <is>
          <t>From incidental results only: ED251A Engineering Work Experience (2025/26; group consultancy for a local engineering organisation) and a Year 4 Computing Science work-based learning course with employer-proposed projects. No dedicated searches were run.</t>
        </is>
      </c>
    </row>
    <row r="52">
      <c r="A52" s="77" t="inlineStr">
        <is>
          <t>UK05</t>
        </is>
      </c>
      <c r="B52" s="77" t="inlineStr">
        <is>
          <t>Aberdeen</t>
        </is>
      </c>
      <c r="C52" s="77" t="inlineStr">
        <is>
          <t>Science</t>
        </is>
      </c>
      <c r="D52" s="77" t="inlineStr">
        <is>
          <t>Not searched</t>
        </is>
      </c>
      <c r="E52" s="77" t="inlineStr"/>
      <c r="F52" s="77" t="inlineStr"/>
      <c r="G52" s="77" t="inlineStr">
        <is>
          <t>Not searched: search budget exhausted.</t>
        </is>
      </c>
    </row>
    <row r="53">
      <c r="A53" s="77" t="inlineStr">
        <is>
          <t>UK05</t>
        </is>
      </c>
      <c r="B53" s="77" t="inlineStr">
        <is>
          <t>Aberdeen</t>
        </is>
      </c>
      <c r="C53" s="77" t="inlineStr">
        <is>
          <t>Arts/humanities/social sciences</t>
        </is>
      </c>
      <c r="D53" s="77" t="inlineStr">
        <is>
          <t>Not searched</t>
        </is>
      </c>
      <c r="E53" s="77" t="inlineStr"/>
      <c r="F53" s="77" t="inlineStr"/>
      <c r="G53" s="77" t="inlineStr">
        <is>
          <t>Not searched: search budget exhausted.</t>
        </is>
      </c>
    </row>
    <row r="54">
      <c r="A54" s="77" t="inlineStr">
        <is>
          <t>UK05</t>
        </is>
      </c>
      <c r="B54" s="77" t="inlineStr">
        <is>
          <t>Aberdeen</t>
        </is>
      </c>
      <c r="C54" s="77" t="inlineStr">
        <is>
          <t>Other (law, health, design, architecture…)</t>
        </is>
      </c>
      <c r="D54" s="77" t="inlineStr">
        <is>
          <t>Not searched</t>
        </is>
      </c>
      <c r="E54" s="77" t="inlineStr"/>
      <c r="F54" s="77" t="inlineStr"/>
      <c r="G54" s="77" t="inlineStr">
        <is>
          <t>Not searched: search budget exhausted (law, medicine, health not covered).</t>
        </is>
      </c>
    </row>
    <row r="55">
      <c r="A55" s="77" t="inlineStr">
        <is>
          <t>UK08</t>
        </is>
      </c>
      <c r="B55" s="77" t="inlineStr">
        <is>
          <t>Sussex</t>
        </is>
      </c>
      <c r="C55" s="77" t="inlineStr">
        <is>
          <t>Central provision</t>
        </is>
      </c>
      <c r="D55" s="77" t="inlineStr">
        <is>
          <t>Searched</t>
        </is>
      </c>
      <c r="E55" s="77" t="inlineStr">
        <is>
          <t>Sussex student consultancy project real client team (site:sussex.ac.uk); Career Lab Student Consultancy Programme finalists postgraduates teams brief eligibility stipend 2026 (extended)</t>
        </is>
      </c>
      <c r="F55" s="77" t="inlineStr">
        <is>
          <t>https://student.sussex.ac.uk/careers/career-lab/student-consultancy; https://www.sussex.ac.uk/broadcast/read/71127; https://careerhub.sussex.ac.uk/docs/255/Hastings-Direct-Student-Consultancy-Case-Study.pdf</t>
        </is>
      </c>
      <c r="G55"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56">
      <c r="A56" s="77" t="inlineStr">
        <is>
          <t>UK08</t>
        </is>
      </c>
      <c r="B56" s="77" t="inlineStr">
        <is>
          <t>Sussex</t>
        </is>
      </c>
      <c r="C56" s="77" t="inlineStr">
        <is>
          <t>Business/management</t>
        </is>
      </c>
      <c r="D56" s="77" t="inlineStr">
        <is>
          <t>Searched</t>
        </is>
      </c>
      <c r="E56"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56" s="77" t="inlineStr">
        <is>
          <t>https://www.sussex.ac.uk/study/modules/undergraduate/2026/105316-marketing-consultancy-project-capstone; https://www.sussex.ac.uk/study/modules/postgraduate/2024/90902-consultancy-project; https://www.sussex.ac.uk/study/masters/courses/management-msc</t>
        </is>
      </c>
      <c r="G56"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57">
      <c r="A57" s="77" t="inlineStr">
        <is>
          <t>UK08</t>
        </is>
      </c>
      <c r="B57" s="77" t="inlineStr">
        <is>
          <t>Sussex</t>
        </is>
      </c>
      <c r="C57" s="77" t="inlineStr">
        <is>
          <t>Engineering/computing</t>
        </is>
      </c>
      <c r="D57" s="77" t="inlineStr">
        <is>
          <t>Not searched</t>
        </is>
      </c>
      <c r="E57" s="77" t="inlineStr"/>
      <c r="F57" s="77" t="inlineStr"/>
      <c r="G57"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58">
      <c r="A58" s="77" t="inlineStr">
        <is>
          <t>UK08</t>
        </is>
      </c>
      <c r="B58" s="77" t="inlineStr">
        <is>
          <t>Sussex</t>
        </is>
      </c>
      <c r="C58" s="77" t="inlineStr">
        <is>
          <t>Science</t>
        </is>
      </c>
      <c r="D58" s="77" t="inlineStr">
        <is>
          <t>Not searched</t>
        </is>
      </c>
      <c r="E58" s="77" t="inlineStr"/>
      <c r="F58" s="77" t="inlineStr"/>
      <c r="G58"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59">
      <c r="A59" s="77" t="inlineStr">
        <is>
          <t>UK08</t>
        </is>
      </c>
      <c r="B59" s="77" t="inlineStr">
        <is>
          <t>Sussex</t>
        </is>
      </c>
      <c r="C59" s="77" t="inlineStr">
        <is>
          <t>Arts/humanities/social sciences</t>
        </is>
      </c>
      <c r="D59" s="77" t="inlineStr">
        <is>
          <t>Not searched</t>
        </is>
      </c>
      <c r="E59" s="77" t="inlineStr"/>
      <c r="F59" s="77" t="inlineStr"/>
      <c r="G59"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60">
      <c r="A60" s="77" t="inlineStr">
        <is>
          <t>UK08</t>
        </is>
      </c>
      <c r="B60" s="77" t="inlineStr">
        <is>
          <t>Sussex</t>
        </is>
      </c>
      <c r="C60" s="77" t="inlineStr">
        <is>
          <t>Other (law, health, design, architecture…)</t>
        </is>
      </c>
      <c r="D60" s="77" t="inlineStr">
        <is>
          <t>Not searched</t>
        </is>
      </c>
      <c r="E60" s="77" t="inlineStr"/>
      <c r="F60" s="77" t="inlineStr"/>
      <c r="G60"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61">
      <c r="A61" s="77" t="inlineStr">
        <is>
          <t>UK11</t>
        </is>
      </c>
      <c r="B61" s="77" t="inlineStr">
        <is>
          <t>Heriot-Watt</t>
        </is>
      </c>
      <c r="C61" s="77" t="inlineStr">
        <is>
          <t>Central provision</t>
        </is>
      </c>
      <c r="D61" s="77" t="inlineStr">
        <is>
          <t>Searched</t>
        </is>
      </c>
      <c r="E61" s="77" t="inlineStr">
        <is>
          <t>Heriot-Watt students team project industry client brief; Heriot-Watt Careers employer challenge students work in teams real business problem</t>
        </is>
      </c>
      <c r="F61" s="77" t="inlineStr">
        <is>
          <t>https://www.hw.ac.uk/news/2025/global-innovation-challenge-2025-celebrates-heriot-watts-next-generation-of-founders; https://www.hw.ac.uk/document-library/recruitment-pack.pdf; https://www.hw.ac.uk/research-enterprise/innovation/global-innovation-challenge</t>
        </is>
      </c>
      <c r="G61"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62">
      <c r="A62" s="77" t="inlineStr">
        <is>
          <t>UK11</t>
        </is>
      </c>
      <c r="B62" s="77" t="inlineStr">
        <is>
          <t>Heriot-Watt</t>
        </is>
      </c>
      <c r="C62" s="77" t="inlineStr">
        <is>
          <t>Business/management</t>
        </is>
      </c>
      <c r="D62" s="77" t="inlineStr">
        <is>
          <t>Searched</t>
        </is>
      </c>
      <c r="E62" s="77" t="inlineStr">
        <is>
          <t>Edinburgh Business School Heriot-Watt consultancy project organisation group students course; Curriculum Explorer Heriot-Watt "Consultancy Project" business course group client (extended)</t>
        </is>
      </c>
      <c r="F62" s="77" t="inlineStr">
        <is>
          <t>https://www.hw.ac.uk/study/postgraduate/international-business-management</t>
        </is>
      </c>
      <c r="G62" s="77" t="inlineStr">
        <is>
          <t>Only partially searched. MSc International Business Management ends with a 'company consultancy project'; group format and whether the company is external could not be established before the search budget ran out.</t>
        </is>
      </c>
    </row>
    <row r="63">
      <c r="A63" s="77" t="inlineStr">
        <is>
          <t>UK11</t>
        </is>
      </c>
      <c r="B63" s="77" t="inlineStr">
        <is>
          <t>Heriot-Watt</t>
        </is>
      </c>
      <c r="C63" s="77" t="inlineStr">
        <is>
          <t>Engineering/computing</t>
        </is>
      </c>
      <c r="D63" s="77" t="inlineStr">
        <is>
          <t>Searched</t>
        </is>
      </c>
      <c r="E63" s="77" t="inlineStr">
        <is>
          <t>Heriot-Watt students team project industry client brief (results covered engineering/MACS)</t>
        </is>
      </c>
      <c r="F63" s="77" t="inlineStr">
        <is>
          <t>https://researchportal.hw.ac.uk/en/publications/multidisciplinary-engineering-final-year-project-approaches-and-r/; https://curriculum.hw.ac.uk/coursedetails/B39VS?termcode=202223; https://projects.hw.ac.uk/Proposals/Index</t>
        </is>
      </c>
      <c r="G63"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64">
      <c r="A64" s="77" t="inlineStr">
        <is>
          <t>UK11</t>
        </is>
      </c>
      <c r="B64" s="77" t="inlineStr">
        <is>
          <t>Heriot-Watt</t>
        </is>
      </c>
      <c r="C64" s="77" t="inlineStr">
        <is>
          <t>Science</t>
        </is>
      </c>
      <c r="D64" s="77" t="inlineStr">
        <is>
          <t>Not searched</t>
        </is>
      </c>
      <c r="E64" s="77" t="inlineStr"/>
      <c r="F64" s="77" t="inlineStr"/>
      <c r="G64" s="77" t="inlineStr">
        <is>
          <t>Not searched: shared web-search budget for this turn was exhausted after 4 searches (5th refused).</t>
        </is>
      </c>
    </row>
    <row r="65">
      <c r="A65" s="77" t="inlineStr">
        <is>
          <t>UK11</t>
        </is>
      </c>
      <c r="B65" s="77" t="inlineStr">
        <is>
          <t>Heriot-Watt</t>
        </is>
      </c>
      <c r="C65" s="77" t="inlineStr">
        <is>
          <t>Arts/humanities/social sciences</t>
        </is>
      </c>
      <c r="D65" s="77" t="inlineStr">
        <is>
          <t>Not searched</t>
        </is>
      </c>
      <c r="E65" s="77" t="inlineStr"/>
      <c r="F65" s="77" t="inlineStr"/>
      <c r="G65" s="77" t="inlineStr">
        <is>
          <t>Not searched: shared web-search budget for this turn was exhausted after 4 searches (5th refused).</t>
        </is>
      </c>
    </row>
    <row r="66">
      <c r="A66" s="77" t="inlineStr">
        <is>
          <t>UK11</t>
        </is>
      </c>
      <c r="B66" s="77" t="inlineStr">
        <is>
          <t>Heriot-Watt</t>
        </is>
      </c>
      <c r="C66" s="77" t="inlineStr">
        <is>
          <t>Other (law, health, design, architecture…)</t>
        </is>
      </c>
      <c r="D66" s="77" t="inlineStr">
        <is>
          <t>Not searched</t>
        </is>
      </c>
      <c r="E66" s="77" t="inlineStr"/>
      <c r="F66" s="77" t="inlineStr"/>
      <c r="G66" s="77" t="inlineStr">
        <is>
          <t>Not searched: shared web-search budget for this turn was exhausted after 4 searches (5th refused). Textiles and Design, architecture/built environment and sport (Falkirk FC MoU lead) remain to be searched.</t>
        </is>
      </c>
    </row>
    <row r="67">
      <c r="A67" s="77" t="inlineStr">
        <is>
          <t>UK14</t>
        </is>
      </c>
      <c r="B67" s="77" t="inlineStr">
        <is>
          <t>Swansea</t>
        </is>
      </c>
      <c r="C67" s="77" t="inlineStr">
        <is>
          <t>Central provision</t>
        </is>
      </c>
      <c r="D67" s="77" t="inlineStr">
        <is>
          <t>Searched</t>
        </is>
      </c>
      <c r="E67" s="77" t="inlineStr">
        <is>
          <t>Swansea University student consultancy project live client team; Swansea Employability Academy employability awards discovery project employer</t>
        </is>
      </c>
      <c r="F67" s="77" t="inlineStr">
        <is>
          <t>https://hwb.swansea.ac.uk/employability-enterprise/employability-awards/; https://hwb.swansea.ac.uk/employability-enterprise/student-enterprise/; https://www.swansea.ac.uk/business-and-industry/recruit-our-talent/go-wales/</t>
        </is>
      </c>
      <c r="G6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68">
      <c r="A68" s="77" t="inlineStr">
        <is>
          <t>UK14</t>
        </is>
      </c>
      <c r="B68" s="77" t="inlineStr">
        <is>
          <t>Swansea</t>
        </is>
      </c>
      <c r="C68" s="77" t="inlineStr">
        <is>
          <t>Business/management</t>
        </is>
      </c>
      <c r="D68" s="77" t="inlineStr">
        <is>
          <t>Searched</t>
        </is>
      </c>
      <c r="E68" s="77" t="inlineStr">
        <is>
          <t>Swansea School of Management "Business Consultancy Project" module group live client; Swansea University module consultancy project students work in teams with organisation client report presentation</t>
        </is>
      </c>
      <c r="F68" s="77" t="inlineStr">
        <is>
          <t>https://www.swansea.ac.uk/undergraduate/courses/social-sciences/economics/bsc-economics-business/; https://www.swansea.ac.uk/undergraduate/courses/som/marketing/bsc-marketing/; https://www.swansea.ac.uk/postgraduate/taught/som/business-management/msc-project-management/</t>
        </is>
      </c>
      <c r="G6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69">
      <c r="A69" s="77" t="inlineStr">
        <is>
          <t>UK14</t>
        </is>
      </c>
      <c r="B69" s="77" t="inlineStr">
        <is>
          <t>Swansea</t>
        </is>
      </c>
      <c r="C69" s="77" t="inlineStr">
        <is>
          <t>Engineering/computing</t>
        </is>
      </c>
      <c r="D69" s="77" t="inlineStr">
        <is>
          <t>Searched</t>
        </is>
      </c>
      <c r="E69" s="77" t="inlineStr">
        <is>
          <t>Swansea Computer Science group software engineering project industry client external; Swansea engineering "group project" industry sponsored final year team design</t>
        </is>
      </c>
      <c r="F69" s="77" t="inlineStr">
        <is>
          <t>https://www.swansea.ac.uk/undergraduate/courses/aerospace-civil-electrical-mechanical-engineering/civil-engineering/beng-civil-engineering/; https://www.swansea.ac.uk/undergraduate/courses/maths-comp-sci/computer-science/bsc-computer-science/</t>
        </is>
      </c>
      <c r="G6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70">
      <c r="A70" s="77" t="inlineStr">
        <is>
          <t>UK14</t>
        </is>
      </c>
      <c r="B70" s="77" t="inlineStr">
        <is>
          <t>Swansea</t>
        </is>
      </c>
      <c r="C70" s="77" t="inlineStr">
        <is>
          <t>Science</t>
        </is>
      </c>
      <c r="D70" s="77" t="inlineStr">
        <is>
          <t>Not searched</t>
        </is>
      </c>
      <c r="E70" s="77" t="inlineStr"/>
      <c r="F70" s="77" t="inlineStr"/>
      <c r="G70" s="77" t="inlineStr">
        <is>
          <t>Not searched: the shared WebSearch budget for the run (200 calls across all agents) ran out after 6 searches on this institution.</t>
        </is>
      </c>
    </row>
    <row r="71">
      <c r="A71" s="77" t="inlineStr">
        <is>
          <t>UK14</t>
        </is>
      </c>
      <c r="B71" s="77" t="inlineStr">
        <is>
          <t>Swansea</t>
        </is>
      </c>
      <c r="C71" s="77" t="inlineStr">
        <is>
          <t>Arts/humanities/social sciences</t>
        </is>
      </c>
      <c r="D71" s="77" t="inlineStr">
        <is>
          <t>Not searched</t>
        </is>
      </c>
      <c r="E71" s="77" t="inlineStr"/>
      <c r="F71" s="77" t="inlineStr"/>
      <c r="G71" s="77" t="inlineStr">
        <is>
          <t>Not searched: the shared WebSearch budget for the run (200 calls across all agents) ran out after 6 searches on this institution. (Economics and Business was covered under business.)</t>
        </is>
      </c>
    </row>
    <row r="72">
      <c r="A72" s="77" t="inlineStr">
        <is>
          <t>UK14</t>
        </is>
      </c>
      <c r="B72" s="77" t="inlineStr">
        <is>
          <t>Swansea</t>
        </is>
      </c>
      <c r="C72" s="77" t="inlineStr">
        <is>
          <t>Other (law, health, design, architecture…)</t>
        </is>
      </c>
      <c r="D72" s="77" t="inlineStr">
        <is>
          <t>Not searched</t>
        </is>
      </c>
      <c r="E72" s="77" t="inlineStr"/>
      <c r="F72" s="77" t="inlineStr"/>
      <c r="G72"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75"/>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53 warnings across 13 researched institutions (listed below; resolved items are removed on rebuild).</t>
        </is>
      </c>
    </row>
    <row r="23">
      <c r="A23" s="32" t="inlineStr">
        <is>
          <t>WARN RG01</t>
        </is>
      </c>
      <c r="B23" s="32" t="inlineStr">
        <is>
          <t>other: search area status: Not searched</t>
        </is>
      </c>
    </row>
    <row r="24">
      <c r="A24" s="32" t="inlineStr">
        <is>
          <t>WARN RG01</t>
        </is>
      </c>
      <c r="B24" s="32" t="inlineStr">
        <is>
          <t>RG01-S02: possible simulation marked employer-connected — check</t>
        </is>
      </c>
    </row>
    <row r="25">
      <c r="A25" s="32" t="inlineStr">
        <is>
          <t>WARN RG13</t>
        </is>
      </c>
      <c r="B25" s="32" t="inlineStr">
        <is>
          <t>RG13-S11: employer-connected Yes but partner type Unclear</t>
        </is>
      </c>
    </row>
    <row r="26">
      <c r="A26" s="32" t="inlineStr">
        <is>
          <t>WARN RG17</t>
        </is>
      </c>
      <c r="B26" s="32" t="inlineStr">
        <is>
          <t>arts_humanities_social_sciences: search area status: Not searched</t>
        </is>
      </c>
    </row>
    <row r="27">
      <c r="A27" s="32" t="inlineStr">
        <is>
          <t>WARN RG17</t>
        </is>
      </c>
      <c r="B27" s="32" t="inlineStr">
        <is>
          <t>other: search area status: Not searched</t>
        </is>
      </c>
    </row>
    <row r="28">
      <c r="A28" s="32" t="inlineStr">
        <is>
          <t>WARN RG17</t>
        </is>
      </c>
      <c r="B28" s="32" t="inlineStr">
        <is>
          <t>RG17-S03: employer-connected Yes but partner type Unclear</t>
        </is>
      </c>
    </row>
    <row r="29">
      <c r="A29" s="32" t="inlineStr">
        <is>
          <t>WARN RG17</t>
        </is>
      </c>
      <c r="B29" s="32" t="inlineStr">
        <is>
          <t>RG17-S04: employer-connected Yes but partner type Unclear</t>
        </is>
      </c>
    </row>
    <row r="30">
      <c r="A30" s="32" t="inlineStr">
        <is>
          <t>WARN RG17</t>
        </is>
      </c>
      <c r="B30" s="32" t="inlineStr">
        <is>
          <t>RG17-S08: employer-connected Yes but partner type Unclear</t>
        </is>
      </c>
    </row>
    <row r="31">
      <c r="A31" s="32" t="inlineStr">
        <is>
          <t>WARN AU02</t>
        </is>
      </c>
      <c r="B31" s="32" t="inlineStr">
        <is>
          <t>AU02-S01: employer-connected Yes but partner type Unclear</t>
        </is>
      </c>
    </row>
    <row r="32">
      <c r="A32" s="32" t="inlineStr">
        <is>
          <t>WARN AU02</t>
        </is>
      </c>
      <c r="B32" s="32" t="inlineStr">
        <is>
          <t>AU02-S02: employer-connected Yes but partner type Unclear</t>
        </is>
      </c>
    </row>
    <row r="33">
      <c r="A33" s="32" t="inlineStr">
        <is>
          <t>WARN AU02</t>
        </is>
      </c>
      <c r="B33" s="32" t="inlineStr">
        <is>
          <t>AU02-S03: B group=Yes but evidence text/source tag missing</t>
        </is>
      </c>
    </row>
    <row r="34">
      <c r="A34" s="32" t="inlineStr">
        <is>
          <t>WARN AU02</t>
        </is>
      </c>
      <c r="B34" s="32" t="inlineStr">
        <is>
          <t>AU02-S04: employer-connected Yes but partner type Unclear</t>
        </is>
      </c>
    </row>
    <row r="35">
      <c r="A35" s="32" t="inlineStr">
        <is>
          <t>WARN AU02</t>
        </is>
      </c>
      <c r="B35" s="32" t="inlineStr">
        <is>
          <t>AU02-S09: employer-connected Yes but partner type Unclear</t>
        </is>
      </c>
    </row>
    <row r="36">
      <c r="A36" s="32" t="inlineStr">
        <is>
          <t>WARN AU02</t>
        </is>
      </c>
      <c r="B36" s="32" t="inlineStr">
        <is>
          <t>AU02-S10: employer-connected Yes but partner type Unclear</t>
        </is>
      </c>
    </row>
    <row r="37">
      <c r="A37" s="32" t="inlineStr">
        <is>
          <t>WARN AU02</t>
        </is>
      </c>
      <c r="B37" s="32" t="inlineStr">
        <is>
          <t>AU02-S11: employer-connected Yes but partner type Unclear</t>
        </is>
      </c>
    </row>
    <row r="38">
      <c r="A38" s="32" t="inlineStr">
        <is>
          <t>WARN AU02</t>
        </is>
      </c>
      <c r="B38" s="32" t="inlineStr">
        <is>
          <t>AU02-S12: employer-connected Yes but partner type Unclear</t>
        </is>
      </c>
    </row>
    <row r="39">
      <c r="A39" s="32" t="inlineStr">
        <is>
          <t>WARN AU02</t>
        </is>
      </c>
      <c r="B39" s="32" t="inlineStr">
        <is>
          <t>AU02-S13: employer-connected Yes but partner type Unclear</t>
        </is>
      </c>
    </row>
    <row r="40">
      <c r="A40" s="32" t="inlineStr">
        <is>
          <t>WARN AU02</t>
        </is>
      </c>
      <c r="B40" s="32" t="inlineStr">
        <is>
          <t>AU02-S15: employer-connected Yes but partner type Unclear</t>
        </is>
      </c>
    </row>
    <row r="41">
      <c r="A41" s="32" t="inlineStr">
        <is>
          <t>WARN AU02</t>
        </is>
      </c>
      <c r="B41" s="32" t="inlineStr">
        <is>
          <t>AU02-S16: employer-connected Yes but partner type Unclear</t>
        </is>
      </c>
    </row>
    <row r="42">
      <c r="A42" s="32" t="inlineStr">
        <is>
          <t>WARN AU02</t>
        </is>
      </c>
      <c r="B42" s="32" t="inlineStr">
        <is>
          <t>AU02-S16: possible simulation marked employer-connected — check</t>
        </is>
      </c>
    </row>
    <row r="43">
      <c r="A43" s="32" t="inlineStr">
        <is>
          <t>WARN AU02</t>
        </is>
      </c>
      <c r="B43" s="32" t="inlineStr">
        <is>
          <t>AU02-S17: employer-connected Yes but partner type Unclear</t>
        </is>
      </c>
    </row>
    <row r="44">
      <c r="A44" s="32" t="inlineStr">
        <is>
          <t>WARN AU02</t>
        </is>
      </c>
      <c r="B44" s="32" t="inlineStr">
        <is>
          <t>AU02-S20: employer-connected Yes but partner type Unclear</t>
        </is>
      </c>
    </row>
    <row r="45">
      <c r="A45" s="32" t="inlineStr">
        <is>
          <t>WARN AU06</t>
        </is>
      </c>
      <c r="B45" s="32" t="inlineStr">
        <is>
          <t>science: search area status: Not searched</t>
        </is>
      </c>
    </row>
    <row r="46">
      <c r="A46" s="32" t="inlineStr">
        <is>
          <t>WARN AU06</t>
        </is>
      </c>
      <c r="B46" s="32" t="inlineStr">
        <is>
          <t>arts_humanities_social_sciences: search area status: Not searched</t>
        </is>
      </c>
    </row>
    <row r="47">
      <c r="A47" s="32" t="inlineStr">
        <is>
          <t>WARN AU06</t>
        </is>
      </c>
      <c r="B47" s="32" t="inlineStr">
        <is>
          <t>other: search area status: Not searched</t>
        </is>
      </c>
    </row>
    <row r="48">
      <c r="A48" s="32" t="inlineStr">
        <is>
          <t>WARN AU06</t>
        </is>
      </c>
      <c r="B48" s="32" t="inlineStr">
        <is>
          <t>AU06-S02: possible simulation marked employer-connected — check</t>
        </is>
      </c>
    </row>
    <row r="49">
      <c r="A49" s="32" t="inlineStr">
        <is>
          <t>WARN AU09</t>
        </is>
      </c>
      <c r="B49" s="32" t="inlineStr">
        <is>
          <t>business: search area status: Not searched</t>
        </is>
      </c>
    </row>
    <row r="50">
      <c r="A50" s="32" t="inlineStr">
        <is>
          <t>WARN AU09</t>
        </is>
      </c>
      <c r="B50" s="32" t="inlineStr">
        <is>
          <t>engineering_computing: search area status: Not searched</t>
        </is>
      </c>
    </row>
    <row r="51">
      <c r="A51" s="32" t="inlineStr">
        <is>
          <t>WARN AU09</t>
        </is>
      </c>
      <c r="B51" s="32" t="inlineStr">
        <is>
          <t>science: search area status: Not searched</t>
        </is>
      </c>
    </row>
    <row r="52">
      <c r="A52" s="32" t="inlineStr">
        <is>
          <t>WARN AU09</t>
        </is>
      </c>
      <c r="B52" s="32" t="inlineStr">
        <is>
          <t>arts_humanities_social_sciences: search area status: Not searched</t>
        </is>
      </c>
    </row>
    <row r="53">
      <c r="A53" s="32" t="inlineStr">
        <is>
          <t>WARN AU09</t>
        </is>
      </c>
      <c r="B53" s="32" t="inlineStr">
        <is>
          <t>other: search area status: Not searched</t>
        </is>
      </c>
    </row>
    <row r="54">
      <c r="A54" s="32" t="inlineStr">
        <is>
          <t>WARN UK02</t>
        </is>
      </c>
      <c r="B54" s="32" t="inlineStr">
        <is>
          <t>science: search area status: Not searched</t>
        </is>
      </c>
    </row>
    <row r="55">
      <c r="A55" s="32" t="inlineStr">
        <is>
          <t>WARN UK02</t>
        </is>
      </c>
      <c r="B55" s="32" t="inlineStr">
        <is>
          <t>arts_humanities_social_sciences: search area status: Not searched</t>
        </is>
      </c>
    </row>
    <row r="56">
      <c r="A56" s="32" t="inlineStr">
        <is>
          <t>WARN UK02</t>
        </is>
      </c>
      <c r="B56" s="32" t="inlineStr">
        <is>
          <t>other: search area status: Not searched</t>
        </is>
      </c>
    </row>
    <row r="57">
      <c r="A57" s="32" t="inlineStr">
        <is>
          <t>WARN UK05</t>
        </is>
      </c>
      <c r="B57" s="32" t="inlineStr">
        <is>
          <t>business: search area status: Not searched</t>
        </is>
      </c>
    </row>
    <row r="58">
      <c r="A58" s="32" t="inlineStr">
        <is>
          <t>WARN UK05</t>
        </is>
      </c>
      <c r="B58" s="32" t="inlineStr">
        <is>
          <t>science: search area status: Not searched</t>
        </is>
      </c>
    </row>
    <row r="59">
      <c r="A59" s="32" t="inlineStr">
        <is>
          <t>WARN UK05</t>
        </is>
      </c>
      <c r="B59" s="32" t="inlineStr">
        <is>
          <t>arts_humanities_social_sciences: search area status: Not searched</t>
        </is>
      </c>
    </row>
    <row r="60">
      <c r="A60" s="32" t="inlineStr">
        <is>
          <t>WARN UK05</t>
        </is>
      </c>
      <c r="B60" s="32" t="inlineStr">
        <is>
          <t>other: search area status: Not searched</t>
        </is>
      </c>
    </row>
    <row r="61">
      <c r="A61" s="32" t="inlineStr">
        <is>
          <t>WARN UK05</t>
        </is>
      </c>
      <c r="B61" s="32" t="inlineStr">
        <is>
          <t>UK05-S01: employer-connected Yes but partner type Unclear</t>
        </is>
      </c>
    </row>
    <row r="62">
      <c r="A62" s="32" t="inlineStr">
        <is>
          <t>WARN UK05</t>
        </is>
      </c>
      <c r="B62" s="32" t="inlineStr">
        <is>
          <t>UK05-S03: employer-connected Yes but partner type Unclear</t>
        </is>
      </c>
    </row>
    <row r="63">
      <c r="A63" s="32" t="inlineStr">
        <is>
          <t>WARN UK05</t>
        </is>
      </c>
      <c r="B63" s="32" t="inlineStr">
        <is>
          <t>UK05-S04: employer-connected Yes but partner type Unclear</t>
        </is>
      </c>
    </row>
    <row r="64">
      <c r="A64" s="32" t="inlineStr">
        <is>
          <t>WARN UK08</t>
        </is>
      </c>
      <c r="B64" s="32" t="inlineStr">
        <is>
          <t>engineering_computing: search area status: Not searched</t>
        </is>
      </c>
    </row>
    <row r="65">
      <c r="A65" s="32" t="inlineStr">
        <is>
          <t>WARN UK08</t>
        </is>
      </c>
      <c r="B65" s="32" t="inlineStr">
        <is>
          <t>science: search area status: Not searched</t>
        </is>
      </c>
    </row>
    <row r="66">
      <c r="A66" s="32" t="inlineStr">
        <is>
          <t>WARN UK08</t>
        </is>
      </c>
      <c r="B66" s="32" t="inlineStr">
        <is>
          <t>arts_humanities_social_sciences: search area status: Not searched</t>
        </is>
      </c>
    </row>
    <row r="67">
      <c r="A67" s="32" t="inlineStr">
        <is>
          <t>WARN UK08</t>
        </is>
      </c>
      <c r="B67" s="32" t="inlineStr">
        <is>
          <t>other: search area status: Not searched</t>
        </is>
      </c>
    </row>
    <row r="68">
      <c r="A68" s="32" t="inlineStr">
        <is>
          <t>WARN UK08</t>
        </is>
      </c>
      <c r="B68" s="32" t="inlineStr">
        <is>
          <t>UK08-S03: employer-connected Yes but partner type Unclear</t>
        </is>
      </c>
    </row>
    <row r="69">
      <c r="A69" s="32" t="inlineStr">
        <is>
          <t>WARN UK11</t>
        </is>
      </c>
      <c r="B69" s="32" t="inlineStr">
        <is>
          <t>science: search area status: Not searched</t>
        </is>
      </c>
    </row>
    <row r="70">
      <c r="A70" s="32" t="inlineStr">
        <is>
          <t>WARN UK11</t>
        </is>
      </c>
      <c r="B70" s="32" t="inlineStr">
        <is>
          <t>arts_humanities_social_sciences: search area status: Not searched</t>
        </is>
      </c>
    </row>
    <row r="71">
      <c r="A71" s="32" t="inlineStr">
        <is>
          <t>WARN UK11</t>
        </is>
      </c>
      <c r="B71" s="32" t="inlineStr">
        <is>
          <t>other: search area status: Not searched</t>
        </is>
      </c>
    </row>
    <row r="72">
      <c r="A72" s="32" t="inlineStr">
        <is>
          <t>WARN UK14</t>
        </is>
      </c>
      <c r="B72" s="32" t="inlineStr">
        <is>
          <t>science: search area status: Not searched</t>
        </is>
      </c>
    </row>
    <row r="73">
      <c r="A73" s="32" t="inlineStr">
        <is>
          <t>WARN UK14</t>
        </is>
      </c>
      <c r="B73" s="32" t="inlineStr">
        <is>
          <t>arts_humanities_social_sciences: search area status: Not searched</t>
        </is>
      </c>
    </row>
    <row r="74">
      <c r="A74" s="32" t="inlineStr">
        <is>
          <t>WARN UK14</t>
        </is>
      </c>
      <c r="B74" s="32" t="inlineStr">
        <is>
          <t>other: search area status: Not searched</t>
        </is>
      </c>
    </row>
    <row r="75">
      <c r="A75" s="32" t="inlineStr">
        <is>
          <t>WARN UK14</t>
        </is>
      </c>
      <c r="B75" s="32" t="inlineStr">
        <is>
          <t>UK14-S03: employer-connected Yes but partner type Unclear</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Not yet reassessed (institution not reviewed)</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Not yet reassessed (institution not reviewed)</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Not yet reassessed (institution not reviewed)</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Not yet reassessed (institution not reviewed)</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Not yet reassessed (institution not reviewed)</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Not yet reassessed (institution not reviewed)</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Not yet reassessed (institution not reviewed)</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Not yet reassessed (institution not reviewed)</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Not yet reassessed (institution not reviewed)</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Not yet reassessed (institution not reviewed)</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Not yet reassessed (institution not reviewed)</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Not yet reassessed (institution not reviewed)</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Not yet reassessed (institution not reviewed)</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Not yet reassessed (institution not reviewed)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Not yet reassessed (institution not reviewed)</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Not yet reassessed (institution not reviewed)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Not yet reassessed (institution not reviewed)</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Not yet reassessed (institution not reviewed)</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Not yet reassessed (institution not reviewed)</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Not yet reassessed (institution not reviewed)</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Not yet reassessed (institution not reviewed)</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Not yet reassessed (institution not reviewed)</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Not yet reassessed (institution not reviewed)</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Not yet reassessed (institution not reviewed)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Not yet reassessed (institution not reviewed)</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Not yet reassessed (institution not reviewed)</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Not yet reassessed (institution not reviewed)</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Not yet reassessed (institution not reviewed)</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Not yet reassessed (institution not reviewed)</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Not yet reassessed (institution not reviewed)</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Not yet reassessed (institution not reviewed)</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Not yet reassessed (institution not reviewed)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Not yet reassessed (institution not reviewed)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Not yet reassessed (institution not reviewed)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Not yet reassessed (institution not reviewed)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Not yet reassessed (institution not reviewed)</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Not yet reassessed (institution not reviewed)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Not yet reassessed (institution not reviewed)</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Not yet reassessed (institution not reviewed)</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Not yet reassessed (institution not reviewed)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Not yet reassessed (institution not reviewed)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Not yet reassessed (institution not reviewed)</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2026-10-12T10:51:27Z</dcterms:created>
  <dcterms:modified xmlns:dcterms="http://purl.org/dc/terms/" xmlns:xsi="http://www.w3.org/2001/XMLSchema-instance" xsi:type="dcterms:W3CDTF">2026-10-12T10:51:28Z</dcterms:modified>
</cp:coreProperties>
</file>